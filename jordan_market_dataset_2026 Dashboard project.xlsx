
<file path=[Content_Types].xml><?xml version="1.0" encoding="utf-8"?>
<Types xmlns="http://schemas.openxmlformats.org/package/2006/content-type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chart8.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D:\"/>
    </mc:Choice>
  </mc:AlternateContent>
  <xr:revisionPtr revIDLastSave="0" documentId="13_ncr:1_{91B62F73-355A-4399-9364-42A346126E46}" xr6:coauthVersionLast="47" xr6:coauthVersionMax="47" xr10:uidLastSave="{00000000-0000-0000-0000-000000000000}"/>
  <bookViews>
    <workbookView xWindow="-110" yWindow="-110" windowWidth="19420" windowHeight="11020" xr2:uid="{00000000-000D-0000-FFFF-FFFF00000000}"/>
  </bookViews>
  <sheets>
    <sheet name="Pivot_Table" sheetId="2" r:id="rId1"/>
    <sheet name="Dashboard" sheetId="3" r:id="rId2"/>
    <sheet name="New Dashboard" sheetId="4" r:id="rId3"/>
    <sheet name="jordan_market_dataset_2026" sheetId="1" r:id="rId4"/>
  </sheets>
  <definedNames>
    <definedName name="Slicer_Months">#N/A</definedName>
    <definedName name="Slicer_Sales_Channel">#N/A</definedName>
    <definedName name="Slicer_Shoe_Model">#N/A</definedName>
    <definedName name="Slicer_Years">#N/A</definedName>
  </definedNames>
  <calcPr calcId="191029"/>
  <pivotCaches>
    <pivotCache cacheId="21"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S6" i="2" l="1" a="1"/>
  <c r="S6" i="2" s="1"/>
  <c r="R6" i="2" a="1"/>
  <c r="R6" i="2" s="1"/>
  <c r="Q6" i="2" a="1"/>
  <c r="Q6" i="2" s="1"/>
  <c r="P6" i="2" a="1"/>
  <c r="P6" i="2" s="1"/>
  <c r="O6" i="2" a="1"/>
  <c r="O6" i="2" s="1"/>
  <c r="B7" i="2"/>
  <c r="B6" i="2"/>
  <c r="B8" i="2" s="1"/>
  <c r="G13" i="2" a="1"/>
  <c r="G13" i="2" s="1"/>
  <c r="F13" i="2" a="1"/>
  <c r="F13" i="2" s="1"/>
  <c r="E13" i="2" a="1"/>
  <c r="E13" i="2" s="1"/>
  <c r="G24" i="2" a="1"/>
  <c r="G24" i="2" s="1"/>
  <c r="F24" i="2" a="1"/>
  <c r="F24" i="2" s="1"/>
  <c r="E24" i="2" a="1"/>
  <c r="E24" i="2" s="1"/>
  <c r="E34" i="2" a="1"/>
  <c r="E34" i="2" s="1"/>
  <c r="D34" i="2" a="1"/>
  <c r="D34" i="2" s="1"/>
  <c r="E41" i="2" a="1"/>
  <c r="E41" i="2" s="1"/>
  <c r="D41" i="2" a="1"/>
  <c r="D41" i="2" s="1"/>
  <c r="D51" i="2" a="1"/>
  <c r="D51" i="2" s="1"/>
  <c r="E51" i="2" a="1"/>
  <c r="E51" i="2" s="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345" i="1"/>
  <c r="K2346" i="1"/>
  <c r="K2347" i="1"/>
  <c r="K2348" i="1"/>
  <c r="K2349" i="1"/>
  <c r="K2350" i="1"/>
  <c r="K2351" i="1"/>
  <c r="K2352" i="1"/>
  <c r="K2353" i="1"/>
  <c r="K2354" i="1"/>
  <c r="K2355" i="1"/>
  <c r="K2356" i="1"/>
  <c r="K2357" i="1"/>
  <c r="K2358" i="1"/>
  <c r="K2359" i="1"/>
  <c r="K2360" i="1"/>
  <c r="K2361" i="1"/>
  <c r="K2362" i="1"/>
  <c r="K2363" i="1"/>
  <c r="K2364" i="1"/>
  <c r="K2365" i="1"/>
  <c r="K2366" i="1"/>
  <c r="K2367" i="1"/>
  <c r="K2368" i="1"/>
  <c r="K2369" i="1"/>
  <c r="K2370" i="1"/>
  <c r="K2371" i="1"/>
  <c r="K2372" i="1"/>
  <c r="K2373" i="1"/>
  <c r="K2374" i="1"/>
  <c r="K2375" i="1"/>
  <c r="K2376" i="1"/>
  <c r="K2377" i="1"/>
  <c r="K2378" i="1"/>
  <c r="K2379" i="1"/>
  <c r="K2380" i="1"/>
  <c r="K2381" i="1"/>
  <c r="K2382" i="1"/>
  <c r="K2383" i="1"/>
  <c r="K2384" i="1"/>
  <c r="K2385" i="1"/>
  <c r="K2386" i="1"/>
  <c r="K2387" i="1"/>
  <c r="K2388" i="1"/>
  <c r="K2389" i="1"/>
  <c r="K2390" i="1"/>
  <c r="K2391" i="1"/>
  <c r="K2392" i="1"/>
  <c r="K2393" i="1"/>
  <c r="K2394" i="1"/>
  <c r="K2395" i="1"/>
  <c r="K2396" i="1"/>
  <c r="K2397" i="1"/>
  <c r="K2398" i="1"/>
  <c r="K2399" i="1"/>
  <c r="K2400" i="1"/>
  <c r="K2401" i="1"/>
  <c r="K2402" i="1"/>
  <c r="K2403" i="1"/>
  <c r="K2404" i="1"/>
  <c r="K2405" i="1"/>
  <c r="K2406" i="1"/>
  <c r="K2407" i="1"/>
  <c r="K2408" i="1"/>
  <c r="K2409" i="1"/>
  <c r="K2410" i="1"/>
  <c r="K2411" i="1"/>
  <c r="K2412" i="1"/>
  <c r="K2413" i="1"/>
  <c r="K2414" i="1"/>
  <c r="K2415" i="1"/>
  <c r="K2416" i="1"/>
  <c r="K2417" i="1"/>
  <c r="K2418" i="1"/>
  <c r="K2419" i="1"/>
  <c r="K2420" i="1"/>
  <c r="K2421" i="1"/>
  <c r="K2422" i="1"/>
  <c r="K2423" i="1"/>
  <c r="K2424" i="1"/>
  <c r="K2425" i="1"/>
  <c r="K2426" i="1"/>
  <c r="K2427" i="1"/>
  <c r="K2428" i="1"/>
  <c r="K2429" i="1"/>
  <c r="K2430" i="1"/>
  <c r="K2431" i="1"/>
  <c r="K2432" i="1"/>
  <c r="K2433" i="1"/>
  <c r="K2434" i="1"/>
  <c r="K2435" i="1"/>
  <c r="K2436" i="1"/>
  <c r="K2437" i="1"/>
  <c r="K2438" i="1"/>
  <c r="K2439" i="1"/>
  <c r="K2440" i="1"/>
  <c r="K2441" i="1"/>
  <c r="K2442" i="1"/>
  <c r="K2443" i="1"/>
  <c r="K2444" i="1"/>
  <c r="K2445" i="1"/>
  <c r="K2446" i="1"/>
  <c r="K2447" i="1"/>
  <c r="K2448" i="1"/>
  <c r="K2449" i="1"/>
  <c r="K2450" i="1"/>
  <c r="K2451" i="1"/>
  <c r="K2452" i="1"/>
  <c r="K2453" i="1"/>
  <c r="K2454" i="1"/>
  <c r="K2455" i="1"/>
  <c r="K2456" i="1"/>
  <c r="K2457" i="1"/>
  <c r="K2458" i="1"/>
  <c r="K2459" i="1"/>
  <c r="K2460" i="1"/>
  <c r="K2461" i="1"/>
  <c r="K2462" i="1"/>
  <c r="K2463" i="1"/>
  <c r="K2464" i="1"/>
  <c r="K2465" i="1"/>
  <c r="K2466" i="1"/>
  <c r="K2467" i="1"/>
  <c r="K2468" i="1"/>
  <c r="K2469" i="1"/>
  <c r="K2470" i="1"/>
  <c r="K2471" i="1"/>
  <c r="K2472" i="1"/>
  <c r="K2473" i="1"/>
  <c r="K2474" i="1"/>
  <c r="K2475" i="1"/>
  <c r="K2476" i="1"/>
  <c r="K2477" i="1"/>
  <c r="K2478" i="1"/>
  <c r="K2479" i="1"/>
  <c r="K2480" i="1"/>
  <c r="K2481" i="1"/>
  <c r="K2482" i="1"/>
  <c r="K2483" i="1"/>
  <c r="K2484" i="1"/>
  <c r="K2485" i="1"/>
  <c r="K2486" i="1"/>
  <c r="K2487" i="1"/>
  <c r="K2488" i="1"/>
  <c r="K2489" i="1"/>
  <c r="K2490" i="1"/>
  <c r="K2491" i="1"/>
  <c r="K2492" i="1"/>
  <c r="K2493" i="1"/>
  <c r="K2494" i="1"/>
  <c r="K2495" i="1"/>
  <c r="K2496" i="1"/>
  <c r="K2497" i="1"/>
  <c r="K2498" i="1"/>
  <c r="K2499" i="1"/>
  <c r="K2500" i="1"/>
  <c r="K2501" i="1"/>
  <c r="K2502" i="1"/>
  <c r="K2503" i="1"/>
  <c r="K2504" i="1"/>
  <c r="K2505" i="1"/>
  <c r="K2506" i="1"/>
  <c r="K2507" i="1"/>
  <c r="K2508" i="1"/>
  <c r="K2509" i="1"/>
  <c r="K2510" i="1"/>
  <c r="K2511" i="1"/>
  <c r="K2512" i="1"/>
  <c r="K2513" i="1"/>
  <c r="K2514" i="1"/>
  <c r="K2515" i="1"/>
  <c r="K2516" i="1"/>
  <c r="K2517" i="1"/>
  <c r="K2518" i="1"/>
  <c r="K2519" i="1"/>
  <c r="K2520" i="1"/>
  <c r="K2521" i="1"/>
  <c r="K2522" i="1"/>
  <c r="K2523" i="1"/>
  <c r="K2524" i="1"/>
  <c r="K2525" i="1"/>
  <c r="K2526" i="1"/>
  <c r="K2527" i="1"/>
  <c r="K2528" i="1"/>
  <c r="K2529" i="1"/>
  <c r="K2530" i="1"/>
  <c r="K2531" i="1"/>
  <c r="K2532" i="1"/>
  <c r="K2533" i="1"/>
  <c r="K2534" i="1"/>
  <c r="K2535" i="1"/>
  <c r="K2536" i="1"/>
  <c r="K2537" i="1"/>
  <c r="K2538" i="1"/>
  <c r="K2539" i="1"/>
  <c r="K2540" i="1"/>
  <c r="K2541" i="1"/>
  <c r="K2542" i="1"/>
  <c r="K2543" i="1"/>
  <c r="K2544" i="1"/>
  <c r="K2545" i="1"/>
  <c r="K2546" i="1"/>
  <c r="K2547" i="1"/>
  <c r="K2548" i="1"/>
  <c r="K2549" i="1"/>
  <c r="K2550" i="1"/>
  <c r="K2551" i="1"/>
  <c r="K2552" i="1"/>
  <c r="K2553" i="1"/>
  <c r="K2554" i="1"/>
  <c r="K2555" i="1"/>
  <c r="K2556" i="1"/>
  <c r="K2557" i="1"/>
  <c r="K2558" i="1"/>
  <c r="K2559" i="1"/>
  <c r="K2560" i="1"/>
  <c r="K2561" i="1"/>
  <c r="K2562" i="1"/>
  <c r="K2563" i="1"/>
  <c r="K2564" i="1"/>
  <c r="K2565" i="1"/>
  <c r="K2566" i="1"/>
  <c r="K2567" i="1"/>
  <c r="K2568" i="1"/>
  <c r="K2569" i="1"/>
  <c r="K2570" i="1"/>
  <c r="K2571" i="1"/>
  <c r="K2572" i="1"/>
  <c r="K2573" i="1"/>
  <c r="K2574" i="1"/>
  <c r="K2575" i="1"/>
  <c r="K2576" i="1"/>
  <c r="K2577" i="1"/>
  <c r="K2578" i="1"/>
  <c r="K2579" i="1"/>
  <c r="K2580" i="1"/>
  <c r="K2581" i="1"/>
  <c r="K2582" i="1"/>
  <c r="K2583" i="1"/>
  <c r="K2584" i="1"/>
  <c r="K2585" i="1"/>
  <c r="K2586" i="1"/>
  <c r="K2587" i="1"/>
  <c r="K2588" i="1"/>
  <c r="K2589" i="1"/>
  <c r="K2590" i="1"/>
  <c r="K2591" i="1"/>
  <c r="K2592" i="1"/>
  <c r="K2593" i="1"/>
  <c r="K2594" i="1"/>
  <c r="K2595" i="1"/>
  <c r="K2596" i="1"/>
  <c r="K2597" i="1"/>
  <c r="K2598" i="1"/>
  <c r="K2599" i="1"/>
  <c r="K2600" i="1"/>
  <c r="K2601" i="1"/>
  <c r="K2602" i="1"/>
  <c r="K2603" i="1"/>
  <c r="K2604" i="1"/>
  <c r="K2605" i="1"/>
  <c r="K2606" i="1"/>
  <c r="K2607" i="1"/>
  <c r="K2608" i="1"/>
  <c r="K2609" i="1"/>
  <c r="K2610" i="1"/>
  <c r="K2611" i="1"/>
  <c r="K2612" i="1"/>
  <c r="K2613" i="1"/>
  <c r="K2614" i="1"/>
  <c r="K2615" i="1"/>
  <c r="K2616" i="1"/>
  <c r="K2617" i="1"/>
  <c r="K2618" i="1"/>
  <c r="K2619" i="1"/>
  <c r="K2620" i="1"/>
  <c r="K2621" i="1"/>
  <c r="K2622" i="1"/>
  <c r="K2623" i="1"/>
  <c r="K2624" i="1"/>
  <c r="K2625" i="1"/>
  <c r="K2626" i="1"/>
  <c r="K2627" i="1"/>
  <c r="K2628" i="1"/>
  <c r="K2629" i="1"/>
  <c r="K2630" i="1"/>
  <c r="K2631" i="1"/>
  <c r="K2632" i="1"/>
  <c r="K2633" i="1"/>
  <c r="K2634" i="1"/>
  <c r="K2635" i="1"/>
  <c r="K2636" i="1"/>
  <c r="K2637" i="1"/>
  <c r="K2638" i="1"/>
  <c r="K2639" i="1"/>
  <c r="K2640" i="1"/>
  <c r="K2641" i="1"/>
  <c r="K2642" i="1"/>
  <c r="K2643" i="1"/>
  <c r="K2644" i="1"/>
  <c r="K2645" i="1"/>
  <c r="K2646" i="1"/>
  <c r="K2647" i="1"/>
  <c r="K2648" i="1"/>
  <c r="K2649" i="1"/>
  <c r="K2650" i="1"/>
  <c r="K2651" i="1"/>
  <c r="K2652" i="1"/>
  <c r="K2653" i="1"/>
  <c r="K2654" i="1"/>
  <c r="K2655" i="1"/>
  <c r="K2656" i="1"/>
  <c r="K2657" i="1"/>
  <c r="K2658" i="1"/>
  <c r="K2659" i="1"/>
  <c r="K2660" i="1"/>
  <c r="K2661" i="1"/>
  <c r="K2662" i="1"/>
  <c r="K2663" i="1"/>
  <c r="K2664" i="1"/>
  <c r="K2665" i="1"/>
  <c r="K2666" i="1"/>
  <c r="K2667" i="1"/>
  <c r="K2668" i="1"/>
  <c r="K2669" i="1"/>
  <c r="K2670" i="1"/>
  <c r="K2671" i="1"/>
  <c r="K2672" i="1"/>
  <c r="K2673" i="1"/>
  <c r="K2674" i="1"/>
  <c r="K2675" i="1"/>
  <c r="K2676" i="1"/>
  <c r="K2677" i="1"/>
  <c r="K2678" i="1"/>
  <c r="K2679" i="1"/>
  <c r="K2680" i="1"/>
  <c r="K2681" i="1"/>
  <c r="K2682" i="1"/>
  <c r="K2683" i="1"/>
  <c r="K2684" i="1"/>
  <c r="K2685" i="1"/>
  <c r="K2686" i="1"/>
  <c r="K2687" i="1"/>
  <c r="K2688" i="1"/>
  <c r="K2689" i="1"/>
  <c r="K2690" i="1"/>
  <c r="K2691" i="1"/>
  <c r="K2692" i="1"/>
  <c r="K2693" i="1"/>
  <c r="K2694" i="1"/>
  <c r="K2695" i="1"/>
  <c r="K2696" i="1"/>
  <c r="K2697" i="1"/>
  <c r="K2698" i="1"/>
  <c r="K2699" i="1"/>
  <c r="K2700" i="1"/>
  <c r="K2701" i="1"/>
  <c r="K2702" i="1"/>
  <c r="K2703" i="1"/>
  <c r="K2704" i="1"/>
  <c r="K2705" i="1"/>
  <c r="K2706" i="1"/>
  <c r="K2707" i="1"/>
  <c r="K2708" i="1"/>
  <c r="K2709" i="1"/>
  <c r="K2710" i="1"/>
  <c r="K2711" i="1"/>
  <c r="K2712" i="1"/>
  <c r="K2713" i="1"/>
  <c r="K2714" i="1"/>
  <c r="K2715" i="1"/>
  <c r="K2716" i="1"/>
  <c r="K2717" i="1"/>
  <c r="K2718" i="1"/>
  <c r="K2719" i="1"/>
  <c r="K2720" i="1"/>
  <c r="K2721" i="1"/>
  <c r="K2722" i="1"/>
  <c r="K2723" i="1"/>
  <c r="K2724" i="1"/>
  <c r="K2725" i="1"/>
  <c r="K2726" i="1"/>
  <c r="K2727" i="1"/>
  <c r="K2728" i="1"/>
  <c r="K2729" i="1"/>
  <c r="K2730" i="1"/>
  <c r="K2731" i="1"/>
  <c r="K2732" i="1"/>
  <c r="K2733" i="1"/>
  <c r="K2734" i="1"/>
  <c r="K2735" i="1"/>
  <c r="K2736" i="1"/>
  <c r="K2737" i="1"/>
  <c r="K2738" i="1"/>
  <c r="K2739" i="1"/>
  <c r="K2740" i="1"/>
  <c r="K2741" i="1"/>
  <c r="K2742" i="1"/>
  <c r="K2743" i="1"/>
  <c r="K2744" i="1"/>
  <c r="K2745" i="1"/>
  <c r="K2746" i="1"/>
  <c r="K2747" i="1"/>
  <c r="K2748" i="1"/>
  <c r="K2749" i="1"/>
  <c r="K2750" i="1"/>
  <c r="K2751" i="1"/>
  <c r="K2752" i="1"/>
  <c r="K2753" i="1"/>
  <c r="K2754" i="1"/>
  <c r="K2755" i="1"/>
  <c r="K2756" i="1"/>
  <c r="K2757" i="1"/>
  <c r="K2758" i="1"/>
  <c r="K2759" i="1"/>
  <c r="K2760" i="1"/>
  <c r="K2761" i="1"/>
  <c r="K2762" i="1"/>
  <c r="K2763" i="1"/>
  <c r="K2764" i="1"/>
  <c r="K2765" i="1"/>
  <c r="K2766" i="1"/>
  <c r="K2767" i="1"/>
  <c r="K2768" i="1"/>
  <c r="K2769" i="1"/>
  <c r="K2770" i="1"/>
  <c r="K2771" i="1"/>
  <c r="K2772" i="1"/>
  <c r="K2773" i="1"/>
  <c r="K2774" i="1"/>
  <c r="K2775" i="1"/>
  <c r="K2776" i="1"/>
  <c r="K2777" i="1"/>
  <c r="K2778" i="1"/>
  <c r="K2779" i="1"/>
  <c r="K2780" i="1"/>
  <c r="K2781" i="1"/>
  <c r="K2782" i="1"/>
  <c r="K2783" i="1"/>
  <c r="K2784" i="1"/>
  <c r="K2785" i="1"/>
  <c r="K2786" i="1"/>
  <c r="K2787" i="1"/>
  <c r="K2788" i="1"/>
  <c r="K2789" i="1"/>
  <c r="K2790" i="1"/>
  <c r="K2791" i="1"/>
  <c r="K2792" i="1"/>
  <c r="K2793" i="1"/>
  <c r="K2794" i="1"/>
  <c r="K2795" i="1"/>
  <c r="K2796" i="1"/>
  <c r="K2797" i="1"/>
  <c r="K2798" i="1"/>
  <c r="K2799" i="1"/>
  <c r="K2800" i="1"/>
  <c r="K2801" i="1"/>
  <c r="K2802" i="1"/>
  <c r="K2803" i="1"/>
  <c r="K2804" i="1"/>
  <c r="K2805" i="1"/>
  <c r="K2806" i="1"/>
  <c r="K2807" i="1"/>
  <c r="K2808" i="1"/>
  <c r="K2809" i="1"/>
  <c r="K2810" i="1"/>
  <c r="K2811" i="1"/>
  <c r="K2812" i="1"/>
  <c r="K2813" i="1"/>
  <c r="K2814" i="1"/>
  <c r="K2815" i="1"/>
  <c r="K2816" i="1"/>
  <c r="K2817" i="1"/>
  <c r="K2818" i="1"/>
  <c r="K2819" i="1"/>
  <c r="K2820" i="1"/>
  <c r="K2821" i="1"/>
  <c r="K2822" i="1"/>
  <c r="K2823" i="1"/>
  <c r="K2824" i="1"/>
  <c r="K2825" i="1"/>
  <c r="K2826" i="1"/>
  <c r="K2827" i="1"/>
  <c r="K2828" i="1"/>
  <c r="K2829" i="1"/>
  <c r="K2830" i="1"/>
  <c r="K2831" i="1"/>
  <c r="K2832" i="1"/>
  <c r="K2833" i="1"/>
  <c r="K2834" i="1"/>
  <c r="K2835" i="1"/>
  <c r="K2836" i="1"/>
  <c r="K2837" i="1"/>
  <c r="K2838" i="1"/>
  <c r="K2839" i="1"/>
  <c r="K2840" i="1"/>
  <c r="K2841" i="1"/>
  <c r="K2842" i="1"/>
  <c r="K2843" i="1"/>
  <c r="K2844" i="1"/>
  <c r="K2845" i="1"/>
  <c r="K2846" i="1"/>
  <c r="K2847" i="1"/>
  <c r="K2848" i="1"/>
  <c r="K2849" i="1"/>
  <c r="K2850" i="1"/>
  <c r="K2851" i="1"/>
  <c r="K2852" i="1"/>
  <c r="K2853" i="1"/>
  <c r="K2854" i="1"/>
  <c r="K2855" i="1"/>
  <c r="K2856" i="1"/>
  <c r="K2857" i="1"/>
  <c r="K2858" i="1"/>
  <c r="K2859" i="1"/>
  <c r="K2860" i="1"/>
  <c r="K2861" i="1"/>
  <c r="K2862" i="1"/>
  <c r="K2863" i="1"/>
  <c r="K2864" i="1"/>
  <c r="K2865" i="1"/>
  <c r="K2866" i="1"/>
  <c r="K2867" i="1"/>
  <c r="K2868" i="1"/>
  <c r="K2869" i="1"/>
  <c r="K2870" i="1"/>
  <c r="K2871" i="1"/>
  <c r="K2872" i="1"/>
  <c r="K2873" i="1"/>
  <c r="K2874" i="1"/>
  <c r="K2875" i="1"/>
  <c r="K2876" i="1"/>
  <c r="K2877" i="1"/>
  <c r="K2878" i="1"/>
  <c r="K2879" i="1"/>
  <c r="K2880" i="1"/>
  <c r="K2881" i="1"/>
  <c r="K2882" i="1"/>
  <c r="K2883" i="1"/>
  <c r="K2884" i="1"/>
  <c r="K2885" i="1"/>
  <c r="K2886" i="1"/>
  <c r="K2887" i="1"/>
  <c r="K2888" i="1"/>
  <c r="K2889" i="1"/>
  <c r="K2890" i="1"/>
  <c r="K2891" i="1"/>
  <c r="K2892" i="1"/>
  <c r="K2893" i="1"/>
  <c r="K2894" i="1"/>
  <c r="K2895" i="1"/>
  <c r="K2896" i="1"/>
  <c r="K2897" i="1"/>
  <c r="K2898" i="1"/>
  <c r="K2899" i="1"/>
  <c r="K2900" i="1"/>
  <c r="K2901" i="1"/>
  <c r="K2902" i="1"/>
  <c r="K2903" i="1"/>
  <c r="K2904" i="1"/>
  <c r="K2905" i="1"/>
  <c r="K2906" i="1"/>
  <c r="K2907" i="1"/>
  <c r="K2908" i="1"/>
  <c r="K2909" i="1"/>
  <c r="K2910" i="1"/>
  <c r="K2911" i="1"/>
  <c r="K2912" i="1"/>
  <c r="K2913" i="1"/>
  <c r="K2914" i="1"/>
  <c r="K2915" i="1"/>
  <c r="K2916" i="1"/>
  <c r="K2917" i="1"/>
  <c r="K2918" i="1"/>
  <c r="K2919" i="1"/>
  <c r="K2920" i="1"/>
  <c r="K2921" i="1"/>
  <c r="K2922" i="1"/>
  <c r="K2923" i="1"/>
  <c r="K2924" i="1"/>
  <c r="K2925" i="1"/>
  <c r="K2926" i="1"/>
  <c r="K2927" i="1"/>
  <c r="K2928" i="1"/>
  <c r="K2929" i="1"/>
  <c r="K2930" i="1"/>
  <c r="K2931" i="1"/>
  <c r="K2932" i="1"/>
  <c r="K2933" i="1"/>
  <c r="K2934" i="1"/>
  <c r="K2935" i="1"/>
  <c r="K2936" i="1"/>
  <c r="K2937" i="1"/>
  <c r="K2938" i="1"/>
  <c r="K2939" i="1"/>
  <c r="K2940" i="1"/>
  <c r="K2941" i="1"/>
  <c r="K2942" i="1"/>
  <c r="K2943" i="1"/>
  <c r="K2944" i="1"/>
  <c r="K2945" i="1"/>
  <c r="K2946" i="1"/>
  <c r="K2947" i="1"/>
  <c r="K2948" i="1"/>
  <c r="K2949" i="1"/>
  <c r="K2950" i="1"/>
  <c r="K2951" i="1"/>
  <c r="K2952" i="1"/>
  <c r="K2953" i="1"/>
  <c r="K2954" i="1"/>
  <c r="K2955" i="1"/>
  <c r="K2956" i="1"/>
  <c r="K2957" i="1"/>
  <c r="K2958" i="1"/>
  <c r="K2959" i="1"/>
  <c r="K2960" i="1"/>
  <c r="K2961" i="1"/>
  <c r="K2962" i="1"/>
  <c r="K2963" i="1"/>
  <c r="K2964" i="1"/>
  <c r="K2965" i="1"/>
  <c r="K2966" i="1"/>
  <c r="K2967" i="1"/>
  <c r="K2968" i="1"/>
  <c r="K2969" i="1"/>
  <c r="K2970" i="1"/>
  <c r="K2971" i="1"/>
  <c r="K2972" i="1"/>
  <c r="K2973" i="1"/>
  <c r="K2974" i="1"/>
  <c r="K2975" i="1"/>
  <c r="K2976" i="1"/>
  <c r="K2977" i="1"/>
  <c r="K2978" i="1"/>
  <c r="K2979" i="1"/>
  <c r="K2980" i="1"/>
  <c r="K2981" i="1"/>
  <c r="K2982" i="1"/>
  <c r="K2983" i="1"/>
  <c r="K2984" i="1"/>
  <c r="K2985" i="1"/>
  <c r="K2986" i="1"/>
  <c r="K2987" i="1"/>
  <c r="K2988" i="1"/>
  <c r="K2989" i="1"/>
  <c r="K2990" i="1"/>
  <c r="K2991" i="1"/>
  <c r="K2992" i="1"/>
  <c r="K2993" i="1"/>
  <c r="K2994" i="1"/>
  <c r="K2995" i="1"/>
  <c r="K2996" i="1"/>
  <c r="K2997" i="1"/>
  <c r="K2998" i="1"/>
  <c r="K2999" i="1"/>
  <c r="K3000" i="1"/>
  <c r="K3001" i="1"/>
  <c r="K3002" i="1"/>
  <c r="K3003" i="1"/>
  <c r="K3004" i="1"/>
  <c r="K3005" i="1"/>
  <c r="K3006" i="1"/>
  <c r="K3007" i="1"/>
  <c r="K3008" i="1"/>
  <c r="K3009" i="1"/>
  <c r="K3010" i="1"/>
  <c r="K3011" i="1"/>
  <c r="K3012" i="1"/>
  <c r="K3013" i="1"/>
  <c r="K3014" i="1"/>
  <c r="K3015" i="1"/>
  <c r="K3016" i="1"/>
  <c r="K3017" i="1"/>
  <c r="K3018" i="1"/>
  <c r="K3019" i="1"/>
  <c r="K3020" i="1"/>
  <c r="K3021" i="1"/>
  <c r="K3022" i="1"/>
  <c r="K3023" i="1"/>
  <c r="K3024" i="1"/>
  <c r="K3025" i="1"/>
  <c r="K3026" i="1"/>
  <c r="K3027" i="1"/>
  <c r="K3028" i="1"/>
  <c r="K3029" i="1"/>
  <c r="K3030" i="1"/>
  <c r="K3031" i="1"/>
  <c r="K3032" i="1"/>
  <c r="K3033" i="1"/>
  <c r="K3034" i="1"/>
  <c r="K3035" i="1"/>
  <c r="K3036" i="1"/>
  <c r="K3037" i="1"/>
  <c r="K3038" i="1"/>
  <c r="K3039" i="1"/>
  <c r="K3040" i="1"/>
  <c r="K3041" i="1"/>
  <c r="K3042" i="1"/>
  <c r="K3043" i="1"/>
  <c r="K3044" i="1"/>
  <c r="K3045" i="1"/>
  <c r="K3046" i="1"/>
  <c r="K3047" i="1"/>
  <c r="K3048" i="1"/>
  <c r="K3049" i="1"/>
  <c r="K3050" i="1"/>
  <c r="K3051" i="1"/>
  <c r="K3052" i="1"/>
  <c r="K3053" i="1"/>
  <c r="K3054" i="1"/>
  <c r="K3055" i="1"/>
  <c r="K3056" i="1"/>
  <c r="K3057" i="1"/>
  <c r="K3058" i="1"/>
  <c r="K3059" i="1"/>
  <c r="K3060" i="1"/>
  <c r="K3061" i="1"/>
  <c r="K3062" i="1"/>
  <c r="K3063" i="1"/>
  <c r="K3064" i="1"/>
  <c r="K3065" i="1"/>
  <c r="K3066" i="1"/>
  <c r="K3067" i="1"/>
  <c r="K3068" i="1"/>
  <c r="K3069" i="1"/>
  <c r="K3070" i="1"/>
  <c r="K3071" i="1"/>
  <c r="K3072" i="1"/>
  <c r="K3073" i="1"/>
  <c r="K3074" i="1"/>
  <c r="K3075" i="1"/>
  <c r="K3076" i="1"/>
  <c r="K3077" i="1"/>
  <c r="K3078" i="1"/>
  <c r="K3079" i="1"/>
  <c r="K3080" i="1"/>
  <c r="K3081" i="1"/>
  <c r="K3082" i="1"/>
  <c r="K3083" i="1"/>
  <c r="K3084" i="1"/>
  <c r="K3085" i="1"/>
  <c r="K3086" i="1"/>
  <c r="K3087" i="1"/>
  <c r="K3088" i="1"/>
  <c r="K3089" i="1"/>
  <c r="K3090" i="1"/>
  <c r="K3091" i="1"/>
  <c r="K3092" i="1"/>
  <c r="K3093" i="1"/>
  <c r="K3094" i="1"/>
  <c r="K3095" i="1"/>
  <c r="K3096" i="1"/>
  <c r="K3097" i="1"/>
  <c r="K3098" i="1"/>
  <c r="K3099" i="1"/>
  <c r="K3100" i="1"/>
  <c r="K3101" i="1"/>
  <c r="K3102" i="1"/>
  <c r="K3103" i="1"/>
  <c r="K3104" i="1"/>
  <c r="K3105" i="1"/>
  <c r="K3106" i="1"/>
  <c r="K3107" i="1"/>
  <c r="K3108" i="1"/>
  <c r="K3109" i="1"/>
  <c r="K3110" i="1"/>
  <c r="K3111" i="1"/>
  <c r="K3112" i="1"/>
  <c r="K3113" i="1"/>
  <c r="K3114" i="1"/>
  <c r="K3115" i="1"/>
  <c r="K3116" i="1"/>
  <c r="K3117" i="1"/>
  <c r="K3118" i="1"/>
  <c r="K3119" i="1"/>
  <c r="K3120" i="1"/>
  <c r="K3121" i="1"/>
  <c r="K3122" i="1"/>
  <c r="K3123" i="1"/>
  <c r="K3124" i="1"/>
  <c r="K3125" i="1"/>
  <c r="K3126" i="1"/>
  <c r="K3127" i="1"/>
  <c r="K3128" i="1"/>
  <c r="K3129" i="1"/>
  <c r="K3130" i="1"/>
  <c r="K3131" i="1"/>
  <c r="K3132" i="1"/>
  <c r="K3133" i="1"/>
  <c r="K3134" i="1"/>
  <c r="K3135" i="1"/>
  <c r="K3136" i="1"/>
  <c r="K3137" i="1"/>
  <c r="K3138" i="1"/>
  <c r="K3139" i="1"/>
  <c r="K3140" i="1"/>
  <c r="K3141" i="1"/>
  <c r="K3142" i="1"/>
  <c r="K3143" i="1"/>
  <c r="K3144" i="1"/>
  <c r="K3145" i="1"/>
  <c r="K3146" i="1"/>
  <c r="K3147" i="1"/>
  <c r="K3148" i="1"/>
  <c r="K3149" i="1"/>
  <c r="K3150" i="1"/>
  <c r="K3151" i="1"/>
  <c r="K3152" i="1"/>
  <c r="K3153" i="1"/>
  <c r="K3154" i="1"/>
  <c r="K3155" i="1"/>
  <c r="K3156" i="1"/>
  <c r="K3157" i="1"/>
  <c r="K3158" i="1"/>
  <c r="K3159" i="1"/>
  <c r="K3160" i="1"/>
  <c r="K3161" i="1"/>
  <c r="K3162" i="1"/>
  <c r="K3163" i="1"/>
  <c r="K3164" i="1"/>
  <c r="K3165" i="1"/>
  <c r="K3166" i="1"/>
  <c r="K3167" i="1"/>
  <c r="K3168" i="1"/>
  <c r="K3169" i="1"/>
  <c r="K3170" i="1"/>
  <c r="K3171" i="1"/>
  <c r="K3172" i="1"/>
  <c r="K3173" i="1"/>
  <c r="K3174" i="1"/>
  <c r="K3175" i="1"/>
  <c r="K3176" i="1"/>
  <c r="K3177" i="1"/>
  <c r="K3178" i="1"/>
  <c r="K3179" i="1"/>
  <c r="K3180" i="1"/>
  <c r="K3181" i="1"/>
  <c r="K3182" i="1"/>
  <c r="K3183" i="1"/>
  <c r="K3184" i="1"/>
  <c r="K3185" i="1"/>
  <c r="K3186" i="1"/>
  <c r="K3187" i="1"/>
  <c r="K3188" i="1"/>
  <c r="K3189" i="1"/>
  <c r="K3190" i="1"/>
  <c r="K3191" i="1"/>
  <c r="K3192" i="1"/>
  <c r="K3193" i="1"/>
  <c r="K3194" i="1"/>
  <c r="K3195" i="1"/>
  <c r="K3196" i="1"/>
  <c r="K3197" i="1"/>
  <c r="K3198" i="1"/>
  <c r="K3199" i="1"/>
  <c r="K3200" i="1"/>
  <c r="K3201" i="1"/>
  <c r="K3202" i="1"/>
  <c r="K3203" i="1"/>
  <c r="K3204" i="1"/>
  <c r="K3205" i="1"/>
  <c r="K3206" i="1"/>
  <c r="K3207" i="1"/>
  <c r="K3208" i="1"/>
  <c r="K3209" i="1"/>
  <c r="K3210" i="1"/>
  <c r="K3211" i="1"/>
  <c r="K3212" i="1"/>
  <c r="K3213" i="1"/>
  <c r="K3214" i="1"/>
  <c r="K3215" i="1"/>
  <c r="K3216" i="1"/>
  <c r="K3217" i="1"/>
  <c r="K3218" i="1"/>
  <c r="K3219" i="1"/>
  <c r="K3220" i="1"/>
  <c r="K3221" i="1"/>
  <c r="K3222" i="1"/>
  <c r="K3223" i="1"/>
  <c r="K3224" i="1"/>
  <c r="K3225" i="1"/>
  <c r="K3226" i="1"/>
  <c r="K3227" i="1"/>
  <c r="K3228" i="1"/>
  <c r="K3229" i="1"/>
  <c r="K3230" i="1"/>
  <c r="K3231" i="1"/>
  <c r="K3232" i="1"/>
  <c r="K3233" i="1"/>
  <c r="K3234" i="1"/>
  <c r="K3235" i="1"/>
  <c r="K3236" i="1"/>
  <c r="K3237" i="1"/>
  <c r="K3238" i="1"/>
  <c r="K3239" i="1"/>
  <c r="K3240" i="1"/>
  <c r="K3241" i="1"/>
  <c r="K3242" i="1"/>
  <c r="K3243" i="1"/>
  <c r="K3244" i="1"/>
  <c r="K3245" i="1"/>
  <c r="K3246" i="1"/>
  <c r="K3247" i="1"/>
  <c r="K3248" i="1"/>
  <c r="K3249" i="1"/>
  <c r="K3250" i="1"/>
  <c r="K3251" i="1"/>
  <c r="K3252" i="1"/>
  <c r="K3253" i="1"/>
  <c r="K3254" i="1"/>
  <c r="K3255" i="1"/>
  <c r="K3256" i="1"/>
  <c r="K3257" i="1"/>
  <c r="K3258" i="1"/>
  <c r="K3259" i="1"/>
  <c r="K3260" i="1"/>
  <c r="K3261" i="1"/>
  <c r="K3262" i="1"/>
  <c r="K3263" i="1"/>
  <c r="K3264" i="1"/>
  <c r="K3265" i="1"/>
  <c r="K3266" i="1"/>
  <c r="K3267" i="1"/>
  <c r="K3268" i="1"/>
  <c r="K3269" i="1"/>
  <c r="K3270" i="1"/>
  <c r="K3271" i="1"/>
  <c r="K3272" i="1"/>
  <c r="K3273" i="1"/>
  <c r="K3274" i="1"/>
  <c r="K3275" i="1"/>
  <c r="K3276" i="1"/>
  <c r="K3277" i="1"/>
  <c r="K3278" i="1"/>
  <c r="K3279" i="1"/>
  <c r="K3280" i="1"/>
  <c r="K3281" i="1"/>
  <c r="K3282" i="1"/>
  <c r="K3283" i="1"/>
  <c r="K3284" i="1"/>
  <c r="K3285" i="1"/>
  <c r="K3286" i="1"/>
  <c r="K3287" i="1"/>
  <c r="K3288" i="1"/>
  <c r="K3289" i="1"/>
  <c r="K3290" i="1"/>
  <c r="K3291" i="1"/>
  <c r="K3292" i="1"/>
  <c r="K3293" i="1"/>
  <c r="K3294" i="1"/>
  <c r="K3295" i="1"/>
  <c r="K3296" i="1"/>
  <c r="K3297" i="1"/>
  <c r="K3298" i="1"/>
  <c r="K3299" i="1"/>
  <c r="K3300" i="1"/>
  <c r="K3301" i="1"/>
  <c r="K3302" i="1"/>
  <c r="K3303" i="1"/>
  <c r="K3304" i="1"/>
  <c r="K3305" i="1"/>
  <c r="K3306" i="1"/>
  <c r="K3307" i="1"/>
  <c r="K3308" i="1"/>
  <c r="K3309" i="1"/>
  <c r="K3310" i="1"/>
  <c r="K3311" i="1"/>
  <c r="K3312" i="1"/>
  <c r="K3313" i="1"/>
  <c r="K3314" i="1"/>
  <c r="K3315" i="1"/>
  <c r="K3316" i="1"/>
  <c r="K3317" i="1"/>
  <c r="K3318" i="1"/>
  <c r="K3319" i="1"/>
  <c r="K3320" i="1"/>
  <c r="K3321" i="1"/>
  <c r="K3322" i="1"/>
  <c r="K3323" i="1"/>
  <c r="K3324" i="1"/>
  <c r="K3325" i="1"/>
  <c r="K3326" i="1"/>
  <c r="K3327" i="1"/>
  <c r="K3328" i="1"/>
  <c r="K3329" i="1"/>
  <c r="K3330" i="1"/>
  <c r="K3331" i="1"/>
  <c r="K3332" i="1"/>
  <c r="K3333" i="1"/>
  <c r="K3334" i="1"/>
  <c r="K3335" i="1"/>
  <c r="K3336" i="1"/>
  <c r="K3337" i="1"/>
  <c r="K3338" i="1"/>
  <c r="K3339" i="1"/>
  <c r="K3340" i="1"/>
  <c r="K3341" i="1"/>
  <c r="K3342" i="1"/>
  <c r="K3343" i="1"/>
  <c r="K3344" i="1"/>
  <c r="K3345" i="1"/>
  <c r="K3346" i="1"/>
  <c r="K3347" i="1"/>
  <c r="K3348" i="1"/>
  <c r="K3349" i="1"/>
  <c r="K3350" i="1"/>
  <c r="K3351" i="1"/>
  <c r="K3352" i="1"/>
  <c r="K3353" i="1"/>
  <c r="K3354" i="1"/>
  <c r="K3355" i="1"/>
  <c r="K3356" i="1"/>
  <c r="K3357" i="1"/>
  <c r="K3358" i="1"/>
  <c r="K3359" i="1"/>
  <c r="K3360" i="1"/>
  <c r="K3361" i="1"/>
  <c r="K3362" i="1"/>
  <c r="K3363" i="1"/>
  <c r="K3364" i="1"/>
  <c r="K3365" i="1"/>
  <c r="K3366" i="1"/>
  <c r="K3367" i="1"/>
  <c r="K3368" i="1"/>
  <c r="K3369" i="1"/>
  <c r="K3370" i="1"/>
  <c r="K3371" i="1"/>
  <c r="K3372" i="1"/>
  <c r="K3373" i="1"/>
  <c r="K3374" i="1"/>
  <c r="K3375" i="1"/>
  <c r="K3376" i="1"/>
  <c r="K3377" i="1"/>
  <c r="K3378" i="1"/>
  <c r="K3379" i="1"/>
  <c r="K3380" i="1"/>
  <c r="K3381" i="1"/>
  <c r="K3382" i="1"/>
  <c r="K3383" i="1"/>
  <c r="K3384" i="1"/>
  <c r="K3385" i="1"/>
  <c r="K3386" i="1"/>
  <c r="K3387" i="1"/>
  <c r="K3388" i="1"/>
  <c r="K3389" i="1"/>
  <c r="K3390" i="1"/>
  <c r="K3391" i="1"/>
  <c r="K3392" i="1"/>
  <c r="K3393" i="1"/>
  <c r="K3394" i="1"/>
  <c r="K3395" i="1"/>
  <c r="K3396" i="1"/>
  <c r="K3397" i="1"/>
  <c r="K3398" i="1"/>
  <c r="K3399" i="1"/>
  <c r="K3400" i="1"/>
  <c r="K3401" i="1"/>
  <c r="K3402" i="1"/>
  <c r="K3403" i="1"/>
  <c r="K3404" i="1"/>
  <c r="K3405" i="1"/>
  <c r="K3406" i="1"/>
  <c r="K3407" i="1"/>
  <c r="K3408" i="1"/>
  <c r="K3409" i="1"/>
  <c r="K3410" i="1"/>
  <c r="K3411" i="1"/>
  <c r="K3412" i="1"/>
  <c r="K3413" i="1"/>
  <c r="K3414" i="1"/>
  <c r="K3415" i="1"/>
  <c r="K3416" i="1"/>
  <c r="K3417" i="1"/>
  <c r="K3418" i="1"/>
  <c r="K3419" i="1"/>
  <c r="K3420" i="1"/>
  <c r="K3421" i="1"/>
  <c r="K3422" i="1"/>
  <c r="K3423" i="1"/>
  <c r="K3424" i="1"/>
  <c r="K3425" i="1"/>
  <c r="K3426" i="1"/>
  <c r="K3427" i="1"/>
  <c r="K3428" i="1"/>
  <c r="K3429" i="1"/>
  <c r="K3430" i="1"/>
  <c r="K3431" i="1"/>
  <c r="K3432" i="1"/>
  <c r="K3433" i="1"/>
  <c r="K3434" i="1"/>
  <c r="K3435" i="1"/>
  <c r="K3436" i="1"/>
  <c r="K3437" i="1"/>
  <c r="K3438" i="1"/>
  <c r="K3439" i="1"/>
  <c r="K3440" i="1"/>
  <c r="K3441" i="1"/>
  <c r="K3442" i="1"/>
  <c r="K3443" i="1"/>
  <c r="K3444" i="1"/>
  <c r="K3445" i="1"/>
  <c r="K3446" i="1"/>
  <c r="K3447" i="1"/>
  <c r="K3448" i="1"/>
  <c r="K3449" i="1"/>
  <c r="K3450" i="1"/>
  <c r="K3451" i="1"/>
  <c r="K3452" i="1"/>
  <c r="K3453" i="1"/>
  <c r="K3454" i="1"/>
  <c r="K3455" i="1"/>
  <c r="K3456" i="1"/>
  <c r="K3457" i="1"/>
  <c r="K3458" i="1"/>
  <c r="K3459" i="1"/>
  <c r="K3460" i="1"/>
  <c r="K3461" i="1"/>
  <c r="K3462" i="1"/>
  <c r="K3463" i="1"/>
  <c r="K3464" i="1"/>
  <c r="K3465" i="1"/>
  <c r="K3466" i="1"/>
  <c r="K3467" i="1"/>
  <c r="K3468" i="1"/>
  <c r="K3469" i="1"/>
  <c r="K3470" i="1"/>
  <c r="K3471" i="1"/>
  <c r="K3472" i="1"/>
  <c r="K3473" i="1"/>
  <c r="K3474" i="1"/>
  <c r="K3475" i="1"/>
  <c r="K3476" i="1"/>
  <c r="K3477" i="1"/>
  <c r="K3478" i="1"/>
  <c r="K3479" i="1"/>
  <c r="K3480" i="1"/>
  <c r="K3481" i="1"/>
  <c r="K3482" i="1"/>
  <c r="K3483" i="1"/>
  <c r="K3484" i="1"/>
  <c r="K3485" i="1"/>
  <c r="K3486" i="1"/>
  <c r="K3487" i="1"/>
  <c r="K3488" i="1"/>
  <c r="K3489" i="1"/>
  <c r="K3490" i="1"/>
  <c r="K3491" i="1"/>
  <c r="K3492" i="1"/>
  <c r="K3493" i="1"/>
  <c r="K3494" i="1"/>
  <c r="K3495" i="1"/>
  <c r="K3496" i="1"/>
  <c r="K3497" i="1"/>
  <c r="K3498" i="1"/>
  <c r="K3499" i="1"/>
  <c r="K3500" i="1"/>
  <c r="K3501" i="1"/>
  <c r="K3502" i="1"/>
  <c r="K3503" i="1"/>
  <c r="K3504" i="1"/>
  <c r="K3505" i="1"/>
  <c r="K3506" i="1"/>
  <c r="K3507" i="1"/>
  <c r="K3508" i="1"/>
  <c r="K3509" i="1"/>
  <c r="K3510" i="1"/>
  <c r="K3511" i="1"/>
  <c r="K3512" i="1"/>
  <c r="K3513" i="1"/>
  <c r="K3514" i="1"/>
  <c r="K3515" i="1"/>
  <c r="K3516" i="1"/>
  <c r="K3517" i="1"/>
  <c r="K3518" i="1"/>
  <c r="K3519" i="1"/>
  <c r="K3520" i="1"/>
  <c r="K3521" i="1"/>
  <c r="K3522" i="1"/>
  <c r="K3523" i="1"/>
  <c r="K3524" i="1"/>
  <c r="K3525" i="1"/>
  <c r="K3526" i="1"/>
  <c r="K3527" i="1"/>
  <c r="K3528" i="1"/>
  <c r="K3529" i="1"/>
  <c r="K3530" i="1"/>
  <c r="K3531" i="1"/>
  <c r="K3532" i="1"/>
  <c r="K3533" i="1"/>
  <c r="K3534" i="1"/>
  <c r="K3535" i="1"/>
  <c r="K3536" i="1"/>
  <c r="K3537" i="1"/>
  <c r="K3538" i="1"/>
  <c r="K3539" i="1"/>
  <c r="K3540" i="1"/>
  <c r="K3541" i="1"/>
  <c r="K3542" i="1"/>
  <c r="K3543" i="1"/>
  <c r="K3544" i="1"/>
  <c r="K3545" i="1"/>
  <c r="K3546" i="1"/>
  <c r="K3547" i="1"/>
  <c r="K3548" i="1"/>
  <c r="K3549" i="1"/>
  <c r="K3550" i="1"/>
  <c r="K3551" i="1"/>
  <c r="K3552" i="1"/>
  <c r="K3553" i="1"/>
  <c r="K3554" i="1"/>
  <c r="K3555" i="1"/>
  <c r="K3556" i="1"/>
  <c r="K3557" i="1"/>
  <c r="K3558" i="1"/>
  <c r="K3559" i="1"/>
  <c r="K3560" i="1"/>
  <c r="K3561" i="1"/>
  <c r="K3562" i="1"/>
  <c r="K3563" i="1"/>
  <c r="K3564" i="1"/>
  <c r="K3565" i="1"/>
  <c r="K3566" i="1"/>
  <c r="K3567" i="1"/>
  <c r="K3568" i="1"/>
  <c r="K3569" i="1"/>
  <c r="K3570" i="1"/>
  <c r="K3571" i="1"/>
  <c r="K3572" i="1"/>
  <c r="K3573" i="1"/>
  <c r="K3574" i="1"/>
  <c r="K3575" i="1"/>
  <c r="K3576" i="1"/>
  <c r="K3577" i="1"/>
  <c r="K3578" i="1"/>
  <c r="K3579" i="1"/>
  <c r="K3580" i="1"/>
  <c r="K3581" i="1"/>
  <c r="K3582" i="1"/>
  <c r="K3583" i="1"/>
  <c r="K3584" i="1"/>
  <c r="K3585" i="1"/>
  <c r="K3586" i="1"/>
  <c r="K3587" i="1"/>
  <c r="K3588" i="1"/>
  <c r="K3589" i="1"/>
  <c r="K3590" i="1"/>
  <c r="K3591" i="1"/>
  <c r="K3592" i="1"/>
  <c r="K3593" i="1"/>
  <c r="K3594" i="1"/>
  <c r="K3595" i="1"/>
  <c r="K3596" i="1"/>
  <c r="K3597" i="1"/>
  <c r="K3598" i="1"/>
  <c r="K3599" i="1"/>
  <c r="K3600" i="1"/>
  <c r="K3601" i="1"/>
  <c r="K3602" i="1"/>
  <c r="K3603" i="1"/>
  <c r="K3604" i="1"/>
  <c r="K3605" i="1"/>
  <c r="K3606" i="1"/>
  <c r="K3607" i="1"/>
  <c r="K3608" i="1"/>
  <c r="K3609" i="1"/>
  <c r="K3610" i="1"/>
  <c r="K3611" i="1"/>
  <c r="K3612" i="1"/>
  <c r="K3613" i="1"/>
  <c r="K3614" i="1"/>
  <c r="K3615" i="1"/>
  <c r="K3616" i="1"/>
  <c r="K3617" i="1"/>
  <c r="K3618" i="1"/>
  <c r="K3619" i="1"/>
  <c r="K3620" i="1"/>
  <c r="K3621" i="1"/>
  <c r="K3622" i="1"/>
  <c r="K3623" i="1"/>
  <c r="K3624" i="1"/>
  <c r="K3625" i="1"/>
  <c r="K3626" i="1"/>
  <c r="K3627" i="1"/>
  <c r="K3628" i="1"/>
  <c r="K3629" i="1"/>
  <c r="K3630" i="1"/>
  <c r="K3631" i="1"/>
  <c r="K3632" i="1"/>
  <c r="K3633" i="1"/>
  <c r="K3634" i="1"/>
  <c r="K3635" i="1"/>
  <c r="K3636" i="1"/>
  <c r="K3637" i="1"/>
  <c r="K3638" i="1"/>
  <c r="K3639" i="1"/>
  <c r="K3640" i="1"/>
  <c r="K3641" i="1"/>
  <c r="K3642" i="1"/>
  <c r="K3643" i="1"/>
  <c r="K3644" i="1"/>
  <c r="K3645" i="1"/>
  <c r="K3646" i="1"/>
  <c r="K3647" i="1"/>
  <c r="K3648" i="1"/>
  <c r="K3649" i="1"/>
  <c r="K3650" i="1"/>
  <c r="K3651" i="1"/>
  <c r="K3652" i="1"/>
  <c r="K3653" i="1"/>
  <c r="K3654" i="1"/>
  <c r="K3655" i="1"/>
  <c r="K3656" i="1"/>
  <c r="K3657" i="1"/>
  <c r="K3658" i="1"/>
  <c r="K3659" i="1"/>
  <c r="K3660" i="1"/>
  <c r="K3661" i="1"/>
  <c r="K3662" i="1"/>
  <c r="K3663" i="1"/>
  <c r="K3664" i="1"/>
  <c r="K3665" i="1"/>
  <c r="K3666" i="1"/>
  <c r="K3667" i="1"/>
  <c r="K3668" i="1"/>
  <c r="K3669" i="1"/>
  <c r="K3670" i="1"/>
  <c r="K3671" i="1"/>
  <c r="K3672" i="1"/>
  <c r="K3673" i="1"/>
  <c r="K3674" i="1"/>
  <c r="K3675" i="1"/>
  <c r="K3676" i="1"/>
  <c r="K3677" i="1"/>
  <c r="K3678" i="1"/>
  <c r="K3679" i="1"/>
  <c r="K3680" i="1"/>
  <c r="K3681" i="1"/>
  <c r="K3682" i="1"/>
  <c r="K3683" i="1"/>
  <c r="K3684" i="1"/>
  <c r="K3685" i="1"/>
  <c r="K3686" i="1"/>
  <c r="K3687" i="1"/>
  <c r="K3688" i="1"/>
  <c r="K3689" i="1"/>
  <c r="K3690" i="1"/>
  <c r="K3691" i="1"/>
  <c r="K3692" i="1"/>
  <c r="K3693" i="1"/>
  <c r="K3694" i="1"/>
  <c r="K3695" i="1"/>
  <c r="K3696" i="1"/>
  <c r="K3697" i="1"/>
  <c r="K3698" i="1"/>
  <c r="K3699" i="1"/>
  <c r="K3700" i="1"/>
  <c r="K3701" i="1"/>
  <c r="K3702" i="1"/>
  <c r="K3703" i="1"/>
  <c r="K3704" i="1"/>
  <c r="K3705" i="1"/>
  <c r="K3706" i="1"/>
  <c r="K3707" i="1"/>
  <c r="K3708" i="1"/>
  <c r="K3709" i="1"/>
  <c r="K3710" i="1"/>
  <c r="K3711" i="1"/>
  <c r="K3712" i="1"/>
  <c r="K3713" i="1"/>
  <c r="K3714" i="1"/>
  <c r="K3715" i="1"/>
  <c r="K3716" i="1"/>
  <c r="K3717" i="1"/>
  <c r="K3718" i="1"/>
  <c r="K3719" i="1"/>
  <c r="K3720" i="1"/>
  <c r="K3721" i="1"/>
  <c r="K3722" i="1"/>
  <c r="K3723" i="1"/>
  <c r="K3724" i="1"/>
  <c r="K3725" i="1"/>
  <c r="K3726" i="1"/>
  <c r="K3727" i="1"/>
  <c r="K3728" i="1"/>
  <c r="K3729" i="1"/>
  <c r="K3730" i="1"/>
  <c r="K3731" i="1"/>
  <c r="K3732" i="1"/>
  <c r="K3733" i="1"/>
  <c r="K3734" i="1"/>
  <c r="K3735" i="1"/>
  <c r="K3736" i="1"/>
  <c r="K3737" i="1"/>
  <c r="K3738" i="1"/>
  <c r="K3739" i="1"/>
  <c r="K3740" i="1"/>
  <c r="K3741" i="1"/>
  <c r="K3742" i="1"/>
  <c r="K3743" i="1"/>
  <c r="K3744" i="1"/>
  <c r="K3745" i="1"/>
  <c r="K3746" i="1"/>
  <c r="K3747" i="1"/>
  <c r="K3748" i="1"/>
  <c r="K3749" i="1"/>
  <c r="K3750" i="1"/>
  <c r="K3751" i="1"/>
  <c r="K3752" i="1"/>
  <c r="K3753" i="1"/>
  <c r="K3754" i="1"/>
  <c r="K3755" i="1"/>
  <c r="K3756" i="1"/>
  <c r="K3757" i="1"/>
  <c r="K3758" i="1"/>
  <c r="K3759" i="1"/>
  <c r="K3760" i="1"/>
  <c r="K3761" i="1"/>
  <c r="K3762" i="1"/>
  <c r="K3763" i="1"/>
  <c r="K3764" i="1"/>
  <c r="K3765" i="1"/>
  <c r="K3766" i="1"/>
  <c r="K3767" i="1"/>
  <c r="K3768" i="1"/>
  <c r="K3769" i="1"/>
  <c r="K3770" i="1"/>
  <c r="K3771" i="1"/>
  <c r="K3772" i="1"/>
  <c r="K3773" i="1"/>
  <c r="K3774" i="1"/>
  <c r="K3775" i="1"/>
  <c r="K3776" i="1"/>
  <c r="K3777" i="1"/>
  <c r="K3778" i="1"/>
  <c r="K3779" i="1"/>
  <c r="K3780" i="1"/>
  <c r="K3781" i="1"/>
  <c r="K3782" i="1"/>
  <c r="K3783" i="1"/>
  <c r="K3784" i="1"/>
  <c r="K3785" i="1"/>
  <c r="K3786" i="1"/>
  <c r="K3787" i="1"/>
  <c r="K3788" i="1"/>
  <c r="K3789" i="1"/>
  <c r="K3790" i="1"/>
  <c r="K3791" i="1"/>
  <c r="K3792" i="1"/>
  <c r="K3793" i="1"/>
  <c r="K3794" i="1"/>
  <c r="K3795" i="1"/>
  <c r="K3796" i="1"/>
  <c r="K3797" i="1"/>
  <c r="K3798" i="1"/>
  <c r="K3799" i="1"/>
  <c r="K3800" i="1"/>
  <c r="K3801" i="1"/>
  <c r="K3802" i="1"/>
  <c r="K3803" i="1"/>
  <c r="K3804" i="1"/>
  <c r="K3805" i="1"/>
  <c r="K3806" i="1"/>
  <c r="K3807" i="1"/>
  <c r="K3808" i="1"/>
  <c r="K3809" i="1"/>
  <c r="K3810" i="1"/>
  <c r="K3811" i="1"/>
  <c r="K3812" i="1"/>
  <c r="K3813" i="1"/>
  <c r="K3814" i="1"/>
  <c r="K3815" i="1"/>
  <c r="K3816" i="1"/>
  <c r="K3817" i="1"/>
  <c r="K3818" i="1"/>
  <c r="K3819" i="1"/>
  <c r="K3820" i="1"/>
  <c r="K3821" i="1"/>
  <c r="K3822" i="1"/>
  <c r="K3823" i="1"/>
  <c r="K3824" i="1"/>
  <c r="K3825" i="1"/>
  <c r="K3826" i="1"/>
  <c r="K3827" i="1"/>
  <c r="K3828" i="1"/>
  <c r="K3829" i="1"/>
  <c r="K3830" i="1"/>
  <c r="K3831" i="1"/>
  <c r="K3832" i="1"/>
  <c r="K3833" i="1"/>
  <c r="K3834" i="1"/>
  <c r="K3835" i="1"/>
  <c r="K3836" i="1"/>
  <c r="K3837" i="1"/>
  <c r="K3838" i="1"/>
  <c r="K3839" i="1"/>
  <c r="K3840" i="1"/>
  <c r="K3841" i="1"/>
  <c r="K3842" i="1"/>
  <c r="K3843" i="1"/>
  <c r="K3844" i="1"/>
  <c r="K3845" i="1"/>
  <c r="K3846" i="1"/>
  <c r="K3847" i="1"/>
  <c r="K3848" i="1"/>
  <c r="K3849" i="1"/>
  <c r="K3850" i="1"/>
  <c r="K3851" i="1"/>
  <c r="K3852" i="1"/>
  <c r="K3853" i="1"/>
  <c r="K3854" i="1"/>
  <c r="K3855" i="1"/>
  <c r="K3856" i="1"/>
  <c r="K3857" i="1"/>
  <c r="K3858" i="1"/>
  <c r="K3859" i="1"/>
  <c r="K3860" i="1"/>
  <c r="K3861" i="1"/>
  <c r="K3862" i="1"/>
  <c r="K3863" i="1"/>
  <c r="K3864" i="1"/>
  <c r="K3865" i="1"/>
  <c r="K3866" i="1"/>
  <c r="K3867" i="1"/>
  <c r="K3868" i="1"/>
  <c r="K3869" i="1"/>
  <c r="K3870" i="1"/>
  <c r="K3871" i="1"/>
  <c r="K3872" i="1"/>
  <c r="K3873" i="1"/>
  <c r="K3874" i="1"/>
  <c r="K3875" i="1"/>
  <c r="K3876" i="1"/>
  <c r="K3877" i="1"/>
  <c r="K3878" i="1"/>
  <c r="K3879" i="1"/>
  <c r="K3880" i="1"/>
  <c r="K3881" i="1"/>
  <c r="K3882" i="1"/>
  <c r="K3883" i="1"/>
  <c r="K3884" i="1"/>
  <c r="K3885" i="1"/>
  <c r="K3886" i="1"/>
  <c r="K3887" i="1"/>
  <c r="K3888" i="1"/>
  <c r="K3889" i="1"/>
  <c r="K3890" i="1"/>
  <c r="K3891" i="1"/>
  <c r="K3892" i="1"/>
  <c r="K3893" i="1"/>
  <c r="K3894" i="1"/>
  <c r="K3895" i="1"/>
  <c r="K3896" i="1"/>
  <c r="K3897" i="1"/>
  <c r="K3898" i="1"/>
  <c r="K3899" i="1"/>
  <c r="K3900" i="1"/>
  <c r="K3901" i="1"/>
  <c r="K3902" i="1"/>
  <c r="K3903" i="1"/>
  <c r="K3904" i="1"/>
  <c r="K3905" i="1"/>
  <c r="K3906" i="1"/>
  <c r="K3907" i="1"/>
  <c r="K3908" i="1"/>
  <c r="K3909" i="1"/>
  <c r="K3910" i="1"/>
  <c r="K3911" i="1"/>
  <c r="K3912" i="1"/>
  <c r="K3913" i="1"/>
  <c r="K3914" i="1"/>
  <c r="K3915" i="1"/>
  <c r="K3916" i="1"/>
  <c r="K3917" i="1"/>
  <c r="K3918" i="1"/>
  <c r="K3919" i="1"/>
  <c r="K3920" i="1"/>
  <c r="K3921" i="1"/>
  <c r="K3922" i="1"/>
  <c r="K3923" i="1"/>
  <c r="K3924" i="1"/>
  <c r="K3925" i="1"/>
  <c r="K3926" i="1"/>
  <c r="K3927" i="1"/>
  <c r="K3928" i="1"/>
  <c r="K3929" i="1"/>
  <c r="K3930" i="1"/>
  <c r="K3931" i="1"/>
  <c r="K3932" i="1"/>
  <c r="K3933" i="1"/>
  <c r="K3934" i="1"/>
  <c r="K3935" i="1"/>
  <c r="K3936" i="1"/>
  <c r="K3937" i="1"/>
  <c r="K3938" i="1"/>
  <c r="K3939" i="1"/>
  <c r="K3940" i="1"/>
  <c r="K3941" i="1"/>
  <c r="K3942" i="1"/>
  <c r="K3943" i="1"/>
  <c r="K3944" i="1"/>
  <c r="K3945" i="1"/>
  <c r="K3946" i="1"/>
  <c r="K3947" i="1"/>
  <c r="K3948" i="1"/>
  <c r="K3949" i="1"/>
  <c r="K3950" i="1"/>
  <c r="K3951" i="1"/>
  <c r="K3952" i="1"/>
  <c r="K3953" i="1"/>
  <c r="K3954" i="1"/>
  <c r="K3955" i="1"/>
  <c r="K3956" i="1"/>
  <c r="K3957" i="1"/>
  <c r="K3958" i="1"/>
  <c r="K3959" i="1"/>
  <c r="K3960" i="1"/>
  <c r="K3961" i="1"/>
  <c r="K3962" i="1"/>
  <c r="K3963" i="1"/>
  <c r="K3964" i="1"/>
  <c r="K3965" i="1"/>
  <c r="K3966" i="1"/>
  <c r="K3967" i="1"/>
  <c r="K3968" i="1"/>
  <c r="K3969" i="1"/>
  <c r="K3970" i="1"/>
  <c r="K3971" i="1"/>
  <c r="K3972" i="1"/>
  <c r="K3973" i="1"/>
  <c r="K3974" i="1"/>
  <c r="K3975" i="1"/>
  <c r="K3976" i="1"/>
  <c r="K3977" i="1"/>
  <c r="K3978" i="1"/>
  <c r="K3979" i="1"/>
  <c r="K3980" i="1"/>
  <c r="K3981" i="1"/>
  <c r="K3982" i="1"/>
  <c r="K3983" i="1"/>
  <c r="K3984" i="1"/>
  <c r="K3985" i="1"/>
  <c r="K3986" i="1"/>
  <c r="K3987" i="1"/>
  <c r="K3988" i="1"/>
  <c r="K3989" i="1"/>
  <c r="K3990" i="1"/>
  <c r="K3991" i="1"/>
  <c r="K3992" i="1"/>
  <c r="K3993" i="1"/>
  <c r="K3994" i="1"/>
  <c r="K3995" i="1"/>
  <c r="K3996" i="1"/>
  <c r="K3997" i="1"/>
  <c r="K3998" i="1"/>
  <c r="K3999" i="1"/>
  <c r="K4000" i="1"/>
  <c r="K4001" i="1"/>
  <c r="K4002" i="1"/>
  <c r="K4003" i="1"/>
  <c r="K4004" i="1"/>
  <c r="K4005" i="1"/>
  <c r="K4006" i="1"/>
  <c r="K4007" i="1"/>
  <c r="K4008" i="1"/>
  <c r="K4009" i="1"/>
  <c r="K4010" i="1"/>
  <c r="K4011" i="1"/>
  <c r="K4012" i="1"/>
  <c r="K4013" i="1"/>
  <c r="K4014" i="1"/>
  <c r="K4015" i="1"/>
  <c r="K4016" i="1"/>
  <c r="K4017" i="1"/>
  <c r="K4018" i="1"/>
  <c r="K4019" i="1"/>
  <c r="K4020" i="1"/>
  <c r="K4021" i="1"/>
  <c r="K4022" i="1"/>
  <c r="K4023" i="1"/>
  <c r="K4024" i="1"/>
  <c r="K4025" i="1"/>
  <c r="K4026" i="1"/>
  <c r="K4027" i="1"/>
  <c r="K4028" i="1"/>
  <c r="K4029" i="1"/>
  <c r="K4030" i="1"/>
  <c r="K4031" i="1"/>
  <c r="K4032" i="1"/>
  <c r="K4033" i="1"/>
  <c r="K4034" i="1"/>
  <c r="K4035" i="1"/>
  <c r="K4036" i="1"/>
  <c r="K4037" i="1"/>
  <c r="K4038" i="1"/>
  <c r="K4039" i="1"/>
  <c r="K4040" i="1"/>
  <c r="K4041" i="1"/>
  <c r="K4042" i="1"/>
  <c r="K4043" i="1"/>
  <c r="K4044" i="1"/>
  <c r="K4045" i="1"/>
  <c r="K4046" i="1"/>
  <c r="K4047" i="1"/>
  <c r="K4048" i="1"/>
  <c r="K4049" i="1"/>
  <c r="K4050" i="1"/>
  <c r="K4051" i="1"/>
  <c r="K4052" i="1"/>
  <c r="K4053" i="1"/>
  <c r="K4054" i="1"/>
  <c r="K4055" i="1"/>
  <c r="K4056" i="1"/>
  <c r="K4057" i="1"/>
  <c r="K4058" i="1"/>
  <c r="K4059" i="1"/>
  <c r="K4060" i="1"/>
  <c r="K4061" i="1"/>
  <c r="K4062" i="1"/>
  <c r="K4063" i="1"/>
  <c r="K4064" i="1"/>
  <c r="K4065" i="1"/>
  <c r="K4066" i="1"/>
  <c r="K4067" i="1"/>
  <c r="K4068" i="1"/>
  <c r="K4069" i="1"/>
  <c r="K4070" i="1"/>
  <c r="K4071" i="1"/>
  <c r="K4072" i="1"/>
  <c r="K4073" i="1"/>
  <c r="K4074" i="1"/>
  <c r="K4075" i="1"/>
  <c r="K4076" i="1"/>
  <c r="K4077" i="1"/>
  <c r="K4078" i="1"/>
  <c r="K4079" i="1"/>
  <c r="K4080" i="1"/>
  <c r="K4081" i="1"/>
  <c r="K4082" i="1"/>
  <c r="K4083" i="1"/>
  <c r="K4084" i="1"/>
  <c r="K4085" i="1"/>
  <c r="K4086" i="1"/>
  <c r="K4087" i="1"/>
  <c r="K4088" i="1"/>
  <c r="K4089" i="1"/>
  <c r="K4090" i="1"/>
  <c r="K4091" i="1"/>
  <c r="K4092" i="1"/>
  <c r="K4093" i="1"/>
  <c r="K4094" i="1"/>
  <c r="K4095" i="1"/>
  <c r="K4096" i="1"/>
  <c r="K4097" i="1"/>
  <c r="K4098" i="1"/>
  <c r="K4099" i="1"/>
  <c r="K4100" i="1"/>
  <c r="K4101" i="1"/>
  <c r="K4102" i="1"/>
  <c r="K4103" i="1"/>
  <c r="K4104" i="1"/>
  <c r="K4105" i="1"/>
  <c r="K4106" i="1"/>
  <c r="K4107" i="1"/>
  <c r="K4108" i="1"/>
  <c r="K4109" i="1"/>
  <c r="K4110" i="1"/>
  <c r="K4111" i="1"/>
  <c r="K4112" i="1"/>
  <c r="K4113" i="1"/>
  <c r="K4114" i="1"/>
  <c r="K4115" i="1"/>
  <c r="K4116" i="1"/>
  <c r="K4117" i="1"/>
  <c r="K4118" i="1"/>
  <c r="K4119" i="1"/>
  <c r="K4120" i="1"/>
  <c r="K4121" i="1"/>
  <c r="K4122" i="1"/>
  <c r="K4123" i="1"/>
  <c r="K4124" i="1"/>
  <c r="K4125" i="1"/>
  <c r="K4126" i="1"/>
  <c r="K4127" i="1"/>
  <c r="K4128" i="1"/>
  <c r="K4129" i="1"/>
  <c r="K4130" i="1"/>
  <c r="K4131" i="1"/>
  <c r="K4132" i="1"/>
  <c r="K4133" i="1"/>
  <c r="K4134" i="1"/>
  <c r="K4135" i="1"/>
  <c r="K4136" i="1"/>
  <c r="K4137" i="1"/>
  <c r="K4138" i="1"/>
  <c r="K4139" i="1"/>
  <c r="K4140" i="1"/>
  <c r="K4141" i="1"/>
  <c r="K4142" i="1"/>
  <c r="K4143" i="1"/>
  <c r="K4144" i="1"/>
  <c r="K4145" i="1"/>
  <c r="K4146" i="1"/>
  <c r="K4147" i="1"/>
  <c r="K4148" i="1"/>
  <c r="K4149" i="1"/>
  <c r="K4150" i="1"/>
  <c r="K4151" i="1"/>
  <c r="K4152" i="1"/>
  <c r="K4153" i="1"/>
  <c r="K4154" i="1"/>
  <c r="K4155" i="1"/>
  <c r="K4156" i="1"/>
  <c r="K4157" i="1"/>
  <c r="K4158" i="1"/>
  <c r="K4159" i="1"/>
  <c r="K4160" i="1"/>
  <c r="K4161" i="1"/>
  <c r="K4162" i="1"/>
  <c r="K4163" i="1"/>
  <c r="K4164" i="1"/>
  <c r="K4165" i="1"/>
  <c r="K4166" i="1"/>
  <c r="K4167" i="1"/>
  <c r="K4168" i="1"/>
  <c r="K4169" i="1"/>
  <c r="K4170" i="1"/>
  <c r="K4171" i="1"/>
  <c r="K4172" i="1"/>
  <c r="K4173" i="1"/>
  <c r="K4174" i="1"/>
  <c r="K4175" i="1"/>
  <c r="K4176" i="1"/>
  <c r="K4177" i="1"/>
  <c r="K4178" i="1"/>
  <c r="K4179" i="1"/>
  <c r="K4180" i="1"/>
  <c r="K4181" i="1"/>
  <c r="K4182" i="1"/>
  <c r="K4183" i="1"/>
  <c r="K4184" i="1"/>
  <c r="K4185" i="1"/>
  <c r="K4186" i="1"/>
  <c r="K4187" i="1"/>
  <c r="K4188" i="1"/>
  <c r="K4189" i="1"/>
  <c r="K4190" i="1"/>
  <c r="K4191" i="1"/>
  <c r="K4192" i="1"/>
  <c r="K4193" i="1"/>
  <c r="K4194" i="1"/>
  <c r="K4195" i="1"/>
  <c r="K4196" i="1"/>
  <c r="K4197" i="1"/>
  <c r="K4198" i="1"/>
  <c r="K4199" i="1"/>
  <c r="K4200" i="1"/>
  <c r="K4201" i="1"/>
  <c r="K4202" i="1"/>
  <c r="K4203" i="1"/>
  <c r="K4204" i="1"/>
  <c r="K4205" i="1"/>
  <c r="K4206" i="1"/>
  <c r="K4207" i="1"/>
  <c r="K4208" i="1"/>
  <c r="K4209" i="1"/>
  <c r="K4210" i="1"/>
  <c r="K4211" i="1"/>
  <c r="K4212" i="1"/>
  <c r="K4213" i="1"/>
  <c r="K4214" i="1"/>
  <c r="K4215" i="1"/>
  <c r="K4216" i="1"/>
  <c r="K4217" i="1"/>
  <c r="K4218" i="1"/>
  <c r="K4219" i="1"/>
  <c r="K4220" i="1"/>
  <c r="K4221" i="1"/>
  <c r="K4222" i="1"/>
  <c r="K4223" i="1"/>
  <c r="K4224" i="1"/>
  <c r="K4225" i="1"/>
  <c r="K4226" i="1"/>
  <c r="K4227" i="1"/>
  <c r="K4228" i="1"/>
  <c r="K4229" i="1"/>
  <c r="K4230" i="1"/>
  <c r="K4231" i="1"/>
  <c r="K4232" i="1"/>
  <c r="K4233" i="1"/>
  <c r="K4234" i="1"/>
  <c r="K4235" i="1"/>
  <c r="K4236" i="1"/>
  <c r="K4237" i="1"/>
  <c r="K4238" i="1"/>
  <c r="K4239" i="1"/>
  <c r="K4240" i="1"/>
  <c r="K4241" i="1"/>
  <c r="K4242" i="1"/>
  <c r="K4243" i="1"/>
  <c r="K4244" i="1"/>
  <c r="K4245" i="1"/>
  <c r="K4246" i="1"/>
  <c r="K4247" i="1"/>
  <c r="K4248" i="1"/>
  <c r="K4249" i="1"/>
  <c r="K4250" i="1"/>
  <c r="K4251" i="1"/>
  <c r="K4252" i="1"/>
  <c r="K4253" i="1"/>
  <c r="K4254" i="1"/>
  <c r="K4255" i="1"/>
  <c r="K4256" i="1"/>
  <c r="K4257" i="1"/>
  <c r="K4258" i="1"/>
  <c r="K4259" i="1"/>
  <c r="K4260" i="1"/>
  <c r="K4261" i="1"/>
  <c r="K4262" i="1"/>
  <c r="K4263" i="1"/>
  <c r="K4264" i="1"/>
  <c r="K4265" i="1"/>
  <c r="K4266" i="1"/>
  <c r="K4267" i="1"/>
  <c r="K4268" i="1"/>
  <c r="K4269" i="1"/>
  <c r="K4270" i="1"/>
  <c r="K4271" i="1"/>
  <c r="K4272" i="1"/>
  <c r="K4273" i="1"/>
  <c r="K4274" i="1"/>
  <c r="K4275" i="1"/>
  <c r="K4276" i="1"/>
  <c r="K4277" i="1"/>
  <c r="K4278" i="1"/>
  <c r="K4279" i="1"/>
  <c r="K4280" i="1"/>
  <c r="K4281" i="1"/>
  <c r="K4282" i="1"/>
  <c r="K4283" i="1"/>
  <c r="K4284" i="1"/>
  <c r="K4285" i="1"/>
  <c r="K4286" i="1"/>
  <c r="K4287" i="1"/>
  <c r="K4288" i="1"/>
  <c r="K4289" i="1"/>
  <c r="K4290" i="1"/>
  <c r="K4291" i="1"/>
  <c r="K4292" i="1"/>
  <c r="K4293" i="1"/>
  <c r="K4294" i="1"/>
  <c r="K4295" i="1"/>
  <c r="K4296" i="1"/>
  <c r="K4297" i="1"/>
  <c r="K4298" i="1"/>
  <c r="K4299" i="1"/>
  <c r="K4300" i="1"/>
  <c r="K4301" i="1"/>
  <c r="K4302" i="1"/>
  <c r="K4303" i="1"/>
  <c r="K4304" i="1"/>
  <c r="K4305" i="1"/>
  <c r="K4306" i="1"/>
  <c r="K4307" i="1"/>
  <c r="K4308" i="1"/>
  <c r="K4309" i="1"/>
  <c r="K4310" i="1"/>
  <c r="K4311" i="1"/>
  <c r="K4312" i="1"/>
  <c r="K4313" i="1"/>
  <c r="K4314" i="1"/>
  <c r="K4315" i="1"/>
  <c r="K4316" i="1"/>
  <c r="K4317" i="1"/>
  <c r="K4318" i="1"/>
  <c r="K4319" i="1"/>
  <c r="K4320" i="1"/>
  <c r="K4321" i="1"/>
  <c r="K4322" i="1"/>
  <c r="K4323" i="1"/>
  <c r="K4324" i="1"/>
  <c r="K4325" i="1"/>
  <c r="K4326" i="1"/>
  <c r="K4327" i="1"/>
  <c r="K4328" i="1"/>
  <c r="K4329" i="1"/>
  <c r="K4330" i="1"/>
  <c r="K4331" i="1"/>
  <c r="K4332" i="1"/>
  <c r="K4333" i="1"/>
  <c r="K4334" i="1"/>
  <c r="K4335" i="1"/>
  <c r="K4336" i="1"/>
  <c r="K4337" i="1"/>
  <c r="K4338" i="1"/>
  <c r="K4339" i="1"/>
  <c r="K4340" i="1"/>
  <c r="K4341" i="1"/>
  <c r="K4342" i="1"/>
  <c r="K4343" i="1"/>
  <c r="K4344" i="1"/>
  <c r="K4345" i="1"/>
  <c r="K4346" i="1"/>
  <c r="K4347" i="1"/>
  <c r="K4348" i="1"/>
  <c r="K4349" i="1"/>
  <c r="K4350" i="1"/>
  <c r="K4351" i="1"/>
  <c r="K4352" i="1"/>
  <c r="K4353" i="1"/>
  <c r="K4354" i="1"/>
  <c r="K4355" i="1"/>
  <c r="K4356" i="1"/>
  <c r="K4357" i="1"/>
  <c r="K4358" i="1"/>
  <c r="K4359" i="1"/>
  <c r="K4360" i="1"/>
  <c r="K4361" i="1"/>
  <c r="K4362" i="1"/>
  <c r="K4363" i="1"/>
  <c r="K4364" i="1"/>
  <c r="K4365" i="1"/>
  <c r="K4366" i="1"/>
  <c r="K4367" i="1"/>
  <c r="K4368" i="1"/>
  <c r="K4369" i="1"/>
  <c r="K4370" i="1"/>
  <c r="K4371" i="1"/>
  <c r="K4372" i="1"/>
  <c r="K4373" i="1"/>
  <c r="K4374" i="1"/>
  <c r="K4375" i="1"/>
  <c r="K4376" i="1"/>
  <c r="K4377" i="1"/>
  <c r="K4378" i="1"/>
  <c r="K4379" i="1"/>
  <c r="K4380" i="1"/>
  <c r="K4381" i="1"/>
  <c r="K4382" i="1"/>
  <c r="K4383" i="1"/>
  <c r="K4384" i="1"/>
  <c r="K4385" i="1"/>
  <c r="K4386" i="1"/>
  <c r="K4387" i="1"/>
  <c r="K4388" i="1"/>
  <c r="K4389" i="1"/>
  <c r="K4390" i="1"/>
  <c r="K4391" i="1"/>
  <c r="K4392" i="1"/>
  <c r="K4393" i="1"/>
  <c r="K4394" i="1"/>
  <c r="K4395" i="1"/>
  <c r="K4396" i="1"/>
  <c r="K4397" i="1"/>
  <c r="K4398" i="1"/>
  <c r="K4399" i="1"/>
  <c r="K4400" i="1"/>
  <c r="K4401" i="1"/>
  <c r="K4402" i="1"/>
  <c r="K4403" i="1"/>
  <c r="K4404" i="1"/>
  <c r="K4405" i="1"/>
  <c r="K4406" i="1"/>
  <c r="K4407" i="1"/>
  <c r="K4408" i="1"/>
  <c r="K4409" i="1"/>
  <c r="K4410" i="1"/>
  <c r="K4411" i="1"/>
  <c r="K4412" i="1"/>
  <c r="K4413" i="1"/>
  <c r="K4414" i="1"/>
  <c r="K4415" i="1"/>
  <c r="K4416" i="1"/>
  <c r="K4417" i="1"/>
  <c r="K4418" i="1"/>
  <c r="K4419" i="1"/>
  <c r="K4420" i="1"/>
  <c r="K4421" i="1"/>
  <c r="K4422" i="1"/>
  <c r="K4423" i="1"/>
  <c r="K4424" i="1"/>
  <c r="K4425" i="1"/>
  <c r="K4426" i="1"/>
  <c r="K4427" i="1"/>
  <c r="K4428" i="1"/>
  <c r="K4429" i="1"/>
  <c r="K4430" i="1"/>
  <c r="K4431" i="1"/>
  <c r="K4432" i="1"/>
  <c r="K4433" i="1"/>
  <c r="K4434" i="1"/>
  <c r="K4435" i="1"/>
  <c r="K4436" i="1"/>
  <c r="K4437" i="1"/>
  <c r="K4438" i="1"/>
  <c r="K4439" i="1"/>
  <c r="K4440" i="1"/>
  <c r="K4441" i="1"/>
  <c r="K4442" i="1"/>
  <c r="K4443" i="1"/>
  <c r="K4444" i="1"/>
  <c r="K4445" i="1"/>
  <c r="K4446" i="1"/>
  <c r="K4447" i="1"/>
  <c r="K4448" i="1"/>
  <c r="K4449" i="1"/>
  <c r="K4450" i="1"/>
  <c r="K4451" i="1"/>
  <c r="K4452" i="1"/>
  <c r="K4453" i="1"/>
  <c r="K4454" i="1"/>
  <c r="K4455" i="1"/>
  <c r="K4456" i="1"/>
  <c r="K4457" i="1"/>
  <c r="K4458" i="1"/>
  <c r="K4459" i="1"/>
  <c r="K4460" i="1"/>
  <c r="K4461" i="1"/>
  <c r="K4462" i="1"/>
  <c r="K4463" i="1"/>
  <c r="K4464" i="1"/>
  <c r="K4465" i="1"/>
  <c r="K4466" i="1"/>
  <c r="K4467" i="1"/>
  <c r="K4468" i="1"/>
  <c r="K4469" i="1"/>
  <c r="K4470" i="1"/>
  <c r="K4471" i="1"/>
  <c r="K4472" i="1"/>
  <c r="K4473" i="1"/>
  <c r="K4474" i="1"/>
  <c r="K4475" i="1"/>
  <c r="K4476" i="1"/>
  <c r="K4477" i="1"/>
  <c r="K4478" i="1"/>
  <c r="K4479" i="1"/>
  <c r="K4480" i="1"/>
  <c r="K4481" i="1"/>
  <c r="K4482" i="1"/>
  <c r="K4483" i="1"/>
  <c r="K4484" i="1"/>
  <c r="K4485" i="1"/>
  <c r="K4486" i="1"/>
  <c r="K4487" i="1"/>
  <c r="K4488" i="1"/>
  <c r="K4489" i="1"/>
  <c r="K4490" i="1"/>
  <c r="K4491" i="1"/>
  <c r="K4492" i="1"/>
  <c r="K4493" i="1"/>
  <c r="K4494" i="1"/>
  <c r="K4495" i="1"/>
  <c r="K4496" i="1"/>
  <c r="K4497" i="1"/>
  <c r="K4498" i="1"/>
  <c r="K4499" i="1"/>
  <c r="K4500" i="1"/>
  <c r="K4501" i="1"/>
  <c r="K4502" i="1"/>
  <c r="K4503" i="1"/>
  <c r="K4504" i="1"/>
  <c r="K4505" i="1"/>
  <c r="K4506" i="1"/>
  <c r="K4507" i="1"/>
  <c r="K4508" i="1"/>
  <c r="K4509" i="1"/>
  <c r="K4510" i="1"/>
  <c r="K4511" i="1"/>
  <c r="K4512" i="1"/>
  <c r="K4513" i="1"/>
  <c r="K4514" i="1"/>
  <c r="K4515" i="1"/>
  <c r="K4516" i="1"/>
  <c r="K4517" i="1"/>
  <c r="K4518" i="1"/>
  <c r="K4519" i="1"/>
  <c r="K4520" i="1"/>
  <c r="K4521" i="1"/>
  <c r="K4522" i="1"/>
  <c r="K4523" i="1"/>
  <c r="K4524" i="1"/>
  <c r="K4525" i="1"/>
  <c r="K4526" i="1"/>
  <c r="K4527" i="1"/>
  <c r="K4528" i="1"/>
  <c r="K4529" i="1"/>
  <c r="K4530" i="1"/>
  <c r="K4531" i="1"/>
  <c r="K4532" i="1"/>
  <c r="K4533" i="1"/>
  <c r="K4534" i="1"/>
  <c r="K4535" i="1"/>
  <c r="K4536" i="1"/>
  <c r="K4537" i="1"/>
  <c r="K4538" i="1"/>
  <c r="K4539" i="1"/>
  <c r="K4540" i="1"/>
  <c r="K4541" i="1"/>
  <c r="K4542" i="1"/>
  <c r="K4543" i="1"/>
  <c r="K4544" i="1"/>
  <c r="K4545" i="1"/>
  <c r="K4546" i="1"/>
  <c r="K4547" i="1"/>
  <c r="K4548" i="1"/>
  <c r="K4549" i="1"/>
  <c r="K4550" i="1"/>
  <c r="K4551" i="1"/>
  <c r="K4552" i="1"/>
  <c r="K4553" i="1"/>
  <c r="K4554" i="1"/>
  <c r="K4555" i="1"/>
  <c r="K4556" i="1"/>
  <c r="K4557" i="1"/>
  <c r="K4558" i="1"/>
  <c r="K4559" i="1"/>
  <c r="K4560" i="1"/>
  <c r="K4561" i="1"/>
  <c r="K4562" i="1"/>
  <c r="K4563" i="1"/>
  <c r="K4564" i="1"/>
  <c r="K4565" i="1"/>
  <c r="K4566" i="1"/>
  <c r="K4567" i="1"/>
  <c r="K4568" i="1"/>
  <c r="K4569" i="1"/>
  <c r="K4570" i="1"/>
  <c r="K4571" i="1"/>
  <c r="K4572" i="1"/>
  <c r="K4573" i="1"/>
  <c r="K4574" i="1"/>
  <c r="K4575" i="1"/>
  <c r="K4576" i="1"/>
  <c r="K4577" i="1"/>
  <c r="K4578" i="1"/>
  <c r="K4579" i="1"/>
  <c r="K4580" i="1"/>
  <c r="K4581" i="1"/>
  <c r="K4582" i="1"/>
  <c r="K4583" i="1"/>
  <c r="K4584" i="1"/>
  <c r="K4585" i="1"/>
  <c r="K4586" i="1"/>
  <c r="K4587" i="1"/>
  <c r="K4588" i="1"/>
  <c r="K4589" i="1"/>
  <c r="K4590" i="1"/>
  <c r="K4591" i="1"/>
  <c r="K4592" i="1"/>
  <c r="K4593" i="1"/>
  <c r="K4594" i="1"/>
  <c r="K4595" i="1"/>
  <c r="K4596" i="1"/>
  <c r="K4597" i="1"/>
  <c r="K4598" i="1"/>
  <c r="K4599" i="1"/>
  <c r="K4600" i="1"/>
  <c r="K4601" i="1"/>
  <c r="K4602" i="1"/>
  <c r="K4603" i="1"/>
  <c r="K4604" i="1"/>
  <c r="K4605" i="1"/>
  <c r="K4606" i="1"/>
  <c r="K4607" i="1"/>
  <c r="K4608" i="1"/>
  <c r="K4609" i="1"/>
  <c r="K4610" i="1"/>
  <c r="K4611" i="1"/>
  <c r="K4612" i="1"/>
  <c r="K4613" i="1"/>
  <c r="K4614" i="1"/>
  <c r="K4615" i="1"/>
  <c r="K4616" i="1"/>
  <c r="K4617" i="1"/>
  <c r="K4618" i="1"/>
  <c r="K4619" i="1"/>
  <c r="K4620" i="1"/>
  <c r="K4621" i="1"/>
  <c r="K4622" i="1"/>
  <c r="K4623" i="1"/>
  <c r="K4624" i="1"/>
  <c r="K4625" i="1"/>
  <c r="K4626" i="1"/>
  <c r="K4627" i="1"/>
  <c r="K4628" i="1"/>
  <c r="K4629" i="1"/>
  <c r="K4630" i="1"/>
  <c r="K4631" i="1"/>
  <c r="K4632" i="1"/>
  <c r="K4633" i="1"/>
  <c r="K4634" i="1"/>
  <c r="K4635" i="1"/>
  <c r="K4636" i="1"/>
  <c r="K4637" i="1"/>
  <c r="K4638" i="1"/>
  <c r="K4639" i="1"/>
  <c r="K4640" i="1"/>
  <c r="K4641" i="1"/>
  <c r="K4642" i="1"/>
  <c r="K4643" i="1"/>
  <c r="K4644" i="1"/>
  <c r="K4645" i="1"/>
  <c r="K4646" i="1"/>
  <c r="K4647" i="1"/>
  <c r="K4648" i="1"/>
  <c r="K4649" i="1"/>
  <c r="K4650" i="1"/>
  <c r="K4651" i="1"/>
  <c r="K4652" i="1"/>
  <c r="K4653" i="1"/>
  <c r="K4654" i="1"/>
  <c r="K4655" i="1"/>
  <c r="K4656" i="1"/>
  <c r="K4657" i="1"/>
  <c r="K4658" i="1"/>
  <c r="K4659" i="1"/>
  <c r="K4660" i="1"/>
  <c r="K4661" i="1"/>
  <c r="K4662" i="1"/>
  <c r="K4663" i="1"/>
  <c r="K4664" i="1"/>
  <c r="K4665" i="1"/>
  <c r="K4666" i="1"/>
  <c r="K4667" i="1"/>
  <c r="K4668" i="1"/>
  <c r="K4669" i="1"/>
  <c r="K4670" i="1"/>
  <c r="K4671" i="1"/>
  <c r="K4672" i="1"/>
  <c r="K4673" i="1"/>
  <c r="K4674" i="1"/>
  <c r="K4675" i="1"/>
  <c r="K4676" i="1"/>
  <c r="K4677" i="1"/>
  <c r="K4678" i="1"/>
  <c r="K4679" i="1"/>
  <c r="K4680" i="1"/>
  <c r="K4681" i="1"/>
  <c r="K4682" i="1"/>
  <c r="K4683" i="1"/>
  <c r="K4684" i="1"/>
  <c r="K4685" i="1"/>
  <c r="K4686" i="1"/>
  <c r="K4687" i="1"/>
  <c r="K4688" i="1"/>
  <c r="K4689" i="1"/>
  <c r="K4690" i="1"/>
  <c r="K4691" i="1"/>
  <c r="K4692" i="1"/>
  <c r="K4693" i="1"/>
  <c r="K4694" i="1"/>
  <c r="K4695" i="1"/>
  <c r="K4696" i="1"/>
  <c r="K4697" i="1"/>
  <c r="K4698" i="1"/>
  <c r="K4699" i="1"/>
  <c r="K4700" i="1"/>
  <c r="K4701" i="1"/>
  <c r="K4702" i="1"/>
  <c r="K4703" i="1"/>
  <c r="K4704" i="1"/>
  <c r="K4705" i="1"/>
  <c r="K4706" i="1"/>
  <c r="K4707" i="1"/>
  <c r="K4708" i="1"/>
  <c r="K4709" i="1"/>
  <c r="K4710" i="1"/>
  <c r="K4711" i="1"/>
  <c r="K4712" i="1"/>
  <c r="K4713" i="1"/>
  <c r="K4714" i="1"/>
  <c r="K4715" i="1"/>
  <c r="K4716" i="1"/>
  <c r="K4717" i="1"/>
  <c r="K4718" i="1"/>
  <c r="K4719" i="1"/>
  <c r="K4720" i="1"/>
  <c r="K4721" i="1"/>
  <c r="K4722" i="1"/>
  <c r="K4723" i="1"/>
  <c r="K4724" i="1"/>
  <c r="K4725" i="1"/>
  <c r="K4726" i="1"/>
  <c r="K4727" i="1"/>
  <c r="K4728" i="1"/>
  <c r="K4729" i="1"/>
  <c r="K4730" i="1"/>
  <c r="K4731" i="1"/>
  <c r="K4732" i="1"/>
  <c r="K4733" i="1"/>
  <c r="K4734" i="1"/>
  <c r="K4735" i="1"/>
  <c r="K4736" i="1"/>
  <c r="K4737" i="1"/>
  <c r="K4738" i="1"/>
  <c r="K4739" i="1"/>
  <c r="K4740" i="1"/>
  <c r="K4741" i="1"/>
  <c r="K4742" i="1"/>
  <c r="K4743" i="1"/>
  <c r="K4744" i="1"/>
  <c r="K4745" i="1"/>
  <c r="K4746" i="1"/>
  <c r="K4747" i="1"/>
  <c r="K4748" i="1"/>
  <c r="K4749" i="1"/>
  <c r="K4750" i="1"/>
  <c r="K4751" i="1"/>
  <c r="K4752" i="1"/>
  <c r="K4753" i="1"/>
  <c r="K4754" i="1"/>
  <c r="K4755" i="1"/>
  <c r="K4756" i="1"/>
  <c r="K4757" i="1"/>
  <c r="K4758" i="1"/>
  <c r="K4759" i="1"/>
  <c r="K4760" i="1"/>
  <c r="K4761" i="1"/>
  <c r="K4762" i="1"/>
  <c r="K4763" i="1"/>
  <c r="K4764" i="1"/>
  <c r="K4765" i="1"/>
  <c r="K4766" i="1"/>
  <c r="K4767" i="1"/>
  <c r="K4768" i="1"/>
  <c r="K4769" i="1"/>
  <c r="K4770" i="1"/>
  <c r="K4771" i="1"/>
  <c r="K4772" i="1"/>
  <c r="K4773" i="1"/>
  <c r="K4774" i="1"/>
  <c r="K4775" i="1"/>
  <c r="K4776" i="1"/>
  <c r="K4777" i="1"/>
  <c r="K4778" i="1"/>
  <c r="K4779" i="1"/>
  <c r="K4780" i="1"/>
  <c r="K4781" i="1"/>
  <c r="K4782" i="1"/>
  <c r="K4783" i="1"/>
  <c r="K4784" i="1"/>
  <c r="K4785" i="1"/>
  <c r="K4786" i="1"/>
  <c r="K4787" i="1"/>
  <c r="K4788" i="1"/>
  <c r="K4789" i="1"/>
  <c r="K4790" i="1"/>
  <c r="K4791" i="1"/>
  <c r="K4792" i="1"/>
  <c r="K4793" i="1"/>
  <c r="K4794" i="1"/>
  <c r="K4795" i="1"/>
  <c r="K4796" i="1"/>
  <c r="K4797" i="1"/>
  <c r="K4798" i="1"/>
  <c r="K4799" i="1"/>
  <c r="K4800" i="1"/>
  <c r="K4801" i="1"/>
  <c r="K4802" i="1"/>
  <c r="K4803" i="1"/>
  <c r="K4804" i="1"/>
  <c r="K4805" i="1"/>
  <c r="K4806" i="1"/>
  <c r="K4807" i="1"/>
  <c r="K4808" i="1"/>
  <c r="K4809" i="1"/>
  <c r="K4810" i="1"/>
  <c r="K4811" i="1"/>
  <c r="K4812" i="1"/>
  <c r="K4813" i="1"/>
  <c r="K4814" i="1"/>
  <c r="K4815" i="1"/>
  <c r="K4816" i="1"/>
  <c r="K4817" i="1"/>
  <c r="K4818" i="1"/>
  <c r="K4819" i="1"/>
  <c r="K4820" i="1"/>
  <c r="K4821" i="1"/>
  <c r="K4822" i="1"/>
  <c r="K4823" i="1"/>
  <c r="K4824" i="1"/>
  <c r="K4825" i="1"/>
  <c r="K4826" i="1"/>
  <c r="K4827" i="1"/>
  <c r="K4828" i="1"/>
  <c r="K4829" i="1"/>
  <c r="K4830" i="1"/>
  <c r="K4831" i="1"/>
  <c r="K4832" i="1"/>
  <c r="K4833" i="1"/>
  <c r="K4834" i="1"/>
  <c r="K4835" i="1"/>
  <c r="K4836" i="1"/>
  <c r="K4837" i="1"/>
  <c r="K4838" i="1"/>
  <c r="K4839" i="1"/>
  <c r="K4840" i="1"/>
  <c r="K4841" i="1"/>
  <c r="K4842" i="1"/>
  <c r="K4843" i="1"/>
  <c r="K4844" i="1"/>
  <c r="K4845" i="1"/>
  <c r="K4846" i="1"/>
  <c r="K4847" i="1"/>
  <c r="K4848" i="1"/>
  <c r="K4849" i="1"/>
  <c r="K4850" i="1"/>
  <c r="K4851" i="1"/>
  <c r="K4852" i="1"/>
  <c r="K4853" i="1"/>
  <c r="K4854" i="1"/>
  <c r="K4855" i="1"/>
  <c r="K4856" i="1"/>
  <c r="K4857" i="1"/>
  <c r="K4858" i="1"/>
  <c r="K4859" i="1"/>
  <c r="K4860" i="1"/>
  <c r="K4861" i="1"/>
  <c r="K4862" i="1"/>
  <c r="K4863" i="1"/>
  <c r="K4864" i="1"/>
  <c r="K4865" i="1"/>
  <c r="K4866" i="1"/>
  <c r="K4867" i="1"/>
  <c r="K4868" i="1"/>
  <c r="K4869" i="1"/>
  <c r="K4870" i="1"/>
  <c r="K4871" i="1"/>
  <c r="K4872" i="1"/>
  <c r="K4873" i="1"/>
  <c r="K4874" i="1"/>
  <c r="K4875" i="1"/>
  <c r="K4876" i="1"/>
  <c r="K4877" i="1"/>
  <c r="K4878" i="1"/>
  <c r="K4879" i="1"/>
  <c r="K4880" i="1"/>
  <c r="K4881" i="1"/>
  <c r="K4882" i="1"/>
  <c r="K4883" i="1"/>
  <c r="K4884" i="1"/>
  <c r="K4885" i="1"/>
  <c r="K4886" i="1"/>
  <c r="K4887" i="1"/>
  <c r="K4888" i="1"/>
  <c r="K4889" i="1"/>
  <c r="K4890" i="1"/>
  <c r="K4891" i="1"/>
  <c r="K4892" i="1"/>
  <c r="K4893" i="1"/>
  <c r="K4894" i="1"/>
  <c r="K4895" i="1"/>
  <c r="K4896" i="1"/>
  <c r="K4897" i="1"/>
  <c r="K4898" i="1"/>
  <c r="K4899" i="1"/>
  <c r="K4900" i="1"/>
  <c r="K4901" i="1"/>
  <c r="K4902" i="1"/>
  <c r="K4903" i="1"/>
  <c r="K4904" i="1"/>
  <c r="K4905" i="1"/>
  <c r="K4906" i="1"/>
  <c r="K4907" i="1"/>
  <c r="K4908" i="1"/>
  <c r="K4909" i="1"/>
  <c r="K4910" i="1"/>
  <c r="K4911" i="1"/>
  <c r="K4912" i="1"/>
  <c r="K4913" i="1"/>
  <c r="K4914" i="1"/>
  <c r="K4915" i="1"/>
  <c r="K4916" i="1"/>
  <c r="K4917" i="1"/>
  <c r="K4918" i="1"/>
  <c r="K4919" i="1"/>
  <c r="K4920" i="1"/>
  <c r="K4921" i="1"/>
  <c r="K4922" i="1"/>
  <c r="K4923" i="1"/>
  <c r="K4924" i="1"/>
  <c r="K4925" i="1"/>
  <c r="K4926" i="1"/>
  <c r="K4927" i="1"/>
  <c r="K4928" i="1"/>
  <c r="K4929" i="1"/>
  <c r="K4930" i="1"/>
  <c r="K4931" i="1"/>
  <c r="K4932" i="1"/>
  <c r="K4933" i="1"/>
  <c r="K4934" i="1"/>
  <c r="K4935" i="1"/>
  <c r="K4936" i="1"/>
  <c r="K4937" i="1"/>
  <c r="K4938" i="1"/>
  <c r="K4939" i="1"/>
  <c r="K4940" i="1"/>
  <c r="K4941" i="1"/>
  <c r="K4942" i="1"/>
  <c r="K4943" i="1"/>
  <c r="K4944" i="1"/>
  <c r="K4945" i="1"/>
  <c r="K4946" i="1"/>
  <c r="K4947" i="1"/>
  <c r="K4948" i="1"/>
  <c r="K4949" i="1"/>
  <c r="K4950" i="1"/>
  <c r="K4951" i="1"/>
  <c r="K4952" i="1"/>
  <c r="K4953" i="1"/>
  <c r="K4954" i="1"/>
  <c r="K4955" i="1"/>
  <c r="K4956" i="1"/>
  <c r="K4957" i="1"/>
  <c r="K4958" i="1"/>
  <c r="K4959" i="1"/>
  <c r="K4960" i="1"/>
  <c r="K4961" i="1"/>
  <c r="K4962" i="1"/>
  <c r="K4963" i="1"/>
  <c r="K4964" i="1"/>
  <c r="K4965" i="1"/>
  <c r="K4966" i="1"/>
  <c r="K4967" i="1"/>
  <c r="K4968" i="1"/>
  <c r="K4969" i="1"/>
  <c r="K4970" i="1"/>
  <c r="K4971" i="1"/>
  <c r="K4972" i="1"/>
  <c r="K4973" i="1"/>
  <c r="K4974" i="1"/>
  <c r="K4975" i="1"/>
  <c r="K4976" i="1"/>
  <c r="K4977" i="1"/>
  <c r="K4978" i="1"/>
  <c r="K4979" i="1"/>
  <c r="K4980" i="1"/>
  <c r="K4981" i="1"/>
  <c r="K4982" i="1"/>
  <c r="K4983" i="1"/>
  <c r="K4984" i="1"/>
  <c r="K4985" i="1"/>
  <c r="K4986" i="1"/>
  <c r="K4987" i="1"/>
  <c r="K4988" i="1"/>
  <c r="K4989" i="1"/>
  <c r="K4990" i="1"/>
  <c r="K4991" i="1"/>
  <c r="K4992" i="1"/>
  <c r="K4993" i="1"/>
  <c r="K4994" i="1"/>
  <c r="K4995" i="1"/>
  <c r="K4996" i="1"/>
  <c r="K4997" i="1"/>
  <c r="K4998" i="1"/>
  <c r="K4999" i="1"/>
  <c r="K5000" i="1"/>
  <c r="K5001" i="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<sst xmlns="http://schemas.openxmlformats.org/spreadsheetml/2006/main" count="25075" uniqueCount="5061">
  <si>
    <t>Transaction_ID</t>
  </si>
  <si>
    <t>Sale_Date</t>
  </si>
  <si>
    <t>Shoe_Model</t>
  </si>
  <si>
    <t>Colorway</t>
  </si>
  <si>
    <t>Condition</t>
  </si>
  <si>
    <t>Retail_Price_USD</t>
  </si>
  <si>
    <t>Resale_Price_USD</t>
  </si>
  <si>
    <t>Sales_Channel</t>
  </si>
  <si>
    <t>Days_in_Inventory</t>
  </si>
  <si>
    <t>Profit_Margin_USD</t>
  </si>
  <si>
    <t>TRX-100001</t>
  </si>
  <si>
    <t>Air Jordan 11 Retro</t>
  </si>
  <si>
    <t>Sail</t>
  </si>
  <si>
    <t>Used</t>
  </si>
  <si>
    <t>GOAT</t>
  </si>
  <si>
    <t>TRX-100002</t>
  </si>
  <si>
    <t>Air Jordan 1 High</t>
  </si>
  <si>
    <t>Mocha</t>
  </si>
  <si>
    <t>Deadstock (Brand New)</t>
  </si>
  <si>
    <t>StockX</t>
  </si>
  <si>
    <t>TRX-100003</t>
  </si>
  <si>
    <t>Air Jordan 4 Retro</t>
  </si>
  <si>
    <t>Concord</t>
  </si>
  <si>
    <t>kick hub 2026</t>
  </si>
  <si>
    <t>TRX-100004</t>
  </si>
  <si>
    <t>Stadium Goods</t>
  </si>
  <si>
    <t>TRX-100005</t>
  </si>
  <si>
    <t>Air Jordan 1 Low</t>
  </si>
  <si>
    <t>TRX-100006</t>
  </si>
  <si>
    <t>VNDS (Very Near Deadstock)</t>
  </si>
  <si>
    <t>TRX-100007</t>
  </si>
  <si>
    <t>Air Jordan 3 Retro</t>
  </si>
  <si>
    <t>Walk-in Retail</t>
  </si>
  <si>
    <t>TRX-100008</t>
  </si>
  <si>
    <t>Black Cat</t>
  </si>
  <si>
    <t>TRX-100009</t>
  </si>
  <si>
    <t>Bred</t>
  </si>
  <si>
    <t>TRX-100010</t>
  </si>
  <si>
    <t>TRX-100011</t>
  </si>
  <si>
    <t>Chicago</t>
  </si>
  <si>
    <t>TRX-100012</t>
  </si>
  <si>
    <t>TRX-100013</t>
  </si>
  <si>
    <t>TRX-100014</t>
  </si>
  <si>
    <t>TRX-100015</t>
  </si>
  <si>
    <t>TRX-100016</t>
  </si>
  <si>
    <t>TRX-100017</t>
  </si>
  <si>
    <t>Military Blue</t>
  </si>
  <si>
    <t>TRX-100018</t>
  </si>
  <si>
    <t>TRX-100019</t>
  </si>
  <si>
    <t>TRX-100020</t>
  </si>
  <si>
    <t>TRX-100021</t>
  </si>
  <si>
    <t>TRX-100022</t>
  </si>
  <si>
    <t>TRX-100023</t>
  </si>
  <si>
    <t>Lost &amp; Found</t>
  </si>
  <si>
    <t>TRX-100024</t>
  </si>
  <si>
    <t>Pine Green</t>
  </si>
  <si>
    <t>TRX-100025</t>
  </si>
  <si>
    <t>TRX-100026</t>
  </si>
  <si>
    <t>TRX-100027</t>
  </si>
  <si>
    <t>TRX-100028</t>
  </si>
  <si>
    <t>TRX-100029</t>
  </si>
  <si>
    <t>TRX-100030</t>
  </si>
  <si>
    <t>TRX-100031</t>
  </si>
  <si>
    <t>TRX-100032</t>
  </si>
  <si>
    <t>TRX-100033</t>
  </si>
  <si>
    <t>TRX-100034</t>
  </si>
  <si>
    <t>TRX-100035</t>
  </si>
  <si>
    <t>TRX-100036</t>
  </si>
  <si>
    <t>TRX-100037</t>
  </si>
  <si>
    <t>TRX-100038</t>
  </si>
  <si>
    <t>TRX-100039</t>
  </si>
  <si>
    <t>TRX-100040</t>
  </si>
  <si>
    <t>TRX-100041</t>
  </si>
  <si>
    <t>TRX-100042</t>
  </si>
  <si>
    <t>TRX-100043</t>
  </si>
  <si>
    <t>TRX-100044</t>
  </si>
  <si>
    <t>TRX-100045</t>
  </si>
  <si>
    <t>TRX-100046</t>
  </si>
  <si>
    <t>TRX-100047</t>
  </si>
  <si>
    <t>TRX-100048</t>
  </si>
  <si>
    <t>TRX-100049</t>
  </si>
  <si>
    <t>TRX-100050</t>
  </si>
  <si>
    <t>TRX-100051</t>
  </si>
  <si>
    <t>TRX-100052</t>
  </si>
  <si>
    <t>TRX-100053</t>
  </si>
  <si>
    <t>TRX-100054</t>
  </si>
  <si>
    <t>TRX-100055</t>
  </si>
  <si>
    <t>TRX-100056</t>
  </si>
  <si>
    <t>TRX-100057</t>
  </si>
  <si>
    <t>TRX-100058</t>
  </si>
  <si>
    <t>TRX-100059</t>
  </si>
  <si>
    <t>TRX-100060</t>
  </si>
  <si>
    <t>TRX-100061</t>
  </si>
  <si>
    <t>TRX-100062</t>
  </si>
  <si>
    <t>TRX-100063</t>
  </si>
  <si>
    <t>TRX-100064</t>
  </si>
  <si>
    <t>TRX-100065</t>
  </si>
  <si>
    <t>TRX-100066</t>
  </si>
  <si>
    <t>TRX-100067</t>
  </si>
  <si>
    <t>TRX-100068</t>
  </si>
  <si>
    <t>TRX-100069</t>
  </si>
  <si>
    <t>TRX-100070</t>
  </si>
  <si>
    <t>TRX-100071</t>
  </si>
  <si>
    <t>TRX-100072</t>
  </si>
  <si>
    <t>TRX-100073</t>
  </si>
  <si>
    <t>TRX-100074</t>
  </si>
  <si>
    <t>TRX-100075</t>
  </si>
  <si>
    <t>TRX-100076</t>
  </si>
  <si>
    <t>TRX-100077</t>
  </si>
  <si>
    <t>TRX-100078</t>
  </si>
  <si>
    <t>TRX-100079</t>
  </si>
  <si>
    <t>TRX-100080</t>
  </si>
  <si>
    <t>TRX-100081</t>
  </si>
  <si>
    <t>TRX-100082</t>
  </si>
  <si>
    <t>TRX-100083</t>
  </si>
  <si>
    <t>TRX-100084</t>
  </si>
  <si>
    <t>TRX-100085</t>
  </si>
  <si>
    <t>TRX-100086</t>
  </si>
  <si>
    <t>TRX-100087</t>
  </si>
  <si>
    <t>TRX-100088</t>
  </si>
  <si>
    <t>TRX-100089</t>
  </si>
  <si>
    <t>TRX-100090</t>
  </si>
  <si>
    <t>TRX-100091</t>
  </si>
  <si>
    <t>TRX-100092</t>
  </si>
  <si>
    <t>TRX-100093</t>
  </si>
  <si>
    <t>TRX-100094</t>
  </si>
  <si>
    <t>TRX-100095</t>
  </si>
  <si>
    <t>TRX-100096</t>
  </si>
  <si>
    <t>TRX-100097</t>
  </si>
  <si>
    <t>TRX-100098</t>
  </si>
  <si>
    <t>TRX-100099</t>
  </si>
  <si>
    <t>TRX-100100</t>
  </si>
  <si>
    <t>TRX-100101</t>
  </si>
  <si>
    <t>TRX-100102</t>
  </si>
  <si>
    <t>TRX-100103</t>
  </si>
  <si>
    <t>TRX-100104</t>
  </si>
  <si>
    <t>TRX-100105</t>
  </si>
  <si>
    <t>TRX-100106</t>
  </si>
  <si>
    <t>TRX-100107</t>
  </si>
  <si>
    <t>TRX-100108</t>
  </si>
  <si>
    <t>TRX-100109</t>
  </si>
  <si>
    <t>TRX-100110</t>
  </si>
  <si>
    <t>TRX-100111</t>
  </si>
  <si>
    <t>TRX-100112</t>
  </si>
  <si>
    <t>TRX-100113</t>
  </si>
  <si>
    <t>TRX-100114</t>
  </si>
  <si>
    <t>TRX-100115</t>
  </si>
  <si>
    <t>TRX-100116</t>
  </si>
  <si>
    <t>TRX-100117</t>
  </si>
  <si>
    <t>TRX-100118</t>
  </si>
  <si>
    <t>TRX-100119</t>
  </si>
  <si>
    <t>TRX-100120</t>
  </si>
  <si>
    <t>TRX-100121</t>
  </si>
  <si>
    <t>TRX-100122</t>
  </si>
  <si>
    <t>TRX-100123</t>
  </si>
  <si>
    <t>TRX-100124</t>
  </si>
  <si>
    <t>TRX-100125</t>
  </si>
  <si>
    <t>TRX-100126</t>
  </si>
  <si>
    <t>TRX-100127</t>
  </si>
  <si>
    <t>TRX-100128</t>
  </si>
  <si>
    <t>TRX-100129</t>
  </si>
  <si>
    <t>TRX-100130</t>
  </si>
  <si>
    <t>TRX-100131</t>
  </si>
  <si>
    <t>TRX-100132</t>
  </si>
  <si>
    <t>TRX-100133</t>
  </si>
  <si>
    <t>TRX-100134</t>
  </si>
  <si>
    <t>TRX-100135</t>
  </si>
  <si>
    <t>TRX-100136</t>
  </si>
  <si>
    <t>TRX-100137</t>
  </si>
  <si>
    <t>TRX-100138</t>
  </si>
  <si>
    <t>TRX-100139</t>
  </si>
  <si>
    <t>TRX-100140</t>
  </si>
  <si>
    <t>TRX-100141</t>
  </si>
  <si>
    <t>TRX-100142</t>
  </si>
  <si>
    <t>TRX-100143</t>
  </si>
  <si>
    <t>TRX-100144</t>
  </si>
  <si>
    <t>TRX-100145</t>
  </si>
  <si>
    <t>TRX-100146</t>
  </si>
  <si>
    <t>TRX-100147</t>
  </si>
  <si>
    <t>TRX-100148</t>
  </si>
  <si>
    <t>TRX-100149</t>
  </si>
  <si>
    <t>TRX-100150</t>
  </si>
  <si>
    <t>TRX-100151</t>
  </si>
  <si>
    <t>TRX-100152</t>
  </si>
  <si>
    <t>TRX-100153</t>
  </si>
  <si>
    <t>TRX-100154</t>
  </si>
  <si>
    <t>TRX-100155</t>
  </si>
  <si>
    <t>TRX-100156</t>
  </si>
  <si>
    <t>TRX-100157</t>
  </si>
  <si>
    <t>TRX-100158</t>
  </si>
  <si>
    <t>TRX-100159</t>
  </si>
  <si>
    <t>TRX-100160</t>
  </si>
  <si>
    <t>TRX-100161</t>
  </si>
  <si>
    <t>TRX-100162</t>
  </si>
  <si>
    <t>TRX-100163</t>
  </si>
  <si>
    <t>TRX-100164</t>
  </si>
  <si>
    <t>TRX-100165</t>
  </si>
  <si>
    <t>TRX-100166</t>
  </si>
  <si>
    <t>TRX-100167</t>
  </si>
  <si>
    <t>TRX-100168</t>
  </si>
  <si>
    <t>TRX-100169</t>
  </si>
  <si>
    <t>TRX-100170</t>
  </si>
  <si>
    <t>TRX-100171</t>
  </si>
  <si>
    <t>TRX-100172</t>
  </si>
  <si>
    <t>TRX-100173</t>
  </si>
  <si>
    <t>TRX-100174</t>
  </si>
  <si>
    <t>TRX-100175</t>
  </si>
  <si>
    <t>TRX-100176</t>
  </si>
  <si>
    <t>TRX-100177</t>
  </si>
  <si>
    <t>TRX-100178</t>
  </si>
  <si>
    <t>TRX-100179</t>
  </si>
  <si>
    <t>TRX-100180</t>
  </si>
  <si>
    <t>TRX-100181</t>
  </si>
  <si>
    <t>TRX-100182</t>
  </si>
  <si>
    <t>TRX-100183</t>
  </si>
  <si>
    <t>TRX-100184</t>
  </si>
  <si>
    <t>TRX-100185</t>
  </si>
  <si>
    <t>TRX-100186</t>
  </si>
  <si>
    <t>TRX-100187</t>
  </si>
  <si>
    <t>TRX-100188</t>
  </si>
  <si>
    <t>TRX-100189</t>
  </si>
  <si>
    <t>TRX-100190</t>
  </si>
  <si>
    <t>TRX-100191</t>
  </si>
  <si>
    <t>TRX-100192</t>
  </si>
  <si>
    <t>TRX-100193</t>
  </si>
  <si>
    <t>TRX-100194</t>
  </si>
  <si>
    <t>TRX-100195</t>
  </si>
  <si>
    <t>TRX-100196</t>
  </si>
  <si>
    <t>TRX-100197</t>
  </si>
  <si>
    <t>TRX-100198</t>
  </si>
  <si>
    <t>TRX-100199</t>
  </si>
  <si>
    <t>TRX-100200</t>
  </si>
  <si>
    <t>TRX-100201</t>
  </si>
  <si>
    <t>TRX-100202</t>
  </si>
  <si>
    <t>TRX-100203</t>
  </si>
  <si>
    <t>TRX-100204</t>
  </si>
  <si>
    <t>TRX-100205</t>
  </si>
  <si>
    <t>TRX-100206</t>
  </si>
  <si>
    <t>TRX-100207</t>
  </si>
  <si>
    <t>TRX-100208</t>
  </si>
  <si>
    <t>TRX-100209</t>
  </si>
  <si>
    <t>TRX-100210</t>
  </si>
  <si>
    <t>TRX-100211</t>
  </si>
  <si>
    <t>TRX-100212</t>
  </si>
  <si>
    <t>TRX-100213</t>
  </si>
  <si>
    <t>TRX-100214</t>
  </si>
  <si>
    <t>TRX-100215</t>
  </si>
  <si>
    <t>TRX-100216</t>
  </si>
  <si>
    <t>TRX-100217</t>
  </si>
  <si>
    <t>TRX-100218</t>
  </si>
  <si>
    <t>TRX-100219</t>
  </si>
  <si>
    <t>TRX-100220</t>
  </si>
  <si>
    <t>TRX-100221</t>
  </si>
  <si>
    <t>TRX-100222</t>
  </si>
  <si>
    <t>TRX-100223</t>
  </si>
  <si>
    <t>TRX-100224</t>
  </si>
  <si>
    <t>TRX-100225</t>
  </si>
  <si>
    <t>TRX-100226</t>
  </si>
  <si>
    <t>TRX-100227</t>
  </si>
  <si>
    <t>TRX-100228</t>
  </si>
  <si>
    <t>TRX-100229</t>
  </si>
  <si>
    <t>TRX-100230</t>
  </si>
  <si>
    <t>TRX-100231</t>
  </si>
  <si>
    <t>TRX-100232</t>
  </si>
  <si>
    <t>TRX-100233</t>
  </si>
  <si>
    <t>TRX-100234</t>
  </si>
  <si>
    <t>TRX-100235</t>
  </si>
  <si>
    <t>TRX-100236</t>
  </si>
  <si>
    <t>TRX-100237</t>
  </si>
  <si>
    <t>TRX-100238</t>
  </si>
  <si>
    <t>TRX-100239</t>
  </si>
  <si>
    <t>TRX-100240</t>
  </si>
  <si>
    <t>TRX-100241</t>
  </si>
  <si>
    <t>TRX-100242</t>
  </si>
  <si>
    <t>TRX-100243</t>
  </si>
  <si>
    <t>TRX-100244</t>
  </si>
  <si>
    <t>TRX-100245</t>
  </si>
  <si>
    <t>TRX-100246</t>
  </si>
  <si>
    <t>TRX-100247</t>
  </si>
  <si>
    <t>TRX-100248</t>
  </si>
  <si>
    <t>TRX-100249</t>
  </si>
  <si>
    <t>TRX-100250</t>
  </si>
  <si>
    <t>TRX-100251</t>
  </si>
  <si>
    <t>TRX-100252</t>
  </si>
  <si>
    <t>TRX-100253</t>
  </si>
  <si>
    <t>TRX-100254</t>
  </si>
  <si>
    <t>TRX-100255</t>
  </si>
  <si>
    <t>TRX-100256</t>
  </si>
  <si>
    <t>TRX-100257</t>
  </si>
  <si>
    <t>TRX-100258</t>
  </si>
  <si>
    <t>TRX-100259</t>
  </si>
  <si>
    <t>TRX-100260</t>
  </si>
  <si>
    <t>TRX-100261</t>
  </si>
  <si>
    <t>TRX-100262</t>
  </si>
  <si>
    <t>TRX-100263</t>
  </si>
  <si>
    <t>TRX-100264</t>
  </si>
  <si>
    <t>TRX-100265</t>
  </si>
  <si>
    <t>TRX-100266</t>
  </si>
  <si>
    <t>TRX-100267</t>
  </si>
  <si>
    <t>TRX-100268</t>
  </si>
  <si>
    <t>TRX-100269</t>
  </si>
  <si>
    <t>TRX-100270</t>
  </si>
  <si>
    <t>TRX-100271</t>
  </si>
  <si>
    <t>TRX-100272</t>
  </si>
  <si>
    <t>TRX-100273</t>
  </si>
  <si>
    <t>TRX-100274</t>
  </si>
  <si>
    <t>TRX-100275</t>
  </si>
  <si>
    <t>TRX-100276</t>
  </si>
  <si>
    <t>TRX-100277</t>
  </si>
  <si>
    <t>TRX-100278</t>
  </si>
  <si>
    <t>TRX-100279</t>
  </si>
  <si>
    <t>TRX-100280</t>
  </si>
  <si>
    <t>TRX-100281</t>
  </si>
  <si>
    <t>TRX-100282</t>
  </si>
  <si>
    <t>TRX-100283</t>
  </si>
  <si>
    <t>TRX-100284</t>
  </si>
  <si>
    <t>TRX-100285</t>
  </si>
  <si>
    <t>TRX-100286</t>
  </si>
  <si>
    <t>TRX-100287</t>
  </si>
  <si>
    <t>TRX-100288</t>
  </si>
  <si>
    <t>TRX-100289</t>
  </si>
  <si>
    <t>TRX-100290</t>
  </si>
  <si>
    <t>TRX-100291</t>
  </si>
  <si>
    <t>TRX-100292</t>
  </si>
  <si>
    <t>TRX-100293</t>
  </si>
  <si>
    <t>TRX-100294</t>
  </si>
  <si>
    <t>TRX-100295</t>
  </si>
  <si>
    <t>TRX-100296</t>
  </si>
  <si>
    <t>TRX-100297</t>
  </si>
  <si>
    <t>TRX-100298</t>
  </si>
  <si>
    <t>TRX-100299</t>
  </si>
  <si>
    <t>TRX-100300</t>
  </si>
  <si>
    <t>TRX-100301</t>
  </si>
  <si>
    <t>TRX-100302</t>
  </si>
  <si>
    <t>TRX-100303</t>
  </si>
  <si>
    <t>TRX-100304</t>
  </si>
  <si>
    <t>TRX-100305</t>
  </si>
  <si>
    <t>TRX-100306</t>
  </si>
  <si>
    <t>TRX-100307</t>
  </si>
  <si>
    <t>TRX-100308</t>
  </si>
  <si>
    <t>TRX-100309</t>
  </si>
  <si>
    <t>TRX-100310</t>
  </si>
  <si>
    <t>TRX-100311</t>
  </si>
  <si>
    <t>TRX-100312</t>
  </si>
  <si>
    <t>TRX-100313</t>
  </si>
  <si>
    <t>TRX-100314</t>
  </si>
  <si>
    <t>TRX-100315</t>
  </si>
  <si>
    <t>TRX-100316</t>
  </si>
  <si>
    <t>TRX-100317</t>
  </si>
  <si>
    <t>TRX-100318</t>
  </si>
  <si>
    <t>TRX-100319</t>
  </si>
  <si>
    <t>TRX-100320</t>
  </si>
  <si>
    <t>TRX-100321</t>
  </si>
  <si>
    <t>TRX-100322</t>
  </si>
  <si>
    <t>TRX-100323</t>
  </si>
  <si>
    <t>TRX-100324</t>
  </si>
  <si>
    <t>TRX-100325</t>
  </si>
  <si>
    <t>TRX-100326</t>
  </si>
  <si>
    <t>TRX-100327</t>
  </si>
  <si>
    <t>TRX-100328</t>
  </si>
  <si>
    <t>TRX-100329</t>
  </si>
  <si>
    <t>TRX-100330</t>
  </si>
  <si>
    <t>TRX-100331</t>
  </si>
  <si>
    <t>TRX-100332</t>
  </si>
  <si>
    <t>TRX-100333</t>
  </si>
  <si>
    <t>TRX-100334</t>
  </si>
  <si>
    <t>TRX-100335</t>
  </si>
  <si>
    <t>TRX-100336</t>
  </si>
  <si>
    <t>TRX-100337</t>
  </si>
  <si>
    <t>TRX-100338</t>
  </si>
  <si>
    <t>TRX-100339</t>
  </si>
  <si>
    <t>TRX-100340</t>
  </si>
  <si>
    <t>TRX-100341</t>
  </si>
  <si>
    <t>TRX-100342</t>
  </si>
  <si>
    <t>TRX-100343</t>
  </si>
  <si>
    <t>TRX-100344</t>
  </si>
  <si>
    <t>TRX-100345</t>
  </si>
  <si>
    <t>TRX-100346</t>
  </si>
  <si>
    <t>TRX-100347</t>
  </si>
  <si>
    <t>TRX-100348</t>
  </si>
  <si>
    <t>TRX-100349</t>
  </si>
  <si>
    <t>TRX-100350</t>
  </si>
  <si>
    <t>TRX-100351</t>
  </si>
  <si>
    <t>TRX-100352</t>
  </si>
  <si>
    <t>TRX-100353</t>
  </si>
  <si>
    <t>TRX-100354</t>
  </si>
  <si>
    <t>TRX-100355</t>
  </si>
  <si>
    <t>TRX-100356</t>
  </si>
  <si>
    <t>TRX-100357</t>
  </si>
  <si>
    <t>TRX-100358</t>
  </si>
  <si>
    <t>TRX-100359</t>
  </si>
  <si>
    <t>TRX-100360</t>
  </si>
  <si>
    <t>TRX-100361</t>
  </si>
  <si>
    <t>TRX-100362</t>
  </si>
  <si>
    <t>TRX-100363</t>
  </si>
  <si>
    <t>TRX-100364</t>
  </si>
  <si>
    <t>TRX-100365</t>
  </si>
  <si>
    <t>TRX-100366</t>
  </si>
  <si>
    <t>TRX-100367</t>
  </si>
  <si>
    <t>TRX-100368</t>
  </si>
  <si>
    <t>TRX-100369</t>
  </si>
  <si>
    <t>TRX-100370</t>
  </si>
  <si>
    <t>TRX-100371</t>
  </si>
  <si>
    <t>TRX-100372</t>
  </si>
  <si>
    <t>TRX-100373</t>
  </si>
  <si>
    <t>TRX-100374</t>
  </si>
  <si>
    <t>TRX-100375</t>
  </si>
  <si>
    <t>TRX-100376</t>
  </si>
  <si>
    <t>TRX-100377</t>
  </si>
  <si>
    <t>TRX-100378</t>
  </si>
  <si>
    <t>TRX-100379</t>
  </si>
  <si>
    <t>TRX-100380</t>
  </si>
  <si>
    <t>TRX-100381</t>
  </si>
  <si>
    <t>TRX-100382</t>
  </si>
  <si>
    <t>TRX-100383</t>
  </si>
  <si>
    <t>TRX-100384</t>
  </si>
  <si>
    <t>TRX-100385</t>
  </si>
  <si>
    <t>TRX-100386</t>
  </si>
  <si>
    <t>TRX-100387</t>
  </si>
  <si>
    <t>TRX-100388</t>
  </si>
  <si>
    <t>TRX-100389</t>
  </si>
  <si>
    <t>TRX-100390</t>
  </si>
  <si>
    <t>TRX-100391</t>
  </si>
  <si>
    <t>TRX-100392</t>
  </si>
  <si>
    <t>TRX-100393</t>
  </si>
  <si>
    <t>TRX-100394</t>
  </si>
  <si>
    <t>TRX-100395</t>
  </si>
  <si>
    <t>TRX-100396</t>
  </si>
  <si>
    <t>TRX-100397</t>
  </si>
  <si>
    <t>TRX-100398</t>
  </si>
  <si>
    <t>TRX-100399</t>
  </si>
  <si>
    <t>TRX-100400</t>
  </si>
  <si>
    <t>TRX-100401</t>
  </si>
  <si>
    <t>TRX-100402</t>
  </si>
  <si>
    <t>TRX-100403</t>
  </si>
  <si>
    <t>TRX-100404</t>
  </si>
  <si>
    <t>TRX-100405</t>
  </si>
  <si>
    <t>TRX-100406</t>
  </si>
  <si>
    <t>TRX-100407</t>
  </si>
  <si>
    <t>TRX-100408</t>
  </si>
  <si>
    <t>TRX-100409</t>
  </si>
  <si>
    <t>TRX-100410</t>
  </si>
  <si>
    <t>TRX-100411</t>
  </si>
  <si>
    <t>TRX-100412</t>
  </si>
  <si>
    <t>TRX-100413</t>
  </si>
  <si>
    <t>TRX-100414</t>
  </si>
  <si>
    <t>TRX-100415</t>
  </si>
  <si>
    <t>TRX-100416</t>
  </si>
  <si>
    <t>TRX-100417</t>
  </si>
  <si>
    <t>TRX-100418</t>
  </si>
  <si>
    <t>TRX-100419</t>
  </si>
  <si>
    <t>TRX-100420</t>
  </si>
  <si>
    <t>TRX-100421</t>
  </si>
  <si>
    <t>TRX-100422</t>
  </si>
  <si>
    <t>TRX-100423</t>
  </si>
  <si>
    <t>TRX-100424</t>
  </si>
  <si>
    <t>TRX-100425</t>
  </si>
  <si>
    <t>TRX-100426</t>
  </si>
  <si>
    <t>TRX-100427</t>
  </si>
  <si>
    <t>TRX-100428</t>
  </si>
  <si>
    <t>TRX-100429</t>
  </si>
  <si>
    <t>TRX-100430</t>
  </si>
  <si>
    <t>TRX-100431</t>
  </si>
  <si>
    <t>TRX-100432</t>
  </si>
  <si>
    <t>TRX-100433</t>
  </si>
  <si>
    <t>TRX-100434</t>
  </si>
  <si>
    <t>TRX-100435</t>
  </si>
  <si>
    <t>TRX-100436</t>
  </si>
  <si>
    <t>TRX-100437</t>
  </si>
  <si>
    <t>TRX-100438</t>
  </si>
  <si>
    <t>TRX-100439</t>
  </si>
  <si>
    <t>TRX-100440</t>
  </si>
  <si>
    <t>TRX-100441</t>
  </si>
  <si>
    <t>TRX-100442</t>
  </si>
  <si>
    <t>TRX-100443</t>
  </si>
  <si>
    <t>TRX-100444</t>
  </si>
  <si>
    <t>TRX-100445</t>
  </si>
  <si>
    <t>TRX-100446</t>
  </si>
  <si>
    <t>TRX-100447</t>
  </si>
  <si>
    <t>TRX-100448</t>
  </si>
  <si>
    <t>TRX-100449</t>
  </si>
  <si>
    <t>TRX-100450</t>
  </si>
  <si>
    <t>TRX-100451</t>
  </si>
  <si>
    <t>TRX-100452</t>
  </si>
  <si>
    <t>TRX-100453</t>
  </si>
  <si>
    <t>TRX-100454</t>
  </si>
  <si>
    <t>TRX-100455</t>
  </si>
  <si>
    <t>TRX-100456</t>
  </si>
  <si>
    <t>TRX-100457</t>
  </si>
  <si>
    <t>TRX-100458</t>
  </si>
  <si>
    <t>TRX-100459</t>
  </si>
  <si>
    <t>TRX-100460</t>
  </si>
  <si>
    <t>TRX-100461</t>
  </si>
  <si>
    <t>TRX-100462</t>
  </si>
  <si>
    <t>TRX-100463</t>
  </si>
  <si>
    <t>TRX-100464</t>
  </si>
  <si>
    <t>TRX-100465</t>
  </si>
  <si>
    <t>TRX-100466</t>
  </si>
  <si>
    <t>TRX-100467</t>
  </si>
  <si>
    <t>TRX-100468</t>
  </si>
  <si>
    <t>TRX-100469</t>
  </si>
  <si>
    <t>TRX-100470</t>
  </si>
  <si>
    <t>TRX-100471</t>
  </si>
  <si>
    <t>TRX-100472</t>
  </si>
  <si>
    <t>TRX-100473</t>
  </si>
  <si>
    <t>TRX-100474</t>
  </si>
  <si>
    <t>TRX-100475</t>
  </si>
  <si>
    <t>TRX-100476</t>
  </si>
  <si>
    <t>TRX-100477</t>
  </si>
  <si>
    <t>TRX-100478</t>
  </si>
  <si>
    <t>TRX-100479</t>
  </si>
  <si>
    <t>TRX-100480</t>
  </si>
  <si>
    <t>TRX-100481</t>
  </si>
  <si>
    <t>TRX-100482</t>
  </si>
  <si>
    <t>TRX-100483</t>
  </si>
  <si>
    <t>TRX-100484</t>
  </si>
  <si>
    <t>TRX-100485</t>
  </si>
  <si>
    <t>TRX-100486</t>
  </si>
  <si>
    <t>TRX-100487</t>
  </si>
  <si>
    <t>TRX-100488</t>
  </si>
  <si>
    <t>TRX-100489</t>
  </si>
  <si>
    <t>TRX-100490</t>
  </si>
  <si>
    <t>TRX-100491</t>
  </si>
  <si>
    <t>TRX-100492</t>
  </si>
  <si>
    <t>TRX-100493</t>
  </si>
  <si>
    <t>TRX-100494</t>
  </si>
  <si>
    <t>TRX-100495</t>
  </si>
  <si>
    <t>TRX-100496</t>
  </si>
  <si>
    <t>TRX-100497</t>
  </si>
  <si>
    <t>TRX-100498</t>
  </si>
  <si>
    <t>TRX-100499</t>
  </si>
  <si>
    <t>TRX-100500</t>
  </si>
  <si>
    <t>TRX-100501</t>
  </si>
  <si>
    <t>TRX-100502</t>
  </si>
  <si>
    <t>TRX-100503</t>
  </si>
  <si>
    <t>TRX-100504</t>
  </si>
  <si>
    <t>TRX-100505</t>
  </si>
  <si>
    <t>TRX-100506</t>
  </si>
  <si>
    <t>TRX-100507</t>
  </si>
  <si>
    <t>TRX-100508</t>
  </si>
  <si>
    <t>TRX-100509</t>
  </si>
  <si>
    <t>TRX-100510</t>
  </si>
  <si>
    <t>TRX-100511</t>
  </si>
  <si>
    <t>TRX-100512</t>
  </si>
  <si>
    <t>TRX-100513</t>
  </si>
  <si>
    <t>TRX-100514</t>
  </si>
  <si>
    <t>TRX-100515</t>
  </si>
  <si>
    <t>TRX-100516</t>
  </si>
  <si>
    <t>TRX-100517</t>
  </si>
  <si>
    <t>TRX-100518</t>
  </si>
  <si>
    <t>TRX-100519</t>
  </si>
  <si>
    <t>TRX-100520</t>
  </si>
  <si>
    <t>TRX-100521</t>
  </si>
  <si>
    <t>TRX-100522</t>
  </si>
  <si>
    <t>TRX-100523</t>
  </si>
  <si>
    <t>TRX-100524</t>
  </si>
  <si>
    <t>TRX-100525</t>
  </si>
  <si>
    <t>TRX-100526</t>
  </si>
  <si>
    <t>TRX-100527</t>
  </si>
  <si>
    <t>TRX-100528</t>
  </si>
  <si>
    <t>TRX-100529</t>
  </si>
  <si>
    <t>TRX-100530</t>
  </si>
  <si>
    <t>TRX-100531</t>
  </si>
  <si>
    <t>TRX-100532</t>
  </si>
  <si>
    <t>TRX-100533</t>
  </si>
  <si>
    <t>TRX-100534</t>
  </si>
  <si>
    <t>TRX-100535</t>
  </si>
  <si>
    <t>TRX-100536</t>
  </si>
  <si>
    <t>TRX-100537</t>
  </si>
  <si>
    <t>TRX-100538</t>
  </si>
  <si>
    <t>TRX-100539</t>
  </si>
  <si>
    <t>TRX-100540</t>
  </si>
  <si>
    <t>TRX-100541</t>
  </si>
  <si>
    <t>TRX-100542</t>
  </si>
  <si>
    <t>TRX-100543</t>
  </si>
  <si>
    <t>TRX-100544</t>
  </si>
  <si>
    <t>TRX-100545</t>
  </si>
  <si>
    <t>TRX-100546</t>
  </si>
  <si>
    <t>TRX-100547</t>
  </si>
  <si>
    <t>TRX-100548</t>
  </si>
  <si>
    <t>TRX-100549</t>
  </si>
  <si>
    <t>TRX-100550</t>
  </si>
  <si>
    <t>TRX-100551</t>
  </si>
  <si>
    <t>TRX-100552</t>
  </si>
  <si>
    <t>TRX-100553</t>
  </si>
  <si>
    <t>TRX-100554</t>
  </si>
  <si>
    <t>TRX-100555</t>
  </si>
  <si>
    <t>TRX-100556</t>
  </si>
  <si>
    <t>TRX-100557</t>
  </si>
  <si>
    <t>TRX-100558</t>
  </si>
  <si>
    <t>TRX-100559</t>
  </si>
  <si>
    <t>TRX-100560</t>
  </si>
  <si>
    <t>TRX-100561</t>
  </si>
  <si>
    <t>TRX-100562</t>
  </si>
  <si>
    <t>TRX-100563</t>
  </si>
  <si>
    <t>TRX-100564</t>
  </si>
  <si>
    <t>TRX-100565</t>
  </si>
  <si>
    <t>TRX-100566</t>
  </si>
  <si>
    <t>TRX-100567</t>
  </si>
  <si>
    <t>TRX-100568</t>
  </si>
  <si>
    <t>TRX-100569</t>
  </si>
  <si>
    <t>TRX-100570</t>
  </si>
  <si>
    <t>TRX-100571</t>
  </si>
  <si>
    <t>TRX-100572</t>
  </si>
  <si>
    <t>TRX-100573</t>
  </si>
  <si>
    <t>TRX-100574</t>
  </si>
  <si>
    <t>TRX-100575</t>
  </si>
  <si>
    <t>TRX-100576</t>
  </si>
  <si>
    <t>TRX-100577</t>
  </si>
  <si>
    <t>TRX-100578</t>
  </si>
  <si>
    <t>TRX-100579</t>
  </si>
  <si>
    <t>TRX-100580</t>
  </si>
  <si>
    <t>TRX-100581</t>
  </si>
  <si>
    <t>TRX-100582</t>
  </si>
  <si>
    <t>TRX-100583</t>
  </si>
  <si>
    <t>TRX-100584</t>
  </si>
  <si>
    <t>TRX-100585</t>
  </si>
  <si>
    <t>TRX-100586</t>
  </si>
  <si>
    <t>TRX-100587</t>
  </si>
  <si>
    <t>TRX-100588</t>
  </si>
  <si>
    <t>TRX-100589</t>
  </si>
  <si>
    <t>TRX-100590</t>
  </si>
  <si>
    <t>TRX-100591</t>
  </si>
  <si>
    <t>TRX-100592</t>
  </si>
  <si>
    <t>TRX-100593</t>
  </si>
  <si>
    <t>TRX-100594</t>
  </si>
  <si>
    <t>TRX-100595</t>
  </si>
  <si>
    <t>TRX-100596</t>
  </si>
  <si>
    <t>TRX-100597</t>
  </si>
  <si>
    <t>TRX-100598</t>
  </si>
  <si>
    <t>TRX-100599</t>
  </si>
  <si>
    <t>TRX-100600</t>
  </si>
  <si>
    <t>TRX-100601</t>
  </si>
  <si>
    <t>TRX-100602</t>
  </si>
  <si>
    <t>TRX-100603</t>
  </si>
  <si>
    <t>TRX-100604</t>
  </si>
  <si>
    <t>TRX-100605</t>
  </si>
  <si>
    <t>TRX-100606</t>
  </si>
  <si>
    <t>TRX-100607</t>
  </si>
  <si>
    <t>TRX-100608</t>
  </si>
  <si>
    <t>TRX-100609</t>
  </si>
  <si>
    <t>TRX-100610</t>
  </si>
  <si>
    <t>TRX-100611</t>
  </si>
  <si>
    <t>TRX-100612</t>
  </si>
  <si>
    <t>TRX-100613</t>
  </si>
  <si>
    <t>TRX-100614</t>
  </si>
  <si>
    <t>TRX-100615</t>
  </si>
  <si>
    <t>TRX-100616</t>
  </si>
  <si>
    <t>TRX-100617</t>
  </si>
  <si>
    <t>TRX-100618</t>
  </si>
  <si>
    <t>TRX-100619</t>
  </si>
  <si>
    <t>TRX-100620</t>
  </si>
  <si>
    <t>TRX-100621</t>
  </si>
  <si>
    <t>TRX-100622</t>
  </si>
  <si>
    <t>TRX-100623</t>
  </si>
  <si>
    <t>TRX-100624</t>
  </si>
  <si>
    <t>TRX-100625</t>
  </si>
  <si>
    <t>TRX-100626</t>
  </si>
  <si>
    <t>TRX-100627</t>
  </si>
  <si>
    <t>TRX-100628</t>
  </si>
  <si>
    <t>TRX-100629</t>
  </si>
  <si>
    <t>TRX-100630</t>
  </si>
  <si>
    <t>TRX-100631</t>
  </si>
  <si>
    <t>TRX-100632</t>
  </si>
  <si>
    <t>TRX-100633</t>
  </si>
  <si>
    <t>TRX-100634</t>
  </si>
  <si>
    <t>TRX-100635</t>
  </si>
  <si>
    <t>TRX-100636</t>
  </si>
  <si>
    <t>TRX-100637</t>
  </si>
  <si>
    <t>TRX-100638</t>
  </si>
  <si>
    <t>TRX-100639</t>
  </si>
  <si>
    <t>TRX-100640</t>
  </si>
  <si>
    <t>TRX-100641</t>
  </si>
  <si>
    <t>TRX-100642</t>
  </si>
  <si>
    <t>TRX-100643</t>
  </si>
  <si>
    <t>TRX-100644</t>
  </si>
  <si>
    <t>TRX-100645</t>
  </si>
  <si>
    <t>TRX-100646</t>
  </si>
  <si>
    <t>TRX-100647</t>
  </si>
  <si>
    <t>TRX-100648</t>
  </si>
  <si>
    <t>TRX-100649</t>
  </si>
  <si>
    <t>TRX-100650</t>
  </si>
  <si>
    <t>TRX-100651</t>
  </si>
  <si>
    <t>TRX-100652</t>
  </si>
  <si>
    <t>TRX-100653</t>
  </si>
  <si>
    <t>TRX-100654</t>
  </si>
  <si>
    <t>TRX-100655</t>
  </si>
  <si>
    <t>TRX-100656</t>
  </si>
  <si>
    <t>TRX-100657</t>
  </si>
  <si>
    <t>TRX-100658</t>
  </si>
  <si>
    <t>TRX-100659</t>
  </si>
  <si>
    <t>TRX-100660</t>
  </si>
  <si>
    <t>TRX-100661</t>
  </si>
  <si>
    <t>TRX-100662</t>
  </si>
  <si>
    <t>TRX-100663</t>
  </si>
  <si>
    <t>TRX-100664</t>
  </si>
  <si>
    <t>TRX-100665</t>
  </si>
  <si>
    <t>TRX-100666</t>
  </si>
  <si>
    <t>TRX-100667</t>
  </si>
  <si>
    <t>TRX-100668</t>
  </si>
  <si>
    <t>TRX-100669</t>
  </si>
  <si>
    <t>TRX-100670</t>
  </si>
  <si>
    <t>TRX-100671</t>
  </si>
  <si>
    <t>TRX-100672</t>
  </si>
  <si>
    <t>TRX-100673</t>
  </si>
  <si>
    <t>TRX-100674</t>
  </si>
  <si>
    <t>TRX-100675</t>
  </si>
  <si>
    <t>TRX-100676</t>
  </si>
  <si>
    <t>TRX-100677</t>
  </si>
  <si>
    <t>TRX-100678</t>
  </si>
  <si>
    <t>TRX-100679</t>
  </si>
  <si>
    <t>TRX-100680</t>
  </si>
  <si>
    <t>TRX-100681</t>
  </si>
  <si>
    <t>TRX-100682</t>
  </si>
  <si>
    <t>TRX-100683</t>
  </si>
  <si>
    <t>TRX-100684</t>
  </si>
  <si>
    <t>TRX-100685</t>
  </si>
  <si>
    <t>TRX-100686</t>
  </si>
  <si>
    <t>TRX-100687</t>
  </si>
  <si>
    <t>TRX-100688</t>
  </si>
  <si>
    <t>TRX-100689</t>
  </si>
  <si>
    <t>TRX-100690</t>
  </si>
  <si>
    <t>TRX-100691</t>
  </si>
  <si>
    <t>TRX-100692</t>
  </si>
  <si>
    <t>TRX-100693</t>
  </si>
  <si>
    <t>TRX-100694</t>
  </si>
  <si>
    <t>TRX-100695</t>
  </si>
  <si>
    <t>TRX-100696</t>
  </si>
  <si>
    <t>TRX-100697</t>
  </si>
  <si>
    <t>TRX-100698</t>
  </si>
  <si>
    <t>TRX-100699</t>
  </si>
  <si>
    <t>TRX-100700</t>
  </si>
  <si>
    <t>TRX-100701</t>
  </si>
  <si>
    <t>TRX-100702</t>
  </si>
  <si>
    <t>TRX-100703</t>
  </si>
  <si>
    <t>TRX-100704</t>
  </si>
  <si>
    <t>TRX-100705</t>
  </si>
  <si>
    <t>TRX-100706</t>
  </si>
  <si>
    <t>TRX-100707</t>
  </si>
  <si>
    <t>TRX-100708</t>
  </si>
  <si>
    <t>TRX-100709</t>
  </si>
  <si>
    <t>TRX-100710</t>
  </si>
  <si>
    <t>TRX-100711</t>
  </si>
  <si>
    <t>TRX-100712</t>
  </si>
  <si>
    <t>TRX-100713</t>
  </si>
  <si>
    <t>TRX-100714</t>
  </si>
  <si>
    <t>TRX-100715</t>
  </si>
  <si>
    <t>TRX-100716</t>
  </si>
  <si>
    <t>TRX-100717</t>
  </si>
  <si>
    <t>TRX-100718</t>
  </si>
  <si>
    <t>TRX-100719</t>
  </si>
  <si>
    <t>TRX-100720</t>
  </si>
  <si>
    <t>TRX-100721</t>
  </si>
  <si>
    <t>TRX-100722</t>
  </si>
  <si>
    <t>TRX-100723</t>
  </si>
  <si>
    <t>TRX-100724</t>
  </si>
  <si>
    <t>TRX-100725</t>
  </si>
  <si>
    <t>TRX-100726</t>
  </si>
  <si>
    <t>TRX-100727</t>
  </si>
  <si>
    <t>TRX-100728</t>
  </si>
  <si>
    <t>TRX-100729</t>
  </si>
  <si>
    <t>TRX-100730</t>
  </si>
  <si>
    <t>TRX-100731</t>
  </si>
  <si>
    <t>TRX-100732</t>
  </si>
  <si>
    <t>TRX-100733</t>
  </si>
  <si>
    <t>TRX-100734</t>
  </si>
  <si>
    <t>TRX-100735</t>
  </si>
  <si>
    <t>TRX-100736</t>
  </si>
  <si>
    <t>TRX-100737</t>
  </si>
  <si>
    <t>TRX-100738</t>
  </si>
  <si>
    <t>TRX-100739</t>
  </si>
  <si>
    <t>TRX-100740</t>
  </si>
  <si>
    <t>TRX-100741</t>
  </si>
  <si>
    <t>TRX-100742</t>
  </si>
  <si>
    <t>TRX-100743</t>
  </si>
  <si>
    <t>TRX-100744</t>
  </si>
  <si>
    <t>TRX-100745</t>
  </si>
  <si>
    <t>TRX-100746</t>
  </si>
  <si>
    <t>TRX-100747</t>
  </si>
  <si>
    <t>TRX-100748</t>
  </si>
  <si>
    <t>TRX-100749</t>
  </si>
  <si>
    <t>TRX-100750</t>
  </si>
  <si>
    <t>TRX-100751</t>
  </si>
  <si>
    <t>TRX-100752</t>
  </si>
  <si>
    <t>TRX-100753</t>
  </si>
  <si>
    <t>TRX-100754</t>
  </si>
  <si>
    <t>TRX-100755</t>
  </si>
  <si>
    <t>TRX-100756</t>
  </si>
  <si>
    <t>TRX-100757</t>
  </si>
  <si>
    <t>TRX-100758</t>
  </si>
  <si>
    <t>TRX-100759</t>
  </si>
  <si>
    <t>TRX-100760</t>
  </si>
  <si>
    <t>TRX-100761</t>
  </si>
  <si>
    <t>TRX-100762</t>
  </si>
  <si>
    <t>TRX-100763</t>
  </si>
  <si>
    <t>TRX-100764</t>
  </si>
  <si>
    <t>TRX-100765</t>
  </si>
  <si>
    <t>TRX-100766</t>
  </si>
  <si>
    <t>TRX-100767</t>
  </si>
  <si>
    <t>TRX-100768</t>
  </si>
  <si>
    <t>TRX-100769</t>
  </si>
  <si>
    <t>TRX-100770</t>
  </si>
  <si>
    <t>TRX-100771</t>
  </si>
  <si>
    <t>TRX-100772</t>
  </si>
  <si>
    <t>TRX-100773</t>
  </si>
  <si>
    <t>TRX-100774</t>
  </si>
  <si>
    <t>TRX-100775</t>
  </si>
  <si>
    <t>TRX-100776</t>
  </si>
  <si>
    <t>TRX-100777</t>
  </si>
  <si>
    <t>TRX-100778</t>
  </si>
  <si>
    <t>TRX-100779</t>
  </si>
  <si>
    <t>TRX-100780</t>
  </si>
  <si>
    <t>TRX-100781</t>
  </si>
  <si>
    <t>TRX-100782</t>
  </si>
  <si>
    <t>TRX-100783</t>
  </si>
  <si>
    <t>TRX-100784</t>
  </si>
  <si>
    <t>TRX-100785</t>
  </si>
  <si>
    <t>TRX-100786</t>
  </si>
  <si>
    <t>TRX-100787</t>
  </si>
  <si>
    <t>TRX-100788</t>
  </si>
  <si>
    <t>TRX-100789</t>
  </si>
  <si>
    <t>TRX-100790</t>
  </si>
  <si>
    <t>TRX-100791</t>
  </si>
  <si>
    <t>TRX-100792</t>
  </si>
  <si>
    <t>TRX-100793</t>
  </si>
  <si>
    <t>TRX-100794</t>
  </si>
  <si>
    <t>TRX-100795</t>
  </si>
  <si>
    <t>TRX-100796</t>
  </si>
  <si>
    <t>TRX-100797</t>
  </si>
  <si>
    <t>TRX-100798</t>
  </si>
  <si>
    <t>TRX-100799</t>
  </si>
  <si>
    <t>TRX-100800</t>
  </si>
  <si>
    <t>TRX-100801</t>
  </si>
  <si>
    <t>TRX-100802</t>
  </si>
  <si>
    <t>TRX-100803</t>
  </si>
  <si>
    <t>TRX-100804</t>
  </si>
  <si>
    <t>TRX-100805</t>
  </si>
  <si>
    <t>TRX-100806</t>
  </si>
  <si>
    <t>TRX-100807</t>
  </si>
  <si>
    <t>TRX-100808</t>
  </si>
  <si>
    <t>TRX-100809</t>
  </si>
  <si>
    <t>TRX-100810</t>
  </si>
  <si>
    <t>TRX-100811</t>
  </si>
  <si>
    <t>TRX-100812</t>
  </si>
  <si>
    <t>TRX-100813</t>
  </si>
  <si>
    <t>TRX-100814</t>
  </si>
  <si>
    <t>TRX-100815</t>
  </si>
  <si>
    <t>TRX-100816</t>
  </si>
  <si>
    <t>TRX-100817</t>
  </si>
  <si>
    <t>TRX-100818</t>
  </si>
  <si>
    <t>TRX-100819</t>
  </si>
  <si>
    <t>TRX-100820</t>
  </si>
  <si>
    <t>TRX-100821</t>
  </si>
  <si>
    <t>TRX-100822</t>
  </si>
  <si>
    <t>TRX-100823</t>
  </si>
  <si>
    <t>TRX-100824</t>
  </si>
  <si>
    <t>TRX-100825</t>
  </si>
  <si>
    <t>TRX-100826</t>
  </si>
  <si>
    <t>TRX-100827</t>
  </si>
  <si>
    <t>TRX-100828</t>
  </si>
  <si>
    <t>TRX-100829</t>
  </si>
  <si>
    <t>TRX-100830</t>
  </si>
  <si>
    <t>TRX-100831</t>
  </si>
  <si>
    <t>TRX-100832</t>
  </si>
  <si>
    <t>TRX-100833</t>
  </si>
  <si>
    <t>TRX-100834</t>
  </si>
  <si>
    <t>TRX-100835</t>
  </si>
  <si>
    <t>TRX-100836</t>
  </si>
  <si>
    <t>TRX-100837</t>
  </si>
  <si>
    <t>TRX-100838</t>
  </si>
  <si>
    <t>TRX-100839</t>
  </si>
  <si>
    <t>TRX-100840</t>
  </si>
  <si>
    <t>TRX-100841</t>
  </si>
  <si>
    <t>TRX-100842</t>
  </si>
  <si>
    <t>TRX-100843</t>
  </si>
  <si>
    <t>TRX-100844</t>
  </si>
  <si>
    <t>TRX-100845</t>
  </si>
  <si>
    <t>TRX-100846</t>
  </si>
  <si>
    <t>TRX-100847</t>
  </si>
  <si>
    <t>TRX-100848</t>
  </si>
  <si>
    <t>TRX-100849</t>
  </si>
  <si>
    <t>TRX-100850</t>
  </si>
  <si>
    <t>TRX-100851</t>
  </si>
  <si>
    <t>TRX-100852</t>
  </si>
  <si>
    <t>TRX-100853</t>
  </si>
  <si>
    <t>TRX-100854</t>
  </si>
  <si>
    <t>TRX-100855</t>
  </si>
  <si>
    <t>TRX-100856</t>
  </si>
  <si>
    <t>TRX-100857</t>
  </si>
  <si>
    <t>TRX-100858</t>
  </si>
  <si>
    <t>TRX-100859</t>
  </si>
  <si>
    <t>TRX-100860</t>
  </si>
  <si>
    <t>TRX-100861</t>
  </si>
  <si>
    <t>TRX-100862</t>
  </si>
  <si>
    <t>TRX-100863</t>
  </si>
  <si>
    <t>TRX-100864</t>
  </si>
  <si>
    <t>TRX-100865</t>
  </si>
  <si>
    <t>TRX-100866</t>
  </si>
  <si>
    <t>TRX-100867</t>
  </si>
  <si>
    <t>TRX-100868</t>
  </si>
  <si>
    <t>TRX-100869</t>
  </si>
  <si>
    <t>TRX-100870</t>
  </si>
  <si>
    <t>TRX-100871</t>
  </si>
  <si>
    <t>TRX-100872</t>
  </si>
  <si>
    <t>TRX-100873</t>
  </si>
  <si>
    <t>TRX-100874</t>
  </si>
  <si>
    <t>TRX-100875</t>
  </si>
  <si>
    <t>TRX-100876</t>
  </si>
  <si>
    <t>TRX-100877</t>
  </si>
  <si>
    <t>TRX-100878</t>
  </si>
  <si>
    <t>TRX-100879</t>
  </si>
  <si>
    <t>TRX-100880</t>
  </si>
  <si>
    <t>TRX-100881</t>
  </si>
  <si>
    <t>TRX-100882</t>
  </si>
  <si>
    <t>TRX-100883</t>
  </si>
  <si>
    <t>TRX-100884</t>
  </si>
  <si>
    <t>TRX-100885</t>
  </si>
  <si>
    <t>TRX-100886</t>
  </si>
  <si>
    <t>TRX-100887</t>
  </si>
  <si>
    <t>TRX-100888</t>
  </si>
  <si>
    <t>TRX-100889</t>
  </si>
  <si>
    <t>TRX-100890</t>
  </si>
  <si>
    <t>TRX-100891</t>
  </si>
  <si>
    <t>TRX-100892</t>
  </si>
  <si>
    <t>TRX-100893</t>
  </si>
  <si>
    <t>TRX-100894</t>
  </si>
  <si>
    <t>TRX-100895</t>
  </si>
  <si>
    <t>TRX-100896</t>
  </si>
  <si>
    <t>TRX-100897</t>
  </si>
  <si>
    <t>TRX-100898</t>
  </si>
  <si>
    <t>TRX-100899</t>
  </si>
  <si>
    <t>TRX-100900</t>
  </si>
  <si>
    <t>TRX-100901</t>
  </si>
  <si>
    <t>TRX-100902</t>
  </si>
  <si>
    <t>TRX-100903</t>
  </si>
  <si>
    <t>TRX-100904</t>
  </si>
  <si>
    <t>TRX-100905</t>
  </si>
  <si>
    <t>TRX-100906</t>
  </si>
  <si>
    <t>TRX-100907</t>
  </si>
  <si>
    <t>TRX-100908</t>
  </si>
  <si>
    <t>TRX-100909</t>
  </si>
  <si>
    <t>TRX-100910</t>
  </si>
  <si>
    <t>TRX-100911</t>
  </si>
  <si>
    <t>TRX-100912</t>
  </si>
  <si>
    <t>TRX-100913</t>
  </si>
  <si>
    <t>TRX-100914</t>
  </si>
  <si>
    <t>TRX-100915</t>
  </si>
  <si>
    <t>TRX-100916</t>
  </si>
  <si>
    <t>TRX-100917</t>
  </si>
  <si>
    <t>TRX-100918</t>
  </si>
  <si>
    <t>TRX-100919</t>
  </si>
  <si>
    <t>TRX-100920</t>
  </si>
  <si>
    <t>TRX-100921</t>
  </si>
  <si>
    <t>TRX-100922</t>
  </si>
  <si>
    <t>TRX-100923</t>
  </si>
  <si>
    <t>TRX-100924</t>
  </si>
  <si>
    <t>TRX-100925</t>
  </si>
  <si>
    <t>TRX-100926</t>
  </si>
  <si>
    <t>TRX-100927</t>
  </si>
  <si>
    <t>TRX-100928</t>
  </si>
  <si>
    <t>TRX-100929</t>
  </si>
  <si>
    <t>TRX-100930</t>
  </si>
  <si>
    <t>TRX-100931</t>
  </si>
  <si>
    <t>TRX-100932</t>
  </si>
  <si>
    <t>TRX-100933</t>
  </si>
  <si>
    <t>TRX-100934</t>
  </si>
  <si>
    <t>TRX-100935</t>
  </si>
  <si>
    <t>TRX-100936</t>
  </si>
  <si>
    <t>TRX-100937</t>
  </si>
  <si>
    <t>TRX-100938</t>
  </si>
  <si>
    <t>TRX-100939</t>
  </si>
  <si>
    <t>TRX-100940</t>
  </si>
  <si>
    <t>TRX-100941</t>
  </si>
  <si>
    <t>TRX-100942</t>
  </si>
  <si>
    <t>TRX-100943</t>
  </si>
  <si>
    <t>TRX-100944</t>
  </si>
  <si>
    <t>TRX-100945</t>
  </si>
  <si>
    <t>TRX-100946</t>
  </si>
  <si>
    <t>TRX-100947</t>
  </si>
  <si>
    <t>TRX-100948</t>
  </si>
  <si>
    <t>TRX-100949</t>
  </si>
  <si>
    <t>TRX-100950</t>
  </si>
  <si>
    <t>TRX-100951</t>
  </si>
  <si>
    <t>TRX-100952</t>
  </si>
  <si>
    <t>TRX-100953</t>
  </si>
  <si>
    <t>TRX-100954</t>
  </si>
  <si>
    <t>TRX-100955</t>
  </si>
  <si>
    <t>TRX-100956</t>
  </si>
  <si>
    <t>TRX-100957</t>
  </si>
  <si>
    <t>TRX-100958</t>
  </si>
  <si>
    <t>TRX-100959</t>
  </si>
  <si>
    <t>TRX-100960</t>
  </si>
  <si>
    <t>TRX-100961</t>
  </si>
  <si>
    <t>TRX-100962</t>
  </si>
  <si>
    <t>TRX-100963</t>
  </si>
  <si>
    <t>TRX-100964</t>
  </si>
  <si>
    <t>TRX-100965</t>
  </si>
  <si>
    <t>TRX-100966</t>
  </si>
  <si>
    <t>TRX-100967</t>
  </si>
  <si>
    <t>TRX-100968</t>
  </si>
  <si>
    <t>TRX-100969</t>
  </si>
  <si>
    <t>TRX-100970</t>
  </si>
  <si>
    <t>TRX-100971</t>
  </si>
  <si>
    <t>TRX-100972</t>
  </si>
  <si>
    <t>TRX-100973</t>
  </si>
  <si>
    <t>TRX-100974</t>
  </si>
  <si>
    <t>TRX-100975</t>
  </si>
  <si>
    <t>TRX-100976</t>
  </si>
  <si>
    <t>TRX-100977</t>
  </si>
  <si>
    <t>TRX-100978</t>
  </si>
  <si>
    <t>TRX-100979</t>
  </si>
  <si>
    <t>TRX-100980</t>
  </si>
  <si>
    <t>TRX-100981</t>
  </si>
  <si>
    <t>TRX-100982</t>
  </si>
  <si>
    <t>TRX-100983</t>
  </si>
  <si>
    <t>TRX-100984</t>
  </si>
  <si>
    <t>TRX-100985</t>
  </si>
  <si>
    <t>TRX-100986</t>
  </si>
  <si>
    <t>TRX-100987</t>
  </si>
  <si>
    <t>TRX-100988</t>
  </si>
  <si>
    <t>TRX-100989</t>
  </si>
  <si>
    <t>TRX-100990</t>
  </si>
  <si>
    <t>TRX-100991</t>
  </si>
  <si>
    <t>TRX-100992</t>
  </si>
  <si>
    <t>TRX-100993</t>
  </si>
  <si>
    <t>TRX-100994</t>
  </si>
  <si>
    <t>TRX-100995</t>
  </si>
  <si>
    <t>TRX-100996</t>
  </si>
  <si>
    <t>TRX-100997</t>
  </si>
  <si>
    <t>TRX-100998</t>
  </si>
  <si>
    <t>TRX-100999</t>
  </si>
  <si>
    <t>TRX-101000</t>
  </si>
  <si>
    <t>TRX-101001</t>
  </si>
  <si>
    <t>TRX-101002</t>
  </si>
  <si>
    <t>TRX-101003</t>
  </si>
  <si>
    <t>TRX-101004</t>
  </si>
  <si>
    <t>TRX-101005</t>
  </si>
  <si>
    <t>TRX-101006</t>
  </si>
  <si>
    <t>TRX-101007</t>
  </si>
  <si>
    <t>TRX-101008</t>
  </si>
  <si>
    <t>TRX-101009</t>
  </si>
  <si>
    <t>TRX-101010</t>
  </si>
  <si>
    <t>TRX-101011</t>
  </si>
  <si>
    <t>TRX-101012</t>
  </si>
  <si>
    <t>TRX-101013</t>
  </si>
  <si>
    <t>TRX-101014</t>
  </si>
  <si>
    <t>TRX-101015</t>
  </si>
  <si>
    <t>TRX-101016</t>
  </si>
  <si>
    <t>TRX-101017</t>
  </si>
  <si>
    <t>TRX-101018</t>
  </si>
  <si>
    <t>TRX-101019</t>
  </si>
  <si>
    <t>TRX-101020</t>
  </si>
  <si>
    <t>TRX-101021</t>
  </si>
  <si>
    <t>TRX-101022</t>
  </si>
  <si>
    <t>TRX-101023</t>
  </si>
  <si>
    <t>TRX-101024</t>
  </si>
  <si>
    <t>TRX-101025</t>
  </si>
  <si>
    <t>TRX-101026</t>
  </si>
  <si>
    <t>TRX-101027</t>
  </si>
  <si>
    <t>TRX-101028</t>
  </si>
  <si>
    <t>TRX-101029</t>
  </si>
  <si>
    <t>TRX-101030</t>
  </si>
  <si>
    <t>TRX-101031</t>
  </si>
  <si>
    <t>TRX-101032</t>
  </si>
  <si>
    <t>TRX-101033</t>
  </si>
  <si>
    <t>TRX-101034</t>
  </si>
  <si>
    <t>TRX-101035</t>
  </si>
  <si>
    <t>TRX-101036</t>
  </si>
  <si>
    <t>TRX-101037</t>
  </si>
  <si>
    <t>TRX-101038</t>
  </si>
  <si>
    <t>TRX-101039</t>
  </si>
  <si>
    <t>TRX-101040</t>
  </si>
  <si>
    <t>TRX-101041</t>
  </si>
  <si>
    <t>TRX-101042</t>
  </si>
  <si>
    <t>TRX-101043</t>
  </si>
  <si>
    <t>TRX-101044</t>
  </si>
  <si>
    <t>TRX-101045</t>
  </si>
  <si>
    <t>TRX-101046</t>
  </si>
  <si>
    <t>TRX-101047</t>
  </si>
  <si>
    <t>TRX-101048</t>
  </si>
  <si>
    <t>TRX-101049</t>
  </si>
  <si>
    <t>TRX-101050</t>
  </si>
  <si>
    <t>TRX-101051</t>
  </si>
  <si>
    <t>TRX-101052</t>
  </si>
  <si>
    <t>TRX-101053</t>
  </si>
  <si>
    <t>TRX-101054</t>
  </si>
  <si>
    <t>TRX-101055</t>
  </si>
  <si>
    <t>TRX-101056</t>
  </si>
  <si>
    <t>TRX-101057</t>
  </si>
  <si>
    <t>TRX-101058</t>
  </si>
  <si>
    <t>TRX-101059</t>
  </si>
  <si>
    <t>TRX-101060</t>
  </si>
  <si>
    <t>TRX-101061</t>
  </si>
  <si>
    <t>TRX-101062</t>
  </si>
  <si>
    <t>TRX-101063</t>
  </si>
  <si>
    <t>TRX-101064</t>
  </si>
  <si>
    <t>TRX-101065</t>
  </si>
  <si>
    <t>TRX-101066</t>
  </si>
  <si>
    <t>TRX-101067</t>
  </si>
  <si>
    <t>TRX-101068</t>
  </si>
  <si>
    <t>TRX-101069</t>
  </si>
  <si>
    <t>TRX-101070</t>
  </si>
  <si>
    <t>TRX-101071</t>
  </si>
  <si>
    <t>TRX-101072</t>
  </si>
  <si>
    <t>TRX-101073</t>
  </si>
  <si>
    <t>TRX-101074</t>
  </si>
  <si>
    <t>TRX-101075</t>
  </si>
  <si>
    <t>TRX-101076</t>
  </si>
  <si>
    <t>TRX-101077</t>
  </si>
  <si>
    <t>TRX-101078</t>
  </si>
  <si>
    <t>TRX-101079</t>
  </si>
  <si>
    <t>TRX-101080</t>
  </si>
  <si>
    <t>TRX-101081</t>
  </si>
  <si>
    <t>TRX-101082</t>
  </si>
  <si>
    <t>TRX-101083</t>
  </si>
  <si>
    <t>TRX-101084</t>
  </si>
  <si>
    <t>TRX-101085</t>
  </si>
  <si>
    <t>TRX-101086</t>
  </si>
  <si>
    <t>TRX-101087</t>
  </si>
  <si>
    <t>TRX-101088</t>
  </si>
  <si>
    <t>TRX-101089</t>
  </si>
  <si>
    <t>TRX-101090</t>
  </si>
  <si>
    <t>TRX-101091</t>
  </si>
  <si>
    <t>TRX-101092</t>
  </si>
  <si>
    <t>TRX-101093</t>
  </si>
  <si>
    <t>TRX-101094</t>
  </si>
  <si>
    <t>TRX-101095</t>
  </si>
  <si>
    <t>TRX-101096</t>
  </si>
  <si>
    <t>TRX-101097</t>
  </si>
  <si>
    <t>TRX-101098</t>
  </si>
  <si>
    <t>TRX-101099</t>
  </si>
  <si>
    <t>TRX-101100</t>
  </si>
  <si>
    <t>TRX-101101</t>
  </si>
  <si>
    <t>TRX-101102</t>
  </si>
  <si>
    <t>TRX-101103</t>
  </si>
  <si>
    <t>TRX-101104</t>
  </si>
  <si>
    <t>TRX-101105</t>
  </si>
  <si>
    <t>TRX-101106</t>
  </si>
  <si>
    <t>TRX-101107</t>
  </si>
  <si>
    <t>TRX-101108</t>
  </si>
  <si>
    <t>TRX-101109</t>
  </si>
  <si>
    <t>TRX-101110</t>
  </si>
  <si>
    <t>TRX-101111</t>
  </si>
  <si>
    <t>TRX-101112</t>
  </si>
  <si>
    <t>TRX-101113</t>
  </si>
  <si>
    <t>TRX-101114</t>
  </si>
  <si>
    <t>TRX-101115</t>
  </si>
  <si>
    <t>TRX-101116</t>
  </si>
  <si>
    <t>TRX-101117</t>
  </si>
  <si>
    <t>TRX-101118</t>
  </si>
  <si>
    <t>TRX-101119</t>
  </si>
  <si>
    <t>TRX-101120</t>
  </si>
  <si>
    <t>TRX-101121</t>
  </si>
  <si>
    <t>TRX-101122</t>
  </si>
  <si>
    <t>TRX-101123</t>
  </si>
  <si>
    <t>TRX-101124</t>
  </si>
  <si>
    <t>TRX-101125</t>
  </si>
  <si>
    <t>TRX-101126</t>
  </si>
  <si>
    <t>TRX-101127</t>
  </si>
  <si>
    <t>TRX-101128</t>
  </si>
  <si>
    <t>TRX-101129</t>
  </si>
  <si>
    <t>TRX-101130</t>
  </si>
  <si>
    <t>TRX-101131</t>
  </si>
  <si>
    <t>TRX-101132</t>
  </si>
  <si>
    <t>TRX-101133</t>
  </si>
  <si>
    <t>TRX-101134</t>
  </si>
  <si>
    <t>TRX-101135</t>
  </si>
  <si>
    <t>TRX-101136</t>
  </si>
  <si>
    <t>TRX-101137</t>
  </si>
  <si>
    <t>TRX-101138</t>
  </si>
  <si>
    <t>TRX-101139</t>
  </si>
  <si>
    <t>TRX-101140</t>
  </si>
  <si>
    <t>TRX-101141</t>
  </si>
  <si>
    <t>TRX-101142</t>
  </si>
  <si>
    <t>TRX-101143</t>
  </si>
  <si>
    <t>TRX-101144</t>
  </si>
  <si>
    <t>TRX-101145</t>
  </si>
  <si>
    <t>TRX-101146</t>
  </si>
  <si>
    <t>TRX-101147</t>
  </si>
  <si>
    <t>TRX-101148</t>
  </si>
  <si>
    <t>TRX-101149</t>
  </si>
  <si>
    <t>TRX-101150</t>
  </si>
  <si>
    <t>TRX-101151</t>
  </si>
  <si>
    <t>TRX-101152</t>
  </si>
  <si>
    <t>TRX-101153</t>
  </si>
  <si>
    <t>TRX-101154</t>
  </si>
  <si>
    <t>TRX-101155</t>
  </si>
  <si>
    <t>TRX-101156</t>
  </si>
  <si>
    <t>TRX-101157</t>
  </si>
  <si>
    <t>TRX-101158</t>
  </si>
  <si>
    <t>TRX-101159</t>
  </si>
  <si>
    <t>TRX-101160</t>
  </si>
  <si>
    <t>TRX-101161</t>
  </si>
  <si>
    <t>TRX-101162</t>
  </si>
  <si>
    <t>TRX-101163</t>
  </si>
  <si>
    <t>TRX-101164</t>
  </si>
  <si>
    <t>TRX-101165</t>
  </si>
  <si>
    <t>TRX-101166</t>
  </si>
  <si>
    <t>TRX-101167</t>
  </si>
  <si>
    <t>TRX-101168</t>
  </si>
  <si>
    <t>TRX-101169</t>
  </si>
  <si>
    <t>TRX-101170</t>
  </si>
  <si>
    <t>TRX-101171</t>
  </si>
  <si>
    <t>TRX-101172</t>
  </si>
  <si>
    <t>TRX-101173</t>
  </si>
  <si>
    <t>TRX-101174</t>
  </si>
  <si>
    <t>TRX-101175</t>
  </si>
  <si>
    <t>TRX-101176</t>
  </si>
  <si>
    <t>TRX-101177</t>
  </si>
  <si>
    <t>TRX-101178</t>
  </si>
  <si>
    <t>TRX-101179</t>
  </si>
  <si>
    <t>TRX-101180</t>
  </si>
  <si>
    <t>TRX-101181</t>
  </si>
  <si>
    <t>TRX-101182</t>
  </si>
  <si>
    <t>TRX-101183</t>
  </si>
  <si>
    <t>TRX-101184</t>
  </si>
  <si>
    <t>TRX-101185</t>
  </si>
  <si>
    <t>TRX-101186</t>
  </si>
  <si>
    <t>TRX-101187</t>
  </si>
  <si>
    <t>TRX-101188</t>
  </si>
  <si>
    <t>TRX-101189</t>
  </si>
  <si>
    <t>TRX-101190</t>
  </si>
  <si>
    <t>TRX-101191</t>
  </si>
  <si>
    <t>TRX-101192</t>
  </si>
  <si>
    <t>TRX-101193</t>
  </si>
  <si>
    <t>TRX-101194</t>
  </si>
  <si>
    <t>TRX-101195</t>
  </si>
  <si>
    <t>TRX-101196</t>
  </si>
  <si>
    <t>TRX-101197</t>
  </si>
  <si>
    <t>TRX-101198</t>
  </si>
  <si>
    <t>TRX-101199</t>
  </si>
  <si>
    <t>TRX-101200</t>
  </si>
  <si>
    <t>TRX-101201</t>
  </si>
  <si>
    <t>TRX-101202</t>
  </si>
  <si>
    <t>TRX-101203</t>
  </si>
  <si>
    <t>TRX-101204</t>
  </si>
  <si>
    <t>TRX-101205</t>
  </si>
  <si>
    <t>TRX-101206</t>
  </si>
  <si>
    <t>TRX-101207</t>
  </si>
  <si>
    <t>TRX-101208</t>
  </si>
  <si>
    <t>TRX-101209</t>
  </si>
  <si>
    <t>TRX-101210</t>
  </si>
  <si>
    <t>TRX-101211</t>
  </si>
  <si>
    <t>TRX-101212</t>
  </si>
  <si>
    <t>TRX-101213</t>
  </si>
  <si>
    <t>TRX-101214</t>
  </si>
  <si>
    <t>TRX-101215</t>
  </si>
  <si>
    <t>TRX-101216</t>
  </si>
  <si>
    <t>TRX-101217</t>
  </si>
  <si>
    <t>TRX-101218</t>
  </si>
  <si>
    <t>TRX-101219</t>
  </si>
  <si>
    <t>TRX-101220</t>
  </si>
  <si>
    <t>TRX-101221</t>
  </si>
  <si>
    <t>TRX-101222</t>
  </si>
  <si>
    <t>TRX-101223</t>
  </si>
  <si>
    <t>TRX-101224</t>
  </si>
  <si>
    <t>TRX-101225</t>
  </si>
  <si>
    <t>TRX-101226</t>
  </si>
  <si>
    <t>TRX-101227</t>
  </si>
  <si>
    <t>TRX-101228</t>
  </si>
  <si>
    <t>TRX-101229</t>
  </si>
  <si>
    <t>TRX-101230</t>
  </si>
  <si>
    <t>TRX-101231</t>
  </si>
  <si>
    <t>TRX-101232</t>
  </si>
  <si>
    <t>TRX-101233</t>
  </si>
  <si>
    <t>TRX-101234</t>
  </si>
  <si>
    <t>TRX-101235</t>
  </si>
  <si>
    <t>TRX-101236</t>
  </si>
  <si>
    <t>TRX-101237</t>
  </si>
  <si>
    <t>TRX-101238</t>
  </si>
  <si>
    <t>TRX-101239</t>
  </si>
  <si>
    <t>TRX-101240</t>
  </si>
  <si>
    <t>TRX-101241</t>
  </si>
  <si>
    <t>TRX-101242</t>
  </si>
  <si>
    <t>TRX-101243</t>
  </si>
  <si>
    <t>TRX-101244</t>
  </si>
  <si>
    <t>TRX-101245</t>
  </si>
  <si>
    <t>TRX-101246</t>
  </si>
  <si>
    <t>TRX-101247</t>
  </si>
  <si>
    <t>TRX-101248</t>
  </si>
  <si>
    <t>TRX-101249</t>
  </si>
  <si>
    <t>TRX-101250</t>
  </si>
  <si>
    <t>TRX-101251</t>
  </si>
  <si>
    <t>TRX-101252</t>
  </si>
  <si>
    <t>TRX-101253</t>
  </si>
  <si>
    <t>TRX-101254</t>
  </si>
  <si>
    <t>TRX-101255</t>
  </si>
  <si>
    <t>TRX-101256</t>
  </si>
  <si>
    <t>TRX-101257</t>
  </si>
  <si>
    <t>TRX-101258</t>
  </si>
  <si>
    <t>TRX-101259</t>
  </si>
  <si>
    <t>TRX-101260</t>
  </si>
  <si>
    <t>TRX-101261</t>
  </si>
  <si>
    <t>TRX-101262</t>
  </si>
  <si>
    <t>TRX-101263</t>
  </si>
  <si>
    <t>TRX-101264</t>
  </si>
  <si>
    <t>TRX-101265</t>
  </si>
  <si>
    <t>TRX-101266</t>
  </si>
  <si>
    <t>TRX-101267</t>
  </si>
  <si>
    <t>TRX-101268</t>
  </si>
  <si>
    <t>TRX-101269</t>
  </si>
  <si>
    <t>TRX-101270</t>
  </si>
  <si>
    <t>TRX-101271</t>
  </si>
  <si>
    <t>TRX-101272</t>
  </si>
  <si>
    <t>TRX-101273</t>
  </si>
  <si>
    <t>TRX-101274</t>
  </si>
  <si>
    <t>TRX-101275</t>
  </si>
  <si>
    <t>TRX-101276</t>
  </si>
  <si>
    <t>TRX-101277</t>
  </si>
  <si>
    <t>TRX-101278</t>
  </si>
  <si>
    <t>TRX-101279</t>
  </si>
  <si>
    <t>TRX-101280</t>
  </si>
  <si>
    <t>TRX-101281</t>
  </si>
  <si>
    <t>TRX-101282</t>
  </si>
  <si>
    <t>TRX-101283</t>
  </si>
  <si>
    <t>TRX-101284</t>
  </si>
  <si>
    <t>TRX-101285</t>
  </si>
  <si>
    <t>TRX-101286</t>
  </si>
  <si>
    <t>TRX-101287</t>
  </si>
  <si>
    <t>TRX-101288</t>
  </si>
  <si>
    <t>TRX-101289</t>
  </si>
  <si>
    <t>TRX-101290</t>
  </si>
  <si>
    <t>TRX-101291</t>
  </si>
  <si>
    <t>TRX-101292</t>
  </si>
  <si>
    <t>TRX-101293</t>
  </si>
  <si>
    <t>TRX-101294</t>
  </si>
  <si>
    <t>TRX-101295</t>
  </si>
  <si>
    <t>TRX-101296</t>
  </si>
  <si>
    <t>TRX-101297</t>
  </si>
  <si>
    <t>TRX-101298</t>
  </si>
  <si>
    <t>TRX-101299</t>
  </si>
  <si>
    <t>TRX-101300</t>
  </si>
  <si>
    <t>TRX-101301</t>
  </si>
  <si>
    <t>TRX-101302</t>
  </si>
  <si>
    <t>TRX-101303</t>
  </si>
  <si>
    <t>TRX-101304</t>
  </si>
  <si>
    <t>TRX-101305</t>
  </si>
  <si>
    <t>TRX-101306</t>
  </si>
  <si>
    <t>TRX-101307</t>
  </si>
  <si>
    <t>TRX-101308</t>
  </si>
  <si>
    <t>TRX-101309</t>
  </si>
  <si>
    <t>TRX-101310</t>
  </si>
  <si>
    <t>TRX-101311</t>
  </si>
  <si>
    <t>TRX-101312</t>
  </si>
  <si>
    <t>TRX-101313</t>
  </si>
  <si>
    <t>TRX-101314</t>
  </si>
  <si>
    <t>TRX-101315</t>
  </si>
  <si>
    <t>TRX-101316</t>
  </si>
  <si>
    <t>TRX-101317</t>
  </si>
  <si>
    <t>TRX-101318</t>
  </si>
  <si>
    <t>TRX-101319</t>
  </si>
  <si>
    <t>TRX-101320</t>
  </si>
  <si>
    <t>TRX-101321</t>
  </si>
  <si>
    <t>TRX-101322</t>
  </si>
  <si>
    <t>TRX-101323</t>
  </si>
  <si>
    <t>TRX-101324</t>
  </si>
  <si>
    <t>TRX-101325</t>
  </si>
  <si>
    <t>TRX-101326</t>
  </si>
  <si>
    <t>TRX-101327</t>
  </si>
  <si>
    <t>TRX-101328</t>
  </si>
  <si>
    <t>TRX-101329</t>
  </si>
  <si>
    <t>TRX-101330</t>
  </si>
  <si>
    <t>TRX-101331</t>
  </si>
  <si>
    <t>TRX-101332</t>
  </si>
  <si>
    <t>TRX-101333</t>
  </si>
  <si>
    <t>TRX-101334</t>
  </si>
  <si>
    <t>TRX-101335</t>
  </si>
  <si>
    <t>TRX-101336</t>
  </si>
  <si>
    <t>TRX-101337</t>
  </si>
  <si>
    <t>TRX-101338</t>
  </si>
  <si>
    <t>TRX-101339</t>
  </si>
  <si>
    <t>TRX-101340</t>
  </si>
  <si>
    <t>TRX-101341</t>
  </si>
  <si>
    <t>TRX-101342</t>
  </si>
  <si>
    <t>TRX-101343</t>
  </si>
  <si>
    <t>TRX-101344</t>
  </si>
  <si>
    <t>TRX-101345</t>
  </si>
  <si>
    <t>TRX-101346</t>
  </si>
  <si>
    <t>TRX-101347</t>
  </si>
  <si>
    <t>TRX-101348</t>
  </si>
  <si>
    <t>TRX-101349</t>
  </si>
  <si>
    <t>TRX-101350</t>
  </si>
  <si>
    <t>TRX-101351</t>
  </si>
  <si>
    <t>TRX-101352</t>
  </si>
  <si>
    <t>TRX-101353</t>
  </si>
  <si>
    <t>TRX-101354</t>
  </si>
  <si>
    <t>TRX-101355</t>
  </si>
  <si>
    <t>TRX-101356</t>
  </si>
  <si>
    <t>TRX-101357</t>
  </si>
  <si>
    <t>TRX-101358</t>
  </si>
  <si>
    <t>TRX-101359</t>
  </si>
  <si>
    <t>TRX-101360</t>
  </si>
  <si>
    <t>TRX-101361</t>
  </si>
  <si>
    <t>TRX-101362</t>
  </si>
  <si>
    <t>TRX-101363</t>
  </si>
  <si>
    <t>TRX-101364</t>
  </si>
  <si>
    <t>TRX-101365</t>
  </si>
  <si>
    <t>TRX-101366</t>
  </si>
  <si>
    <t>TRX-101367</t>
  </si>
  <si>
    <t>TRX-101368</t>
  </si>
  <si>
    <t>TRX-101369</t>
  </si>
  <si>
    <t>TRX-101370</t>
  </si>
  <si>
    <t>TRX-101371</t>
  </si>
  <si>
    <t>TRX-101372</t>
  </si>
  <si>
    <t>TRX-101373</t>
  </si>
  <si>
    <t>TRX-101374</t>
  </si>
  <si>
    <t>TRX-101375</t>
  </si>
  <si>
    <t>TRX-101376</t>
  </si>
  <si>
    <t>TRX-101377</t>
  </si>
  <si>
    <t>TRX-101378</t>
  </si>
  <si>
    <t>TRX-101379</t>
  </si>
  <si>
    <t>TRX-101380</t>
  </si>
  <si>
    <t>TRX-101381</t>
  </si>
  <si>
    <t>TRX-101382</t>
  </si>
  <si>
    <t>TRX-101383</t>
  </si>
  <si>
    <t>TRX-101384</t>
  </si>
  <si>
    <t>TRX-101385</t>
  </si>
  <si>
    <t>TRX-101386</t>
  </si>
  <si>
    <t>TRX-101387</t>
  </si>
  <si>
    <t>TRX-101388</t>
  </si>
  <si>
    <t>TRX-101389</t>
  </si>
  <si>
    <t>TRX-101390</t>
  </si>
  <si>
    <t>TRX-101391</t>
  </si>
  <si>
    <t>TRX-101392</t>
  </si>
  <si>
    <t>TRX-101393</t>
  </si>
  <si>
    <t>TRX-101394</t>
  </si>
  <si>
    <t>TRX-101395</t>
  </si>
  <si>
    <t>TRX-101396</t>
  </si>
  <si>
    <t>TRX-101397</t>
  </si>
  <si>
    <t>TRX-101398</t>
  </si>
  <si>
    <t>TRX-101399</t>
  </si>
  <si>
    <t>TRX-101400</t>
  </si>
  <si>
    <t>TRX-101401</t>
  </si>
  <si>
    <t>TRX-101402</t>
  </si>
  <si>
    <t>TRX-101403</t>
  </si>
  <si>
    <t>TRX-101404</t>
  </si>
  <si>
    <t>TRX-101405</t>
  </si>
  <si>
    <t>TRX-101406</t>
  </si>
  <si>
    <t>TRX-101407</t>
  </si>
  <si>
    <t>TRX-101408</t>
  </si>
  <si>
    <t>TRX-101409</t>
  </si>
  <si>
    <t>TRX-101410</t>
  </si>
  <si>
    <t>TRX-101411</t>
  </si>
  <si>
    <t>TRX-101412</t>
  </si>
  <si>
    <t>TRX-101413</t>
  </si>
  <si>
    <t>TRX-101414</t>
  </si>
  <si>
    <t>TRX-101415</t>
  </si>
  <si>
    <t>TRX-101416</t>
  </si>
  <si>
    <t>TRX-101417</t>
  </si>
  <si>
    <t>TRX-101418</t>
  </si>
  <si>
    <t>TRX-101419</t>
  </si>
  <si>
    <t>TRX-101420</t>
  </si>
  <si>
    <t>TRX-101421</t>
  </si>
  <si>
    <t>TRX-101422</t>
  </si>
  <si>
    <t>TRX-101423</t>
  </si>
  <si>
    <t>TRX-101424</t>
  </si>
  <si>
    <t>TRX-101425</t>
  </si>
  <si>
    <t>TRX-101426</t>
  </si>
  <si>
    <t>TRX-101427</t>
  </si>
  <si>
    <t>TRX-101428</t>
  </si>
  <si>
    <t>TRX-101429</t>
  </si>
  <si>
    <t>TRX-101430</t>
  </si>
  <si>
    <t>TRX-101431</t>
  </si>
  <si>
    <t>TRX-101432</t>
  </si>
  <si>
    <t>TRX-101433</t>
  </si>
  <si>
    <t>TRX-101434</t>
  </si>
  <si>
    <t>TRX-101435</t>
  </si>
  <si>
    <t>TRX-101436</t>
  </si>
  <si>
    <t>TRX-101437</t>
  </si>
  <si>
    <t>TRX-101438</t>
  </si>
  <si>
    <t>TRX-101439</t>
  </si>
  <si>
    <t>TRX-101440</t>
  </si>
  <si>
    <t>TRX-101441</t>
  </si>
  <si>
    <t>TRX-101442</t>
  </si>
  <si>
    <t>TRX-101443</t>
  </si>
  <si>
    <t>TRX-101444</t>
  </si>
  <si>
    <t>TRX-101445</t>
  </si>
  <si>
    <t>TRX-101446</t>
  </si>
  <si>
    <t>TRX-101447</t>
  </si>
  <si>
    <t>TRX-101448</t>
  </si>
  <si>
    <t>TRX-101449</t>
  </si>
  <si>
    <t>TRX-101450</t>
  </si>
  <si>
    <t>TRX-101451</t>
  </si>
  <si>
    <t>TRX-101452</t>
  </si>
  <si>
    <t>TRX-101453</t>
  </si>
  <si>
    <t>TRX-101454</t>
  </si>
  <si>
    <t>TRX-101455</t>
  </si>
  <si>
    <t>TRX-101456</t>
  </si>
  <si>
    <t>TRX-101457</t>
  </si>
  <si>
    <t>TRX-101458</t>
  </si>
  <si>
    <t>TRX-101459</t>
  </si>
  <si>
    <t>TRX-101460</t>
  </si>
  <si>
    <t>TRX-101461</t>
  </si>
  <si>
    <t>TRX-101462</t>
  </si>
  <si>
    <t>TRX-101463</t>
  </si>
  <si>
    <t>TRX-101464</t>
  </si>
  <si>
    <t>TRX-101465</t>
  </si>
  <si>
    <t>TRX-101466</t>
  </si>
  <si>
    <t>TRX-101467</t>
  </si>
  <si>
    <t>TRX-101468</t>
  </si>
  <si>
    <t>TRX-101469</t>
  </si>
  <si>
    <t>TRX-101470</t>
  </si>
  <si>
    <t>TRX-101471</t>
  </si>
  <si>
    <t>TRX-101472</t>
  </si>
  <si>
    <t>TRX-101473</t>
  </si>
  <si>
    <t>TRX-101474</t>
  </si>
  <si>
    <t>TRX-101475</t>
  </si>
  <si>
    <t>TRX-101476</t>
  </si>
  <si>
    <t>TRX-101477</t>
  </si>
  <si>
    <t>TRX-101478</t>
  </si>
  <si>
    <t>TRX-101479</t>
  </si>
  <si>
    <t>TRX-101480</t>
  </si>
  <si>
    <t>TRX-101481</t>
  </si>
  <si>
    <t>TRX-101482</t>
  </si>
  <si>
    <t>TRX-101483</t>
  </si>
  <si>
    <t>TRX-101484</t>
  </si>
  <si>
    <t>TRX-101485</t>
  </si>
  <si>
    <t>TRX-101486</t>
  </si>
  <si>
    <t>TRX-101487</t>
  </si>
  <si>
    <t>TRX-101488</t>
  </si>
  <si>
    <t>TRX-101489</t>
  </si>
  <si>
    <t>TRX-101490</t>
  </si>
  <si>
    <t>TRX-101491</t>
  </si>
  <si>
    <t>TRX-101492</t>
  </si>
  <si>
    <t>TRX-101493</t>
  </si>
  <si>
    <t>TRX-101494</t>
  </si>
  <si>
    <t>TRX-101495</t>
  </si>
  <si>
    <t>TRX-101496</t>
  </si>
  <si>
    <t>TRX-101497</t>
  </si>
  <si>
    <t>TRX-101498</t>
  </si>
  <si>
    <t>TRX-101499</t>
  </si>
  <si>
    <t>TRX-101500</t>
  </si>
  <si>
    <t>TRX-101501</t>
  </si>
  <si>
    <t>TRX-101502</t>
  </si>
  <si>
    <t>TRX-101503</t>
  </si>
  <si>
    <t>TRX-101504</t>
  </si>
  <si>
    <t>TRX-101505</t>
  </si>
  <si>
    <t>TRX-101506</t>
  </si>
  <si>
    <t>TRX-101507</t>
  </si>
  <si>
    <t>TRX-101508</t>
  </si>
  <si>
    <t>TRX-101509</t>
  </si>
  <si>
    <t>TRX-101510</t>
  </si>
  <si>
    <t>TRX-101511</t>
  </si>
  <si>
    <t>TRX-101512</t>
  </si>
  <si>
    <t>TRX-101513</t>
  </si>
  <si>
    <t>TRX-101514</t>
  </si>
  <si>
    <t>TRX-101515</t>
  </si>
  <si>
    <t>TRX-101516</t>
  </si>
  <si>
    <t>TRX-101517</t>
  </si>
  <si>
    <t>TRX-101518</t>
  </si>
  <si>
    <t>TRX-101519</t>
  </si>
  <si>
    <t>TRX-101520</t>
  </si>
  <si>
    <t>TRX-101521</t>
  </si>
  <si>
    <t>TRX-101522</t>
  </si>
  <si>
    <t>TRX-101523</t>
  </si>
  <si>
    <t>TRX-101524</t>
  </si>
  <si>
    <t>TRX-101525</t>
  </si>
  <si>
    <t>TRX-101526</t>
  </si>
  <si>
    <t>TRX-101527</t>
  </si>
  <si>
    <t>TRX-101528</t>
  </si>
  <si>
    <t>TRX-101529</t>
  </si>
  <si>
    <t>TRX-101530</t>
  </si>
  <si>
    <t>TRX-101531</t>
  </si>
  <si>
    <t>TRX-101532</t>
  </si>
  <si>
    <t>TRX-101533</t>
  </si>
  <si>
    <t>TRX-101534</t>
  </si>
  <si>
    <t>TRX-101535</t>
  </si>
  <si>
    <t>TRX-101536</t>
  </si>
  <si>
    <t>TRX-101537</t>
  </si>
  <si>
    <t>TRX-101538</t>
  </si>
  <si>
    <t>TRX-101539</t>
  </si>
  <si>
    <t>TRX-101540</t>
  </si>
  <si>
    <t>TRX-101541</t>
  </si>
  <si>
    <t>TRX-101542</t>
  </si>
  <si>
    <t>TRX-101543</t>
  </si>
  <si>
    <t>TRX-101544</t>
  </si>
  <si>
    <t>TRX-101545</t>
  </si>
  <si>
    <t>TRX-101546</t>
  </si>
  <si>
    <t>TRX-101547</t>
  </si>
  <si>
    <t>TRX-101548</t>
  </si>
  <si>
    <t>TRX-101549</t>
  </si>
  <si>
    <t>TRX-101550</t>
  </si>
  <si>
    <t>TRX-101551</t>
  </si>
  <si>
    <t>TRX-101552</t>
  </si>
  <si>
    <t>TRX-101553</t>
  </si>
  <si>
    <t>TRX-101554</t>
  </si>
  <si>
    <t>TRX-101555</t>
  </si>
  <si>
    <t>TRX-101556</t>
  </si>
  <si>
    <t>TRX-101557</t>
  </si>
  <si>
    <t>TRX-101558</t>
  </si>
  <si>
    <t>TRX-101559</t>
  </si>
  <si>
    <t>TRX-101560</t>
  </si>
  <si>
    <t>TRX-101561</t>
  </si>
  <si>
    <t>TRX-101562</t>
  </si>
  <si>
    <t>TRX-101563</t>
  </si>
  <si>
    <t>TRX-101564</t>
  </si>
  <si>
    <t>TRX-101565</t>
  </si>
  <si>
    <t>TRX-101566</t>
  </si>
  <si>
    <t>TRX-101567</t>
  </si>
  <si>
    <t>TRX-101568</t>
  </si>
  <si>
    <t>TRX-101569</t>
  </si>
  <si>
    <t>TRX-101570</t>
  </si>
  <si>
    <t>TRX-101571</t>
  </si>
  <si>
    <t>TRX-101572</t>
  </si>
  <si>
    <t>TRX-101573</t>
  </si>
  <si>
    <t>TRX-101574</t>
  </si>
  <si>
    <t>TRX-101575</t>
  </si>
  <si>
    <t>TRX-101576</t>
  </si>
  <si>
    <t>TRX-101577</t>
  </si>
  <si>
    <t>TRX-101578</t>
  </si>
  <si>
    <t>TRX-101579</t>
  </si>
  <si>
    <t>TRX-101580</t>
  </si>
  <si>
    <t>TRX-101581</t>
  </si>
  <si>
    <t>TRX-101582</t>
  </si>
  <si>
    <t>TRX-101583</t>
  </si>
  <si>
    <t>TRX-101584</t>
  </si>
  <si>
    <t>TRX-101585</t>
  </si>
  <si>
    <t>TRX-101586</t>
  </si>
  <si>
    <t>TRX-101587</t>
  </si>
  <si>
    <t>TRX-101588</t>
  </si>
  <si>
    <t>TRX-101589</t>
  </si>
  <si>
    <t>TRX-101590</t>
  </si>
  <si>
    <t>TRX-101591</t>
  </si>
  <si>
    <t>TRX-101592</t>
  </si>
  <si>
    <t>TRX-101593</t>
  </si>
  <si>
    <t>TRX-101594</t>
  </si>
  <si>
    <t>TRX-101595</t>
  </si>
  <si>
    <t>TRX-101596</t>
  </si>
  <si>
    <t>TRX-101597</t>
  </si>
  <si>
    <t>TRX-101598</t>
  </si>
  <si>
    <t>TRX-101599</t>
  </si>
  <si>
    <t>TRX-101600</t>
  </si>
  <si>
    <t>TRX-101601</t>
  </si>
  <si>
    <t>TRX-101602</t>
  </si>
  <si>
    <t>TRX-101603</t>
  </si>
  <si>
    <t>TRX-101604</t>
  </si>
  <si>
    <t>TRX-101605</t>
  </si>
  <si>
    <t>TRX-101606</t>
  </si>
  <si>
    <t>TRX-101607</t>
  </si>
  <si>
    <t>TRX-101608</t>
  </si>
  <si>
    <t>TRX-101609</t>
  </si>
  <si>
    <t>TRX-101610</t>
  </si>
  <si>
    <t>TRX-101611</t>
  </si>
  <si>
    <t>TRX-101612</t>
  </si>
  <si>
    <t>TRX-101613</t>
  </si>
  <si>
    <t>TRX-101614</t>
  </si>
  <si>
    <t>TRX-101615</t>
  </si>
  <si>
    <t>TRX-101616</t>
  </si>
  <si>
    <t>TRX-101617</t>
  </si>
  <si>
    <t>TRX-101618</t>
  </si>
  <si>
    <t>TRX-101619</t>
  </si>
  <si>
    <t>TRX-101620</t>
  </si>
  <si>
    <t>TRX-101621</t>
  </si>
  <si>
    <t>TRX-101622</t>
  </si>
  <si>
    <t>TRX-101623</t>
  </si>
  <si>
    <t>TRX-101624</t>
  </si>
  <si>
    <t>TRX-101625</t>
  </si>
  <si>
    <t>TRX-101626</t>
  </si>
  <si>
    <t>TRX-101627</t>
  </si>
  <si>
    <t>TRX-101628</t>
  </si>
  <si>
    <t>TRX-101629</t>
  </si>
  <si>
    <t>TRX-101630</t>
  </si>
  <si>
    <t>TRX-101631</t>
  </si>
  <si>
    <t>TRX-101632</t>
  </si>
  <si>
    <t>TRX-101633</t>
  </si>
  <si>
    <t>TRX-101634</t>
  </si>
  <si>
    <t>TRX-101635</t>
  </si>
  <si>
    <t>TRX-101636</t>
  </si>
  <si>
    <t>TRX-101637</t>
  </si>
  <si>
    <t>TRX-101638</t>
  </si>
  <si>
    <t>TRX-101639</t>
  </si>
  <si>
    <t>TRX-101640</t>
  </si>
  <si>
    <t>TRX-101641</t>
  </si>
  <si>
    <t>TRX-101642</t>
  </si>
  <si>
    <t>TRX-101643</t>
  </si>
  <si>
    <t>TRX-101644</t>
  </si>
  <si>
    <t>TRX-101645</t>
  </si>
  <si>
    <t>TRX-101646</t>
  </si>
  <si>
    <t>TRX-101647</t>
  </si>
  <si>
    <t>TRX-101648</t>
  </si>
  <si>
    <t>TRX-101649</t>
  </si>
  <si>
    <t>TRX-101650</t>
  </si>
  <si>
    <t>TRX-101651</t>
  </si>
  <si>
    <t>TRX-101652</t>
  </si>
  <si>
    <t>TRX-101653</t>
  </si>
  <si>
    <t>TRX-101654</t>
  </si>
  <si>
    <t>TRX-101655</t>
  </si>
  <si>
    <t>TRX-101656</t>
  </si>
  <si>
    <t>TRX-101657</t>
  </si>
  <si>
    <t>TRX-101658</t>
  </si>
  <si>
    <t>TRX-101659</t>
  </si>
  <si>
    <t>TRX-101660</t>
  </si>
  <si>
    <t>TRX-101661</t>
  </si>
  <si>
    <t>TRX-101662</t>
  </si>
  <si>
    <t>TRX-101663</t>
  </si>
  <si>
    <t>TRX-101664</t>
  </si>
  <si>
    <t>TRX-101665</t>
  </si>
  <si>
    <t>TRX-101666</t>
  </si>
  <si>
    <t>TRX-101667</t>
  </si>
  <si>
    <t>TRX-101668</t>
  </si>
  <si>
    <t>TRX-101669</t>
  </si>
  <si>
    <t>TRX-101670</t>
  </si>
  <si>
    <t>TRX-101671</t>
  </si>
  <si>
    <t>TRX-101672</t>
  </si>
  <si>
    <t>TRX-101673</t>
  </si>
  <si>
    <t>TRX-101674</t>
  </si>
  <si>
    <t>TRX-101675</t>
  </si>
  <si>
    <t>TRX-101676</t>
  </si>
  <si>
    <t>TRX-101677</t>
  </si>
  <si>
    <t>TRX-101678</t>
  </si>
  <si>
    <t>TRX-101679</t>
  </si>
  <si>
    <t>TRX-101680</t>
  </si>
  <si>
    <t>TRX-101681</t>
  </si>
  <si>
    <t>TRX-101682</t>
  </si>
  <si>
    <t>TRX-101683</t>
  </si>
  <si>
    <t>TRX-101684</t>
  </si>
  <si>
    <t>TRX-101685</t>
  </si>
  <si>
    <t>TRX-101686</t>
  </si>
  <si>
    <t>TRX-101687</t>
  </si>
  <si>
    <t>TRX-101688</t>
  </si>
  <si>
    <t>TRX-101689</t>
  </si>
  <si>
    <t>TRX-101690</t>
  </si>
  <si>
    <t>TRX-101691</t>
  </si>
  <si>
    <t>TRX-101692</t>
  </si>
  <si>
    <t>TRX-101693</t>
  </si>
  <si>
    <t>TRX-101694</t>
  </si>
  <si>
    <t>TRX-101695</t>
  </si>
  <si>
    <t>TRX-101696</t>
  </si>
  <si>
    <t>TRX-101697</t>
  </si>
  <si>
    <t>TRX-101698</t>
  </si>
  <si>
    <t>TRX-101699</t>
  </si>
  <si>
    <t>TRX-101700</t>
  </si>
  <si>
    <t>TRX-101701</t>
  </si>
  <si>
    <t>TRX-101702</t>
  </si>
  <si>
    <t>TRX-101703</t>
  </si>
  <si>
    <t>TRX-101704</t>
  </si>
  <si>
    <t>TRX-101705</t>
  </si>
  <si>
    <t>TRX-101706</t>
  </si>
  <si>
    <t>TRX-101707</t>
  </si>
  <si>
    <t>TRX-101708</t>
  </si>
  <si>
    <t>TRX-101709</t>
  </si>
  <si>
    <t>TRX-101710</t>
  </si>
  <si>
    <t>TRX-101711</t>
  </si>
  <si>
    <t>TRX-101712</t>
  </si>
  <si>
    <t>TRX-101713</t>
  </si>
  <si>
    <t>TRX-101714</t>
  </si>
  <si>
    <t>TRX-101715</t>
  </si>
  <si>
    <t>TRX-101716</t>
  </si>
  <si>
    <t>TRX-101717</t>
  </si>
  <si>
    <t>TRX-101718</t>
  </si>
  <si>
    <t>TRX-101719</t>
  </si>
  <si>
    <t>TRX-101720</t>
  </si>
  <si>
    <t>TRX-101721</t>
  </si>
  <si>
    <t>TRX-101722</t>
  </si>
  <si>
    <t>TRX-101723</t>
  </si>
  <si>
    <t>TRX-101724</t>
  </si>
  <si>
    <t>TRX-101725</t>
  </si>
  <si>
    <t>TRX-101726</t>
  </si>
  <si>
    <t>TRX-101727</t>
  </si>
  <si>
    <t>TRX-101728</t>
  </si>
  <si>
    <t>TRX-101729</t>
  </si>
  <si>
    <t>TRX-101730</t>
  </si>
  <si>
    <t>TRX-101731</t>
  </si>
  <si>
    <t>TRX-101732</t>
  </si>
  <si>
    <t>TRX-101733</t>
  </si>
  <si>
    <t>TRX-101734</t>
  </si>
  <si>
    <t>TRX-101735</t>
  </si>
  <si>
    <t>TRX-101736</t>
  </si>
  <si>
    <t>TRX-101737</t>
  </si>
  <si>
    <t>TRX-101738</t>
  </si>
  <si>
    <t>TRX-101739</t>
  </si>
  <si>
    <t>TRX-101740</t>
  </si>
  <si>
    <t>TRX-101741</t>
  </si>
  <si>
    <t>TRX-101742</t>
  </si>
  <si>
    <t>TRX-101743</t>
  </si>
  <si>
    <t>TRX-101744</t>
  </si>
  <si>
    <t>TRX-101745</t>
  </si>
  <si>
    <t>TRX-101746</t>
  </si>
  <si>
    <t>TRX-101747</t>
  </si>
  <si>
    <t>TRX-101748</t>
  </si>
  <si>
    <t>TRX-101749</t>
  </si>
  <si>
    <t>TRX-101750</t>
  </si>
  <si>
    <t>TRX-101751</t>
  </si>
  <si>
    <t>TRX-101752</t>
  </si>
  <si>
    <t>TRX-101753</t>
  </si>
  <si>
    <t>TRX-101754</t>
  </si>
  <si>
    <t>TRX-101755</t>
  </si>
  <si>
    <t>TRX-101756</t>
  </si>
  <si>
    <t>TRX-101757</t>
  </si>
  <si>
    <t>TRX-101758</t>
  </si>
  <si>
    <t>TRX-101759</t>
  </si>
  <si>
    <t>TRX-101760</t>
  </si>
  <si>
    <t>TRX-101761</t>
  </si>
  <si>
    <t>TRX-101762</t>
  </si>
  <si>
    <t>TRX-101763</t>
  </si>
  <si>
    <t>TRX-101764</t>
  </si>
  <si>
    <t>TRX-101765</t>
  </si>
  <si>
    <t>TRX-101766</t>
  </si>
  <si>
    <t>TRX-101767</t>
  </si>
  <si>
    <t>TRX-101768</t>
  </si>
  <si>
    <t>TRX-101769</t>
  </si>
  <si>
    <t>TRX-101770</t>
  </si>
  <si>
    <t>TRX-101771</t>
  </si>
  <si>
    <t>TRX-101772</t>
  </si>
  <si>
    <t>TRX-101773</t>
  </si>
  <si>
    <t>TRX-101774</t>
  </si>
  <si>
    <t>TRX-101775</t>
  </si>
  <si>
    <t>TRX-101776</t>
  </si>
  <si>
    <t>TRX-101777</t>
  </si>
  <si>
    <t>TRX-101778</t>
  </si>
  <si>
    <t>TRX-101779</t>
  </si>
  <si>
    <t>TRX-101780</t>
  </si>
  <si>
    <t>TRX-101781</t>
  </si>
  <si>
    <t>TRX-101782</t>
  </si>
  <si>
    <t>TRX-101783</t>
  </si>
  <si>
    <t>TRX-101784</t>
  </si>
  <si>
    <t>TRX-101785</t>
  </si>
  <si>
    <t>TRX-101786</t>
  </si>
  <si>
    <t>TRX-101787</t>
  </si>
  <si>
    <t>TRX-101788</t>
  </si>
  <si>
    <t>TRX-101789</t>
  </si>
  <si>
    <t>TRX-101790</t>
  </si>
  <si>
    <t>TRX-101791</t>
  </si>
  <si>
    <t>TRX-101792</t>
  </si>
  <si>
    <t>TRX-101793</t>
  </si>
  <si>
    <t>TRX-101794</t>
  </si>
  <si>
    <t>TRX-101795</t>
  </si>
  <si>
    <t>TRX-101796</t>
  </si>
  <si>
    <t>TRX-101797</t>
  </si>
  <si>
    <t>TRX-101798</t>
  </si>
  <si>
    <t>TRX-101799</t>
  </si>
  <si>
    <t>TRX-101800</t>
  </si>
  <si>
    <t>TRX-101801</t>
  </si>
  <si>
    <t>TRX-101802</t>
  </si>
  <si>
    <t>TRX-101803</t>
  </si>
  <si>
    <t>TRX-101804</t>
  </si>
  <si>
    <t>TRX-101805</t>
  </si>
  <si>
    <t>TRX-101806</t>
  </si>
  <si>
    <t>TRX-101807</t>
  </si>
  <si>
    <t>TRX-101808</t>
  </si>
  <si>
    <t>TRX-101809</t>
  </si>
  <si>
    <t>TRX-101810</t>
  </si>
  <si>
    <t>TRX-101811</t>
  </si>
  <si>
    <t>TRX-101812</t>
  </si>
  <si>
    <t>TRX-101813</t>
  </si>
  <si>
    <t>TRX-101814</t>
  </si>
  <si>
    <t>TRX-101815</t>
  </si>
  <si>
    <t>TRX-101816</t>
  </si>
  <si>
    <t>TRX-101817</t>
  </si>
  <si>
    <t>TRX-101818</t>
  </si>
  <si>
    <t>TRX-101819</t>
  </si>
  <si>
    <t>TRX-101820</t>
  </si>
  <si>
    <t>TRX-101821</t>
  </si>
  <si>
    <t>TRX-101822</t>
  </si>
  <si>
    <t>TRX-101823</t>
  </si>
  <si>
    <t>TRX-101824</t>
  </si>
  <si>
    <t>TRX-101825</t>
  </si>
  <si>
    <t>TRX-101826</t>
  </si>
  <si>
    <t>TRX-101827</t>
  </si>
  <si>
    <t>TRX-101828</t>
  </si>
  <si>
    <t>TRX-101829</t>
  </si>
  <si>
    <t>TRX-101830</t>
  </si>
  <si>
    <t>TRX-101831</t>
  </si>
  <si>
    <t>TRX-101832</t>
  </si>
  <si>
    <t>TRX-101833</t>
  </si>
  <si>
    <t>TRX-101834</t>
  </si>
  <si>
    <t>TRX-101835</t>
  </si>
  <si>
    <t>TRX-101836</t>
  </si>
  <si>
    <t>TRX-101837</t>
  </si>
  <si>
    <t>TRX-101838</t>
  </si>
  <si>
    <t>TRX-101839</t>
  </si>
  <si>
    <t>TRX-101840</t>
  </si>
  <si>
    <t>TRX-101841</t>
  </si>
  <si>
    <t>TRX-101842</t>
  </si>
  <si>
    <t>TRX-101843</t>
  </si>
  <si>
    <t>TRX-101844</t>
  </si>
  <si>
    <t>TRX-101845</t>
  </si>
  <si>
    <t>TRX-101846</t>
  </si>
  <si>
    <t>TRX-101847</t>
  </si>
  <si>
    <t>TRX-101848</t>
  </si>
  <si>
    <t>TRX-101849</t>
  </si>
  <si>
    <t>TRX-101850</t>
  </si>
  <si>
    <t>TRX-101851</t>
  </si>
  <si>
    <t>TRX-101852</t>
  </si>
  <si>
    <t>TRX-101853</t>
  </si>
  <si>
    <t>TRX-101854</t>
  </si>
  <si>
    <t>TRX-101855</t>
  </si>
  <si>
    <t>TRX-101856</t>
  </si>
  <si>
    <t>TRX-101857</t>
  </si>
  <si>
    <t>TRX-101858</t>
  </si>
  <si>
    <t>TRX-101859</t>
  </si>
  <si>
    <t>TRX-101860</t>
  </si>
  <si>
    <t>TRX-101861</t>
  </si>
  <si>
    <t>TRX-101862</t>
  </si>
  <si>
    <t>TRX-101863</t>
  </si>
  <si>
    <t>TRX-101864</t>
  </si>
  <si>
    <t>TRX-101865</t>
  </si>
  <si>
    <t>TRX-101866</t>
  </si>
  <si>
    <t>TRX-101867</t>
  </si>
  <si>
    <t>TRX-101868</t>
  </si>
  <si>
    <t>TRX-101869</t>
  </si>
  <si>
    <t>TRX-101870</t>
  </si>
  <si>
    <t>TRX-101871</t>
  </si>
  <si>
    <t>TRX-101872</t>
  </si>
  <si>
    <t>TRX-101873</t>
  </si>
  <si>
    <t>TRX-101874</t>
  </si>
  <si>
    <t>TRX-101875</t>
  </si>
  <si>
    <t>TRX-101876</t>
  </si>
  <si>
    <t>TRX-101877</t>
  </si>
  <si>
    <t>TRX-101878</t>
  </si>
  <si>
    <t>TRX-101879</t>
  </si>
  <si>
    <t>TRX-101880</t>
  </si>
  <si>
    <t>TRX-101881</t>
  </si>
  <si>
    <t>TRX-101882</t>
  </si>
  <si>
    <t>TRX-101883</t>
  </si>
  <si>
    <t>TRX-101884</t>
  </si>
  <si>
    <t>TRX-101885</t>
  </si>
  <si>
    <t>TRX-101886</t>
  </si>
  <si>
    <t>TRX-101887</t>
  </si>
  <si>
    <t>TRX-101888</t>
  </si>
  <si>
    <t>TRX-101889</t>
  </si>
  <si>
    <t>TRX-101890</t>
  </si>
  <si>
    <t>TRX-101891</t>
  </si>
  <si>
    <t>TRX-101892</t>
  </si>
  <si>
    <t>TRX-101893</t>
  </si>
  <si>
    <t>TRX-101894</t>
  </si>
  <si>
    <t>TRX-101895</t>
  </si>
  <si>
    <t>TRX-101896</t>
  </si>
  <si>
    <t>TRX-101897</t>
  </si>
  <si>
    <t>TRX-101898</t>
  </si>
  <si>
    <t>TRX-101899</t>
  </si>
  <si>
    <t>TRX-101900</t>
  </si>
  <si>
    <t>TRX-101901</t>
  </si>
  <si>
    <t>TRX-101902</t>
  </si>
  <si>
    <t>TRX-101903</t>
  </si>
  <si>
    <t>TRX-101904</t>
  </si>
  <si>
    <t>TRX-101905</t>
  </si>
  <si>
    <t>TRX-101906</t>
  </si>
  <si>
    <t>TRX-101907</t>
  </si>
  <si>
    <t>TRX-101908</t>
  </si>
  <si>
    <t>TRX-101909</t>
  </si>
  <si>
    <t>TRX-101910</t>
  </si>
  <si>
    <t>TRX-101911</t>
  </si>
  <si>
    <t>TRX-101912</t>
  </si>
  <si>
    <t>TRX-101913</t>
  </si>
  <si>
    <t>TRX-101914</t>
  </si>
  <si>
    <t>TRX-101915</t>
  </si>
  <si>
    <t>TRX-101916</t>
  </si>
  <si>
    <t>TRX-101917</t>
  </si>
  <si>
    <t>TRX-101918</t>
  </si>
  <si>
    <t>TRX-101919</t>
  </si>
  <si>
    <t>TRX-101920</t>
  </si>
  <si>
    <t>TRX-101921</t>
  </si>
  <si>
    <t>TRX-101922</t>
  </si>
  <si>
    <t>TRX-101923</t>
  </si>
  <si>
    <t>TRX-101924</t>
  </si>
  <si>
    <t>TRX-101925</t>
  </si>
  <si>
    <t>TRX-101926</t>
  </si>
  <si>
    <t>TRX-101927</t>
  </si>
  <si>
    <t>TRX-101928</t>
  </si>
  <si>
    <t>TRX-101929</t>
  </si>
  <si>
    <t>TRX-101930</t>
  </si>
  <si>
    <t>TRX-101931</t>
  </si>
  <si>
    <t>TRX-101932</t>
  </si>
  <si>
    <t>TRX-101933</t>
  </si>
  <si>
    <t>TRX-101934</t>
  </si>
  <si>
    <t>TRX-101935</t>
  </si>
  <si>
    <t>TRX-101936</t>
  </si>
  <si>
    <t>TRX-101937</t>
  </si>
  <si>
    <t>TRX-101938</t>
  </si>
  <si>
    <t>TRX-101939</t>
  </si>
  <si>
    <t>TRX-101940</t>
  </si>
  <si>
    <t>TRX-101941</t>
  </si>
  <si>
    <t>TRX-101942</t>
  </si>
  <si>
    <t>TRX-101943</t>
  </si>
  <si>
    <t>TRX-101944</t>
  </si>
  <si>
    <t>TRX-101945</t>
  </si>
  <si>
    <t>TRX-101946</t>
  </si>
  <si>
    <t>TRX-101947</t>
  </si>
  <si>
    <t>TRX-101948</t>
  </si>
  <si>
    <t>TRX-101949</t>
  </si>
  <si>
    <t>TRX-101950</t>
  </si>
  <si>
    <t>TRX-101951</t>
  </si>
  <si>
    <t>TRX-101952</t>
  </si>
  <si>
    <t>TRX-101953</t>
  </si>
  <si>
    <t>TRX-101954</t>
  </si>
  <si>
    <t>TRX-101955</t>
  </si>
  <si>
    <t>TRX-101956</t>
  </si>
  <si>
    <t>TRX-101957</t>
  </si>
  <si>
    <t>TRX-101958</t>
  </si>
  <si>
    <t>TRX-101959</t>
  </si>
  <si>
    <t>TRX-101960</t>
  </si>
  <si>
    <t>TRX-101961</t>
  </si>
  <si>
    <t>TRX-101962</t>
  </si>
  <si>
    <t>TRX-101963</t>
  </si>
  <si>
    <t>TRX-101964</t>
  </si>
  <si>
    <t>TRX-101965</t>
  </si>
  <si>
    <t>TRX-101966</t>
  </si>
  <si>
    <t>TRX-101967</t>
  </si>
  <si>
    <t>TRX-101968</t>
  </si>
  <si>
    <t>TRX-101969</t>
  </si>
  <si>
    <t>TRX-101970</t>
  </si>
  <si>
    <t>TRX-101971</t>
  </si>
  <si>
    <t>TRX-101972</t>
  </si>
  <si>
    <t>TRX-101973</t>
  </si>
  <si>
    <t>TRX-101974</t>
  </si>
  <si>
    <t>TRX-101975</t>
  </si>
  <si>
    <t>TRX-101976</t>
  </si>
  <si>
    <t>TRX-101977</t>
  </si>
  <si>
    <t>TRX-101978</t>
  </si>
  <si>
    <t>TRX-101979</t>
  </si>
  <si>
    <t>TRX-101980</t>
  </si>
  <si>
    <t>TRX-101981</t>
  </si>
  <si>
    <t>TRX-101982</t>
  </si>
  <si>
    <t>TRX-101983</t>
  </si>
  <si>
    <t>TRX-101984</t>
  </si>
  <si>
    <t>TRX-101985</t>
  </si>
  <si>
    <t>TRX-101986</t>
  </si>
  <si>
    <t>TRX-101987</t>
  </si>
  <si>
    <t>TRX-101988</t>
  </si>
  <si>
    <t>TRX-101989</t>
  </si>
  <si>
    <t>TRX-101990</t>
  </si>
  <si>
    <t>TRX-101991</t>
  </si>
  <si>
    <t>TRX-101992</t>
  </si>
  <si>
    <t>TRX-101993</t>
  </si>
  <si>
    <t>TRX-101994</t>
  </si>
  <si>
    <t>TRX-101995</t>
  </si>
  <si>
    <t>TRX-101996</t>
  </si>
  <si>
    <t>TRX-101997</t>
  </si>
  <si>
    <t>TRX-101998</t>
  </si>
  <si>
    <t>TRX-101999</t>
  </si>
  <si>
    <t>TRX-102000</t>
  </si>
  <si>
    <t>TRX-102001</t>
  </si>
  <si>
    <t>TRX-102002</t>
  </si>
  <si>
    <t>TRX-102003</t>
  </si>
  <si>
    <t>TRX-102004</t>
  </si>
  <si>
    <t>TRX-102005</t>
  </si>
  <si>
    <t>TRX-102006</t>
  </si>
  <si>
    <t>TRX-102007</t>
  </si>
  <si>
    <t>TRX-102008</t>
  </si>
  <si>
    <t>TRX-102009</t>
  </si>
  <si>
    <t>TRX-102010</t>
  </si>
  <si>
    <t>TRX-102011</t>
  </si>
  <si>
    <t>TRX-102012</t>
  </si>
  <si>
    <t>TRX-102013</t>
  </si>
  <si>
    <t>TRX-102014</t>
  </si>
  <si>
    <t>TRX-102015</t>
  </si>
  <si>
    <t>TRX-102016</t>
  </si>
  <si>
    <t>TRX-102017</t>
  </si>
  <si>
    <t>TRX-102018</t>
  </si>
  <si>
    <t>TRX-102019</t>
  </si>
  <si>
    <t>TRX-102020</t>
  </si>
  <si>
    <t>TRX-102021</t>
  </si>
  <si>
    <t>TRX-102022</t>
  </si>
  <si>
    <t>TRX-102023</t>
  </si>
  <si>
    <t>TRX-102024</t>
  </si>
  <si>
    <t>TRX-102025</t>
  </si>
  <si>
    <t>TRX-102026</t>
  </si>
  <si>
    <t>TRX-102027</t>
  </si>
  <si>
    <t>TRX-102028</t>
  </si>
  <si>
    <t>TRX-102029</t>
  </si>
  <si>
    <t>TRX-102030</t>
  </si>
  <si>
    <t>TRX-102031</t>
  </si>
  <si>
    <t>TRX-102032</t>
  </si>
  <si>
    <t>TRX-102033</t>
  </si>
  <si>
    <t>TRX-102034</t>
  </si>
  <si>
    <t>TRX-102035</t>
  </si>
  <si>
    <t>TRX-102036</t>
  </si>
  <si>
    <t>TRX-102037</t>
  </si>
  <si>
    <t>TRX-102038</t>
  </si>
  <si>
    <t>TRX-102039</t>
  </si>
  <si>
    <t>TRX-102040</t>
  </si>
  <si>
    <t>TRX-102041</t>
  </si>
  <si>
    <t>TRX-102042</t>
  </si>
  <si>
    <t>TRX-102043</t>
  </si>
  <si>
    <t>TRX-102044</t>
  </si>
  <si>
    <t>TRX-102045</t>
  </si>
  <si>
    <t>TRX-102046</t>
  </si>
  <si>
    <t>TRX-102047</t>
  </si>
  <si>
    <t>TRX-102048</t>
  </si>
  <si>
    <t>TRX-102049</t>
  </si>
  <si>
    <t>TRX-102050</t>
  </si>
  <si>
    <t>TRX-102051</t>
  </si>
  <si>
    <t>TRX-102052</t>
  </si>
  <si>
    <t>TRX-102053</t>
  </si>
  <si>
    <t>TRX-102054</t>
  </si>
  <si>
    <t>TRX-102055</t>
  </si>
  <si>
    <t>TRX-102056</t>
  </si>
  <si>
    <t>TRX-102057</t>
  </si>
  <si>
    <t>TRX-102058</t>
  </si>
  <si>
    <t>TRX-102059</t>
  </si>
  <si>
    <t>TRX-102060</t>
  </si>
  <si>
    <t>TRX-102061</t>
  </si>
  <si>
    <t>TRX-102062</t>
  </si>
  <si>
    <t>TRX-102063</t>
  </si>
  <si>
    <t>TRX-102064</t>
  </si>
  <si>
    <t>TRX-102065</t>
  </si>
  <si>
    <t>TRX-102066</t>
  </si>
  <si>
    <t>TRX-102067</t>
  </si>
  <si>
    <t>TRX-102068</t>
  </si>
  <si>
    <t>TRX-102069</t>
  </si>
  <si>
    <t>TRX-102070</t>
  </si>
  <si>
    <t>TRX-102071</t>
  </si>
  <si>
    <t>TRX-102072</t>
  </si>
  <si>
    <t>TRX-102073</t>
  </si>
  <si>
    <t>TRX-102074</t>
  </si>
  <si>
    <t>TRX-102075</t>
  </si>
  <si>
    <t>TRX-102076</t>
  </si>
  <si>
    <t>TRX-102077</t>
  </si>
  <si>
    <t>TRX-102078</t>
  </si>
  <si>
    <t>TRX-102079</t>
  </si>
  <si>
    <t>TRX-102080</t>
  </si>
  <si>
    <t>TRX-102081</t>
  </si>
  <si>
    <t>TRX-102082</t>
  </si>
  <si>
    <t>TRX-102083</t>
  </si>
  <si>
    <t>TRX-102084</t>
  </si>
  <si>
    <t>TRX-102085</t>
  </si>
  <si>
    <t>TRX-102086</t>
  </si>
  <si>
    <t>TRX-102087</t>
  </si>
  <si>
    <t>TRX-102088</t>
  </si>
  <si>
    <t>TRX-102089</t>
  </si>
  <si>
    <t>TRX-102090</t>
  </si>
  <si>
    <t>TRX-102091</t>
  </si>
  <si>
    <t>TRX-102092</t>
  </si>
  <si>
    <t>TRX-102093</t>
  </si>
  <si>
    <t>TRX-102094</t>
  </si>
  <si>
    <t>TRX-102095</t>
  </si>
  <si>
    <t>TRX-102096</t>
  </si>
  <si>
    <t>TRX-102097</t>
  </si>
  <si>
    <t>TRX-102098</t>
  </si>
  <si>
    <t>TRX-102099</t>
  </si>
  <si>
    <t>TRX-102100</t>
  </si>
  <si>
    <t>TRX-102101</t>
  </si>
  <si>
    <t>TRX-102102</t>
  </si>
  <si>
    <t>TRX-102103</t>
  </si>
  <si>
    <t>TRX-102104</t>
  </si>
  <si>
    <t>TRX-102105</t>
  </si>
  <si>
    <t>TRX-102106</t>
  </si>
  <si>
    <t>TRX-102107</t>
  </si>
  <si>
    <t>TRX-102108</t>
  </si>
  <si>
    <t>TRX-102109</t>
  </si>
  <si>
    <t>TRX-102110</t>
  </si>
  <si>
    <t>TRX-102111</t>
  </si>
  <si>
    <t>TRX-102112</t>
  </si>
  <si>
    <t>TRX-102113</t>
  </si>
  <si>
    <t>TRX-102114</t>
  </si>
  <si>
    <t>TRX-102115</t>
  </si>
  <si>
    <t>TRX-102116</t>
  </si>
  <si>
    <t>TRX-102117</t>
  </si>
  <si>
    <t>TRX-102118</t>
  </si>
  <si>
    <t>TRX-102119</t>
  </si>
  <si>
    <t>TRX-102120</t>
  </si>
  <si>
    <t>TRX-102121</t>
  </si>
  <si>
    <t>TRX-102122</t>
  </si>
  <si>
    <t>TRX-102123</t>
  </si>
  <si>
    <t>TRX-102124</t>
  </si>
  <si>
    <t>TRX-102125</t>
  </si>
  <si>
    <t>TRX-102126</t>
  </si>
  <si>
    <t>TRX-102127</t>
  </si>
  <si>
    <t>TRX-102128</t>
  </si>
  <si>
    <t>TRX-102129</t>
  </si>
  <si>
    <t>TRX-102130</t>
  </si>
  <si>
    <t>TRX-102131</t>
  </si>
  <si>
    <t>TRX-102132</t>
  </si>
  <si>
    <t>TRX-102133</t>
  </si>
  <si>
    <t>TRX-102134</t>
  </si>
  <si>
    <t>TRX-102135</t>
  </si>
  <si>
    <t>TRX-102136</t>
  </si>
  <si>
    <t>TRX-102137</t>
  </si>
  <si>
    <t>TRX-102138</t>
  </si>
  <si>
    <t>TRX-102139</t>
  </si>
  <si>
    <t>TRX-102140</t>
  </si>
  <si>
    <t>TRX-102141</t>
  </si>
  <si>
    <t>TRX-102142</t>
  </si>
  <si>
    <t>TRX-102143</t>
  </si>
  <si>
    <t>TRX-102144</t>
  </si>
  <si>
    <t>TRX-102145</t>
  </si>
  <si>
    <t>TRX-102146</t>
  </si>
  <si>
    <t>TRX-102147</t>
  </si>
  <si>
    <t>TRX-102148</t>
  </si>
  <si>
    <t>TRX-102149</t>
  </si>
  <si>
    <t>TRX-102150</t>
  </si>
  <si>
    <t>TRX-102151</t>
  </si>
  <si>
    <t>TRX-102152</t>
  </si>
  <si>
    <t>TRX-102153</t>
  </si>
  <si>
    <t>TRX-102154</t>
  </si>
  <si>
    <t>TRX-102155</t>
  </si>
  <si>
    <t>TRX-102156</t>
  </si>
  <si>
    <t>TRX-102157</t>
  </si>
  <si>
    <t>TRX-102158</t>
  </si>
  <si>
    <t>TRX-102159</t>
  </si>
  <si>
    <t>TRX-102160</t>
  </si>
  <si>
    <t>TRX-102161</t>
  </si>
  <si>
    <t>TRX-102162</t>
  </si>
  <si>
    <t>TRX-102163</t>
  </si>
  <si>
    <t>TRX-102164</t>
  </si>
  <si>
    <t>TRX-102165</t>
  </si>
  <si>
    <t>TRX-102166</t>
  </si>
  <si>
    <t>TRX-102167</t>
  </si>
  <si>
    <t>TRX-102168</t>
  </si>
  <si>
    <t>TRX-102169</t>
  </si>
  <si>
    <t>TRX-102170</t>
  </si>
  <si>
    <t>TRX-102171</t>
  </si>
  <si>
    <t>TRX-102172</t>
  </si>
  <si>
    <t>TRX-102173</t>
  </si>
  <si>
    <t>TRX-102174</t>
  </si>
  <si>
    <t>TRX-102175</t>
  </si>
  <si>
    <t>TRX-102176</t>
  </si>
  <si>
    <t>TRX-102177</t>
  </si>
  <si>
    <t>TRX-102178</t>
  </si>
  <si>
    <t>TRX-102179</t>
  </si>
  <si>
    <t>TRX-102180</t>
  </si>
  <si>
    <t>TRX-102181</t>
  </si>
  <si>
    <t>TRX-102182</t>
  </si>
  <si>
    <t>TRX-102183</t>
  </si>
  <si>
    <t>TRX-102184</t>
  </si>
  <si>
    <t>TRX-102185</t>
  </si>
  <si>
    <t>TRX-102186</t>
  </si>
  <si>
    <t>TRX-102187</t>
  </si>
  <si>
    <t>TRX-102188</t>
  </si>
  <si>
    <t>TRX-102189</t>
  </si>
  <si>
    <t>TRX-102190</t>
  </si>
  <si>
    <t>TRX-102191</t>
  </si>
  <si>
    <t>TRX-102192</t>
  </si>
  <si>
    <t>TRX-102193</t>
  </si>
  <si>
    <t>TRX-102194</t>
  </si>
  <si>
    <t>TRX-102195</t>
  </si>
  <si>
    <t>TRX-102196</t>
  </si>
  <si>
    <t>TRX-102197</t>
  </si>
  <si>
    <t>TRX-102198</t>
  </si>
  <si>
    <t>TRX-102199</t>
  </si>
  <si>
    <t>TRX-102200</t>
  </si>
  <si>
    <t>TRX-102201</t>
  </si>
  <si>
    <t>TRX-102202</t>
  </si>
  <si>
    <t>TRX-102203</t>
  </si>
  <si>
    <t>TRX-102204</t>
  </si>
  <si>
    <t>TRX-102205</t>
  </si>
  <si>
    <t>TRX-102206</t>
  </si>
  <si>
    <t>TRX-102207</t>
  </si>
  <si>
    <t>TRX-102208</t>
  </si>
  <si>
    <t>TRX-102209</t>
  </si>
  <si>
    <t>TRX-102210</t>
  </si>
  <si>
    <t>TRX-102211</t>
  </si>
  <si>
    <t>TRX-102212</t>
  </si>
  <si>
    <t>TRX-102213</t>
  </si>
  <si>
    <t>TRX-102214</t>
  </si>
  <si>
    <t>TRX-102215</t>
  </si>
  <si>
    <t>TRX-102216</t>
  </si>
  <si>
    <t>TRX-102217</t>
  </si>
  <si>
    <t>TRX-102218</t>
  </si>
  <si>
    <t>TRX-102219</t>
  </si>
  <si>
    <t>TRX-102220</t>
  </si>
  <si>
    <t>TRX-102221</t>
  </si>
  <si>
    <t>TRX-102222</t>
  </si>
  <si>
    <t>TRX-102223</t>
  </si>
  <si>
    <t>TRX-102224</t>
  </si>
  <si>
    <t>TRX-102225</t>
  </si>
  <si>
    <t>TRX-102226</t>
  </si>
  <si>
    <t>TRX-102227</t>
  </si>
  <si>
    <t>TRX-102228</t>
  </si>
  <si>
    <t>TRX-102229</t>
  </si>
  <si>
    <t>TRX-102230</t>
  </si>
  <si>
    <t>TRX-102231</t>
  </si>
  <si>
    <t>TRX-102232</t>
  </si>
  <si>
    <t>TRX-102233</t>
  </si>
  <si>
    <t>TRX-102234</t>
  </si>
  <si>
    <t>TRX-102235</t>
  </si>
  <si>
    <t>TRX-102236</t>
  </si>
  <si>
    <t>TRX-102237</t>
  </si>
  <si>
    <t>TRX-102238</t>
  </si>
  <si>
    <t>TRX-102239</t>
  </si>
  <si>
    <t>TRX-102240</t>
  </si>
  <si>
    <t>TRX-102241</t>
  </si>
  <si>
    <t>TRX-102242</t>
  </si>
  <si>
    <t>TRX-102243</t>
  </si>
  <si>
    <t>TRX-102244</t>
  </si>
  <si>
    <t>TRX-102245</t>
  </si>
  <si>
    <t>TRX-102246</t>
  </si>
  <si>
    <t>TRX-102247</t>
  </si>
  <si>
    <t>TRX-102248</t>
  </si>
  <si>
    <t>TRX-102249</t>
  </si>
  <si>
    <t>TRX-102250</t>
  </si>
  <si>
    <t>TRX-102251</t>
  </si>
  <si>
    <t>TRX-102252</t>
  </si>
  <si>
    <t>TRX-102253</t>
  </si>
  <si>
    <t>TRX-102254</t>
  </si>
  <si>
    <t>TRX-102255</t>
  </si>
  <si>
    <t>TRX-102256</t>
  </si>
  <si>
    <t>TRX-102257</t>
  </si>
  <si>
    <t>TRX-102258</t>
  </si>
  <si>
    <t>TRX-102259</t>
  </si>
  <si>
    <t>TRX-102260</t>
  </si>
  <si>
    <t>TRX-102261</t>
  </si>
  <si>
    <t>TRX-102262</t>
  </si>
  <si>
    <t>TRX-102263</t>
  </si>
  <si>
    <t>TRX-102264</t>
  </si>
  <si>
    <t>TRX-102265</t>
  </si>
  <si>
    <t>TRX-102266</t>
  </si>
  <si>
    <t>TRX-102267</t>
  </si>
  <si>
    <t>TRX-102268</t>
  </si>
  <si>
    <t>TRX-102269</t>
  </si>
  <si>
    <t>TRX-102270</t>
  </si>
  <si>
    <t>TRX-102271</t>
  </si>
  <si>
    <t>TRX-102272</t>
  </si>
  <si>
    <t>TRX-102273</t>
  </si>
  <si>
    <t>TRX-102274</t>
  </si>
  <si>
    <t>TRX-102275</t>
  </si>
  <si>
    <t>TRX-102276</t>
  </si>
  <si>
    <t>TRX-102277</t>
  </si>
  <si>
    <t>TRX-102278</t>
  </si>
  <si>
    <t>TRX-102279</t>
  </si>
  <si>
    <t>TRX-102280</t>
  </si>
  <si>
    <t>TRX-102281</t>
  </si>
  <si>
    <t>TRX-102282</t>
  </si>
  <si>
    <t>TRX-102283</t>
  </si>
  <si>
    <t>TRX-102284</t>
  </si>
  <si>
    <t>TRX-102285</t>
  </si>
  <si>
    <t>TRX-102286</t>
  </si>
  <si>
    <t>TRX-102287</t>
  </si>
  <si>
    <t>TRX-102288</t>
  </si>
  <si>
    <t>TRX-102289</t>
  </si>
  <si>
    <t>TRX-102290</t>
  </si>
  <si>
    <t>TRX-102291</t>
  </si>
  <si>
    <t>TRX-102292</t>
  </si>
  <si>
    <t>TRX-102293</t>
  </si>
  <si>
    <t>TRX-102294</t>
  </si>
  <si>
    <t>TRX-102295</t>
  </si>
  <si>
    <t>TRX-102296</t>
  </si>
  <si>
    <t>TRX-102297</t>
  </si>
  <si>
    <t>TRX-102298</t>
  </si>
  <si>
    <t>TRX-102299</t>
  </si>
  <si>
    <t>TRX-102300</t>
  </si>
  <si>
    <t>TRX-102301</t>
  </si>
  <si>
    <t>TRX-102302</t>
  </si>
  <si>
    <t>TRX-102303</t>
  </si>
  <si>
    <t>TRX-102304</t>
  </si>
  <si>
    <t>TRX-102305</t>
  </si>
  <si>
    <t>TRX-102306</t>
  </si>
  <si>
    <t>TRX-102307</t>
  </si>
  <si>
    <t>TRX-102308</t>
  </si>
  <si>
    <t>TRX-102309</t>
  </si>
  <si>
    <t>TRX-102310</t>
  </si>
  <si>
    <t>TRX-102311</t>
  </si>
  <si>
    <t>TRX-102312</t>
  </si>
  <si>
    <t>TRX-102313</t>
  </si>
  <si>
    <t>TRX-102314</t>
  </si>
  <si>
    <t>TRX-102315</t>
  </si>
  <si>
    <t>TRX-102316</t>
  </si>
  <si>
    <t>TRX-102317</t>
  </si>
  <si>
    <t>TRX-102318</t>
  </si>
  <si>
    <t>TRX-102319</t>
  </si>
  <si>
    <t>TRX-102320</t>
  </si>
  <si>
    <t>TRX-102321</t>
  </si>
  <si>
    <t>TRX-102322</t>
  </si>
  <si>
    <t>TRX-102323</t>
  </si>
  <si>
    <t>TRX-102324</t>
  </si>
  <si>
    <t>TRX-102325</t>
  </si>
  <si>
    <t>TRX-102326</t>
  </si>
  <si>
    <t>TRX-102327</t>
  </si>
  <si>
    <t>TRX-102328</t>
  </si>
  <si>
    <t>TRX-102329</t>
  </si>
  <si>
    <t>TRX-102330</t>
  </si>
  <si>
    <t>TRX-102331</t>
  </si>
  <si>
    <t>TRX-102332</t>
  </si>
  <si>
    <t>TRX-102333</t>
  </si>
  <si>
    <t>TRX-102334</t>
  </si>
  <si>
    <t>TRX-102335</t>
  </si>
  <si>
    <t>TRX-102336</t>
  </si>
  <si>
    <t>TRX-102337</t>
  </si>
  <si>
    <t>TRX-102338</t>
  </si>
  <si>
    <t>TRX-102339</t>
  </si>
  <si>
    <t>TRX-102340</t>
  </si>
  <si>
    <t>TRX-102341</t>
  </si>
  <si>
    <t>TRX-102342</t>
  </si>
  <si>
    <t>TRX-102343</t>
  </si>
  <si>
    <t>TRX-102344</t>
  </si>
  <si>
    <t>TRX-102345</t>
  </si>
  <si>
    <t>TRX-102346</t>
  </si>
  <si>
    <t>TRX-102347</t>
  </si>
  <si>
    <t>TRX-102348</t>
  </si>
  <si>
    <t>TRX-102349</t>
  </si>
  <si>
    <t>TRX-102350</t>
  </si>
  <si>
    <t>TRX-102351</t>
  </si>
  <si>
    <t>TRX-102352</t>
  </si>
  <si>
    <t>TRX-102353</t>
  </si>
  <si>
    <t>TRX-102354</t>
  </si>
  <si>
    <t>TRX-102355</t>
  </si>
  <si>
    <t>TRX-102356</t>
  </si>
  <si>
    <t>TRX-102357</t>
  </si>
  <si>
    <t>TRX-102358</t>
  </si>
  <si>
    <t>TRX-102359</t>
  </si>
  <si>
    <t>TRX-102360</t>
  </si>
  <si>
    <t>TRX-102361</t>
  </si>
  <si>
    <t>TRX-102362</t>
  </si>
  <si>
    <t>TRX-102363</t>
  </si>
  <si>
    <t>TRX-102364</t>
  </si>
  <si>
    <t>TRX-102365</t>
  </si>
  <si>
    <t>TRX-102366</t>
  </si>
  <si>
    <t>TRX-102367</t>
  </si>
  <si>
    <t>TRX-102368</t>
  </si>
  <si>
    <t>TRX-102369</t>
  </si>
  <si>
    <t>TRX-102370</t>
  </si>
  <si>
    <t>TRX-102371</t>
  </si>
  <si>
    <t>TRX-102372</t>
  </si>
  <si>
    <t>TRX-102373</t>
  </si>
  <si>
    <t>TRX-102374</t>
  </si>
  <si>
    <t>TRX-102375</t>
  </si>
  <si>
    <t>TRX-102376</t>
  </si>
  <si>
    <t>TRX-102377</t>
  </si>
  <si>
    <t>TRX-102378</t>
  </si>
  <si>
    <t>TRX-102379</t>
  </si>
  <si>
    <t>TRX-102380</t>
  </si>
  <si>
    <t>TRX-102381</t>
  </si>
  <si>
    <t>TRX-102382</t>
  </si>
  <si>
    <t>TRX-102383</t>
  </si>
  <si>
    <t>TRX-102384</t>
  </si>
  <si>
    <t>TRX-102385</t>
  </si>
  <si>
    <t>TRX-102386</t>
  </si>
  <si>
    <t>TRX-102387</t>
  </si>
  <si>
    <t>TRX-102388</t>
  </si>
  <si>
    <t>TRX-102389</t>
  </si>
  <si>
    <t>TRX-102390</t>
  </si>
  <si>
    <t>TRX-102391</t>
  </si>
  <si>
    <t>TRX-102392</t>
  </si>
  <si>
    <t>TRX-102393</t>
  </si>
  <si>
    <t>TRX-102394</t>
  </si>
  <si>
    <t>TRX-102395</t>
  </si>
  <si>
    <t>TRX-102396</t>
  </si>
  <si>
    <t>TRX-102397</t>
  </si>
  <si>
    <t>TRX-102398</t>
  </si>
  <si>
    <t>TRX-102399</t>
  </si>
  <si>
    <t>TRX-102400</t>
  </si>
  <si>
    <t>TRX-102401</t>
  </si>
  <si>
    <t>TRX-102402</t>
  </si>
  <si>
    <t>TRX-102403</t>
  </si>
  <si>
    <t>TRX-102404</t>
  </si>
  <si>
    <t>TRX-102405</t>
  </si>
  <si>
    <t>TRX-102406</t>
  </si>
  <si>
    <t>TRX-102407</t>
  </si>
  <si>
    <t>TRX-102408</t>
  </si>
  <si>
    <t>TRX-102409</t>
  </si>
  <si>
    <t>TRX-102410</t>
  </si>
  <si>
    <t>TRX-102411</t>
  </si>
  <si>
    <t>TRX-102412</t>
  </si>
  <si>
    <t>TRX-102413</t>
  </si>
  <si>
    <t>TRX-102414</t>
  </si>
  <si>
    <t>TRX-102415</t>
  </si>
  <si>
    <t>TRX-102416</t>
  </si>
  <si>
    <t>TRX-102417</t>
  </si>
  <si>
    <t>TRX-102418</t>
  </si>
  <si>
    <t>TRX-102419</t>
  </si>
  <si>
    <t>TRX-102420</t>
  </si>
  <si>
    <t>TRX-102421</t>
  </si>
  <si>
    <t>TRX-102422</t>
  </si>
  <si>
    <t>TRX-102423</t>
  </si>
  <si>
    <t>TRX-102424</t>
  </si>
  <si>
    <t>TRX-102425</t>
  </si>
  <si>
    <t>TRX-102426</t>
  </si>
  <si>
    <t>TRX-102427</t>
  </si>
  <si>
    <t>TRX-102428</t>
  </si>
  <si>
    <t>TRX-102429</t>
  </si>
  <si>
    <t>TRX-102430</t>
  </si>
  <si>
    <t>TRX-102431</t>
  </si>
  <si>
    <t>TRX-102432</t>
  </si>
  <si>
    <t>TRX-102433</t>
  </si>
  <si>
    <t>TRX-102434</t>
  </si>
  <si>
    <t>TRX-102435</t>
  </si>
  <si>
    <t>TRX-102436</t>
  </si>
  <si>
    <t>TRX-102437</t>
  </si>
  <si>
    <t>TRX-102438</t>
  </si>
  <si>
    <t>TRX-102439</t>
  </si>
  <si>
    <t>TRX-102440</t>
  </si>
  <si>
    <t>TRX-102441</t>
  </si>
  <si>
    <t>TRX-102442</t>
  </si>
  <si>
    <t>TRX-102443</t>
  </si>
  <si>
    <t>TRX-102444</t>
  </si>
  <si>
    <t>TRX-102445</t>
  </si>
  <si>
    <t>TRX-102446</t>
  </si>
  <si>
    <t>TRX-102447</t>
  </si>
  <si>
    <t>TRX-102448</t>
  </si>
  <si>
    <t>TRX-102449</t>
  </si>
  <si>
    <t>TRX-102450</t>
  </si>
  <si>
    <t>TRX-102451</t>
  </si>
  <si>
    <t>TRX-102452</t>
  </si>
  <si>
    <t>TRX-102453</t>
  </si>
  <si>
    <t>TRX-102454</t>
  </si>
  <si>
    <t>TRX-102455</t>
  </si>
  <si>
    <t>TRX-102456</t>
  </si>
  <si>
    <t>TRX-102457</t>
  </si>
  <si>
    <t>TRX-102458</t>
  </si>
  <si>
    <t>TRX-102459</t>
  </si>
  <si>
    <t>TRX-102460</t>
  </si>
  <si>
    <t>TRX-102461</t>
  </si>
  <si>
    <t>TRX-102462</t>
  </si>
  <si>
    <t>TRX-102463</t>
  </si>
  <si>
    <t>TRX-102464</t>
  </si>
  <si>
    <t>TRX-102465</t>
  </si>
  <si>
    <t>TRX-102466</t>
  </si>
  <si>
    <t>TRX-102467</t>
  </si>
  <si>
    <t>TRX-102468</t>
  </si>
  <si>
    <t>TRX-102469</t>
  </si>
  <si>
    <t>TRX-102470</t>
  </si>
  <si>
    <t>TRX-102471</t>
  </si>
  <si>
    <t>TRX-102472</t>
  </si>
  <si>
    <t>TRX-102473</t>
  </si>
  <si>
    <t>TRX-102474</t>
  </si>
  <si>
    <t>TRX-102475</t>
  </si>
  <si>
    <t>TRX-102476</t>
  </si>
  <si>
    <t>TRX-102477</t>
  </si>
  <si>
    <t>TRX-102478</t>
  </si>
  <si>
    <t>TRX-102479</t>
  </si>
  <si>
    <t>TRX-102480</t>
  </si>
  <si>
    <t>TRX-102481</t>
  </si>
  <si>
    <t>TRX-102482</t>
  </si>
  <si>
    <t>TRX-102483</t>
  </si>
  <si>
    <t>TRX-102484</t>
  </si>
  <si>
    <t>TRX-102485</t>
  </si>
  <si>
    <t>TRX-102486</t>
  </si>
  <si>
    <t>TRX-102487</t>
  </si>
  <si>
    <t>TRX-102488</t>
  </si>
  <si>
    <t>TRX-102489</t>
  </si>
  <si>
    <t>TRX-102490</t>
  </si>
  <si>
    <t>TRX-102491</t>
  </si>
  <si>
    <t>TRX-102492</t>
  </si>
  <si>
    <t>TRX-102493</t>
  </si>
  <si>
    <t>TRX-102494</t>
  </si>
  <si>
    <t>TRX-102495</t>
  </si>
  <si>
    <t>TRX-102496</t>
  </si>
  <si>
    <t>TRX-102497</t>
  </si>
  <si>
    <t>TRX-102498</t>
  </si>
  <si>
    <t>TRX-102499</t>
  </si>
  <si>
    <t>TRX-102500</t>
  </si>
  <si>
    <t>TRX-102501</t>
  </si>
  <si>
    <t>TRX-102502</t>
  </si>
  <si>
    <t>TRX-102503</t>
  </si>
  <si>
    <t>TRX-102504</t>
  </si>
  <si>
    <t>TRX-102505</t>
  </si>
  <si>
    <t>TRX-102506</t>
  </si>
  <si>
    <t>TRX-102507</t>
  </si>
  <si>
    <t>TRX-102508</t>
  </si>
  <si>
    <t>TRX-102509</t>
  </si>
  <si>
    <t>TRX-102510</t>
  </si>
  <si>
    <t>TRX-102511</t>
  </si>
  <si>
    <t>TRX-102512</t>
  </si>
  <si>
    <t>TRX-102513</t>
  </si>
  <si>
    <t>TRX-102514</t>
  </si>
  <si>
    <t>TRX-102515</t>
  </si>
  <si>
    <t>TRX-102516</t>
  </si>
  <si>
    <t>TRX-102517</t>
  </si>
  <si>
    <t>TRX-102518</t>
  </si>
  <si>
    <t>TRX-102519</t>
  </si>
  <si>
    <t>TRX-102520</t>
  </si>
  <si>
    <t>TRX-102521</t>
  </si>
  <si>
    <t>TRX-102522</t>
  </si>
  <si>
    <t>TRX-102523</t>
  </si>
  <si>
    <t>TRX-102524</t>
  </si>
  <si>
    <t>TRX-102525</t>
  </si>
  <si>
    <t>TRX-102526</t>
  </si>
  <si>
    <t>TRX-102527</t>
  </si>
  <si>
    <t>TRX-102528</t>
  </si>
  <si>
    <t>TRX-102529</t>
  </si>
  <si>
    <t>TRX-102530</t>
  </si>
  <si>
    <t>TRX-102531</t>
  </si>
  <si>
    <t>TRX-102532</t>
  </si>
  <si>
    <t>TRX-102533</t>
  </si>
  <si>
    <t>TRX-102534</t>
  </si>
  <si>
    <t>TRX-102535</t>
  </si>
  <si>
    <t>TRX-102536</t>
  </si>
  <si>
    <t>TRX-102537</t>
  </si>
  <si>
    <t>TRX-102538</t>
  </si>
  <si>
    <t>TRX-102539</t>
  </si>
  <si>
    <t>TRX-102540</t>
  </si>
  <si>
    <t>TRX-102541</t>
  </si>
  <si>
    <t>TRX-102542</t>
  </si>
  <si>
    <t>TRX-102543</t>
  </si>
  <si>
    <t>TRX-102544</t>
  </si>
  <si>
    <t>TRX-102545</t>
  </si>
  <si>
    <t>TRX-102546</t>
  </si>
  <si>
    <t>TRX-102547</t>
  </si>
  <si>
    <t>TRX-102548</t>
  </si>
  <si>
    <t>TRX-102549</t>
  </si>
  <si>
    <t>TRX-102550</t>
  </si>
  <si>
    <t>TRX-102551</t>
  </si>
  <si>
    <t>TRX-102552</t>
  </si>
  <si>
    <t>TRX-102553</t>
  </si>
  <si>
    <t>TRX-102554</t>
  </si>
  <si>
    <t>TRX-102555</t>
  </si>
  <si>
    <t>TRX-102556</t>
  </si>
  <si>
    <t>TRX-102557</t>
  </si>
  <si>
    <t>TRX-102558</t>
  </si>
  <si>
    <t>TRX-102559</t>
  </si>
  <si>
    <t>TRX-102560</t>
  </si>
  <si>
    <t>TRX-102561</t>
  </si>
  <si>
    <t>TRX-102562</t>
  </si>
  <si>
    <t>TRX-102563</t>
  </si>
  <si>
    <t>TRX-102564</t>
  </si>
  <si>
    <t>TRX-102565</t>
  </si>
  <si>
    <t>TRX-102566</t>
  </si>
  <si>
    <t>TRX-102567</t>
  </si>
  <si>
    <t>TRX-102568</t>
  </si>
  <si>
    <t>TRX-102569</t>
  </si>
  <si>
    <t>TRX-102570</t>
  </si>
  <si>
    <t>TRX-102571</t>
  </si>
  <si>
    <t>TRX-102572</t>
  </si>
  <si>
    <t>TRX-102573</t>
  </si>
  <si>
    <t>TRX-102574</t>
  </si>
  <si>
    <t>TRX-102575</t>
  </si>
  <si>
    <t>TRX-102576</t>
  </si>
  <si>
    <t>TRX-102577</t>
  </si>
  <si>
    <t>TRX-102578</t>
  </si>
  <si>
    <t>TRX-102579</t>
  </si>
  <si>
    <t>TRX-102580</t>
  </si>
  <si>
    <t>TRX-102581</t>
  </si>
  <si>
    <t>TRX-102582</t>
  </si>
  <si>
    <t>TRX-102583</t>
  </si>
  <si>
    <t>TRX-102584</t>
  </si>
  <si>
    <t>TRX-102585</t>
  </si>
  <si>
    <t>TRX-102586</t>
  </si>
  <si>
    <t>TRX-102587</t>
  </si>
  <si>
    <t>TRX-102588</t>
  </si>
  <si>
    <t>TRX-102589</t>
  </si>
  <si>
    <t>TRX-102590</t>
  </si>
  <si>
    <t>TRX-102591</t>
  </si>
  <si>
    <t>TRX-102592</t>
  </si>
  <si>
    <t>TRX-102593</t>
  </si>
  <si>
    <t>TRX-102594</t>
  </si>
  <si>
    <t>TRX-102595</t>
  </si>
  <si>
    <t>TRX-102596</t>
  </si>
  <si>
    <t>TRX-102597</t>
  </si>
  <si>
    <t>TRX-102598</t>
  </si>
  <si>
    <t>TRX-102599</t>
  </si>
  <si>
    <t>TRX-102600</t>
  </si>
  <si>
    <t>TRX-102601</t>
  </si>
  <si>
    <t>TRX-102602</t>
  </si>
  <si>
    <t>TRX-102603</t>
  </si>
  <si>
    <t>TRX-102604</t>
  </si>
  <si>
    <t>TRX-102605</t>
  </si>
  <si>
    <t>TRX-102606</t>
  </si>
  <si>
    <t>TRX-102607</t>
  </si>
  <si>
    <t>TRX-102608</t>
  </si>
  <si>
    <t>TRX-102609</t>
  </si>
  <si>
    <t>TRX-102610</t>
  </si>
  <si>
    <t>TRX-102611</t>
  </si>
  <si>
    <t>TRX-102612</t>
  </si>
  <si>
    <t>TRX-102613</t>
  </si>
  <si>
    <t>TRX-102614</t>
  </si>
  <si>
    <t>TRX-102615</t>
  </si>
  <si>
    <t>TRX-102616</t>
  </si>
  <si>
    <t>TRX-102617</t>
  </si>
  <si>
    <t>TRX-102618</t>
  </si>
  <si>
    <t>TRX-102619</t>
  </si>
  <si>
    <t>TRX-102620</t>
  </si>
  <si>
    <t>TRX-102621</t>
  </si>
  <si>
    <t>TRX-102622</t>
  </si>
  <si>
    <t>TRX-102623</t>
  </si>
  <si>
    <t>TRX-102624</t>
  </si>
  <si>
    <t>TRX-102625</t>
  </si>
  <si>
    <t>TRX-102626</t>
  </si>
  <si>
    <t>TRX-102627</t>
  </si>
  <si>
    <t>TRX-102628</t>
  </si>
  <si>
    <t>TRX-102629</t>
  </si>
  <si>
    <t>TRX-102630</t>
  </si>
  <si>
    <t>TRX-102631</t>
  </si>
  <si>
    <t>TRX-102632</t>
  </si>
  <si>
    <t>TRX-102633</t>
  </si>
  <si>
    <t>TRX-102634</t>
  </si>
  <si>
    <t>TRX-102635</t>
  </si>
  <si>
    <t>TRX-102636</t>
  </si>
  <si>
    <t>TRX-102637</t>
  </si>
  <si>
    <t>TRX-102638</t>
  </si>
  <si>
    <t>TRX-102639</t>
  </si>
  <si>
    <t>TRX-102640</t>
  </si>
  <si>
    <t>TRX-102641</t>
  </si>
  <si>
    <t>TRX-102642</t>
  </si>
  <si>
    <t>TRX-102643</t>
  </si>
  <si>
    <t>TRX-102644</t>
  </si>
  <si>
    <t>TRX-102645</t>
  </si>
  <si>
    <t>TRX-102646</t>
  </si>
  <si>
    <t>TRX-102647</t>
  </si>
  <si>
    <t>TRX-102648</t>
  </si>
  <si>
    <t>TRX-102649</t>
  </si>
  <si>
    <t>TRX-102650</t>
  </si>
  <si>
    <t>TRX-102651</t>
  </si>
  <si>
    <t>TRX-102652</t>
  </si>
  <si>
    <t>TRX-102653</t>
  </si>
  <si>
    <t>TRX-102654</t>
  </si>
  <si>
    <t>TRX-102655</t>
  </si>
  <si>
    <t>TRX-102656</t>
  </si>
  <si>
    <t>TRX-102657</t>
  </si>
  <si>
    <t>TRX-102658</t>
  </si>
  <si>
    <t>TRX-102659</t>
  </si>
  <si>
    <t>TRX-102660</t>
  </si>
  <si>
    <t>TRX-102661</t>
  </si>
  <si>
    <t>TRX-102662</t>
  </si>
  <si>
    <t>TRX-102663</t>
  </si>
  <si>
    <t>TRX-102664</t>
  </si>
  <si>
    <t>TRX-102665</t>
  </si>
  <si>
    <t>TRX-102666</t>
  </si>
  <si>
    <t>TRX-102667</t>
  </si>
  <si>
    <t>TRX-102668</t>
  </si>
  <si>
    <t>TRX-102669</t>
  </si>
  <si>
    <t>TRX-102670</t>
  </si>
  <si>
    <t>TRX-102671</t>
  </si>
  <si>
    <t>TRX-102672</t>
  </si>
  <si>
    <t>TRX-102673</t>
  </si>
  <si>
    <t>TRX-102674</t>
  </si>
  <si>
    <t>TRX-102675</t>
  </si>
  <si>
    <t>TRX-102676</t>
  </si>
  <si>
    <t>TRX-102677</t>
  </si>
  <si>
    <t>TRX-102678</t>
  </si>
  <si>
    <t>TRX-102679</t>
  </si>
  <si>
    <t>TRX-102680</t>
  </si>
  <si>
    <t>TRX-102681</t>
  </si>
  <si>
    <t>TRX-102682</t>
  </si>
  <si>
    <t>TRX-102683</t>
  </si>
  <si>
    <t>TRX-102684</t>
  </si>
  <si>
    <t>TRX-102685</t>
  </si>
  <si>
    <t>TRX-102686</t>
  </si>
  <si>
    <t>TRX-102687</t>
  </si>
  <si>
    <t>TRX-102688</t>
  </si>
  <si>
    <t>TRX-102689</t>
  </si>
  <si>
    <t>TRX-102690</t>
  </si>
  <si>
    <t>TRX-102691</t>
  </si>
  <si>
    <t>TRX-102692</t>
  </si>
  <si>
    <t>TRX-102693</t>
  </si>
  <si>
    <t>TRX-102694</t>
  </si>
  <si>
    <t>TRX-102695</t>
  </si>
  <si>
    <t>TRX-102696</t>
  </si>
  <si>
    <t>TRX-102697</t>
  </si>
  <si>
    <t>TRX-102698</t>
  </si>
  <si>
    <t>TRX-102699</t>
  </si>
  <si>
    <t>TRX-102700</t>
  </si>
  <si>
    <t>TRX-102701</t>
  </si>
  <si>
    <t>TRX-102702</t>
  </si>
  <si>
    <t>TRX-102703</t>
  </si>
  <si>
    <t>TRX-102704</t>
  </si>
  <si>
    <t>TRX-102705</t>
  </si>
  <si>
    <t>TRX-102706</t>
  </si>
  <si>
    <t>TRX-102707</t>
  </si>
  <si>
    <t>TRX-102708</t>
  </si>
  <si>
    <t>TRX-102709</t>
  </si>
  <si>
    <t>TRX-102710</t>
  </si>
  <si>
    <t>TRX-102711</t>
  </si>
  <si>
    <t>TRX-102712</t>
  </si>
  <si>
    <t>TRX-102713</t>
  </si>
  <si>
    <t>TRX-102714</t>
  </si>
  <si>
    <t>TRX-102715</t>
  </si>
  <si>
    <t>TRX-102716</t>
  </si>
  <si>
    <t>TRX-102717</t>
  </si>
  <si>
    <t>TRX-102718</t>
  </si>
  <si>
    <t>TRX-102719</t>
  </si>
  <si>
    <t>TRX-102720</t>
  </si>
  <si>
    <t>TRX-102721</t>
  </si>
  <si>
    <t>TRX-102722</t>
  </si>
  <si>
    <t>TRX-102723</t>
  </si>
  <si>
    <t>TRX-102724</t>
  </si>
  <si>
    <t>TRX-102725</t>
  </si>
  <si>
    <t>TRX-102726</t>
  </si>
  <si>
    <t>TRX-102727</t>
  </si>
  <si>
    <t>TRX-102728</t>
  </si>
  <si>
    <t>TRX-102729</t>
  </si>
  <si>
    <t>TRX-102730</t>
  </si>
  <si>
    <t>TRX-102731</t>
  </si>
  <si>
    <t>TRX-102732</t>
  </si>
  <si>
    <t>TRX-102733</t>
  </si>
  <si>
    <t>TRX-102734</t>
  </si>
  <si>
    <t>TRX-102735</t>
  </si>
  <si>
    <t>TRX-102736</t>
  </si>
  <si>
    <t>TRX-102737</t>
  </si>
  <si>
    <t>TRX-102738</t>
  </si>
  <si>
    <t>TRX-102739</t>
  </si>
  <si>
    <t>TRX-102740</t>
  </si>
  <si>
    <t>TRX-102741</t>
  </si>
  <si>
    <t>TRX-102742</t>
  </si>
  <si>
    <t>TRX-102743</t>
  </si>
  <si>
    <t>TRX-102744</t>
  </si>
  <si>
    <t>TRX-102745</t>
  </si>
  <si>
    <t>TRX-102746</t>
  </si>
  <si>
    <t>TRX-102747</t>
  </si>
  <si>
    <t>TRX-102748</t>
  </si>
  <si>
    <t>TRX-102749</t>
  </si>
  <si>
    <t>TRX-102750</t>
  </si>
  <si>
    <t>TRX-102751</t>
  </si>
  <si>
    <t>TRX-102752</t>
  </si>
  <si>
    <t>TRX-102753</t>
  </si>
  <si>
    <t>TRX-102754</t>
  </si>
  <si>
    <t>TRX-102755</t>
  </si>
  <si>
    <t>TRX-102756</t>
  </si>
  <si>
    <t>TRX-102757</t>
  </si>
  <si>
    <t>TRX-102758</t>
  </si>
  <si>
    <t>TRX-102759</t>
  </si>
  <si>
    <t>TRX-102760</t>
  </si>
  <si>
    <t>TRX-102761</t>
  </si>
  <si>
    <t>TRX-102762</t>
  </si>
  <si>
    <t>TRX-102763</t>
  </si>
  <si>
    <t>TRX-102764</t>
  </si>
  <si>
    <t>TRX-102765</t>
  </si>
  <si>
    <t>TRX-102766</t>
  </si>
  <si>
    <t>TRX-102767</t>
  </si>
  <si>
    <t>TRX-102768</t>
  </si>
  <si>
    <t>TRX-102769</t>
  </si>
  <si>
    <t>TRX-102770</t>
  </si>
  <si>
    <t>TRX-102771</t>
  </si>
  <si>
    <t>TRX-102772</t>
  </si>
  <si>
    <t>TRX-102773</t>
  </si>
  <si>
    <t>TRX-102774</t>
  </si>
  <si>
    <t>TRX-102775</t>
  </si>
  <si>
    <t>TRX-102776</t>
  </si>
  <si>
    <t>TRX-102777</t>
  </si>
  <si>
    <t>TRX-102778</t>
  </si>
  <si>
    <t>TRX-102779</t>
  </si>
  <si>
    <t>TRX-102780</t>
  </si>
  <si>
    <t>TRX-102781</t>
  </si>
  <si>
    <t>TRX-102782</t>
  </si>
  <si>
    <t>TRX-102783</t>
  </si>
  <si>
    <t>TRX-102784</t>
  </si>
  <si>
    <t>TRX-102785</t>
  </si>
  <si>
    <t>TRX-102786</t>
  </si>
  <si>
    <t>TRX-102787</t>
  </si>
  <si>
    <t>TRX-102788</t>
  </si>
  <si>
    <t>TRX-102789</t>
  </si>
  <si>
    <t>TRX-102790</t>
  </si>
  <si>
    <t>TRX-102791</t>
  </si>
  <si>
    <t>TRX-102792</t>
  </si>
  <si>
    <t>TRX-102793</t>
  </si>
  <si>
    <t>TRX-102794</t>
  </si>
  <si>
    <t>TRX-102795</t>
  </si>
  <si>
    <t>TRX-102796</t>
  </si>
  <si>
    <t>TRX-102797</t>
  </si>
  <si>
    <t>TRX-102798</t>
  </si>
  <si>
    <t>TRX-102799</t>
  </si>
  <si>
    <t>TRX-102800</t>
  </si>
  <si>
    <t>TRX-102801</t>
  </si>
  <si>
    <t>TRX-102802</t>
  </si>
  <si>
    <t>TRX-102803</t>
  </si>
  <si>
    <t>TRX-102804</t>
  </si>
  <si>
    <t>TRX-102805</t>
  </si>
  <si>
    <t>TRX-102806</t>
  </si>
  <si>
    <t>TRX-102807</t>
  </si>
  <si>
    <t>TRX-102808</t>
  </si>
  <si>
    <t>TRX-102809</t>
  </si>
  <si>
    <t>TRX-102810</t>
  </si>
  <si>
    <t>TRX-102811</t>
  </si>
  <si>
    <t>TRX-102812</t>
  </si>
  <si>
    <t>TRX-102813</t>
  </si>
  <si>
    <t>TRX-102814</t>
  </si>
  <si>
    <t>TRX-102815</t>
  </si>
  <si>
    <t>TRX-102816</t>
  </si>
  <si>
    <t>TRX-102817</t>
  </si>
  <si>
    <t>TRX-102818</t>
  </si>
  <si>
    <t>TRX-102819</t>
  </si>
  <si>
    <t>TRX-102820</t>
  </si>
  <si>
    <t>TRX-102821</t>
  </si>
  <si>
    <t>TRX-102822</t>
  </si>
  <si>
    <t>TRX-102823</t>
  </si>
  <si>
    <t>TRX-102824</t>
  </si>
  <si>
    <t>TRX-102825</t>
  </si>
  <si>
    <t>TRX-102826</t>
  </si>
  <si>
    <t>TRX-102827</t>
  </si>
  <si>
    <t>TRX-102828</t>
  </si>
  <si>
    <t>TRX-102829</t>
  </si>
  <si>
    <t>TRX-102830</t>
  </si>
  <si>
    <t>TRX-102831</t>
  </si>
  <si>
    <t>TRX-102832</t>
  </si>
  <si>
    <t>TRX-102833</t>
  </si>
  <si>
    <t>TRX-102834</t>
  </si>
  <si>
    <t>TRX-102835</t>
  </si>
  <si>
    <t>TRX-102836</t>
  </si>
  <si>
    <t>TRX-102837</t>
  </si>
  <si>
    <t>TRX-102838</t>
  </si>
  <si>
    <t>TRX-102839</t>
  </si>
  <si>
    <t>TRX-102840</t>
  </si>
  <si>
    <t>TRX-102841</t>
  </si>
  <si>
    <t>TRX-102842</t>
  </si>
  <si>
    <t>TRX-102843</t>
  </si>
  <si>
    <t>TRX-102844</t>
  </si>
  <si>
    <t>TRX-102845</t>
  </si>
  <si>
    <t>TRX-102846</t>
  </si>
  <si>
    <t>TRX-102847</t>
  </si>
  <si>
    <t>TRX-102848</t>
  </si>
  <si>
    <t>TRX-102849</t>
  </si>
  <si>
    <t>TRX-102850</t>
  </si>
  <si>
    <t>TRX-102851</t>
  </si>
  <si>
    <t>TRX-102852</t>
  </si>
  <si>
    <t>TRX-102853</t>
  </si>
  <si>
    <t>TRX-102854</t>
  </si>
  <si>
    <t>TRX-102855</t>
  </si>
  <si>
    <t>TRX-102856</t>
  </si>
  <si>
    <t>TRX-102857</t>
  </si>
  <si>
    <t>TRX-102858</t>
  </si>
  <si>
    <t>TRX-102859</t>
  </si>
  <si>
    <t>TRX-102860</t>
  </si>
  <si>
    <t>TRX-102861</t>
  </si>
  <si>
    <t>TRX-102862</t>
  </si>
  <si>
    <t>TRX-102863</t>
  </si>
  <si>
    <t>TRX-102864</t>
  </si>
  <si>
    <t>TRX-102865</t>
  </si>
  <si>
    <t>TRX-102866</t>
  </si>
  <si>
    <t>TRX-102867</t>
  </si>
  <si>
    <t>TRX-102868</t>
  </si>
  <si>
    <t>TRX-102869</t>
  </si>
  <si>
    <t>TRX-102870</t>
  </si>
  <si>
    <t>TRX-102871</t>
  </si>
  <si>
    <t>TRX-102872</t>
  </si>
  <si>
    <t>TRX-102873</t>
  </si>
  <si>
    <t>TRX-102874</t>
  </si>
  <si>
    <t>TRX-102875</t>
  </si>
  <si>
    <t>TRX-102876</t>
  </si>
  <si>
    <t>TRX-102877</t>
  </si>
  <si>
    <t>TRX-102878</t>
  </si>
  <si>
    <t>TRX-102879</t>
  </si>
  <si>
    <t>TRX-102880</t>
  </si>
  <si>
    <t>TRX-102881</t>
  </si>
  <si>
    <t>TRX-102882</t>
  </si>
  <si>
    <t>TRX-102883</t>
  </si>
  <si>
    <t>TRX-102884</t>
  </si>
  <si>
    <t>TRX-102885</t>
  </si>
  <si>
    <t>TRX-102886</t>
  </si>
  <si>
    <t>TRX-102887</t>
  </si>
  <si>
    <t>TRX-102888</t>
  </si>
  <si>
    <t>TRX-102889</t>
  </si>
  <si>
    <t>TRX-102890</t>
  </si>
  <si>
    <t>TRX-102891</t>
  </si>
  <si>
    <t>TRX-102892</t>
  </si>
  <si>
    <t>TRX-102893</t>
  </si>
  <si>
    <t>TRX-102894</t>
  </si>
  <si>
    <t>TRX-102895</t>
  </si>
  <si>
    <t>TRX-102896</t>
  </si>
  <si>
    <t>TRX-102897</t>
  </si>
  <si>
    <t>TRX-102898</t>
  </si>
  <si>
    <t>TRX-102899</t>
  </si>
  <si>
    <t>TRX-102900</t>
  </si>
  <si>
    <t>TRX-102901</t>
  </si>
  <si>
    <t>TRX-102902</t>
  </si>
  <si>
    <t>TRX-102903</t>
  </si>
  <si>
    <t>TRX-102904</t>
  </si>
  <si>
    <t>TRX-102905</t>
  </si>
  <si>
    <t>TRX-102906</t>
  </si>
  <si>
    <t>TRX-102907</t>
  </si>
  <si>
    <t>TRX-102908</t>
  </si>
  <si>
    <t>TRX-102909</t>
  </si>
  <si>
    <t>TRX-102910</t>
  </si>
  <si>
    <t>TRX-102911</t>
  </si>
  <si>
    <t>TRX-102912</t>
  </si>
  <si>
    <t>TRX-102913</t>
  </si>
  <si>
    <t>TRX-102914</t>
  </si>
  <si>
    <t>TRX-102915</t>
  </si>
  <si>
    <t>TRX-102916</t>
  </si>
  <si>
    <t>TRX-102917</t>
  </si>
  <si>
    <t>TRX-102918</t>
  </si>
  <si>
    <t>TRX-102919</t>
  </si>
  <si>
    <t>TRX-102920</t>
  </si>
  <si>
    <t>TRX-102921</t>
  </si>
  <si>
    <t>TRX-102922</t>
  </si>
  <si>
    <t>TRX-102923</t>
  </si>
  <si>
    <t>TRX-102924</t>
  </si>
  <si>
    <t>TRX-102925</t>
  </si>
  <si>
    <t>TRX-102926</t>
  </si>
  <si>
    <t>TRX-102927</t>
  </si>
  <si>
    <t>TRX-102928</t>
  </si>
  <si>
    <t>TRX-102929</t>
  </si>
  <si>
    <t>TRX-102930</t>
  </si>
  <si>
    <t>TRX-102931</t>
  </si>
  <si>
    <t>TRX-102932</t>
  </si>
  <si>
    <t>TRX-102933</t>
  </si>
  <si>
    <t>TRX-102934</t>
  </si>
  <si>
    <t>TRX-102935</t>
  </si>
  <si>
    <t>TRX-102936</t>
  </si>
  <si>
    <t>TRX-102937</t>
  </si>
  <si>
    <t>TRX-102938</t>
  </si>
  <si>
    <t>TRX-102939</t>
  </si>
  <si>
    <t>TRX-102940</t>
  </si>
  <si>
    <t>TRX-102941</t>
  </si>
  <si>
    <t>TRX-102942</t>
  </si>
  <si>
    <t>TRX-102943</t>
  </si>
  <si>
    <t>TRX-102944</t>
  </si>
  <si>
    <t>TRX-102945</t>
  </si>
  <si>
    <t>TRX-102946</t>
  </si>
  <si>
    <t>TRX-102947</t>
  </si>
  <si>
    <t>TRX-102948</t>
  </si>
  <si>
    <t>TRX-102949</t>
  </si>
  <si>
    <t>TRX-102950</t>
  </si>
  <si>
    <t>TRX-102951</t>
  </si>
  <si>
    <t>TRX-102952</t>
  </si>
  <si>
    <t>TRX-102953</t>
  </si>
  <si>
    <t>TRX-102954</t>
  </si>
  <si>
    <t>TRX-102955</t>
  </si>
  <si>
    <t>TRX-102956</t>
  </si>
  <si>
    <t>TRX-102957</t>
  </si>
  <si>
    <t>TRX-102958</t>
  </si>
  <si>
    <t>TRX-102959</t>
  </si>
  <si>
    <t>TRX-102960</t>
  </si>
  <si>
    <t>TRX-102961</t>
  </si>
  <si>
    <t>TRX-102962</t>
  </si>
  <si>
    <t>TRX-102963</t>
  </si>
  <si>
    <t>TRX-102964</t>
  </si>
  <si>
    <t>TRX-102965</t>
  </si>
  <si>
    <t>TRX-102966</t>
  </si>
  <si>
    <t>TRX-102967</t>
  </si>
  <si>
    <t>TRX-102968</t>
  </si>
  <si>
    <t>TRX-102969</t>
  </si>
  <si>
    <t>TRX-102970</t>
  </si>
  <si>
    <t>TRX-102971</t>
  </si>
  <si>
    <t>TRX-102972</t>
  </si>
  <si>
    <t>TRX-102973</t>
  </si>
  <si>
    <t>TRX-102974</t>
  </si>
  <si>
    <t>TRX-102975</t>
  </si>
  <si>
    <t>TRX-102976</t>
  </si>
  <si>
    <t>TRX-102977</t>
  </si>
  <si>
    <t>TRX-102978</t>
  </si>
  <si>
    <t>TRX-102979</t>
  </si>
  <si>
    <t>TRX-102980</t>
  </si>
  <si>
    <t>TRX-102981</t>
  </si>
  <si>
    <t>TRX-102982</t>
  </si>
  <si>
    <t>TRX-102983</t>
  </si>
  <si>
    <t>TRX-102984</t>
  </si>
  <si>
    <t>TRX-102985</t>
  </si>
  <si>
    <t>TRX-102986</t>
  </si>
  <si>
    <t>TRX-102987</t>
  </si>
  <si>
    <t>TRX-102988</t>
  </si>
  <si>
    <t>TRX-102989</t>
  </si>
  <si>
    <t>TRX-102990</t>
  </si>
  <si>
    <t>TRX-102991</t>
  </si>
  <si>
    <t>TRX-102992</t>
  </si>
  <si>
    <t>TRX-102993</t>
  </si>
  <si>
    <t>TRX-102994</t>
  </si>
  <si>
    <t>TRX-102995</t>
  </si>
  <si>
    <t>TRX-102996</t>
  </si>
  <si>
    <t>TRX-102997</t>
  </si>
  <si>
    <t>TRX-102998</t>
  </si>
  <si>
    <t>TRX-102999</t>
  </si>
  <si>
    <t>TRX-103000</t>
  </si>
  <si>
    <t>TRX-103001</t>
  </si>
  <si>
    <t>TRX-103002</t>
  </si>
  <si>
    <t>TRX-103003</t>
  </si>
  <si>
    <t>TRX-103004</t>
  </si>
  <si>
    <t>TRX-103005</t>
  </si>
  <si>
    <t>TRX-103006</t>
  </si>
  <si>
    <t>TRX-103007</t>
  </si>
  <si>
    <t>TRX-103008</t>
  </si>
  <si>
    <t>TRX-103009</t>
  </si>
  <si>
    <t>TRX-103010</t>
  </si>
  <si>
    <t>TRX-103011</t>
  </si>
  <si>
    <t>TRX-103012</t>
  </si>
  <si>
    <t>TRX-103013</t>
  </si>
  <si>
    <t>TRX-103014</t>
  </si>
  <si>
    <t>TRX-103015</t>
  </si>
  <si>
    <t>TRX-103016</t>
  </si>
  <si>
    <t>TRX-103017</t>
  </si>
  <si>
    <t>TRX-103018</t>
  </si>
  <si>
    <t>TRX-103019</t>
  </si>
  <si>
    <t>TRX-103020</t>
  </si>
  <si>
    <t>TRX-103021</t>
  </si>
  <si>
    <t>TRX-103022</t>
  </si>
  <si>
    <t>TRX-103023</t>
  </si>
  <si>
    <t>TRX-103024</t>
  </si>
  <si>
    <t>TRX-103025</t>
  </si>
  <si>
    <t>TRX-103026</t>
  </si>
  <si>
    <t>TRX-103027</t>
  </si>
  <si>
    <t>TRX-103028</t>
  </si>
  <si>
    <t>TRX-103029</t>
  </si>
  <si>
    <t>TRX-103030</t>
  </si>
  <si>
    <t>TRX-103031</t>
  </si>
  <si>
    <t>TRX-103032</t>
  </si>
  <si>
    <t>TRX-103033</t>
  </si>
  <si>
    <t>TRX-103034</t>
  </si>
  <si>
    <t>TRX-103035</t>
  </si>
  <si>
    <t>TRX-103036</t>
  </si>
  <si>
    <t>TRX-103037</t>
  </si>
  <si>
    <t>TRX-103038</t>
  </si>
  <si>
    <t>TRX-103039</t>
  </si>
  <si>
    <t>TRX-103040</t>
  </si>
  <si>
    <t>TRX-103041</t>
  </si>
  <si>
    <t>TRX-103042</t>
  </si>
  <si>
    <t>TRX-103043</t>
  </si>
  <si>
    <t>TRX-103044</t>
  </si>
  <si>
    <t>TRX-103045</t>
  </si>
  <si>
    <t>TRX-103046</t>
  </si>
  <si>
    <t>TRX-103047</t>
  </si>
  <si>
    <t>TRX-103048</t>
  </si>
  <si>
    <t>TRX-103049</t>
  </si>
  <si>
    <t>TRX-103050</t>
  </si>
  <si>
    <t>TRX-103051</t>
  </si>
  <si>
    <t>TRX-103052</t>
  </si>
  <si>
    <t>TRX-103053</t>
  </si>
  <si>
    <t>TRX-103054</t>
  </si>
  <si>
    <t>TRX-103055</t>
  </si>
  <si>
    <t>TRX-103056</t>
  </si>
  <si>
    <t>TRX-103057</t>
  </si>
  <si>
    <t>TRX-103058</t>
  </si>
  <si>
    <t>TRX-103059</t>
  </si>
  <si>
    <t>TRX-103060</t>
  </si>
  <si>
    <t>TRX-103061</t>
  </si>
  <si>
    <t>TRX-103062</t>
  </si>
  <si>
    <t>TRX-103063</t>
  </si>
  <si>
    <t>TRX-103064</t>
  </si>
  <si>
    <t>TRX-103065</t>
  </si>
  <si>
    <t>TRX-103066</t>
  </si>
  <si>
    <t>TRX-103067</t>
  </si>
  <si>
    <t>TRX-103068</t>
  </si>
  <si>
    <t>TRX-103069</t>
  </si>
  <si>
    <t>TRX-103070</t>
  </si>
  <si>
    <t>TRX-103071</t>
  </si>
  <si>
    <t>TRX-103072</t>
  </si>
  <si>
    <t>TRX-103073</t>
  </si>
  <si>
    <t>TRX-103074</t>
  </si>
  <si>
    <t>TRX-103075</t>
  </si>
  <si>
    <t>TRX-103076</t>
  </si>
  <si>
    <t>TRX-103077</t>
  </si>
  <si>
    <t>TRX-103078</t>
  </si>
  <si>
    <t>TRX-103079</t>
  </si>
  <si>
    <t>TRX-103080</t>
  </si>
  <si>
    <t>TRX-103081</t>
  </si>
  <si>
    <t>TRX-103082</t>
  </si>
  <si>
    <t>TRX-103083</t>
  </si>
  <si>
    <t>TRX-103084</t>
  </si>
  <si>
    <t>TRX-103085</t>
  </si>
  <si>
    <t>TRX-103086</t>
  </si>
  <si>
    <t>TRX-103087</t>
  </si>
  <si>
    <t>TRX-103088</t>
  </si>
  <si>
    <t>TRX-103089</t>
  </si>
  <si>
    <t>TRX-103090</t>
  </si>
  <si>
    <t>TRX-103091</t>
  </si>
  <si>
    <t>TRX-103092</t>
  </si>
  <si>
    <t>TRX-103093</t>
  </si>
  <si>
    <t>TRX-103094</t>
  </si>
  <si>
    <t>TRX-103095</t>
  </si>
  <si>
    <t>TRX-103096</t>
  </si>
  <si>
    <t>TRX-103097</t>
  </si>
  <si>
    <t>TRX-103098</t>
  </si>
  <si>
    <t>TRX-103099</t>
  </si>
  <si>
    <t>TRX-103100</t>
  </si>
  <si>
    <t>TRX-103101</t>
  </si>
  <si>
    <t>TRX-103102</t>
  </si>
  <si>
    <t>TRX-103103</t>
  </si>
  <si>
    <t>TRX-103104</t>
  </si>
  <si>
    <t>TRX-103105</t>
  </si>
  <si>
    <t>TRX-103106</t>
  </si>
  <si>
    <t>TRX-103107</t>
  </si>
  <si>
    <t>TRX-103108</t>
  </si>
  <si>
    <t>TRX-103109</t>
  </si>
  <si>
    <t>TRX-103110</t>
  </si>
  <si>
    <t>TRX-103111</t>
  </si>
  <si>
    <t>TRX-103112</t>
  </si>
  <si>
    <t>TRX-103113</t>
  </si>
  <si>
    <t>TRX-103114</t>
  </si>
  <si>
    <t>TRX-103115</t>
  </si>
  <si>
    <t>TRX-103116</t>
  </si>
  <si>
    <t>TRX-103117</t>
  </si>
  <si>
    <t>TRX-103118</t>
  </si>
  <si>
    <t>TRX-103119</t>
  </si>
  <si>
    <t>TRX-103120</t>
  </si>
  <si>
    <t>TRX-103121</t>
  </si>
  <si>
    <t>TRX-103122</t>
  </si>
  <si>
    <t>TRX-103123</t>
  </si>
  <si>
    <t>TRX-103124</t>
  </si>
  <si>
    <t>TRX-103125</t>
  </si>
  <si>
    <t>TRX-103126</t>
  </si>
  <si>
    <t>TRX-103127</t>
  </si>
  <si>
    <t>TRX-103128</t>
  </si>
  <si>
    <t>TRX-103129</t>
  </si>
  <si>
    <t>TRX-103130</t>
  </si>
  <si>
    <t>TRX-103131</t>
  </si>
  <si>
    <t>TRX-103132</t>
  </si>
  <si>
    <t>TRX-103133</t>
  </si>
  <si>
    <t>TRX-103134</t>
  </si>
  <si>
    <t>TRX-103135</t>
  </si>
  <si>
    <t>TRX-103136</t>
  </si>
  <si>
    <t>TRX-103137</t>
  </si>
  <si>
    <t>TRX-103138</t>
  </si>
  <si>
    <t>TRX-103139</t>
  </si>
  <si>
    <t>TRX-103140</t>
  </si>
  <si>
    <t>TRX-103141</t>
  </si>
  <si>
    <t>TRX-103142</t>
  </si>
  <si>
    <t>TRX-103143</t>
  </si>
  <si>
    <t>TRX-103144</t>
  </si>
  <si>
    <t>TRX-103145</t>
  </si>
  <si>
    <t>TRX-103146</t>
  </si>
  <si>
    <t>TRX-103147</t>
  </si>
  <si>
    <t>TRX-103148</t>
  </si>
  <si>
    <t>TRX-103149</t>
  </si>
  <si>
    <t>TRX-103150</t>
  </si>
  <si>
    <t>TRX-103151</t>
  </si>
  <si>
    <t>TRX-103152</t>
  </si>
  <si>
    <t>TRX-103153</t>
  </si>
  <si>
    <t>TRX-103154</t>
  </si>
  <si>
    <t>TRX-103155</t>
  </si>
  <si>
    <t>TRX-103156</t>
  </si>
  <si>
    <t>TRX-103157</t>
  </si>
  <si>
    <t>TRX-103158</t>
  </si>
  <si>
    <t>TRX-103159</t>
  </si>
  <si>
    <t>TRX-103160</t>
  </si>
  <si>
    <t>TRX-103161</t>
  </si>
  <si>
    <t>TRX-103162</t>
  </si>
  <si>
    <t>TRX-103163</t>
  </si>
  <si>
    <t>TRX-103164</t>
  </si>
  <si>
    <t>TRX-103165</t>
  </si>
  <si>
    <t>TRX-103166</t>
  </si>
  <si>
    <t>TRX-103167</t>
  </si>
  <si>
    <t>TRX-103168</t>
  </si>
  <si>
    <t>TRX-103169</t>
  </si>
  <si>
    <t>TRX-103170</t>
  </si>
  <si>
    <t>TRX-103171</t>
  </si>
  <si>
    <t>TRX-103172</t>
  </si>
  <si>
    <t>TRX-103173</t>
  </si>
  <si>
    <t>TRX-103174</t>
  </si>
  <si>
    <t>TRX-103175</t>
  </si>
  <si>
    <t>TRX-103176</t>
  </si>
  <si>
    <t>TRX-103177</t>
  </si>
  <si>
    <t>TRX-103178</t>
  </si>
  <si>
    <t>TRX-103179</t>
  </si>
  <si>
    <t>TRX-103180</t>
  </si>
  <si>
    <t>TRX-103181</t>
  </si>
  <si>
    <t>TRX-103182</t>
  </si>
  <si>
    <t>TRX-103183</t>
  </si>
  <si>
    <t>TRX-103184</t>
  </si>
  <si>
    <t>TRX-103185</t>
  </si>
  <si>
    <t>TRX-103186</t>
  </si>
  <si>
    <t>TRX-103187</t>
  </si>
  <si>
    <t>TRX-103188</t>
  </si>
  <si>
    <t>TRX-103189</t>
  </si>
  <si>
    <t>TRX-103190</t>
  </si>
  <si>
    <t>TRX-103191</t>
  </si>
  <si>
    <t>TRX-103192</t>
  </si>
  <si>
    <t>TRX-103193</t>
  </si>
  <si>
    <t>TRX-103194</t>
  </si>
  <si>
    <t>TRX-103195</t>
  </si>
  <si>
    <t>TRX-103196</t>
  </si>
  <si>
    <t>TRX-103197</t>
  </si>
  <si>
    <t>TRX-103198</t>
  </si>
  <si>
    <t>TRX-103199</t>
  </si>
  <si>
    <t>TRX-103200</t>
  </si>
  <si>
    <t>TRX-103201</t>
  </si>
  <si>
    <t>TRX-103202</t>
  </si>
  <si>
    <t>TRX-103203</t>
  </si>
  <si>
    <t>TRX-103204</t>
  </si>
  <si>
    <t>TRX-103205</t>
  </si>
  <si>
    <t>TRX-103206</t>
  </si>
  <si>
    <t>TRX-103207</t>
  </si>
  <si>
    <t>TRX-103208</t>
  </si>
  <si>
    <t>TRX-103209</t>
  </si>
  <si>
    <t>TRX-103210</t>
  </si>
  <si>
    <t>TRX-103211</t>
  </si>
  <si>
    <t>TRX-103212</t>
  </si>
  <si>
    <t>TRX-103213</t>
  </si>
  <si>
    <t>TRX-103214</t>
  </si>
  <si>
    <t>TRX-103215</t>
  </si>
  <si>
    <t>TRX-103216</t>
  </si>
  <si>
    <t>TRX-103217</t>
  </si>
  <si>
    <t>TRX-103218</t>
  </si>
  <si>
    <t>TRX-103219</t>
  </si>
  <si>
    <t>TRX-103220</t>
  </si>
  <si>
    <t>TRX-103221</t>
  </si>
  <si>
    <t>TRX-103222</t>
  </si>
  <si>
    <t>TRX-103223</t>
  </si>
  <si>
    <t>TRX-103224</t>
  </si>
  <si>
    <t>TRX-103225</t>
  </si>
  <si>
    <t>TRX-103226</t>
  </si>
  <si>
    <t>TRX-103227</t>
  </si>
  <si>
    <t>TRX-103228</t>
  </si>
  <si>
    <t>TRX-103229</t>
  </si>
  <si>
    <t>TRX-103230</t>
  </si>
  <si>
    <t>TRX-103231</t>
  </si>
  <si>
    <t>TRX-103232</t>
  </si>
  <si>
    <t>TRX-103233</t>
  </si>
  <si>
    <t>TRX-103234</t>
  </si>
  <si>
    <t>TRX-103235</t>
  </si>
  <si>
    <t>TRX-103236</t>
  </si>
  <si>
    <t>TRX-103237</t>
  </si>
  <si>
    <t>TRX-103238</t>
  </si>
  <si>
    <t>TRX-103239</t>
  </si>
  <si>
    <t>TRX-103240</t>
  </si>
  <si>
    <t>TRX-103241</t>
  </si>
  <si>
    <t>TRX-103242</t>
  </si>
  <si>
    <t>TRX-103243</t>
  </si>
  <si>
    <t>TRX-103244</t>
  </si>
  <si>
    <t>TRX-103245</t>
  </si>
  <si>
    <t>TRX-103246</t>
  </si>
  <si>
    <t>TRX-103247</t>
  </si>
  <si>
    <t>TRX-103248</t>
  </si>
  <si>
    <t>TRX-103249</t>
  </si>
  <si>
    <t>TRX-103250</t>
  </si>
  <si>
    <t>TRX-103251</t>
  </si>
  <si>
    <t>TRX-103252</t>
  </si>
  <si>
    <t>TRX-103253</t>
  </si>
  <si>
    <t>TRX-103254</t>
  </si>
  <si>
    <t>TRX-103255</t>
  </si>
  <si>
    <t>TRX-103256</t>
  </si>
  <si>
    <t>TRX-103257</t>
  </si>
  <si>
    <t>TRX-103258</t>
  </si>
  <si>
    <t>TRX-103259</t>
  </si>
  <si>
    <t>TRX-103260</t>
  </si>
  <si>
    <t>TRX-103261</t>
  </si>
  <si>
    <t>TRX-103262</t>
  </si>
  <si>
    <t>TRX-103263</t>
  </si>
  <si>
    <t>TRX-103264</t>
  </si>
  <si>
    <t>TRX-103265</t>
  </si>
  <si>
    <t>TRX-103266</t>
  </si>
  <si>
    <t>TRX-103267</t>
  </si>
  <si>
    <t>TRX-103268</t>
  </si>
  <si>
    <t>TRX-103269</t>
  </si>
  <si>
    <t>TRX-103270</t>
  </si>
  <si>
    <t>TRX-103271</t>
  </si>
  <si>
    <t>TRX-103272</t>
  </si>
  <si>
    <t>TRX-103273</t>
  </si>
  <si>
    <t>TRX-103274</t>
  </si>
  <si>
    <t>TRX-103275</t>
  </si>
  <si>
    <t>TRX-103276</t>
  </si>
  <si>
    <t>TRX-103277</t>
  </si>
  <si>
    <t>TRX-103278</t>
  </si>
  <si>
    <t>TRX-103279</t>
  </si>
  <si>
    <t>TRX-103280</t>
  </si>
  <si>
    <t>TRX-103281</t>
  </si>
  <si>
    <t>TRX-103282</t>
  </si>
  <si>
    <t>TRX-103283</t>
  </si>
  <si>
    <t>TRX-103284</t>
  </si>
  <si>
    <t>TRX-103285</t>
  </si>
  <si>
    <t>TRX-103286</t>
  </si>
  <si>
    <t>TRX-103287</t>
  </si>
  <si>
    <t>TRX-103288</t>
  </si>
  <si>
    <t>TRX-103289</t>
  </si>
  <si>
    <t>TRX-103290</t>
  </si>
  <si>
    <t>TRX-103291</t>
  </si>
  <si>
    <t>TRX-103292</t>
  </si>
  <si>
    <t>TRX-103293</t>
  </si>
  <si>
    <t>TRX-103294</t>
  </si>
  <si>
    <t>TRX-103295</t>
  </si>
  <si>
    <t>TRX-103296</t>
  </si>
  <si>
    <t>TRX-103297</t>
  </si>
  <si>
    <t>TRX-103298</t>
  </si>
  <si>
    <t>TRX-103299</t>
  </si>
  <si>
    <t>TRX-103300</t>
  </si>
  <si>
    <t>TRX-103301</t>
  </si>
  <si>
    <t>TRX-103302</t>
  </si>
  <si>
    <t>TRX-103303</t>
  </si>
  <si>
    <t>TRX-103304</t>
  </si>
  <si>
    <t>TRX-103305</t>
  </si>
  <si>
    <t>TRX-103306</t>
  </si>
  <si>
    <t>TRX-103307</t>
  </si>
  <si>
    <t>TRX-103308</t>
  </si>
  <si>
    <t>TRX-103309</t>
  </si>
  <si>
    <t>TRX-103310</t>
  </si>
  <si>
    <t>TRX-103311</t>
  </si>
  <si>
    <t>TRX-103312</t>
  </si>
  <si>
    <t>TRX-103313</t>
  </si>
  <si>
    <t>TRX-103314</t>
  </si>
  <si>
    <t>TRX-103315</t>
  </si>
  <si>
    <t>TRX-103316</t>
  </si>
  <si>
    <t>TRX-103317</t>
  </si>
  <si>
    <t>TRX-103318</t>
  </si>
  <si>
    <t>TRX-103319</t>
  </si>
  <si>
    <t>TRX-103320</t>
  </si>
  <si>
    <t>TRX-103321</t>
  </si>
  <si>
    <t>TRX-103322</t>
  </si>
  <si>
    <t>TRX-103323</t>
  </si>
  <si>
    <t>TRX-103324</t>
  </si>
  <si>
    <t>TRX-103325</t>
  </si>
  <si>
    <t>TRX-103326</t>
  </si>
  <si>
    <t>TRX-103327</t>
  </si>
  <si>
    <t>TRX-103328</t>
  </si>
  <si>
    <t>TRX-103329</t>
  </si>
  <si>
    <t>TRX-103330</t>
  </si>
  <si>
    <t>TRX-103331</t>
  </si>
  <si>
    <t>TRX-103332</t>
  </si>
  <si>
    <t>TRX-103333</t>
  </si>
  <si>
    <t>TRX-103334</t>
  </si>
  <si>
    <t>TRX-103335</t>
  </si>
  <si>
    <t>TRX-103336</t>
  </si>
  <si>
    <t>TRX-103337</t>
  </si>
  <si>
    <t>TRX-103338</t>
  </si>
  <si>
    <t>TRX-103339</t>
  </si>
  <si>
    <t>TRX-103340</t>
  </si>
  <si>
    <t>TRX-103341</t>
  </si>
  <si>
    <t>TRX-103342</t>
  </si>
  <si>
    <t>TRX-103343</t>
  </si>
  <si>
    <t>TRX-103344</t>
  </si>
  <si>
    <t>TRX-103345</t>
  </si>
  <si>
    <t>TRX-103346</t>
  </si>
  <si>
    <t>TRX-103347</t>
  </si>
  <si>
    <t>TRX-103348</t>
  </si>
  <si>
    <t>TRX-103349</t>
  </si>
  <si>
    <t>TRX-103350</t>
  </si>
  <si>
    <t>TRX-103351</t>
  </si>
  <si>
    <t>TRX-103352</t>
  </si>
  <si>
    <t>TRX-103353</t>
  </si>
  <si>
    <t>TRX-103354</t>
  </si>
  <si>
    <t>TRX-103355</t>
  </si>
  <si>
    <t>TRX-103356</t>
  </si>
  <si>
    <t>TRX-103357</t>
  </si>
  <si>
    <t>TRX-103358</t>
  </si>
  <si>
    <t>TRX-103359</t>
  </si>
  <si>
    <t>TRX-103360</t>
  </si>
  <si>
    <t>TRX-103361</t>
  </si>
  <si>
    <t>TRX-103362</t>
  </si>
  <si>
    <t>TRX-103363</t>
  </si>
  <si>
    <t>TRX-103364</t>
  </si>
  <si>
    <t>TRX-103365</t>
  </si>
  <si>
    <t>TRX-103366</t>
  </si>
  <si>
    <t>TRX-103367</t>
  </si>
  <si>
    <t>TRX-103368</t>
  </si>
  <si>
    <t>TRX-103369</t>
  </si>
  <si>
    <t>TRX-103370</t>
  </si>
  <si>
    <t>TRX-103371</t>
  </si>
  <si>
    <t>TRX-103372</t>
  </si>
  <si>
    <t>TRX-103373</t>
  </si>
  <si>
    <t>TRX-103374</t>
  </si>
  <si>
    <t>TRX-103375</t>
  </si>
  <si>
    <t>TRX-103376</t>
  </si>
  <si>
    <t>TRX-103377</t>
  </si>
  <si>
    <t>TRX-103378</t>
  </si>
  <si>
    <t>TRX-103379</t>
  </si>
  <si>
    <t>TRX-103380</t>
  </si>
  <si>
    <t>TRX-103381</t>
  </si>
  <si>
    <t>TRX-103382</t>
  </si>
  <si>
    <t>TRX-103383</t>
  </si>
  <si>
    <t>TRX-103384</t>
  </si>
  <si>
    <t>TRX-103385</t>
  </si>
  <si>
    <t>TRX-103386</t>
  </si>
  <si>
    <t>TRX-103387</t>
  </si>
  <si>
    <t>TRX-103388</t>
  </si>
  <si>
    <t>TRX-103389</t>
  </si>
  <si>
    <t>TRX-103390</t>
  </si>
  <si>
    <t>TRX-103391</t>
  </si>
  <si>
    <t>TRX-103392</t>
  </si>
  <si>
    <t>TRX-103393</t>
  </si>
  <si>
    <t>TRX-103394</t>
  </si>
  <si>
    <t>TRX-103395</t>
  </si>
  <si>
    <t>TRX-103396</t>
  </si>
  <si>
    <t>TRX-103397</t>
  </si>
  <si>
    <t>TRX-103398</t>
  </si>
  <si>
    <t>TRX-103399</t>
  </si>
  <si>
    <t>TRX-103400</t>
  </si>
  <si>
    <t>TRX-103401</t>
  </si>
  <si>
    <t>TRX-103402</t>
  </si>
  <si>
    <t>TRX-103403</t>
  </si>
  <si>
    <t>TRX-103404</t>
  </si>
  <si>
    <t>TRX-103405</t>
  </si>
  <si>
    <t>TRX-103406</t>
  </si>
  <si>
    <t>TRX-103407</t>
  </si>
  <si>
    <t>TRX-103408</t>
  </si>
  <si>
    <t>TRX-103409</t>
  </si>
  <si>
    <t>TRX-103410</t>
  </si>
  <si>
    <t>TRX-103411</t>
  </si>
  <si>
    <t>TRX-103412</t>
  </si>
  <si>
    <t>TRX-103413</t>
  </si>
  <si>
    <t>TRX-103414</t>
  </si>
  <si>
    <t>TRX-103415</t>
  </si>
  <si>
    <t>TRX-103416</t>
  </si>
  <si>
    <t>TRX-103417</t>
  </si>
  <si>
    <t>TRX-103418</t>
  </si>
  <si>
    <t>TRX-103419</t>
  </si>
  <si>
    <t>TRX-103420</t>
  </si>
  <si>
    <t>TRX-103421</t>
  </si>
  <si>
    <t>TRX-103422</t>
  </si>
  <si>
    <t>TRX-103423</t>
  </si>
  <si>
    <t>TRX-103424</t>
  </si>
  <si>
    <t>TRX-103425</t>
  </si>
  <si>
    <t>TRX-103426</t>
  </si>
  <si>
    <t>TRX-103427</t>
  </si>
  <si>
    <t>TRX-103428</t>
  </si>
  <si>
    <t>TRX-103429</t>
  </si>
  <si>
    <t>TRX-103430</t>
  </si>
  <si>
    <t>TRX-103431</t>
  </si>
  <si>
    <t>TRX-103432</t>
  </si>
  <si>
    <t>TRX-103433</t>
  </si>
  <si>
    <t>TRX-103434</t>
  </si>
  <si>
    <t>TRX-103435</t>
  </si>
  <si>
    <t>TRX-103436</t>
  </si>
  <si>
    <t>TRX-103437</t>
  </si>
  <si>
    <t>TRX-103438</t>
  </si>
  <si>
    <t>TRX-103439</t>
  </si>
  <si>
    <t>TRX-103440</t>
  </si>
  <si>
    <t>TRX-103441</t>
  </si>
  <si>
    <t>TRX-103442</t>
  </si>
  <si>
    <t>TRX-103443</t>
  </si>
  <si>
    <t>TRX-103444</t>
  </si>
  <si>
    <t>TRX-103445</t>
  </si>
  <si>
    <t>TRX-103446</t>
  </si>
  <si>
    <t>TRX-103447</t>
  </si>
  <si>
    <t>TRX-103448</t>
  </si>
  <si>
    <t>TRX-103449</t>
  </si>
  <si>
    <t>TRX-103450</t>
  </si>
  <si>
    <t>TRX-103451</t>
  </si>
  <si>
    <t>TRX-103452</t>
  </si>
  <si>
    <t>TRX-103453</t>
  </si>
  <si>
    <t>TRX-103454</t>
  </si>
  <si>
    <t>TRX-103455</t>
  </si>
  <si>
    <t>TRX-103456</t>
  </si>
  <si>
    <t>TRX-103457</t>
  </si>
  <si>
    <t>TRX-103458</t>
  </si>
  <si>
    <t>TRX-103459</t>
  </si>
  <si>
    <t>TRX-103460</t>
  </si>
  <si>
    <t>TRX-103461</t>
  </si>
  <si>
    <t>TRX-103462</t>
  </si>
  <si>
    <t>TRX-103463</t>
  </si>
  <si>
    <t>TRX-103464</t>
  </si>
  <si>
    <t>TRX-103465</t>
  </si>
  <si>
    <t>TRX-103466</t>
  </si>
  <si>
    <t>TRX-103467</t>
  </si>
  <si>
    <t>TRX-103468</t>
  </si>
  <si>
    <t>TRX-103469</t>
  </si>
  <si>
    <t>TRX-103470</t>
  </si>
  <si>
    <t>TRX-103471</t>
  </si>
  <si>
    <t>TRX-103472</t>
  </si>
  <si>
    <t>TRX-103473</t>
  </si>
  <si>
    <t>TRX-103474</t>
  </si>
  <si>
    <t>TRX-103475</t>
  </si>
  <si>
    <t>TRX-103476</t>
  </si>
  <si>
    <t>TRX-103477</t>
  </si>
  <si>
    <t>TRX-103478</t>
  </si>
  <si>
    <t>TRX-103479</t>
  </si>
  <si>
    <t>TRX-103480</t>
  </si>
  <si>
    <t>TRX-103481</t>
  </si>
  <si>
    <t>TRX-103482</t>
  </si>
  <si>
    <t>TRX-103483</t>
  </si>
  <si>
    <t>TRX-103484</t>
  </si>
  <si>
    <t>TRX-103485</t>
  </si>
  <si>
    <t>TRX-103486</t>
  </si>
  <si>
    <t>TRX-103487</t>
  </si>
  <si>
    <t>TRX-103488</t>
  </si>
  <si>
    <t>TRX-103489</t>
  </si>
  <si>
    <t>TRX-103490</t>
  </si>
  <si>
    <t>TRX-103491</t>
  </si>
  <si>
    <t>TRX-103492</t>
  </si>
  <si>
    <t>TRX-103493</t>
  </si>
  <si>
    <t>TRX-103494</t>
  </si>
  <si>
    <t>TRX-103495</t>
  </si>
  <si>
    <t>TRX-103496</t>
  </si>
  <si>
    <t>TRX-103497</t>
  </si>
  <si>
    <t>TRX-103498</t>
  </si>
  <si>
    <t>TRX-103499</t>
  </si>
  <si>
    <t>TRX-103500</t>
  </si>
  <si>
    <t>TRX-103501</t>
  </si>
  <si>
    <t>TRX-103502</t>
  </si>
  <si>
    <t>TRX-103503</t>
  </si>
  <si>
    <t>TRX-103504</t>
  </si>
  <si>
    <t>TRX-103505</t>
  </si>
  <si>
    <t>TRX-103506</t>
  </si>
  <si>
    <t>TRX-103507</t>
  </si>
  <si>
    <t>TRX-103508</t>
  </si>
  <si>
    <t>TRX-103509</t>
  </si>
  <si>
    <t>TRX-103510</t>
  </si>
  <si>
    <t>TRX-103511</t>
  </si>
  <si>
    <t>TRX-103512</t>
  </si>
  <si>
    <t>TRX-103513</t>
  </si>
  <si>
    <t>TRX-103514</t>
  </si>
  <si>
    <t>TRX-103515</t>
  </si>
  <si>
    <t>TRX-103516</t>
  </si>
  <si>
    <t>TRX-103517</t>
  </si>
  <si>
    <t>TRX-103518</t>
  </si>
  <si>
    <t>TRX-103519</t>
  </si>
  <si>
    <t>TRX-103520</t>
  </si>
  <si>
    <t>TRX-103521</t>
  </si>
  <si>
    <t>TRX-103522</t>
  </si>
  <si>
    <t>TRX-103523</t>
  </si>
  <si>
    <t>TRX-103524</t>
  </si>
  <si>
    <t>TRX-103525</t>
  </si>
  <si>
    <t>TRX-103526</t>
  </si>
  <si>
    <t>TRX-103527</t>
  </si>
  <si>
    <t>TRX-103528</t>
  </si>
  <si>
    <t>TRX-103529</t>
  </si>
  <si>
    <t>TRX-103530</t>
  </si>
  <si>
    <t>TRX-103531</t>
  </si>
  <si>
    <t>TRX-103532</t>
  </si>
  <si>
    <t>TRX-103533</t>
  </si>
  <si>
    <t>TRX-103534</t>
  </si>
  <si>
    <t>TRX-103535</t>
  </si>
  <si>
    <t>TRX-103536</t>
  </si>
  <si>
    <t>TRX-103537</t>
  </si>
  <si>
    <t>TRX-103538</t>
  </si>
  <si>
    <t>TRX-103539</t>
  </si>
  <si>
    <t>TRX-103540</t>
  </si>
  <si>
    <t>TRX-103541</t>
  </si>
  <si>
    <t>TRX-103542</t>
  </si>
  <si>
    <t>TRX-103543</t>
  </si>
  <si>
    <t>TRX-103544</t>
  </si>
  <si>
    <t>TRX-103545</t>
  </si>
  <si>
    <t>TRX-103546</t>
  </si>
  <si>
    <t>TRX-103547</t>
  </si>
  <si>
    <t>TRX-103548</t>
  </si>
  <si>
    <t>TRX-103549</t>
  </si>
  <si>
    <t>TRX-103550</t>
  </si>
  <si>
    <t>TRX-103551</t>
  </si>
  <si>
    <t>TRX-103552</t>
  </si>
  <si>
    <t>TRX-103553</t>
  </si>
  <si>
    <t>TRX-103554</t>
  </si>
  <si>
    <t>TRX-103555</t>
  </si>
  <si>
    <t>TRX-103556</t>
  </si>
  <si>
    <t>TRX-103557</t>
  </si>
  <si>
    <t>TRX-103558</t>
  </si>
  <si>
    <t>TRX-103559</t>
  </si>
  <si>
    <t>TRX-103560</t>
  </si>
  <si>
    <t>TRX-103561</t>
  </si>
  <si>
    <t>TRX-103562</t>
  </si>
  <si>
    <t>TRX-103563</t>
  </si>
  <si>
    <t>TRX-103564</t>
  </si>
  <si>
    <t>TRX-103565</t>
  </si>
  <si>
    <t>TRX-103566</t>
  </si>
  <si>
    <t>TRX-103567</t>
  </si>
  <si>
    <t>TRX-103568</t>
  </si>
  <si>
    <t>TRX-103569</t>
  </si>
  <si>
    <t>TRX-103570</t>
  </si>
  <si>
    <t>TRX-103571</t>
  </si>
  <si>
    <t>TRX-103572</t>
  </si>
  <si>
    <t>TRX-103573</t>
  </si>
  <si>
    <t>TRX-103574</t>
  </si>
  <si>
    <t>TRX-103575</t>
  </si>
  <si>
    <t>TRX-103576</t>
  </si>
  <si>
    <t>TRX-103577</t>
  </si>
  <si>
    <t>TRX-103578</t>
  </si>
  <si>
    <t>TRX-103579</t>
  </si>
  <si>
    <t>TRX-103580</t>
  </si>
  <si>
    <t>TRX-103581</t>
  </si>
  <si>
    <t>TRX-103582</t>
  </si>
  <si>
    <t>TRX-103583</t>
  </si>
  <si>
    <t>TRX-103584</t>
  </si>
  <si>
    <t>TRX-103585</t>
  </si>
  <si>
    <t>TRX-103586</t>
  </si>
  <si>
    <t>TRX-103587</t>
  </si>
  <si>
    <t>TRX-103588</t>
  </si>
  <si>
    <t>TRX-103589</t>
  </si>
  <si>
    <t>TRX-103590</t>
  </si>
  <si>
    <t>TRX-103591</t>
  </si>
  <si>
    <t>TRX-103592</t>
  </si>
  <si>
    <t>TRX-103593</t>
  </si>
  <si>
    <t>TRX-103594</t>
  </si>
  <si>
    <t>TRX-103595</t>
  </si>
  <si>
    <t>TRX-103596</t>
  </si>
  <si>
    <t>TRX-103597</t>
  </si>
  <si>
    <t>TRX-103598</t>
  </si>
  <si>
    <t>TRX-103599</t>
  </si>
  <si>
    <t>TRX-103600</t>
  </si>
  <si>
    <t>TRX-103601</t>
  </si>
  <si>
    <t>TRX-103602</t>
  </si>
  <si>
    <t>TRX-103603</t>
  </si>
  <si>
    <t>TRX-103604</t>
  </si>
  <si>
    <t>TRX-103605</t>
  </si>
  <si>
    <t>TRX-103606</t>
  </si>
  <si>
    <t>TRX-103607</t>
  </si>
  <si>
    <t>TRX-103608</t>
  </si>
  <si>
    <t>TRX-103609</t>
  </si>
  <si>
    <t>TRX-103610</t>
  </si>
  <si>
    <t>TRX-103611</t>
  </si>
  <si>
    <t>TRX-103612</t>
  </si>
  <si>
    <t>TRX-103613</t>
  </si>
  <si>
    <t>TRX-103614</t>
  </si>
  <si>
    <t>TRX-103615</t>
  </si>
  <si>
    <t>TRX-103616</t>
  </si>
  <si>
    <t>TRX-103617</t>
  </si>
  <si>
    <t>TRX-103618</t>
  </si>
  <si>
    <t>TRX-103619</t>
  </si>
  <si>
    <t>TRX-103620</t>
  </si>
  <si>
    <t>TRX-103621</t>
  </si>
  <si>
    <t>TRX-103622</t>
  </si>
  <si>
    <t>TRX-103623</t>
  </si>
  <si>
    <t>TRX-103624</t>
  </si>
  <si>
    <t>TRX-103625</t>
  </si>
  <si>
    <t>TRX-103626</t>
  </si>
  <si>
    <t>TRX-103627</t>
  </si>
  <si>
    <t>TRX-103628</t>
  </si>
  <si>
    <t>TRX-103629</t>
  </si>
  <si>
    <t>TRX-103630</t>
  </si>
  <si>
    <t>TRX-103631</t>
  </si>
  <si>
    <t>TRX-103632</t>
  </si>
  <si>
    <t>TRX-103633</t>
  </si>
  <si>
    <t>TRX-103634</t>
  </si>
  <si>
    <t>TRX-103635</t>
  </si>
  <si>
    <t>TRX-103636</t>
  </si>
  <si>
    <t>TRX-103637</t>
  </si>
  <si>
    <t>TRX-103638</t>
  </si>
  <si>
    <t>TRX-103639</t>
  </si>
  <si>
    <t>TRX-103640</t>
  </si>
  <si>
    <t>TRX-103641</t>
  </si>
  <si>
    <t>TRX-103642</t>
  </si>
  <si>
    <t>TRX-103643</t>
  </si>
  <si>
    <t>TRX-103644</t>
  </si>
  <si>
    <t>TRX-103645</t>
  </si>
  <si>
    <t>TRX-103646</t>
  </si>
  <si>
    <t>TRX-103647</t>
  </si>
  <si>
    <t>TRX-103648</t>
  </si>
  <si>
    <t>TRX-103649</t>
  </si>
  <si>
    <t>TRX-103650</t>
  </si>
  <si>
    <t>TRX-103651</t>
  </si>
  <si>
    <t>TRX-103652</t>
  </si>
  <si>
    <t>TRX-103653</t>
  </si>
  <si>
    <t>TRX-103654</t>
  </si>
  <si>
    <t>TRX-103655</t>
  </si>
  <si>
    <t>TRX-103656</t>
  </si>
  <si>
    <t>TRX-103657</t>
  </si>
  <si>
    <t>TRX-103658</t>
  </si>
  <si>
    <t>TRX-103659</t>
  </si>
  <si>
    <t>TRX-103660</t>
  </si>
  <si>
    <t>TRX-103661</t>
  </si>
  <si>
    <t>TRX-103662</t>
  </si>
  <si>
    <t>TRX-103663</t>
  </si>
  <si>
    <t>TRX-103664</t>
  </si>
  <si>
    <t>TRX-103665</t>
  </si>
  <si>
    <t>TRX-103666</t>
  </si>
  <si>
    <t>TRX-103667</t>
  </si>
  <si>
    <t>TRX-103668</t>
  </si>
  <si>
    <t>TRX-103669</t>
  </si>
  <si>
    <t>TRX-103670</t>
  </si>
  <si>
    <t>TRX-103671</t>
  </si>
  <si>
    <t>TRX-103672</t>
  </si>
  <si>
    <t>TRX-103673</t>
  </si>
  <si>
    <t>TRX-103674</t>
  </si>
  <si>
    <t>TRX-103675</t>
  </si>
  <si>
    <t>TRX-103676</t>
  </si>
  <si>
    <t>TRX-103677</t>
  </si>
  <si>
    <t>TRX-103678</t>
  </si>
  <si>
    <t>TRX-103679</t>
  </si>
  <si>
    <t>TRX-103680</t>
  </si>
  <si>
    <t>TRX-103681</t>
  </si>
  <si>
    <t>TRX-103682</t>
  </si>
  <si>
    <t>TRX-103683</t>
  </si>
  <si>
    <t>TRX-103684</t>
  </si>
  <si>
    <t>TRX-103685</t>
  </si>
  <si>
    <t>TRX-103686</t>
  </si>
  <si>
    <t>TRX-103687</t>
  </si>
  <si>
    <t>TRX-103688</t>
  </si>
  <si>
    <t>TRX-103689</t>
  </si>
  <si>
    <t>TRX-103690</t>
  </si>
  <si>
    <t>TRX-103691</t>
  </si>
  <si>
    <t>TRX-103692</t>
  </si>
  <si>
    <t>TRX-103693</t>
  </si>
  <si>
    <t>TRX-103694</t>
  </si>
  <si>
    <t>TRX-103695</t>
  </si>
  <si>
    <t>TRX-103696</t>
  </si>
  <si>
    <t>TRX-103697</t>
  </si>
  <si>
    <t>TRX-103698</t>
  </si>
  <si>
    <t>TRX-103699</t>
  </si>
  <si>
    <t>TRX-103700</t>
  </si>
  <si>
    <t>TRX-103701</t>
  </si>
  <si>
    <t>TRX-103702</t>
  </si>
  <si>
    <t>TRX-103703</t>
  </si>
  <si>
    <t>TRX-103704</t>
  </si>
  <si>
    <t>TRX-103705</t>
  </si>
  <si>
    <t>TRX-103706</t>
  </si>
  <si>
    <t>TRX-103707</t>
  </si>
  <si>
    <t>TRX-103708</t>
  </si>
  <si>
    <t>TRX-103709</t>
  </si>
  <si>
    <t>TRX-103710</t>
  </si>
  <si>
    <t>TRX-103711</t>
  </si>
  <si>
    <t>TRX-103712</t>
  </si>
  <si>
    <t>TRX-103713</t>
  </si>
  <si>
    <t>TRX-103714</t>
  </si>
  <si>
    <t>TRX-103715</t>
  </si>
  <si>
    <t>TRX-103716</t>
  </si>
  <si>
    <t>TRX-103717</t>
  </si>
  <si>
    <t>TRX-103718</t>
  </si>
  <si>
    <t>TRX-103719</t>
  </si>
  <si>
    <t>TRX-103720</t>
  </si>
  <si>
    <t>TRX-103721</t>
  </si>
  <si>
    <t>TRX-103722</t>
  </si>
  <si>
    <t>TRX-103723</t>
  </si>
  <si>
    <t>TRX-103724</t>
  </si>
  <si>
    <t>TRX-103725</t>
  </si>
  <si>
    <t>TRX-103726</t>
  </si>
  <si>
    <t>TRX-103727</t>
  </si>
  <si>
    <t>TRX-103728</t>
  </si>
  <si>
    <t>TRX-103729</t>
  </si>
  <si>
    <t>TRX-103730</t>
  </si>
  <si>
    <t>TRX-103731</t>
  </si>
  <si>
    <t>TRX-103732</t>
  </si>
  <si>
    <t>TRX-103733</t>
  </si>
  <si>
    <t>TRX-103734</t>
  </si>
  <si>
    <t>TRX-103735</t>
  </si>
  <si>
    <t>TRX-103736</t>
  </si>
  <si>
    <t>TRX-103737</t>
  </si>
  <si>
    <t>TRX-103738</t>
  </si>
  <si>
    <t>TRX-103739</t>
  </si>
  <si>
    <t>TRX-103740</t>
  </si>
  <si>
    <t>TRX-103741</t>
  </si>
  <si>
    <t>TRX-103742</t>
  </si>
  <si>
    <t>TRX-103743</t>
  </si>
  <si>
    <t>TRX-103744</t>
  </si>
  <si>
    <t>TRX-103745</t>
  </si>
  <si>
    <t>TRX-103746</t>
  </si>
  <si>
    <t>TRX-103747</t>
  </si>
  <si>
    <t>TRX-103748</t>
  </si>
  <si>
    <t>TRX-103749</t>
  </si>
  <si>
    <t>TRX-103750</t>
  </si>
  <si>
    <t>TRX-103751</t>
  </si>
  <si>
    <t>TRX-103752</t>
  </si>
  <si>
    <t>TRX-103753</t>
  </si>
  <si>
    <t>TRX-103754</t>
  </si>
  <si>
    <t>TRX-103755</t>
  </si>
  <si>
    <t>TRX-103756</t>
  </si>
  <si>
    <t>TRX-103757</t>
  </si>
  <si>
    <t>TRX-103758</t>
  </si>
  <si>
    <t>TRX-103759</t>
  </si>
  <si>
    <t>TRX-103760</t>
  </si>
  <si>
    <t>TRX-103761</t>
  </si>
  <si>
    <t>TRX-103762</t>
  </si>
  <si>
    <t>TRX-103763</t>
  </si>
  <si>
    <t>TRX-103764</t>
  </si>
  <si>
    <t>TRX-103765</t>
  </si>
  <si>
    <t>TRX-103766</t>
  </si>
  <si>
    <t>TRX-103767</t>
  </si>
  <si>
    <t>TRX-103768</t>
  </si>
  <si>
    <t>TRX-103769</t>
  </si>
  <si>
    <t>TRX-103770</t>
  </si>
  <si>
    <t>TRX-103771</t>
  </si>
  <si>
    <t>TRX-103772</t>
  </si>
  <si>
    <t>TRX-103773</t>
  </si>
  <si>
    <t>TRX-103774</t>
  </si>
  <si>
    <t>TRX-103775</t>
  </si>
  <si>
    <t>TRX-103776</t>
  </si>
  <si>
    <t>TRX-103777</t>
  </si>
  <si>
    <t>TRX-103778</t>
  </si>
  <si>
    <t>TRX-103779</t>
  </si>
  <si>
    <t>TRX-103780</t>
  </si>
  <si>
    <t>TRX-103781</t>
  </si>
  <si>
    <t>TRX-103782</t>
  </si>
  <si>
    <t>TRX-103783</t>
  </si>
  <si>
    <t>TRX-103784</t>
  </si>
  <si>
    <t>TRX-103785</t>
  </si>
  <si>
    <t>TRX-103786</t>
  </si>
  <si>
    <t>TRX-103787</t>
  </si>
  <si>
    <t>TRX-103788</t>
  </si>
  <si>
    <t>TRX-103789</t>
  </si>
  <si>
    <t>TRX-103790</t>
  </si>
  <si>
    <t>TRX-103791</t>
  </si>
  <si>
    <t>TRX-103792</t>
  </si>
  <si>
    <t>TRX-103793</t>
  </si>
  <si>
    <t>TRX-103794</t>
  </si>
  <si>
    <t>TRX-103795</t>
  </si>
  <si>
    <t>TRX-103796</t>
  </si>
  <si>
    <t>TRX-103797</t>
  </si>
  <si>
    <t>TRX-103798</t>
  </si>
  <si>
    <t>TRX-103799</t>
  </si>
  <si>
    <t>TRX-103800</t>
  </si>
  <si>
    <t>TRX-103801</t>
  </si>
  <si>
    <t>TRX-103802</t>
  </si>
  <si>
    <t>TRX-103803</t>
  </si>
  <si>
    <t>TRX-103804</t>
  </si>
  <si>
    <t>TRX-103805</t>
  </si>
  <si>
    <t>TRX-103806</t>
  </si>
  <si>
    <t>TRX-103807</t>
  </si>
  <si>
    <t>TRX-103808</t>
  </si>
  <si>
    <t>TRX-103809</t>
  </si>
  <si>
    <t>TRX-103810</t>
  </si>
  <si>
    <t>TRX-103811</t>
  </si>
  <si>
    <t>TRX-103812</t>
  </si>
  <si>
    <t>TRX-103813</t>
  </si>
  <si>
    <t>TRX-103814</t>
  </si>
  <si>
    <t>TRX-103815</t>
  </si>
  <si>
    <t>TRX-103816</t>
  </si>
  <si>
    <t>TRX-103817</t>
  </si>
  <si>
    <t>TRX-103818</t>
  </si>
  <si>
    <t>TRX-103819</t>
  </si>
  <si>
    <t>TRX-103820</t>
  </si>
  <si>
    <t>TRX-103821</t>
  </si>
  <si>
    <t>TRX-103822</t>
  </si>
  <si>
    <t>TRX-103823</t>
  </si>
  <si>
    <t>TRX-103824</t>
  </si>
  <si>
    <t>TRX-103825</t>
  </si>
  <si>
    <t>TRX-103826</t>
  </si>
  <si>
    <t>TRX-103827</t>
  </si>
  <si>
    <t>TRX-103828</t>
  </si>
  <si>
    <t>TRX-103829</t>
  </si>
  <si>
    <t>TRX-103830</t>
  </si>
  <si>
    <t>TRX-103831</t>
  </si>
  <si>
    <t>TRX-103832</t>
  </si>
  <si>
    <t>TRX-103833</t>
  </si>
  <si>
    <t>TRX-103834</t>
  </si>
  <si>
    <t>TRX-103835</t>
  </si>
  <si>
    <t>TRX-103836</t>
  </si>
  <si>
    <t>TRX-103837</t>
  </si>
  <si>
    <t>TRX-103838</t>
  </si>
  <si>
    <t>TRX-103839</t>
  </si>
  <si>
    <t>TRX-103840</t>
  </si>
  <si>
    <t>TRX-103841</t>
  </si>
  <si>
    <t>TRX-103842</t>
  </si>
  <si>
    <t>TRX-103843</t>
  </si>
  <si>
    <t>TRX-103844</t>
  </si>
  <si>
    <t>TRX-103845</t>
  </si>
  <si>
    <t>TRX-103846</t>
  </si>
  <si>
    <t>TRX-103847</t>
  </si>
  <si>
    <t>TRX-103848</t>
  </si>
  <si>
    <t>TRX-103849</t>
  </si>
  <si>
    <t>TRX-103850</t>
  </si>
  <si>
    <t>TRX-103851</t>
  </si>
  <si>
    <t>TRX-103852</t>
  </si>
  <si>
    <t>TRX-103853</t>
  </si>
  <si>
    <t>TRX-103854</t>
  </si>
  <si>
    <t>TRX-103855</t>
  </si>
  <si>
    <t>TRX-103856</t>
  </si>
  <si>
    <t>TRX-103857</t>
  </si>
  <si>
    <t>TRX-103858</t>
  </si>
  <si>
    <t>TRX-103859</t>
  </si>
  <si>
    <t>TRX-103860</t>
  </si>
  <si>
    <t>TRX-103861</t>
  </si>
  <si>
    <t>TRX-103862</t>
  </si>
  <si>
    <t>TRX-103863</t>
  </si>
  <si>
    <t>TRX-103864</t>
  </si>
  <si>
    <t>TRX-103865</t>
  </si>
  <si>
    <t>TRX-103866</t>
  </si>
  <si>
    <t>TRX-103867</t>
  </si>
  <si>
    <t>TRX-103868</t>
  </si>
  <si>
    <t>TRX-103869</t>
  </si>
  <si>
    <t>TRX-103870</t>
  </si>
  <si>
    <t>TRX-103871</t>
  </si>
  <si>
    <t>TRX-103872</t>
  </si>
  <si>
    <t>TRX-103873</t>
  </si>
  <si>
    <t>TRX-103874</t>
  </si>
  <si>
    <t>TRX-103875</t>
  </si>
  <si>
    <t>TRX-103876</t>
  </si>
  <si>
    <t>TRX-103877</t>
  </si>
  <si>
    <t>TRX-103878</t>
  </si>
  <si>
    <t>TRX-103879</t>
  </si>
  <si>
    <t>TRX-103880</t>
  </si>
  <si>
    <t>TRX-103881</t>
  </si>
  <si>
    <t>TRX-103882</t>
  </si>
  <si>
    <t>TRX-103883</t>
  </si>
  <si>
    <t>TRX-103884</t>
  </si>
  <si>
    <t>TRX-103885</t>
  </si>
  <si>
    <t>TRX-103886</t>
  </si>
  <si>
    <t>TRX-103887</t>
  </si>
  <si>
    <t>TRX-103888</t>
  </si>
  <si>
    <t>TRX-103889</t>
  </si>
  <si>
    <t>TRX-103890</t>
  </si>
  <si>
    <t>TRX-103891</t>
  </si>
  <si>
    <t>TRX-103892</t>
  </si>
  <si>
    <t>TRX-103893</t>
  </si>
  <si>
    <t>TRX-103894</t>
  </si>
  <si>
    <t>TRX-103895</t>
  </si>
  <si>
    <t>TRX-103896</t>
  </si>
  <si>
    <t>TRX-103897</t>
  </si>
  <si>
    <t>TRX-103898</t>
  </si>
  <si>
    <t>TRX-103899</t>
  </si>
  <si>
    <t>TRX-103900</t>
  </si>
  <si>
    <t>TRX-103901</t>
  </si>
  <si>
    <t>TRX-103902</t>
  </si>
  <si>
    <t>TRX-103903</t>
  </si>
  <si>
    <t>TRX-103904</t>
  </si>
  <si>
    <t>TRX-103905</t>
  </si>
  <si>
    <t>TRX-103906</t>
  </si>
  <si>
    <t>TRX-103907</t>
  </si>
  <si>
    <t>TRX-103908</t>
  </si>
  <si>
    <t>TRX-103909</t>
  </si>
  <si>
    <t>TRX-103910</t>
  </si>
  <si>
    <t>TRX-103911</t>
  </si>
  <si>
    <t>TRX-103912</t>
  </si>
  <si>
    <t>TRX-103913</t>
  </si>
  <si>
    <t>TRX-103914</t>
  </si>
  <si>
    <t>TRX-103915</t>
  </si>
  <si>
    <t>TRX-103916</t>
  </si>
  <si>
    <t>TRX-103917</t>
  </si>
  <si>
    <t>TRX-103918</t>
  </si>
  <si>
    <t>TRX-103919</t>
  </si>
  <si>
    <t>TRX-103920</t>
  </si>
  <si>
    <t>TRX-103921</t>
  </si>
  <si>
    <t>TRX-103922</t>
  </si>
  <si>
    <t>TRX-103923</t>
  </si>
  <si>
    <t>TRX-103924</t>
  </si>
  <si>
    <t>TRX-103925</t>
  </si>
  <si>
    <t>TRX-103926</t>
  </si>
  <si>
    <t>TRX-103927</t>
  </si>
  <si>
    <t>TRX-103928</t>
  </si>
  <si>
    <t>TRX-103929</t>
  </si>
  <si>
    <t>TRX-103930</t>
  </si>
  <si>
    <t>TRX-103931</t>
  </si>
  <si>
    <t>TRX-103932</t>
  </si>
  <si>
    <t>TRX-103933</t>
  </si>
  <si>
    <t>TRX-103934</t>
  </si>
  <si>
    <t>TRX-103935</t>
  </si>
  <si>
    <t>TRX-103936</t>
  </si>
  <si>
    <t>TRX-103937</t>
  </si>
  <si>
    <t>TRX-103938</t>
  </si>
  <si>
    <t>TRX-103939</t>
  </si>
  <si>
    <t>TRX-103940</t>
  </si>
  <si>
    <t>TRX-103941</t>
  </si>
  <si>
    <t>TRX-103942</t>
  </si>
  <si>
    <t>TRX-103943</t>
  </si>
  <si>
    <t>TRX-103944</t>
  </si>
  <si>
    <t>TRX-103945</t>
  </si>
  <si>
    <t>TRX-103946</t>
  </si>
  <si>
    <t>TRX-103947</t>
  </si>
  <si>
    <t>TRX-103948</t>
  </si>
  <si>
    <t>TRX-103949</t>
  </si>
  <si>
    <t>TRX-103950</t>
  </si>
  <si>
    <t>TRX-103951</t>
  </si>
  <si>
    <t>TRX-103952</t>
  </si>
  <si>
    <t>TRX-103953</t>
  </si>
  <si>
    <t>TRX-103954</t>
  </si>
  <si>
    <t>TRX-103955</t>
  </si>
  <si>
    <t>TRX-103956</t>
  </si>
  <si>
    <t>TRX-103957</t>
  </si>
  <si>
    <t>TRX-103958</t>
  </si>
  <si>
    <t>TRX-103959</t>
  </si>
  <si>
    <t>TRX-103960</t>
  </si>
  <si>
    <t>TRX-103961</t>
  </si>
  <si>
    <t>TRX-103962</t>
  </si>
  <si>
    <t>TRX-103963</t>
  </si>
  <si>
    <t>TRX-103964</t>
  </si>
  <si>
    <t>TRX-103965</t>
  </si>
  <si>
    <t>TRX-103966</t>
  </si>
  <si>
    <t>TRX-103967</t>
  </si>
  <si>
    <t>TRX-103968</t>
  </si>
  <si>
    <t>TRX-103969</t>
  </si>
  <si>
    <t>TRX-103970</t>
  </si>
  <si>
    <t>TRX-103971</t>
  </si>
  <si>
    <t>TRX-103972</t>
  </si>
  <si>
    <t>TRX-103973</t>
  </si>
  <si>
    <t>TRX-103974</t>
  </si>
  <si>
    <t>TRX-103975</t>
  </si>
  <si>
    <t>TRX-103976</t>
  </si>
  <si>
    <t>TRX-103977</t>
  </si>
  <si>
    <t>TRX-103978</t>
  </si>
  <si>
    <t>TRX-103979</t>
  </si>
  <si>
    <t>TRX-103980</t>
  </si>
  <si>
    <t>TRX-103981</t>
  </si>
  <si>
    <t>TRX-103982</t>
  </si>
  <si>
    <t>TRX-103983</t>
  </si>
  <si>
    <t>TRX-103984</t>
  </si>
  <si>
    <t>TRX-103985</t>
  </si>
  <si>
    <t>TRX-103986</t>
  </si>
  <si>
    <t>TRX-103987</t>
  </si>
  <si>
    <t>TRX-103988</t>
  </si>
  <si>
    <t>TRX-103989</t>
  </si>
  <si>
    <t>TRX-103990</t>
  </si>
  <si>
    <t>TRX-103991</t>
  </si>
  <si>
    <t>TRX-103992</t>
  </si>
  <si>
    <t>TRX-103993</t>
  </si>
  <si>
    <t>TRX-103994</t>
  </si>
  <si>
    <t>TRX-103995</t>
  </si>
  <si>
    <t>TRX-103996</t>
  </si>
  <si>
    <t>TRX-103997</t>
  </si>
  <si>
    <t>TRX-103998</t>
  </si>
  <si>
    <t>TRX-103999</t>
  </si>
  <si>
    <t>TRX-104000</t>
  </si>
  <si>
    <t>TRX-104001</t>
  </si>
  <si>
    <t>TRX-104002</t>
  </si>
  <si>
    <t>TRX-104003</t>
  </si>
  <si>
    <t>TRX-104004</t>
  </si>
  <si>
    <t>TRX-104005</t>
  </si>
  <si>
    <t>TRX-104006</t>
  </si>
  <si>
    <t>TRX-104007</t>
  </si>
  <si>
    <t>TRX-104008</t>
  </si>
  <si>
    <t>TRX-104009</t>
  </si>
  <si>
    <t>TRX-104010</t>
  </si>
  <si>
    <t>TRX-104011</t>
  </si>
  <si>
    <t>TRX-104012</t>
  </si>
  <si>
    <t>TRX-104013</t>
  </si>
  <si>
    <t>TRX-104014</t>
  </si>
  <si>
    <t>TRX-104015</t>
  </si>
  <si>
    <t>TRX-104016</t>
  </si>
  <si>
    <t>TRX-104017</t>
  </si>
  <si>
    <t>TRX-104018</t>
  </si>
  <si>
    <t>TRX-104019</t>
  </si>
  <si>
    <t>TRX-104020</t>
  </si>
  <si>
    <t>TRX-104021</t>
  </si>
  <si>
    <t>TRX-104022</t>
  </si>
  <si>
    <t>TRX-104023</t>
  </si>
  <si>
    <t>TRX-104024</t>
  </si>
  <si>
    <t>TRX-104025</t>
  </si>
  <si>
    <t>TRX-104026</t>
  </si>
  <si>
    <t>TRX-104027</t>
  </si>
  <si>
    <t>TRX-104028</t>
  </si>
  <si>
    <t>TRX-104029</t>
  </si>
  <si>
    <t>TRX-104030</t>
  </si>
  <si>
    <t>TRX-104031</t>
  </si>
  <si>
    <t>TRX-104032</t>
  </si>
  <si>
    <t>TRX-104033</t>
  </si>
  <si>
    <t>TRX-104034</t>
  </si>
  <si>
    <t>TRX-104035</t>
  </si>
  <si>
    <t>TRX-104036</t>
  </si>
  <si>
    <t>TRX-104037</t>
  </si>
  <si>
    <t>TRX-104038</t>
  </si>
  <si>
    <t>TRX-104039</t>
  </si>
  <si>
    <t>TRX-104040</t>
  </si>
  <si>
    <t>TRX-104041</t>
  </si>
  <si>
    <t>TRX-104042</t>
  </si>
  <si>
    <t>TRX-104043</t>
  </si>
  <si>
    <t>TRX-104044</t>
  </si>
  <si>
    <t>TRX-104045</t>
  </si>
  <si>
    <t>TRX-104046</t>
  </si>
  <si>
    <t>TRX-104047</t>
  </si>
  <si>
    <t>TRX-104048</t>
  </si>
  <si>
    <t>TRX-104049</t>
  </si>
  <si>
    <t>TRX-104050</t>
  </si>
  <si>
    <t>TRX-104051</t>
  </si>
  <si>
    <t>TRX-104052</t>
  </si>
  <si>
    <t>TRX-104053</t>
  </si>
  <si>
    <t>TRX-104054</t>
  </si>
  <si>
    <t>TRX-104055</t>
  </si>
  <si>
    <t>TRX-104056</t>
  </si>
  <si>
    <t>TRX-104057</t>
  </si>
  <si>
    <t>TRX-104058</t>
  </si>
  <si>
    <t>TRX-104059</t>
  </si>
  <si>
    <t>TRX-104060</t>
  </si>
  <si>
    <t>TRX-104061</t>
  </si>
  <si>
    <t>TRX-104062</t>
  </si>
  <si>
    <t>TRX-104063</t>
  </si>
  <si>
    <t>TRX-104064</t>
  </si>
  <si>
    <t>TRX-104065</t>
  </si>
  <si>
    <t>TRX-104066</t>
  </si>
  <si>
    <t>TRX-104067</t>
  </si>
  <si>
    <t>TRX-104068</t>
  </si>
  <si>
    <t>TRX-104069</t>
  </si>
  <si>
    <t>TRX-104070</t>
  </si>
  <si>
    <t>TRX-104071</t>
  </si>
  <si>
    <t>TRX-104072</t>
  </si>
  <si>
    <t>TRX-104073</t>
  </si>
  <si>
    <t>TRX-104074</t>
  </si>
  <si>
    <t>TRX-104075</t>
  </si>
  <si>
    <t>TRX-104076</t>
  </si>
  <si>
    <t>TRX-104077</t>
  </si>
  <si>
    <t>TRX-104078</t>
  </si>
  <si>
    <t>TRX-104079</t>
  </si>
  <si>
    <t>TRX-104080</t>
  </si>
  <si>
    <t>TRX-104081</t>
  </si>
  <si>
    <t>TRX-104082</t>
  </si>
  <si>
    <t>TRX-104083</t>
  </si>
  <si>
    <t>TRX-104084</t>
  </si>
  <si>
    <t>TRX-104085</t>
  </si>
  <si>
    <t>TRX-104086</t>
  </si>
  <si>
    <t>TRX-104087</t>
  </si>
  <si>
    <t>TRX-104088</t>
  </si>
  <si>
    <t>TRX-104089</t>
  </si>
  <si>
    <t>TRX-104090</t>
  </si>
  <si>
    <t>TRX-104091</t>
  </si>
  <si>
    <t>TRX-104092</t>
  </si>
  <si>
    <t>TRX-104093</t>
  </si>
  <si>
    <t>TRX-104094</t>
  </si>
  <si>
    <t>TRX-104095</t>
  </si>
  <si>
    <t>TRX-104096</t>
  </si>
  <si>
    <t>TRX-104097</t>
  </si>
  <si>
    <t>TRX-104098</t>
  </si>
  <si>
    <t>TRX-104099</t>
  </si>
  <si>
    <t>TRX-104100</t>
  </si>
  <si>
    <t>TRX-104101</t>
  </si>
  <si>
    <t>TRX-104102</t>
  </si>
  <si>
    <t>TRX-104103</t>
  </si>
  <si>
    <t>TRX-104104</t>
  </si>
  <si>
    <t>TRX-104105</t>
  </si>
  <si>
    <t>TRX-104106</t>
  </si>
  <si>
    <t>TRX-104107</t>
  </si>
  <si>
    <t>TRX-104108</t>
  </si>
  <si>
    <t>TRX-104109</t>
  </si>
  <si>
    <t>TRX-104110</t>
  </si>
  <si>
    <t>TRX-104111</t>
  </si>
  <si>
    <t>TRX-104112</t>
  </si>
  <si>
    <t>TRX-104113</t>
  </si>
  <si>
    <t>TRX-104114</t>
  </si>
  <si>
    <t>TRX-104115</t>
  </si>
  <si>
    <t>TRX-104116</t>
  </si>
  <si>
    <t>TRX-104117</t>
  </si>
  <si>
    <t>TRX-104118</t>
  </si>
  <si>
    <t>TRX-104119</t>
  </si>
  <si>
    <t>TRX-104120</t>
  </si>
  <si>
    <t>TRX-104121</t>
  </si>
  <si>
    <t>TRX-104122</t>
  </si>
  <si>
    <t>TRX-104123</t>
  </si>
  <si>
    <t>TRX-104124</t>
  </si>
  <si>
    <t>TRX-104125</t>
  </si>
  <si>
    <t>TRX-104126</t>
  </si>
  <si>
    <t>TRX-104127</t>
  </si>
  <si>
    <t>TRX-104128</t>
  </si>
  <si>
    <t>TRX-104129</t>
  </si>
  <si>
    <t>TRX-104130</t>
  </si>
  <si>
    <t>TRX-104131</t>
  </si>
  <si>
    <t>TRX-104132</t>
  </si>
  <si>
    <t>TRX-104133</t>
  </si>
  <si>
    <t>TRX-104134</t>
  </si>
  <si>
    <t>TRX-104135</t>
  </si>
  <si>
    <t>TRX-104136</t>
  </si>
  <si>
    <t>TRX-104137</t>
  </si>
  <si>
    <t>TRX-104138</t>
  </si>
  <si>
    <t>TRX-104139</t>
  </si>
  <si>
    <t>TRX-104140</t>
  </si>
  <si>
    <t>TRX-104141</t>
  </si>
  <si>
    <t>TRX-104142</t>
  </si>
  <si>
    <t>TRX-104143</t>
  </si>
  <si>
    <t>TRX-104144</t>
  </si>
  <si>
    <t>TRX-104145</t>
  </si>
  <si>
    <t>TRX-104146</t>
  </si>
  <si>
    <t>TRX-104147</t>
  </si>
  <si>
    <t>TRX-104148</t>
  </si>
  <si>
    <t>TRX-104149</t>
  </si>
  <si>
    <t>TRX-104150</t>
  </si>
  <si>
    <t>TRX-104151</t>
  </si>
  <si>
    <t>TRX-104152</t>
  </si>
  <si>
    <t>TRX-104153</t>
  </si>
  <si>
    <t>TRX-104154</t>
  </si>
  <si>
    <t>TRX-104155</t>
  </si>
  <si>
    <t>TRX-104156</t>
  </si>
  <si>
    <t>TRX-104157</t>
  </si>
  <si>
    <t>TRX-104158</t>
  </si>
  <si>
    <t>TRX-104159</t>
  </si>
  <si>
    <t>TRX-104160</t>
  </si>
  <si>
    <t>TRX-104161</t>
  </si>
  <si>
    <t>TRX-104162</t>
  </si>
  <si>
    <t>TRX-104163</t>
  </si>
  <si>
    <t>TRX-104164</t>
  </si>
  <si>
    <t>TRX-104165</t>
  </si>
  <si>
    <t>TRX-104166</t>
  </si>
  <si>
    <t>TRX-104167</t>
  </si>
  <si>
    <t>TRX-104168</t>
  </si>
  <si>
    <t>TRX-104169</t>
  </si>
  <si>
    <t>TRX-104170</t>
  </si>
  <si>
    <t>TRX-104171</t>
  </si>
  <si>
    <t>TRX-104172</t>
  </si>
  <si>
    <t>TRX-104173</t>
  </si>
  <si>
    <t>TRX-104174</t>
  </si>
  <si>
    <t>TRX-104175</t>
  </si>
  <si>
    <t>TRX-104176</t>
  </si>
  <si>
    <t>TRX-104177</t>
  </si>
  <si>
    <t>TRX-104178</t>
  </si>
  <si>
    <t>TRX-104179</t>
  </si>
  <si>
    <t>TRX-104180</t>
  </si>
  <si>
    <t>TRX-104181</t>
  </si>
  <si>
    <t>TRX-104182</t>
  </si>
  <si>
    <t>TRX-104183</t>
  </si>
  <si>
    <t>TRX-104184</t>
  </si>
  <si>
    <t>TRX-104185</t>
  </si>
  <si>
    <t>TRX-104186</t>
  </si>
  <si>
    <t>TRX-104187</t>
  </si>
  <si>
    <t>TRX-104188</t>
  </si>
  <si>
    <t>TRX-104189</t>
  </si>
  <si>
    <t>TRX-104190</t>
  </si>
  <si>
    <t>TRX-104191</t>
  </si>
  <si>
    <t>TRX-104192</t>
  </si>
  <si>
    <t>TRX-104193</t>
  </si>
  <si>
    <t>TRX-104194</t>
  </si>
  <si>
    <t>TRX-104195</t>
  </si>
  <si>
    <t>TRX-104196</t>
  </si>
  <si>
    <t>TRX-104197</t>
  </si>
  <si>
    <t>TRX-104198</t>
  </si>
  <si>
    <t>TRX-104199</t>
  </si>
  <si>
    <t>TRX-104200</t>
  </si>
  <si>
    <t>TRX-104201</t>
  </si>
  <si>
    <t>TRX-104202</t>
  </si>
  <si>
    <t>TRX-104203</t>
  </si>
  <si>
    <t>TRX-104204</t>
  </si>
  <si>
    <t>TRX-104205</t>
  </si>
  <si>
    <t>TRX-104206</t>
  </si>
  <si>
    <t>TRX-104207</t>
  </si>
  <si>
    <t>TRX-104208</t>
  </si>
  <si>
    <t>TRX-104209</t>
  </si>
  <si>
    <t>TRX-104210</t>
  </si>
  <si>
    <t>TRX-104211</t>
  </si>
  <si>
    <t>TRX-104212</t>
  </si>
  <si>
    <t>TRX-104213</t>
  </si>
  <si>
    <t>TRX-104214</t>
  </si>
  <si>
    <t>TRX-104215</t>
  </si>
  <si>
    <t>TRX-104216</t>
  </si>
  <si>
    <t>TRX-104217</t>
  </si>
  <si>
    <t>TRX-104218</t>
  </si>
  <si>
    <t>TRX-104219</t>
  </si>
  <si>
    <t>TRX-104220</t>
  </si>
  <si>
    <t>TRX-104221</t>
  </si>
  <si>
    <t>TRX-104222</t>
  </si>
  <si>
    <t>TRX-104223</t>
  </si>
  <si>
    <t>TRX-104224</t>
  </si>
  <si>
    <t>TRX-104225</t>
  </si>
  <si>
    <t>TRX-104226</t>
  </si>
  <si>
    <t>TRX-104227</t>
  </si>
  <si>
    <t>TRX-104228</t>
  </si>
  <si>
    <t>TRX-104229</t>
  </si>
  <si>
    <t>TRX-104230</t>
  </si>
  <si>
    <t>TRX-104231</t>
  </si>
  <si>
    <t>TRX-104232</t>
  </si>
  <si>
    <t>TRX-104233</t>
  </si>
  <si>
    <t>TRX-104234</t>
  </si>
  <si>
    <t>TRX-104235</t>
  </si>
  <si>
    <t>TRX-104236</t>
  </si>
  <si>
    <t>TRX-104237</t>
  </si>
  <si>
    <t>TRX-104238</t>
  </si>
  <si>
    <t>TRX-104239</t>
  </si>
  <si>
    <t>TRX-104240</t>
  </si>
  <si>
    <t>TRX-104241</t>
  </si>
  <si>
    <t>TRX-104242</t>
  </si>
  <si>
    <t>TRX-104243</t>
  </si>
  <si>
    <t>TRX-104244</t>
  </si>
  <si>
    <t>TRX-104245</t>
  </si>
  <si>
    <t>TRX-104246</t>
  </si>
  <si>
    <t>TRX-104247</t>
  </si>
  <si>
    <t>TRX-104248</t>
  </si>
  <si>
    <t>TRX-104249</t>
  </si>
  <si>
    <t>TRX-104250</t>
  </si>
  <si>
    <t>TRX-104251</t>
  </si>
  <si>
    <t>TRX-104252</t>
  </si>
  <si>
    <t>TRX-104253</t>
  </si>
  <si>
    <t>TRX-104254</t>
  </si>
  <si>
    <t>TRX-104255</t>
  </si>
  <si>
    <t>TRX-104256</t>
  </si>
  <si>
    <t>TRX-104257</t>
  </si>
  <si>
    <t>TRX-104258</t>
  </si>
  <si>
    <t>TRX-104259</t>
  </si>
  <si>
    <t>TRX-104260</t>
  </si>
  <si>
    <t>TRX-104261</t>
  </si>
  <si>
    <t>TRX-104262</t>
  </si>
  <si>
    <t>TRX-104263</t>
  </si>
  <si>
    <t>TRX-104264</t>
  </si>
  <si>
    <t>TRX-104265</t>
  </si>
  <si>
    <t>TRX-104266</t>
  </si>
  <si>
    <t>TRX-104267</t>
  </si>
  <si>
    <t>TRX-104268</t>
  </si>
  <si>
    <t>TRX-104269</t>
  </si>
  <si>
    <t>TRX-104270</t>
  </si>
  <si>
    <t>TRX-104271</t>
  </si>
  <si>
    <t>TRX-104272</t>
  </si>
  <si>
    <t>TRX-104273</t>
  </si>
  <si>
    <t>TRX-104274</t>
  </si>
  <si>
    <t>TRX-104275</t>
  </si>
  <si>
    <t>TRX-104276</t>
  </si>
  <si>
    <t>TRX-104277</t>
  </si>
  <si>
    <t>TRX-104278</t>
  </si>
  <si>
    <t>TRX-104279</t>
  </si>
  <si>
    <t>TRX-104280</t>
  </si>
  <si>
    <t>TRX-104281</t>
  </si>
  <si>
    <t>TRX-104282</t>
  </si>
  <si>
    <t>TRX-104283</t>
  </si>
  <si>
    <t>TRX-104284</t>
  </si>
  <si>
    <t>TRX-104285</t>
  </si>
  <si>
    <t>TRX-104286</t>
  </si>
  <si>
    <t>TRX-104287</t>
  </si>
  <si>
    <t>TRX-104288</t>
  </si>
  <si>
    <t>TRX-104289</t>
  </si>
  <si>
    <t>TRX-104290</t>
  </si>
  <si>
    <t>TRX-104291</t>
  </si>
  <si>
    <t>TRX-104292</t>
  </si>
  <si>
    <t>TRX-104293</t>
  </si>
  <si>
    <t>TRX-104294</t>
  </si>
  <si>
    <t>TRX-104295</t>
  </si>
  <si>
    <t>TRX-104296</t>
  </si>
  <si>
    <t>TRX-104297</t>
  </si>
  <si>
    <t>TRX-104298</t>
  </si>
  <si>
    <t>TRX-104299</t>
  </si>
  <si>
    <t>TRX-104300</t>
  </si>
  <si>
    <t>TRX-104301</t>
  </si>
  <si>
    <t>TRX-104302</t>
  </si>
  <si>
    <t>TRX-104303</t>
  </si>
  <si>
    <t>TRX-104304</t>
  </si>
  <si>
    <t>TRX-104305</t>
  </si>
  <si>
    <t>TRX-104306</t>
  </si>
  <si>
    <t>TRX-104307</t>
  </si>
  <si>
    <t>TRX-104308</t>
  </si>
  <si>
    <t>TRX-104309</t>
  </si>
  <si>
    <t>TRX-104310</t>
  </si>
  <si>
    <t>TRX-104311</t>
  </si>
  <si>
    <t>TRX-104312</t>
  </si>
  <si>
    <t>TRX-104313</t>
  </si>
  <si>
    <t>TRX-104314</t>
  </si>
  <si>
    <t>TRX-104315</t>
  </si>
  <si>
    <t>TRX-104316</t>
  </si>
  <si>
    <t>TRX-104317</t>
  </si>
  <si>
    <t>TRX-104318</t>
  </si>
  <si>
    <t>TRX-104319</t>
  </si>
  <si>
    <t>TRX-104320</t>
  </si>
  <si>
    <t>TRX-104321</t>
  </si>
  <si>
    <t>TRX-104322</t>
  </si>
  <si>
    <t>TRX-104323</t>
  </si>
  <si>
    <t>TRX-104324</t>
  </si>
  <si>
    <t>TRX-104325</t>
  </si>
  <si>
    <t>TRX-104326</t>
  </si>
  <si>
    <t>TRX-104327</t>
  </si>
  <si>
    <t>TRX-104328</t>
  </si>
  <si>
    <t>TRX-104329</t>
  </si>
  <si>
    <t>TRX-104330</t>
  </si>
  <si>
    <t>TRX-104331</t>
  </si>
  <si>
    <t>TRX-104332</t>
  </si>
  <si>
    <t>TRX-104333</t>
  </si>
  <si>
    <t>TRX-104334</t>
  </si>
  <si>
    <t>TRX-104335</t>
  </si>
  <si>
    <t>TRX-104336</t>
  </si>
  <si>
    <t>TRX-104337</t>
  </si>
  <si>
    <t>TRX-104338</t>
  </si>
  <si>
    <t>TRX-104339</t>
  </si>
  <si>
    <t>TRX-104340</t>
  </si>
  <si>
    <t>TRX-104341</t>
  </si>
  <si>
    <t>TRX-104342</t>
  </si>
  <si>
    <t>TRX-104343</t>
  </si>
  <si>
    <t>TRX-104344</t>
  </si>
  <si>
    <t>TRX-104345</t>
  </si>
  <si>
    <t>TRX-104346</t>
  </si>
  <si>
    <t>TRX-104347</t>
  </si>
  <si>
    <t>TRX-104348</t>
  </si>
  <si>
    <t>TRX-104349</t>
  </si>
  <si>
    <t>TRX-104350</t>
  </si>
  <si>
    <t>TRX-104351</t>
  </si>
  <si>
    <t>TRX-104352</t>
  </si>
  <si>
    <t>TRX-104353</t>
  </si>
  <si>
    <t>TRX-104354</t>
  </si>
  <si>
    <t>TRX-104355</t>
  </si>
  <si>
    <t>TRX-104356</t>
  </si>
  <si>
    <t>TRX-104357</t>
  </si>
  <si>
    <t>TRX-104358</t>
  </si>
  <si>
    <t>TRX-104359</t>
  </si>
  <si>
    <t>TRX-104360</t>
  </si>
  <si>
    <t>TRX-104361</t>
  </si>
  <si>
    <t>TRX-104362</t>
  </si>
  <si>
    <t>TRX-104363</t>
  </si>
  <si>
    <t>TRX-104364</t>
  </si>
  <si>
    <t>TRX-104365</t>
  </si>
  <si>
    <t>TRX-104366</t>
  </si>
  <si>
    <t>TRX-104367</t>
  </si>
  <si>
    <t>TRX-104368</t>
  </si>
  <si>
    <t>TRX-104369</t>
  </si>
  <si>
    <t>TRX-104370</t>
  </si>
  <si>
    <t>TRX-104371</t>
  </si>
  <si>
    <t>TRX-104372</t>
  </si>
  <si>
    <t>TRX-104373</t>
  </si>
  <si>
    <t>TRX-104374</t>
  </si>
  <si>
    <t>TRX-104375</t>
  </si>
  <si>
    <t>TRX-104376</t>
  </si>
  <si>
    <t>TRX-104377</t>
  </si>
  <si>
    <t>TRX-104378</t>
  </si>
  <si>
    <t>TRX-104379</t>
  </si>
  <si>
    <t>TRX-104380</t>
  </si>
  <si>
    <t>TRX-104381</t>
  </si>
  <si>
    <t>TRX-104382</t>
  </si>
  <si>
    <t>TRX-104383</t>
  </si>
  <si>
    <t>TRX-104384</t>
  </si>
  <si>
    <t>TRX-104385</t>
  </si>
  <si>
    <t>TRX-104386</t>
  </si>
  <si>
    <t>TRX-104387</t>
  </si>
  <si>
    <t>TRX-104388</t>
  </si>
  <si>
    <t>TRX-104389</t>
  </si>
  <si>
    <t>TRX-104390</t>
  </si>
  <si>
    <t>TRX-104391</t>
  </si>
  <si>
    <t>TRX-104392</t>
  </si>
  <si>
    <t>TRX-104393</t>
  </si>
  <si>
    <t>TRX-104394</t>
  </si>
  <si>
    <t>TRX-104395</t>
  </si>
  <si>
    <t>TRX-104396</t>
  </si>
  <si>
    <t>TRX-104397</t>
  </si>
  <si>
    <t>TRX-104398</t>
  </si>
  <si>
    <t>TRX-104399</t>
  </si>
  <si>
    <t>TRX-104400</t>
  </si>
  <si>
    <t>TRX-104401</t>
  </si>
  <si>
    <t>TRX-104402</t>
  </si>
  <si>
    <t>TRX-104403</t>
  </si>
  <si>
    <t>TRX-104404</t>
  </si>
  <si>
    <t>TRX-104405</t>
  </si>
  <si>
    <t>TRX-104406</t>
  </si>
  <si>
    <t>TRX-104407</t>
  </si>
  <si>
    <t>TRX-104408</t>
  </si>
  <si>
    <t>TRX-104409</t>
  </si>
  <si>
    <t>TRX-104410</t>
  </si>
  <si>
    <t>TRX-104411</t>
  </si>
  <si>
    <t>TRX-104412</t>
  </si>
  <si>
    <t>TRX-104413</t>
  </si>
  <si>
    <t>TRX-104414</t>
  </si>
  <si>
    <t>TRX-104415</t>
  </si>
  <si>
    <t>TRX-104416</t>
  </si>
  <si>
    <t>TRX-104417</t>
  </si>
  <si>
    <t>TRX-104418</t>
  </si>
  <si>
    <t>TRX-104419</t>
  </si>
  <si>
    <t>TRX-104420</t>
  </si>
  <si>
    <t>TRX-104421</t>
  </si>
  <si>
    <t>TRX-104422</t>
  </si>
  <si>
    <t>TRX-104423</t>
  </si>
  <si>
    <t>TRX-104424</t>
  </si>
  <si>
    <t>TRX-104425</t>
  </si>
  <si>
    <t>TRX-104426</t>
  </si>
  <si>
    <t>TRX-104427</t>
  </si>
  <si>
    <t>TRX-104428</t>
  </si>
  <si>
    <t>TRX-104429</t>
  </si>
  <si>
    <t>TRX-104430</t>
  </si>
  <si>
    <t>TRX-104431</t>
  </si>
  <si>
    <t>TRX-104432</t>
  </si>
  <si>
    <t>TRX-104433</t>
  </si>
  <si>
    <t>TRX-104434</t>
  </si>
  <si>
    <t>TRX-104435</t>
  </si>
  <si>
    <t>TRX-104436</t>
  </si>
  <si>
    <t>TRX-104437</t>
  </si>
  <si>
    <t>TRX-104438</t>
  </si>
  <si>
    <t>TRX-104439</t>
  </si>
  <si>
    <t>TRX-104440</t>
  </si>
  <si>
    <t>TRX-104441</t>
  </si>
  <si>
    <t>TRX-104442</t>
  </si>
  <si>
    <t>TRX-104443</t>
  </si>
  <si>
    <t>TRX-104444</t>
  </si>
  <si>
    <t>TRX-104445</t>
  </si>
  <si>
    <t>TRX-104446</t>
  </si>
  <si>
    <t>TRX-104447</t>
  </si>
  <si>
    <t>TRX-104448</t>
  </si>
  <si>
    <t>TRX-104449</t>
  </si>
  <si>
    <t>TRX-104450</t>
  </si>
  <si>
    <t>TRX-104451</t>
  </si>
  <si>
    <t>TRX-104452</t>
  </si>
  <si>
    <t>TRX-104453</t>
  </si>
  <si>
    <t>TRX-104454</t>
  </si>
  <si>
    <t>TRX-104455</t>
  </si>
  <si>
    <t>TRX-104456</t>
  </si>
  <si>
    <t>TRX-104457</t>
  </si>
  <si>
    <t>TRX-104458</t>
  </si>
  <si>
    <t>TRX-104459</t>
  </si>
  <si>
    <t>TRX-104460</t>
  </si>
  <si>
    <t>TRX-104461</t>
  </si>
  <si>
    <t>TRX-104462</t>
  </si>
  <si>
    <t>TRX-104463</t>
  </si>
  <si>
    <t>TRX-104464</t>
  </si>
  <si>
    <t>TRX-104465</t>
  </si>
  <si>
    <t>TRX-104466</t>
  </si>
  <si>
    <t>TRX-104467</t>
  </si>
  <si>
    <t>TRX-104468</t>
  </si>
  <si>
    <t>TRX-104469</t>
  </si>
  <si>
    <t>TRX-104470</t>
  </si>
  <si>
    <t>TRX-104471</t>
  </si>
  <si>
    <t>TRX-104472</t>
  </si>
  <si>
    <t>TRX-104473</t>
  </si>
  <si>
    <t>TRX-104474</t>
  </si>
  <si>
    <t>TRX-104475</t>
  </si>
  <si>
    <t>TRX-104476</t>
  </si>
  <si>
    <t>TRX-104477</t>
  </si>
  <si>
    <t>TRX-104478</t>
  </si>
  <si>
    <t>TRX-104479</t>
  </si>
  <si>
    <t>TRX-104480</t>
  </si>
  <si>
    <t>TRX-104481</t>
  </si>
  <si>
    <t>TRX-104482</t>
  </si>
  <si>
    <t>TRX-104483</t>
  </si>
  <si>
    <t>TRX-104484</t>
  </si>
  <si>
    <t>TRX-104485</t>
  </si>
  <si>
    <t>TRX-104486</t>
  </si>
  <si>
    <t>TRX-104487</t>
  </si>
  <si>
    <t>TRX-104488</t>
  </si>
  <si>
    <t>TRX-104489</t>
  </si>
  <si>
    <t>TRX-104490</t>
  </si>
  <si>
    <t>TRX-104491</t>
  </si>
  <si>
    <t>TRX-104492</t>
  </si>
  <si>
    <t>TRX-104493</t>
  </si>
  <si>
    <t>TRX-104494</t>
  </si>
  <si>
    <t>TRX-104495</t>
  </si>
  <si>
    <t>TRX-104496</t>
  </si>
  <si>
    <t>TRX-104497</t>
  </si>
  <si>
    <t>TRX-104498</t>
  </si>
  <si>
    <t>TRX-104499</t>
  </si>
  <si>
    <t>TRX-104500</t>
  </si>
  <si>
    <t>TRX-104501</t>
  </si>
  <si>
    <t>TRX-104502</t>
  </si>
  <si>
    <t>TRX-104503</t>
  </si>
  <si>
    <t>TRX-104504</t>
  </si>
  <si>
    <t>TRX-104505</t>
  </si>
  <si>
    <t>TRX-104506</t>
  </si>
  <si>
    <t>TRX-104507</t>
  </si>
  <si>
    <t>TRX-104508</t>
  </si>
  <si>
    <t>TRX-104509</t>
  </si>
  <si>
    <t>TRX-104510</t>
  </si>
  <si>
    <t>TRX-104511</t>
  </si>
  <si>
    <t>TRX-104512</t>
  </si>
  <si>
    <t>TRX-104513</t>
  </si>
  <si>
    <t>TRX-104514</t>
  </si>
  <si>
    <t>TRX-104515</t>
  </si>
  <si>
    <t>TRX-104516</t>
  </si>
  <si>
    <t>TRX-104517</t>
  </si>
  <si>
    <t>TRX-104518</t>
  </si>
  <si>
    <t>TRX-104519</t>
  </si>
  <si>
    <t>TRX-104520</t>
  </si>
  <si>
    <t>TRX-104521</t>
  </si>
  <si>
    <t>TRX-104522</t>
  </si>
  <si>
    <t>TRX-104523</t>
  </si>
  <si>
    <t>TRX-104524</t>
  </si>
  <si>
    <t>TRX-104525</t>
  </si>
  <si>
    <t>TRX-104526</t>
  </si>
  <si>
    <t>TRX-104527</t>
  </si>
  <si>
    <t>TRX-104528</t>
  </si>
  <si>
    <t>TRX-104529</t>
  </si>
  <si>
    <t>TRX-104530</t>
  </si>
  <si>
    <t>TRX-104531</t>
  </si>
  <si>
    <t>TRX-104532</t>
  </si>
  <si>
    <t>TRX-104533</t>
  </si>
  <si>
    <t>TRX-104534</t>
  </si>
  <si>
    <t>TRX-104535</t>
  </si>
  <si>
    <t>TRX-104536</t>
  </si>
  <si>
    <t>TRX-104537</t>
  </si>
  <si>
    <t>TRX-104538</t>
  </si>
  <si>
    <t>TRX-104539</t>
  </si>
  <si>
    <t>TRX-104540</t>
  </si>
  <si>
    <t>TRX-104541</t>
  </si>
  <si>
    <t>TRX-104542</t>
  </si>
  <si>
    <t>TRX-104543</t>
  </si>
  <si>
    <t>TRX-104544</t>
  </si>
  <si>
    <t>TRX-104545</t>
  </si>
  <si>
    <t>TRX-104546</t>
  </si>
  <si>
    <t>TRX-104547</t>
  </si>
  <si>
    <t>TRX-104548</t>
  </si>
  <si>
    <t>TRX-104549</t>
  </si>
  <si>
    <t>TRX-104550</t>
  </si>
  <si>
    <t>TRX-104551</t>
  </si>
  <si>
    <t>TRX-104552</t>
  </si>
  <si>
    <t>TRX-104553</t>
  </si>
  <si>
    <t>TRX-104554</t>
  </si>
  <si>
    <t>TRX-104555</t>
  </si>
  <si>
    <t>TRX-104556</t>
  </si>
  <si>
    <t>TRX-104557</t>
  </si>
  <si>
    <t>TRX-104558</t>
  </si>
  <si>
    <t>TRX-104559</t>
  </si>
  <si>
    <t>TRX-104560</t>
  </si>
  <si>
    <t>TRX-104561</t>
  </si>
  <si>
    <t>TRX-104562</t>
  </si>
  <si>
    <t>TRX-104563</t>
  </si>
  <si>
    <t>TRX-104564</t>
  </si>
  <si>
    <t>TRX-104565</t>
  </si>
  <si>
    <t>TRX-104566</t>
  </si>
  <si>
    <t>TRX-104567</t>
  </si>
  <si>
    <t>TRX-104568</t>
  </si>
  <si>
    <t>TRX-104569</t>
  </si>
  <si>
    <t>TRX-104570</t>
  </si>
  <si>
    <t>TRX-104571</t>
  </si>
  <si>
    <t>TRX-104572</t>
  </si>
  <si>
    <t>TRX-104573</t>
  </si>
  <si>
    <t>TRX-104574</t>
  </si>
  <si>
    <t>TRX-104575</t>
  </si>
  <si>
    <t>TRX-104576</t>
  </si>
  <si>
    <t>TRX-104577</t>
  </si>
  <si>
    <t>TRX-104578</t>
  </si>
  <si>
    <t>TRX-104579</t>
  </si>
  <si>
    <t>TRX-104580</t>
  </si>
  <si>
    <t>TRX-104581</t>
  </si>
  <si>
    <t>TRX-104582</t>
  </si>
  <si>
    <t>TRX-104583</t>
  </si>
  <si>
    <t>TRX-104584</t>
  </si>
  <si>
    <t>TRX-104585</t>
  </si>
  <si>
    <t>TRX-104586</t>
  </si>
  <si>
    <t>TRX-104587</t>
  </si>
  <si>
    <t>TRX-104588</t>
  </si>
  <si>
    <t>TRX-104589</t>
  </si>
  <si>
    <t>TRX-104590</t>
  </si>
  <si>
    <t>TRX-104591</t>
  </si>
  <si>
    <t>TRX-104592</t>
  </si>
  <si>
    <t>TRX-104593</t>
  </si>
  <si>
    <t>TRX-104594</t>
  </si>
  <si>
    <t>TRX-104595</t>
  </si>
  <si>
    <t>TRX-104596</t>
  </si>
  <si>
    <t>TRX-104597</t>
  </si>
  <si>
    <t>TRX-104598</t>
  </si>
  <si>
    <t>TRX-104599</t>
  </si>
  <si>
    <t>TRX-104600</t>
  </si>
  <si>
    <t>TRX-104601</t>
  </si>
  <si>
    <t>TRX-104602</t>
  </si>
  <si>
    <t>TRX-104603</t>
  </si>
  <si>
    <t>TRX-104604</t>
  </si>
  <si>
    <t>TRX-104605</t>
  </si>
  <si>
    <t>TRX-104606</t>
  </si>
  <si>
    <t>TRX-104607</t>
  </si>
  <si>
    <t>TRX-104608</t>
  </si>
  <si>
    <t>TRX-104609</t>
  </si>
  <si>
    <t>TRX-104610</t>
  </si>
  <si>
    <t>TRX-104611</t>
  </si>
  <si>
    <t>TRX-104612</t>
  </si>
  <si>
    <t>TRX-104613</t>
  </si>
  <si>
    <t>TRX-104614</t>
  </si>
  <si>
    <t>TRX-104615</t>
  </si>
  <si>
    <t>TRX-104616</t>
  </si>
  <si>
    <t>TRX-104617</t>
  </si>
  <si>
    <t>TRX-104618</t>
  </si>
  <si>
    <t>TRX-104619</t>
  </si>
  <si>
    <t>TRX-104620</t>
  </si>
  <si>
    <t>TRX-104621</t>
  </si>
  <si>
    <t>TRX-104622</t>
  </si>
  <si>
    <t>TRX-104623</t>
  </si>
  <si>
    <t>TRX-104624</t>
  </si>
  <si>
    <t>TRX-104625</t>
  </si>
  <si>
    <t>TRX-104626</t>
  </si>
  <si>
    <t>TRX-104627</t>
  </si>
  <si>
    <t>TRX-104628</t>
  </si>
  <si>
    <t>TRX-104629</t>
  </si>
  <si>
    <t>TRX-104630</t>
  </si>
  <si>
    <t>TRX-104631</t>
  </si>
  <si>
    <t>TRX-104632</t>
  </si>
  <si>
    <t>TRX-104633</t>
  </si>
  <si>
    <t>TRX-104634</t>
  </si>
  <si>
    <t>TRX-104635</t>
  </si>
  <si>
    <t>TRX-104636</t>
  </si>
  <si>
    <t>TRX-104637</t>
  </si>
  <si>
    <t>TRX-104638</t>
  </si>
  <si>
    <t>TRX-104639</t>
  </si>
  <si>
    <t>TRX-104640</t>
  </si>
  <si>
    <t>TRX-104641</t>
  </si>
  <si>
    <t>TRX-104642</t>
  </si>
  <si>
    <t>TRX-104643</t>
  </si>
  <si>
    <t>TRX-104644</t>
  </si>
  <si>
    <t>TRX-104645</t>
  </si>
  <si>
    <t>TRX-104646</t>
  </si>
  <si>
    <t>TRX-104647</t>
  </si>
  <si>
    <t>TRX-104648</t>
  </si>
  <si>
    <t>TRX-104649</t>
  </si>
  <si>
    <t>TRX-104650</t>
  </si>
  <si>
    <t>TRX-104651</t>
  </si>
  <si>
    <t>TRX-104652</t>
  </si>
  <si>
    <t>TRX-104653</t>
  </si>
  <si>
    <t>TRX-104654</t>
  </si>
  <si>
    <t>TRX-104655</t>
  </si>
  <si>
    <t>TRX-104656</t>
  </si>
  <si>
    <t>TRX-104657</t>
  </si>
  <si>
    <t>TRX-104658</t>
  </si>
  <si>
    <t>TRX-104659</t>
  </si>
  <si>
    <t>TRX-104660</t>
  </si>
  <si>
    <t>TRX-104661</t>
  </si>
  <si>
    <t>TRX-104662</t>
  </si>
  <si>
    <t>TRX-104663</t>
  </si>
  <si>
    <t>TRX-104664</t>
  </si>
  <si>
    <t>TRX-104665</t>
  </si>
  <si>
    <t>TRX-104666</t>
  </si>
  <si>
    <t>TRX-104667</t>
  </si>
  <si>
    <t>TRX-104668</t>
  </si>
  <si>
    <t>TRX-104669</t>
  </si>
  <si>
    <t>TRX-104670</t>
  </si>
  <si>
    <t>TRX-104671</t>
  </si>
  <si>
    <t>TRX-104672</t>
  </si>
  <si>
    <t>TRX-104673</t>
  </si>
  <si>
    <t>TRX-104674</t>
  </si>
  <si>
    <t>TRX-104675</t>
  </si>
  <si>
    <t>TRX-104676</t>
  </si>
  <si>
    <t>TRX-104677</t>
  </si>
  <si>
    <t>TRX-104678</t>
  </si>
  <si>
    <t>TRX-104679</t>
  </si>
  <si>
    <t>TRX-104680</t>
  </si>
  <si>
    <t>TRX-104681</t>
  </si>
  <si>
    <t>TRX-104682</t>
  </si>
  <si>
    <t>TRX-104683</t>
  </si>
  <si>
    <t>TRX-104684</t>
  </si>
  <si>
    <t>TRX-104685</t>
  </si>
  <si>
    <t>TRX-104686</t>
  </si>
  <si>
    <t>TRX-104687</t>
  </si>
  <si>
    <t>TRX-104688</t>
  </si>
  <si>
    <t>TRX-104689</t>
  </si>
  <si>
    <t>TRX-104690</t>
  </si>
  <si>
    <t>TRX-104691</t>
  </si>
  <si>
    <t>TRX-104692</t>
  </si>
  <si>
    <t>TRX-104693</t>
  </si>
  <si>
    <t>TRX-104694</t>
  </si>
  <si>
    <t>TRX-104695</t>
  </si>
  <si>
    <t>TRX-104696</t>
  </si>
  <si>
    <t>TRX-104697</t>
  </si>
  <si>
    <t>TRX-104698</t>
  </si>
  <si>
    <t>TRX-104699</t>
  </si>
  <si>
    <t>TRX-104700</t>
  </si>
  <si>
    <t>TRX-104701</t>
  </si>
  <si>
    <t>TRX-104702</t>
  </si>
  <si>
    <t>TRX-104703</t>
  </si>
  <si>
    <t>TRX-104704</t>
  </si>
  <si>
    <t>TRX-104705</t>
  </si>
  <si>
    <t>TRX-104706</t>
  </si>
  <si>
    <t>TRX-104707</t>
  </si>
  <si>
    <t>TRX-104708</t>
  </si>
  <si>
    <t>TRX-104709</t>
  </si>
  <si>
    <t>TRX-104710</t>
  </si>
  <si>
    <t>TRX-104711</t>
  </si>
  <si>
    <t>TRX-104712</t>
  </si>
  <si>
    <t>TRX-104713</t>
  </si>
  <si>
    <t>TRX-104714</t>
  </si>
  <si>
    <t>TRX-104715</t>
  </si>
  <si>
    <t>TRX-104716</t>
  </si>
  <si>
    <t>TRX-104717</t>
  </si>
  <si>
    <t>TRX-104718</t>
  </si>
  <si>
    <t>TRX-104719</t>
  </si>
  <si>
    <t>TRX-104720</t>
  </si>
  <si>
    <t>TRX-104721</t>
  </si>
  <si>
    <t>TRX-104722</t>
  </si>
  <si>
    <t>TRX-104723</t>
  </si>
  <si>
    <t>TRX-104724</t>
  </si>
  <si>
    <t>TRX-104725</t>
  </si>
  <si>
    <t>TRX-104726</t>
  </si>
  <si>
    <t>TRX-104727</t>
  </si>
  <si>
    <t>TRX-104728</t>
  </si>
  <si>
    <t>TRX-104729</t>
  </si>
  <si>
    <t>TRX-104730</t>
  </si>
  <si>
    <t>TRX-104731</t>
  </si>
  <si>
    <t>TRX-104732</t>
  </si>
  <si>
    <t>TRX-104733</t>
  </si>
  <si>
    <t>TRX-104734</t>
  </si>
  <si>
    <t>TRX-104735</t>
  </si>
  <si>
    <t>TRX-104736</t>
  </si>
  <si>
    <t>TRX-104737</t>
  </si>
  <si>
    <t>TRX-104738</t>
  </si>
  <si>
    <t>TRX-104739</t>
  </si>
  <si>
    <t>TRX-104740</t>
  </si>
  <si>
    <t>TRX-104741</t>
  </si>
  <si>
    <t>TRX-104742</t>
  </si>
  <si>
    <t>TRX-104743</t>
  </si>
  <si>
    <t>TRX-104744</t>
  </si>
  <si>
    <t>TRX-104745</t>
  </si>
  <si>
    <t>TRX-104746</t>
  </si>
  <si>
    <t>TRX-104747</t>
  </si>
  <si>
    <t>TRX-104748</t>
  </si>
  <si>
    <t>TRX-104749</t>
  </si>
  <si>
    <t>TRX-104750</t>
  </si>
  <si>
    <t>TRX-104751</t>
  </si>
  <si>
    <t>TRX-104752</t>
  </si>
  <si>
    <t>TRX-104753</t>
  </si>
  <si>
    <t>TRX-104754</t>
  </si>
  <si>
    <t>TRX-104755</t>
  </si>
  <si>
    <t>TRX-104756</t>
  </si>
  <si>
    <t>TRX-104757</t>
  </si>
  <si>
    <t>TRX-104758</t>
  </si>
  <si>
    <t>TRX-104759</t>
  </si>
  <si>
    <t>TRX-104760</t>
  </si>
  <si>
    <t>TRX-104761</t>
  </si>
  <si>
    <t>TRX-104762</t>
  </si>
  <si>
    <t>TRX-104763</t>
  </si>
  <si>
    <t>TRX-104764</t>
  </si>
  <si>
    <t>TRX-104765</t>
  </si>
  <si>
    <t>TRX-104766</t>
  </si>
  <si>
    <t>TRX-104767</t>
  </si>
  <si>
    <t>TRX-104768</t>
  </si>
  <si>
    <t>TRX-104769</t>
  </si>
  <si>
    <t>TRX-104770</t>
  </si>
  <si>
    <t>TRX-104771</t>
  </si>
  <si>
    <t>TRX-104772</t>
  </si>
  <si>
    <t>TRX-104773</t>
  </si>
  <si>
    <t>TRX-104774</t>
  </si>
  <si>
    <t>TRX-104775</t>
  </si>
  <si>
    <t>TRX-104776</t>
  </si>
  <si>
    <t>TRX-104777</t>
  </si>
  <si>
    <t>TRX-104778</t>
  </si>
  <si>
    <t>TRX-104779</t>
  </si>
  <si>
    <t>TRX-104780</t>
  </si>
  <si>
    <t>TRX-104781</t>
  </si>
  <si>
    <t>TRX-104782</t>
  </si>
  <si>
    <t>TRX-104783</t>
  </si>
  <si>
    <t>TRX-104784</t>
  </si>
  <si>
    <t>TRX-104785</t>
  </si>
  <si>
    <t>TRX-104786</t>
  </si>
  <si>
    <t>TRX-104787</t>
  </si>
  <si>
    <t>TRX-104788</t>
  </si>
  <si>
    <t>TRX-104789</t>
  </si>
  <si>
    <t>TRX-104790</t>
  </si>
  <si>
    <t>TRX-104791</t>
  </si>
  <si>
    <t>TRX-104792</t>
  </si>
  <si>
    <t>TRX-104793</t>
  </si>
  <si>
    <t>TRX-104794</t>
  </si>
  <si>
    <t>TRX-104795</t>
  </si>
  <si>
    <t>TRX-104796</t>
  </si>
  <si>
    <t>TRX-104797</t>
  </si>
  <si>
    <t>TRX-104798</t>
  </si>
  <si>
    <t>TRX-104799</t>
  </si>
  <si>
    <t>TRX-104800</t>
  </si>
  <si>
    <t>TRX-104801</t>
  </si>
  <si>
    <t>TRX-104802</t>
  </si>
  <si>
    <t>TRX-104803</t>
  </si>
  <si>
    <t>TRX-104804</t>
  </si>
  <si>
    <t>TRX-104805</t>
  </si>
  <si>
    <t>TRX-104806</t>
  </si>
  <si>
    <t>TRX-104807</t>
  </si>
  <si>
    <t>TRX-104808</t>
  </si>
  <si>
    <t>TRX-104809</t>
  </si>
  <si>
    <t>TRX-104810</t>
  </si>
  <si>
    <t>TRX-104811</t>
  </si>
  <si>
    <t>TRX-104812</t>
  </si>
  <si>
    <t>TRX-104813</t>
  </si>
  <si>
    <t>TRX-104814</t>
  </si>
  <si>
    <t>TRX-104815</t>
  </si>
  <si>
    <t>TRX-104816</t>
  </si>
  <si>
    <t>TRX-104817</t>
  </si>
  <si>
    <t>TRX-104818</t>
  </si>
  <si>
    <t>TRX-104819</t>
  </si>
  <si>
    <t>TRX-104820</t>
  </si>
  <si>
    <t>TRX-104821</t>
  </si>
  <si>
    <t>TRX-104822</t>
  </si>
  <si>
    <t>TRX-104823</t>
  </si>
  <si>
    <t>TRX-104824</t>
  </si>
  <si>
    <t>TRX-104825</t>
  </si>
  <si>
    <t>TRX-104826</t>
  </si>
  <si>
    <t>TRX-104827</t>
  </si>
  <si>
    <t>TRX-104828</t>
  </si>
  <si>
    <t>TRX-104829</t>
  </si>
  <si>
    <t>TRX-104830</t>
  </si>
  <si>
    <t>TRX-104831</t>
  </si>
  <si>
    <t>TRX-104832</t>
  </si>
  <si>
    <t>TRX-104833</t>
  </si>
  <si>
    <t>TRX-104834</t>
  </si>
  <si>
    <t>TRX-104835</t>
  </si>
  <si>
    <t>TRX-104836</t>
  </si>
  <si>
    <t>TRX-104837</t>
  </si>
  <si>
    <t>TRX-104838</t>
  </si>
  <si>
    <t>TRX-104839</t>
  </si>
  <si>
    <t>TRX-104840</t>
  </si>
  <si>
    <t>TRX-104841</t>
  </si>
  <si>
    <t>TRX-104842</t>
  </si>
  <si>
    <t>TRX-104843</t>
  </si>
  <si>
    <t>TRX-104844</t>
  </si>
  <si>
    <t>TRX-104845</t>
  </si>
  <si>
    <t>TRX-104846</t>
  </si>
  <si>
    <t>TRX-104847</t>
  </si>
  <si>
    <t>TRX-104848</t>
  </si>
  <si>
    <t>TRX-104849</t>
  </si>
  <si>
    <t>TRX-104850</t>
  </si>
  <si>
    <t>TRX-104851</t>
  </si>
  <si>
    <t>TRX-104852</t>
  </si>
  <si>
    <t>TRX-104853</t>
  </si>
  <si>
    <t>TRX-104854</t>
  </si>
  <si>
    <t>TRX-104855</t>
  </si>
  <si>
    <t>TRX-104856</t>
  </si>
  <si>
    <t>TRX-104857</t>
  </si>
  <si>
    <t>TRX-104858</t>
  </si>
  <si>
    <t>TRX-104859</t>
  </si>
  <si>
    <t>TRX-104860</t>
  </si>
  <si>
    <t>TRX-104861</t>
  </si>
  <si>
    <t>TRX-104862</t>
  </si>
  <si>
    <t>TRX-104863</t>
  </si>
  <si>
    <t>TRX-104864</t>
  </si>
  <si>
    <t>TRX-104865</t>
  </si>
  <si>
    <t>TRX-104866</t>
  </si>
  <si>
    <t>TRX-104867</t>
  </si>
  <si>
    <t>TRX-104868</t>
  </si>
  <si>
    <t>TRX-104869</t>
  </si>
  <si>
    <t>TRX-104870</t>
  </si>
  <si>
    <t>TRX-104871</t>
  </si>
  <si>
    <t>TRX-104872</t>
  </si>
  <si>
    <t>TRX-104873</t>
  </si>
  <si>
    <t>TRX-104874</t>
  </si>
  <si>
    <t>TRX-104875</t>
  </si>
  <si>
    <t>TRX-104876</t>
  </si>
  <si>
    <t>TRX-104877</t>
  </si>
  <si>
    <t>TRX-104878</t>
  </si>
  <si>
    <t>TRX-104879</t>
  </si>
  <si>
    <t>TRX-104880</t>
  </si>
  <si>
    <t>TRX-104881</t>
  </si>
  <si>
    <t>TRX-104882</t>
  </si>
  <si>
    <t>TRX-104883</t>
  </si>
  <si>
    <t>TRX-104884</t>
  </si>
  <si>
    <t>TRX-104885</t>
  </si>
  <si>
    <t>TRX-104886</t>
  </si>
  <si>
    <t>TRX-104887</t>
  </si>
  <si>
    <t>TRX-104888</t>
  </si>
  <si>
    <t>TRX-104889</t>
  </si>
  <si>
    <t>TRX-104890</t>
  </si>
  <si>
    <t>TRX-104891</t>
  </si>
  <si>
    <t>TRX-104892</t>
  </si>
  <si>
    <t>TRX-104893</t>
  </si>
  <si>
    <t>TRX-104894</t>
  </si>
  <si>
    <t>TRX-104895</t>
  </si>
  <si>
    <t>TRX-104896</t>
  </si>
  <si>
    <t>TRX-104897</t>
  </si>
  <si>
    <t>TRX-104898</t>
  </si>
  <si>
    <t>TRX-104899</t>
  </si>
  <si>
    <t>TRX-104900</t>
  </si>
  <si>
    <t>TRX-104901</t>
  </si>
  <si>
    <t>TRX-104902</t>
  </si>
  <si>
    <t>TRX-104903</t>
  </si>
  <si>
    <t>TRX-104904</t>
  </si>
  <si>
    <t>TRX-104905</t>
  </si>
  <si>
    <t>TRX-104906</t>
  </si>
  <si>
    <t>TRX-104907</t>
  </si>
  <si>
    <t>TRX-104908</t>
  </si>
  <si>
    <t>TRX-104909</t>
  </si>
  <si>
    <t>TRX-104910</t>
  </si>
  <si>
    <t>TRX-104911</t>
  </si>
  <si>
    <t>TRX-104912</t>
  </si>
  <si>
    <t>TRX-104913</t>
  </si>
  <si>
    <t>TRX-104914</t>
  </si>
  <si>
    <t>TRX-104915</t>
  </si>
  <si>
    <t>TRX-104916</t>
  </si>
  <si>
    <t>TRX-104917</t>
  </si>
  <si>
    <t>TRX-104918</t>
  </si>
  <si>
    <t>TRX-104919</t>
  </si>
  <si>
    <t>TRX-104920</t>
  </si>
  <si>
    <t>TRX-104921</t>
  </si>
  <si>
    <t>TRX-104922</t>
  </si>
  <si>
    <t>TRX-104923</t>
  </si>
  <si>
    <t>TRX-104924</t>
  </si>
  <si>
    <t>TRX-104925</t>
  </si>
  <si>
    <t>TRX-104926</t>
  </si>
  <si>
    <t>TRX-104927</t>
  </si>
  <si>
    <t>TRX-104928</t>
  </si>
  <si>
    <t>TRX-104929</t>
  </si>
  <si>
    <t>TRX-104930</t>
  </si>
  <si>
    <t>TRX-104931</t>
  </si>
  <si>
    <t>TRX-104932</t>
  </si>
  <si>
    <t>TRX-104933</t>
  </si>
  <si>
    <t>TRX-104934</t>
  </si>
  <si>
    <t>TRX-104935</t>
  </si>
  <si>
    <t>TRX-104936</t>
  </si>
  <si>
    <t>TRX-104937</t>
  </si>
  <si>
    <t>TRX-104938</t>
  </si>
  <si>
    <t>TRX-104939</t>
  </si>
  <si>
    <t>TRX-104940</t>
  </si>
  <si>
    <t>TRX-104941</t>
  </si>
  <si>
    <t>TRX-104942</t>
  </si>
  <si>
    <t>TRX-104943</t>
  </si>
  <si>
    <t>TRX-104944</t>
  </si>
  <si>
    <t>TRX-104945</t>
  </si>
  <si>
    <t>TRX-104946</t>
  </si>
  <si>
    <t>TRX-104947</t>
  </si>
  <si>
    <t>TRX-104948</t>
  </si>
  <si>
    <t>TRX-104949</t>
  </si>
  <si>
    <t>TRX-104950</t>
  </si>
  <si>
    <t>TRX-104951</t>
  </si>
  <si>
    <t>TRX-104952</t>
  </si>
  <si>
    <t>TRX-104953</t>
  </si>
  <si>
    <t>TRX-104954</t>
  </si>
  <si>
    <t>TRX-104955</t>
  </si>
  <si>
    <t>TRX-104956</t>
  </si>
  <si>
    <t>TRX-104957</t>
  </si>
  <si>
    <t>TRX-104958</t>
  </si>
  <si>
    <t>TRX-104959</t>
  </si>
  <si>
    <t>TRX-104960</t>
  </si>
  <si>
    <t>TRX-104961</t>
  </si>
  <si>
    <t>TRX-104962</t>
  </si>
  <si>
    <t>TRX-104963</t>
  </si>
  <si>
    <t>TRX-104964</t>
  </si>
  <si>
    <t>TRX-104965</t>
  </si>
  <si>
    <t>TRX-104966</t>
  </si>
  <si>
    <t>TRX-104967</t>
  </si>
  <si>
    <t>TRX-104968</t>
  </si>
  <si>
    <t>TRX-104969</t>
  </si>
  <si>
    <t>TRX-104970</t>
  </si>
  <si>
    <t>TRX-104971</t>
  </si>
  <si>
    <t>TRX-104972</t>
  </si>
  <si>
    <t>TRX-104973</t>
  </si>
  <si>
    <t>TRX-104974</t>
  </si>
  <si>
    <t>TRX-104975</t>
  </si>
  <si>
    <t>TRX-104976</t>
  </si>
  <si>
    <t>TRX-104977</t>
  </si>
  <si>
    <t>TRX-104978</t>
  </si>
  <si>
    <t>TRX-104979</t>
  </si>
  <si>
    <t>TRX-104980</t>
  </si>
  <si>
    <t>TRX-104981</t>
  </si>
  <si>
    <t>TRX-104982</t>
  </si>
  <si>
    <t>TRX-104983</t>
  </si>
  <si>
    <t>TRX-104984</t>
  </si>
  <si>
    <t>TRX-104985</t>
  </si>
  <si>
    <t>TRX-104986</t>
  </si>
  <si>
    <t>TRX-104987</t>
  </si>
  <si>
    <t>TRX-104988</t>
  </si>
  <si>
    <t>TRX-104989</t>
  </si>
  <si>
    <t>TRX-104990</t>
  </si>
  <si>
    <t>TRX-104991</t>
  </si>
  <si>
    <t>TRX-104992</t>
  </si>
  <si>
    <t>TRX-104993</t>
  </si>
  <si>
    <t>TRX-104994</t>
  </si>
  <si>
    <t>TRX-104995</t>
  </si>
  <si>
    <t>TRX-104996</t>
  </si>
  <si>
    <t>TRX-104997</t>
  </si>
  <si>
    <t>TRX-104998</t>
  </si>
  <si>
    <t>TRX-104999</t>
  </si>
  <si>
    <t>TRX-105000</t>
  </si>
  <si>
    <t>Count of Transaction_ID</t>
  </si>
  <si>
    <t>Sum of Resale_Price_USD</t>
  </si>
  <si>
    <t>Total_Profit</t>
  </si>
  <si>
    <t>Row Labels</t>
  </si>
  <si>
    <t>Grand Total</t>
  </si>
  <si>
    <t>Column Labels</t>
  </si>
  <si>
    <t>2023</t>
  </si>
  <si>
    <t>2024</t>
  </si>
  <si>
    <t>2025</t>
  </si>
  <si>
    <t>Sum of Profit_Margin_USD</t>
  </si>
  <si>
    <t>Jan</t>
  </si>
  <si>
    <t>Feb</t>
  </si>
  <si>
    <t>Mar</t>
  </si>
  <si>
    <t>Apr</t>
  </si>
  <si>
    <t>May</t>
  </si>
  <si>
    <t>Jun</t>
  </si>
  <si>
    <t>Jul</t>
  </si>
  <si>
    <t>Aug</t>
  </si>
  <si>
    <t>Sep</t>
  </si>
  <si>
    <t>Oct</t>
  </si>
  <si>
    <t>Nov</t>
  </si>
  <si>
    <t>Dec</t>
  </si>
  <si>
    <t>Average of Days_in_Inventory</t>
  </si>
  <si>
    <t>Average of Profit_Margin_USD</t>
  </si>
  <si>
    <t>Months</t>
  </si>
  <si>
    <t>Total Sales</t>
  </si>
  <si>
    <t>Average Profit</t>
  </si>
  <si>
    <t>Total Profit</t>
  </si>
  <si>
    <t>Profit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</si>
</sst>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_-[$$-409]* #,##0.00_ ;_-[$$-409]* \-#,##0.00\ ;_-[$$-409]* &quot;-&quot;??_ ;_-@_ "/>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9">
    <xf numFmtId="0" fontId="0" fillId="0" borderId="0" xfId="0"/>
    <xf numFmtId="0" fontId="0" fillId="0" borderId="0" xfId="0" applyNumberFormat="1"/>
    <xf numFmtId="0" fontId="0" fillId="0" borderId="0" xfId="0" pivotButton="1"/>
    <xf numFmtId="0" fontId="0" fillId="0" borderId="0" xfId="0" applyAlignment="1">
      <alignment horizontal="left"/>
    </xf>
    <xf numFmtId="0" fontId="0" fillId="0" borderId="11" xfId="0"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xf>
    <xf numFmtId="0" fontId="0" fillId="0" borderId="14" xfId="0" applyBorder="1" applyAlignment="1">
      <alignment horizontal="center" vertical="center"/>
    </xf>
    <xf numFmtId="14" fontId="0" fillId="0" borderId="10" xfId="0" applyNumberFormat="1" applyBorder="1" applyAlignment="1">
      <alignment horizontal="center" vertical="center"/>
    </xf>
    <xf numFmtId="0" fontId="0" fillId="0" borderId="10" xfId="0" applyBorder="1" applyAlignment="1">
      <alignment horizontal="center" vertical="center"/>
    </xf>
    <xf numFmtId="0" fontId="0" fillId="0" borderId="15" xfId="0" applyBorder="1" applyAlignment="1">
      <alignment horizontal="center" vertical="center"/>
    </xf>
    <xf numFmtId="0" fontId="0" fillId="0" borderId="16" xfId="0" applyBorder="1" applyAlignment="1">
      <alignment horizontal="center" vertical="center"/>
    </xf>
    <xf numFmtId="14" fontId="0" fillId="0" borderId="17" xfId="0" applyNumberFormat="1" applyBorder="1" applyAlignment="1">
      <alignment horizontal="center" vertical="center"/>
    </xf>
    <xf numFmtId="0" fontId="0" fillId="0" borderId="17" xfId="0" applyBorder="1" applyAlignment="1">
      <alignment horizontal="center" vertical="center"/>
    </xf>
    <xf numFmtId="0" fontId="0" fillId="0" borderId="18" xfId="0" applyBorder="1" applyAlignment="1">
      <alignment horizontal="center" vertical="center"/>
    </xf>
    <xf numFmtId="164" fontId="0" fillId="0" borderId="0" xfId="0" applyNumberFormat="1"/>
    <xf numFmtId="2" fontId="0" fillId="0" borderId="0" xfId="0" applyNumberFormat="1"/>
    <xf numFmtId="14" fontId="0" fillId="0" borderId="0" xfId="0" applyNumberFormat="1" applyAlignment="1">
      <alignment horizontal="left"/>
    </xf>
    <xf numFmtId="10" fontId="0" fillId="0" borderId="0" xfId="42" applyNumberFormat="1"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20">
    <dxf>
      <numFmt numFmtId="2" formatCode="0.00"/>
    </dxf>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164" formatCode="_-[$$-409]* #,##0.00_ ;_-[$$-409]* \-#,##0.00\ ;_-[$$-409]* &quot;-&quot;??_ ;_-@_ "/>
    </dxf>
    <dxf>
      <numFmt numFmtId="164" formatCode="_-[$$-409]* #,##0.00_ ;_-[$$-409]* \-#,##0.00\ ;_-[$$-409]* &quot;-&quot;??_ ;_-@_ "/>
    </dxf>
    <dxf>
      <numFmt numFmtId="164" formatCode="_-[$$-409]* #,##0.00_ ;_-[$$-409]* \-#,##0.00\ ;_-[$$-409]* &quot;-&quot;??_ ;_-@_ "/>
    </dxf>
    <dxf>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border>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bottom/>
      </border>
    </dxf>
  </dxfs>
  <tableStyles count="2" defaultTableStyle="TableStyleMedium2" defaultPivotStyle="PivotStyleLight16">
    <tableStyle name="Slicer Style 1" pivot="0" table="0" count="0" xr9:uid="{BE439320-8112-4162-81A1-0F59C0A2F639}"/>
    <tableStyle name="Slicer Style 2" pivot="0" table="0" count="0" xr9:uid="{E418BE12-FD5B-4F76-9F59-88598D432995}"/>
  </tableStyle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eetMetadata" Target="metadata.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9.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strRef>
              <c:f>Pivot_Table!$D$34:$D$37</c:f>
              <c:strCache>
                <c:ptCount val="3"/>
                <c:pt idx="0">
                  <c:v>Deadstock (Brand New)</c:v>
                </c:pt>
                <c:pt idx="1">
                  <c:v>Used</c:v>
                </c:pt>
                <c:pt idx="2">
                  <c:v>VNDS (Very Near Deadstock)</c:v>
                </c:pt>
              </c:strCache>
            </c:strRef>
          </c:cat>
          <c:val>
            <c:numRef>
              <c:f>Pivot_Table!$E$34:$E$37</c:f>
              <c:numCache>
                <c:formatCode>General</c:formatCode>
                <c:ptCount val="4"/>
                <c:pt idx="0">
                  <c:v>264.00544696066743</c:v>
                </c:pt>
                <c:pt idx="1">
                  <c:v>-57.65967975830813</c:v>
                </c:pt>
                <c:pt idx="2">
                  <c:v>37.622189562087534</c:v>
                </c:pt>
              </c:numCache>
            </c:numRef>
          </c:val>
          <c:extLst>
            <c:ext xmlns:c16="http://schemas.microsoft.com/office/drawing/2014/chart" uri="{C3380CC4-5D6E-409C-BE32-E72D297353CC}">
              <c16:uniqueId val="{00000000-4A29-417E-A18B-1E38CB906241}"/>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2.3381889763779563E-2"/>
          <c:y val="4.629629629629629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Pivot_Table!$E$13:$E$17</c:f>
              <c:strCache>
                <c:ptCount val="5"/>
                <c:pt idx="0">
                  <c:v>GOAT</c:v>
                </c:pt>
                <c:pt idx="1">
                  <c:v>kick hub 2026</c:v>
                </c:pt>
                <c:pt idx="2">
                  <c:v>Stadium Goods</c:v>
                </c:pt>
                <c:pt idx="3">
                  <c:v>StockX</c:v>
                </c:pt>
                <c:pt idx="4">
                  <c:v>Walk-in Retail</c:v>
                </c:pt>
              </c:strCache>
            </c:strRef>
          </c:cat>
          <c:val>
            <c:numRef>
              <c:f>Pivot_Table!$F$13:$F$17</c:f>
              <c:numCache>
                <c:formatCode>General</c:formatCode>
                <c:ptCount val="5"/>
                <c:pt idx="0">
                  <c:v>85054.019999999829</c:v>
                </c:pt>
                <c:pt idx="1">
                  <c:v>78912.629999999932</c:v>
                </c:pt>
                <c:pt idx="2">
                  <c:v>81122.499999999884</c:v>
                </c:pt>
                <c:pt idx="3">
                  <c:v>75920.020000000033</c:v>
                </c:pt>
                <c:pt idx="4">
                  <c:v>89281.389999999956</c:v>
                </c:pt>
              </c:numCache>
            </c:numRef>
          </c:val>
          <c:extLst>
            <c:ext xmlns:c16="http://schemas.microsoft.com/office/drawing/2014/chart" uri="{C3380CC4-5D6E-409C-BE32-E72D297353CC}">
              <c16:uniqueId val="{00000000-0BF9-4C57-843C-82FEA1103587}"/>
            </c:ext>
          </c:extLst>
        </c:ser>
        <c:ser>
          <c:idx val="1"/>
          <c:order val="1"/>
          <c:spPr>
            <a:solidFill>
              <a:schemeClr val="accent2"/>
            </a:solidFill>
            <a:ln>
              <a:noFill/>
            </a:ln>
            <a:effectLst/>
          </c:spPr>
          <c:invertIfNegative val="0"/>
          <c:cat>
            <c:strRef>
              <c:f>Pivot_Table!$E$13:$E$17</c:f>
              <c:strCache>
                <c:ptCount val="5"/>
                <c:pt idx="0">
                  <c:v>GOAT</c:v>
                </c:pt>
                <c:pt idx="1">
                  <c:v>kick hub 2026</c:v>
                </c:pt>
                <c:pt idx="2">
                  <c:v>Stadium Goods</c:v>
                </c:pt>
                <c:pt idx="3">
                  <c:v>StockX</c:v>
                </c:pt>
                <c:pt idx="4">
                  <c:v>Walk-in Retail</c:v>
                </c:pt>
              </c:strCache>
            </c:strRef>
          </c:cat>
          <c:val>
            <c:numRef>
              <c:f>Pivot_Table!$G$13:$G$17</c:f>
              <c:numCache>
                <c:formatCode>General</c:formatCode>
                <c:ptCount val="5"/>
                <c:pt idx="0">
                  <c:v>1032</c:v>
                </c:pt>
                <c:pt idx="1">
                  <c:v>962</c:v>
                </c:pt>
                <c:pt idx="2">
                  <c:v>982</c:v>
                </c:pt>
                <c:pt idx="3">
                  <c:v>1027</c:v>
                </c:pt>
                <c:pt idx="4">
                  <c:v>997</c:v>
                </c:pt>
              </c:numCache>
            </c:numRef>
          </c:val>
          <c:extLst>
            <c:ext xmlns:c16="http://schemas.microsoft.com/office/drawing/2014/chart" uri="{C3380CC4-5D6E-409C-BE32-E72D297353CC}">
              <c16:uniqueId val="{00000001-0BF9-4C57-843C-82FEA1103587}"/>
            </c:ext>
          </c:extLst>
        </c:ser>
        <c:dLbls>
          <c:showLegendKey val="0"/>
          <c:showVal val="0"/>
          <c:showCatName val="0"/>
          <c:showSerName val="0"/>
          <c:showPercent val="0"/>
          <c:showBubbleSize val="0"/>
        </c:dLbls>
        <c:gapWidth val="219"/>
        <c:overlap val="-27"/>
        <c:axId val="930798288"/>
        <c:axId val="930800784"/>
      </c:barChart>
      <c:catAx>
        <c:axId val="930798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800784"/>
        <c:crosses val="autoZero"/>
        <c:auto val="1"/>
        <c:lblAlgn val="ctr"/>
        <c:lblOffset val="100"/>
        <c:noMultiLvlLbl val="0"/>
      </c:catAx>
      <c:valAx>
        <c:axId val="930800784"/>
        <c:scaling>
          <c:orientation val="minMax"/>
        </c:scaling>
        <c:delete val="1"/>
        <c:axPos val="l"/>
        <c:numFmt formatCode="General" sourceLinked="1"/>
        <c:majorTickMark val="none"/>
        <c:minorTickMark val="none"/>
        <c:tickLblPos val="nextTo"/>
        <c:crossAx val="9307982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[jordan_market_dataset_2026 Dashboard project.xlsx]Pivot_Table!channel sales</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Pivot_Table!$B$13</c:f>
              <c:strCache>
                <c:ptCount val="1"/>
                <c:pt idx="0">
                  <c:v>Sum of Profit_Margin_USD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Pivot_Table!$A$14:$A$18</c:f>
              <c:strCache>
                <c:ptCount val="5"/>
                <c:pt idx="0">
                  <c:v>GOAT</c:v>
                </c:pt>
                <c:pt idx="1">
                  <c:v>kick hub 2026</c:v>
                </c:pt>
                <c:pt idx="2">
                  <c:v>Stadium Goods</c:v>
                </c:pt>
                <c:pt idx="3">
                  <c:v>StockX</c:v>
                </c:pt>
                <c:pt idx="4">
                  <c:v>Walk-in Retail</c:v>
                </c:pt>
              </c:strCache>
            </c:strRef>
          </c:cat>
          <c:val>
            <c:numRef>
              <c:f>Pivot_Table!$B$14:$B$18</c:f>
              <c:numCache>
                <c:formatCode>General</c:formatCode>
                <c:ptCount val="5"/>
                <c:pt idx="0">
                  <c:v>85054.019999999829</c:v>
                </c:pt>
                <c:pt idx="1">
                  <c:v>78912.629999999932</c:v>
                </c:pt>
                <c:pt idx="2">
                  <c:v>81122.499999999884</c:v>
                </c:pt>
                <c:pt idx="3">
                  <c:v>75920.020000000033</c:v>
                </c:pt>
                <c:pt idx="4">
                  <c:v>89281.389999999956</c:v>
                </c:pt>
              </c:numCache>
            </c:numRef>
          </c:val>
          <c:extLst>
            <c:ext xmlns:c16="http://schemas.microsoft.com/office/drawing/2014/chart" uri="{C3380CC4-5D6E-409C-BE32-E72D297353CC}">
              <c16:uniqueId val="{00000001-78C9-4B1B-90CA-3EC7B8B31809}"/>
            </c:ext>
          </c:extLst>
        </c:ser>
        <c:ser>
          <c:idx val="1"/>
          <c:order val="1"/>
          <c:tx>
            <c:strRef>
              <c:f>Pivot_Table!$C$13</c:f>
              <c:strCache>
                <c:ptCount val="1"/>
                <c:pt idx="0">
                  <c:v>Count of Transaction_ID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Pivot_Table!$A$14:$A$18</c:f>
              <c:strCache>
                <c:ptCount val="5"/>
                <c:pt idx="0">
                  <c:v>GOAT</c:v>
                </c:pt>
                <c:pt idx="1">
                  <c:v>kick hub 2026</c:v>
                </c:pt>
                <c:pt idx="2">
                  <c:v>Stadium Goods</c:v>
                </c:pt>
                <c:pt idx="3">
                  <c:v>StockX</c:v>
                </c:pt>
                <c:pt idx="4">
                  <c:v>Walk-in Retail</c:v>
                </c:pt>
              </c:strCache>
            </c:strRef>
          </c:cat>
          <c:val>
            <c:numRef>
              <c:f>Pivot_Table!$C$14:$C$18</c:f>
              <c:numCache>
                <c:formatCode>General</c:formatCode>
                <c:ptCount val="5"/>
                <c:pt idx="0">
                  <c:v>1032</c:v>
                </c:pt>
                <c:pt idx="1">
                  <c:v>962</c:v>
                </c:pt>
                <c:pt idx="2">
                  <c:v>982</c:v>
                </c:pt>
                <c:pt idx="3">
                  <c:v>1027</c:v>
                </c:pt>
                <c:pt idx="4">
                  <c:v>997</c:v>
                </c:pt>
              </c:numCache>
            </c:numRef>
          </c:val>
          <c:extLst>
            <c:ext xmlns:c16="http://schemas.microsoft.com/office/drawing/2014/chart" uri="{C3380CC4-5D6E-409C-BE32-E72D297353CC}">
              <c16:uniqueId val="{00000002-78C9-4B1B-90CA-3EC7B8B31809}"/>
            </c:ext>
          </c:extLst>
        </c:ser>
        <c:dLbls>
          <c:showLegendKey val="0"/>
          <c:showVal val="0"/>
          <c:showCatName val="0"/>
          <c:showSerName val="0"/>
          <c:showPercent val="0"/>
          <c:showBubbleSize val="0"/>
        </c:dLbls>
        <c:gapWidth val="100"/>
        <c:overlap val="-24"/>
        <c:axId val="414317280"/>
        <c:axId val="414318528"/>
      </c:barChart>
      <c:catAx>
        <c:axId val="41431728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14318528"/>
        <c:crosses val="autoZero"/>
        <c:auto val="1"/>
        <c:lblAlgn val="ctr"/>
        <c:lblOffset val="100"/>
        <c:noMultiLvlLbl val="0"/>
      </c:catAx>
      <c:valAx>
        <c:axId val="41431852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143172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[jordan_market_dataset_2026 Dashboard project.xlsx]Pivot_Table!Condition orders</c:name>
    <c:fmtId val="3"/>
  </c:pivotSource>
  <c:chart>
    <c:autoTitleDeleted val="1"/>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marker>
          <c:symbol val="none"/>
        </c:marker>
        <c:dLbl>
          <c:idx val="0"/>
          <c:delete val="1"/>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2"/>
          </a:solidFill>
          <a:ln w="19050">
            <a:solidFill>
              <a:schemeClr val="lt1"/>
            </a:solidFill>
          </a:ln>
          <a:effectLst/>
        </c:spPr>
      </c:pivotFmt>
      <c:pivotFmt>
        <c:idx val="12"/>
        <c:spPr>
          <a:solidFill>
            <a:schemeClr val="accent3"/>
          </a:solidFill>
          <a:ln w="19050">
            <a:solidFill>
              <a:schemeClr val="lt1"/>
            </a:solidFill>
          </a:ln>
          <a:effectLst/>
        </c:spPr>
      </c:pivotFmt>
    </c:pivotFmts>
    <c:plotArea>
      <c:layout/>
      <c:doughnutChart>
        <c:varyColors val="1"/>
        <c:ser>
          <c:idx val="0"/>
          <c:order val="0"/>
          <c:tx>
            <c:strRef>
              <c:f>Pivot_Table!$B$34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A-EADF-4C77-BAA4-CDD3864A5A1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C-EADF-4C77-BAA4-CDD3864A5A1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E-EADF-4C77-BAA4-CDD3864A5A16}"/>
              </c:ext>
            </c:extLst>
          </c:dPt>
          <c:cat>
            <c:strRef>
              <c:f>Pivot_Table!$A$35:$A$37</c:f>
              <c:strCache>
                <c:ptCount val="3"/>
                <c:pt idx="0">
                  <c:v>Deadstock (Brand New)</c:v>
                </c:pt>
                <c:pt idx="1">
                  <c:v>Used</c:v>
                </c:pt>
                <c:pt idx="2">
                  <c:v>VNDS (Very Near Deadstock)</c:v>
                </c:pt>
              </c:strCache>
            </c:strRef>
          </c:cat>
          <c:val>
            <c:numRef>
              <c:f>Pivot_Table!$B$35:$B$37</c:f>
              <c:numCache>
                <c:formatCode>General</c:formatCode>
                <c:ptCount val="3"/>
                <c:pt idx="0">
                  <c:v>264.00544696066743</c:v>
                </c:pt>
                <c:pt idx="1">
                  <c:v>-57.65967975830813</c:v>
                </c:pt>
                <c:pt idx="2">
                  <c:v>37.622189562087534</c:v>
                </c:pt>
              </c:numCache>
            </c:numRef>
          </c:val>
          <c:extLst>
            <c:ext xmlns:c16="http://schemas.microsoft.com/office/drawing/2014/chart" uri="{C3380CC4-5D6E-409C-BE32-E72D297353CC}">
              <c16:uniqueId val="{0000000F-EADF-4C77-BAA4-CDD3864A5A16}"/>
            </c:ext>
          </c:extLst>
        </c:ser>
        <c:dLbls>
          <c:showLegendKey val="0"/>
          <c:showVal val="0"/>
          <c:showCatName val="0"/>
          <c:showSerName val="0"/>
          <c:showPercent val="0"/>
          <c:showBubbleSize val="0"/>
          <c:showLeaderLines val="1"/>
        </c:dLbls>
        <c:firstSliceAng val="0"/>
        <c:holeSize val="50"/>
      </c:doughnutChart>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[jordan_market_dataset_2026 Dashboard project.xlsx]Pivot_Table!PivotTable2</c:name>
    <c:fmtId val="3"/>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Pivot_Table!$J$6:$J$7</c:f>
              <c:strCache>
                <c:ptCount val="1"/>
                <c:pt idx="0">
                  <c:v>2023</c:v>
                </c:pt>
              </c:strCache>
            </c:strRef>
          </c:tx>
          <c:spPr>
            <a:ln w="28575" cap="rnd">
              <a:solidFill>
                <a:schemeClr val="accent1"/>
              </a:solidFill>
              <a:round/>
            </a:ln>
            <a:effectLst/>
          </c:spPr>
          <c:marker>
            <c:symbol val="none"/>
          </c:marker>
          <c:cat>
            <c:strRef>
              <c:f>Pivot_Table!$I$8:$I$19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Pivot_Table!$J$8:$J$19</c:f>
              <c:numCache>
                <c:formatCode>General</c:formatCode>
                <c:ptCount val="12"/>
                <c:pt idx="0">
                  <c:v>43279.799999999974</c:v>
                </c:pt>
                <c:pt idx="1">
                  <c:v>41096.32999999998</c:v>
                </c:pt>
                <c:pt idx="2">
                  <c:v>39988.169999999984</c:v>
                </c:pt>
                <c:pt idx="3">
                  <c:v>37015.56</c:v>
                </c:pt>
                <c:pt idx="4">
                  <c:v>38922.069999999985</c:v>
                </c:pt>
                <c:pt idx="5">
                  <c:v>37661.410000000003</c:v>
                </c:pt>
                <c:pt idx="6">
                  <c:v>38500.130000000012</c:v>
                </c:pt>
                <c:pt idx="7">
                  <c:v>43404.339999999989</c:v>
                </c:pt>
                <c:pt idx="8">
                  <c:v>43486.97000000003</c:v>
                </c:pt>
                <c:pt idx="9">
                  <c:v>42438.500000000029</c:v>
                </c:pt>
                <c:pt idx="10">
                  <c:v>43936.710000000014</c:v>
                </c:pt>
                <c:pt idx="11">
                  <c:v>45128.939999999988</c:v>
                </c:pt>
              </c:numCache>
            </c:numRef>
          </c:val>
          <c:smooth val="0"/>
          <c:extLst>
            <c:ext xmlns:c16="http://schemas.microsoft.com/office/drawing/2014/chart" uri="{C3380CC4-5D6E-409C-BE32-E72D297353CC}">
              <c16:uniqueId val="{00000000-1498-475D-A2AF-702378B9CF1E}"/>
            </c:ext>
          </c:extLst>
        </c:ser>
        <c:ser>
          <c:idx val="1"/>
          <c:order val="1"/>
          <c:tx>
            <c:strRef>
              <c:f>Pivot_Table!$K$6:$K$7</c:f>
              <c:strCache>
                <c:ptCount val="1"/>
                <c:pt idx="0">
                  <c:v>2024</c:v>
                </c:pt>
              </c:strCache>
            </c:strRef>
          </c:tx>
          <c:spPr>
            <a:ln w="28575" cap="rnd">
              <a:solidFill>
                <a:schemeClr val="accent2"/>
              </a:solidFill>
              <a:round/>
            </a:ln>
            <a:effectLst/>
          </c:spPr>
          <c:marker>
            <c:symbol val="none"/>
          </c:marker>
          <c:cat>
            <c:strRef>
              <c:f>Pivot_Table!$I$8:$I$19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Pivot_Table!$K$8:$K$19</c:f>
              <c:numCache>
                <c:formatCode>General</c:formatCode>
                <c:ptCount val="12"/>
                <c:pt idx="0">
                  <c:v>43668.099999999984</c:v>
                </c:pt>
                <c:pt idx="1">
                  <c:v>40761.54000000003</c:v>
                </c:pt>
                <c:pt idx="2">
                  <c:v>44244.990000000013</c:v>
                </c:pt>
                <c:pt idx="3">
                  <c:v>39186.309999999983</c:v>
                </c:pt>
                <c:pt idx="4">
                  <c:v>48917.330000000009</c:v>
                </c:pt>
                <c:pt idx="5">
                  <c:v>41454.279999999984</c:v>
                </c:pt>
                <c:pt idx="6">
                  <c:v>49274.899999999987</c:v>
                </c:pt>
                <c:pt idx="7">
                  <c:v>42055.77</c:v>
                </c:pt>
                <c:pt idx="8">
                  <c:v>43347.010000000009</c:v>
                </c:pt>
                <c:pt idx="9">
                  <c:v>42579.449999999983</c:v>
                </c:pt>
                <c:pt idx="10">
                  <c:v>43979.500000000022</c:v>
                </c:pt>
                <c:pt idx="11">
                  <c:v>44804.969999999987</c:v>
                </c:pt>
              </c:numCache>
            </c:numRef>
          </c:val>
          <c:smooth val="0"/>
          <c:extLst>
            <c:ext xmlns:c16="http://schemas.microsoft.com/office/drawing/2014/chart" uri="{C3380CC4-5D6E-409C-BE32-E72D297353CC}">
              <c16:uniqueId val="{00000004-1498-475D-A2AF-702378B9CF1E}"/>
            </c:ext>
          </c:extLst>
        </c:ser>
        <c:ser>
          <c:idx val="2"/>
          <c:order val="2"/>
          <c:tx>
            <c:strRef>
              <c:f>Pivot_Table!$L$6:$L$7</c:f>
              <c:strCache>
                <c:ptCount val="1"/>
                <c:pt idx="0">
                  <c:v>2025</c:v>
                </c:pt>
              </c:strCache>
            </c:strRef>
          </c:tx>
          <c:spPr>
            <a:ln w="28575" cap="rnd">
              <a:solidFill>
                <a:schemeClr val="accent3"/>
              </a:solidFill>
              <a:round/>
            </a:ln>
            <a:effectLst/>
          </c:spPr>
          <c:marker>
            <c:symbol val="none"/>
          </c:marker>
          <c:cat>
            <c:strRef>
              <c:f>Pivot_Table!$I$8:$I$19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Pivot_Table!$L$8:$L$19</c:f>
              <c:numCache>
                <c:formatCode>General</c:formatCode>
                <c:ptCount val="12"/>
                <c:pt idx="0">
                  <c:v>37594.590000000004</c:v>
                </c:pt>
                <c:pt idx="1">
                  <c:v>36673.390000000007</c:v>
                </c:pt>
                <c:pt idx="2">
                  <c:v>36439.040000000008</c:v>
                </c:pt>
                <c:pt idx="3">
                  <c:v>39242.54</c:v>
                </c:pt>
                <c:pt idx="4">
                  <c:v>48341.339999999975</c:v>
                </c:pt>
                <c:pt idx="5">
                  <c:v>31441.480000000007</c:v>
                </c:pt>
                <c:pt idx="6">
                  <c:v>47548.119999999995</c:v>
                </c:pt>
                <c:pt idx="7">
                  <c:v>38610.169999999991</c:v>
                </c:pt>
                <c:pt idx="8">
                  <c:v>31128.809999999998</c:v>
                </c:pt>
              </c:numCache>
            </c:numRef>
          </c:val>
          <c:smooth val="0"/>
          <c:extLst>
            <c:ext xmlns:c16="http://schemas.microsoft.com/office/drawing/2014/chart" uri="{C3380CC4-5D6E-409C-BE32-E72D297353CC}">
              <c16:uniqueId val="{00000005-1498-475D-A2AF-702378B9CF1E}"/>
            </c:ext>
          </c:extLst>
        </c:ser>
        <c:dLbls>
          <c:showLegendKey val="0"/>
          <c:showVal val="0"/>
          <c:showCatName val="0"/>
          <c:showSerName val="0"/>
          <c:showPercent val="0"/>
          <c:showBubbleSize val="0"/>
        </c:dLbls>
        <c:smooth val="0"/>
        <c:axId val="1122585184"/>
        <c:axId val="1122585600"/>
      </c:lineChart>
      <c:catAx>
        <c:axId val="1122585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2585600"/>
        <c:crosses val="autoZero"/>
        <c:auto val="1"/>
        <c:lblAlgn val="ctr"/>
        <c:lblOffset val="100"/>
        <c:noMultiLvlLbl val="0"/>
      </c:catAx>
      <c:valAx>
        <c:axId val="11225856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2585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[jordan_market_dataset_2026 Dashboard project.xlsx]Pivot_Table!Model Sales</c:name>
    <c:fmtId val="51"/>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w="25400">
          <a:noFill/>
        </a:ln>
        <a:effectLst/>
        <a:sp3d/>
      </c:spPr>
    </c:sideWall>
    <c:backWall>
      <c:thickness val="0"/>
      <c:spPr>
        <a:noFill/>
        <a:ln w="25400">
          <a:noFill/>
        </a:ln>
        <a:effectLst/>
        <a:sp3d/>
      </c:spPr>
    </c:backWall>
    <c:plotArea>
      <c:layout/>
      <c:bar3DChart>
        <c:barDir val="bar"/>
        <c:grouping val="stacked"/>
        <c:varyColors val="0"/>
        <c:ser>
          <c:idx val="0"/>
          <c:order val="0"/>
          <c:tx>
            <c:strRef>
              <c:f>Pivot_Table!$B$24</c:f>
              <c:strCache>
                <c:ptCount val="1"/>
                <c:pt idx="0">
                  <c:v>Sum of Profit_Margin_USD</c:v>
                </c:pt>
              </c:strCache>
            </c:strRef>
          </c:tx>
          <c:spPr>
            <a:solidFill>
              <a:schemeClr val="accent1"/>
            </a:solidFill>
            <a:ln>
              <a:noFill/>
            </a:ln>
            <a:effectLst/>
            <a:sp3d/>
          </c:spPr>
          <c:invertIfNegative val="0"/>
          <c:cat>
            <c:strRef>
              <c:f>Pivot_Table!$A$25:$A$29</c:f>
              <c:strCache>
                <c:ptCount val="5"/>
                <c:pt idx="0">
                  <c:v>Air Jordan 4 Retro</c:v>
                </c:pt>
                <c:pt idx="1">
                  <c:v>Air Jordan 11 Retro</c:v>
                </c:pt>
                <c:pt idx="2">
                  <c:v>Air Jordan 3 Retro</c:v>
                </c:pt>
                <c:pt idx="3">
                  <c:v>Air Jordan 1 High</c:v>
                </c:pt>
                <c:pt idx="4">
                  <c:v>Air Jordan 1 Low</c:v>
                </c:pt>
              </c:strCache>
            </c:strRef>
          </c:cat>
          <c:val>
            <c:numRef>
              <c:f>Pivot_Table!$B$25:$B$29</c:f>
              <c:numCache>
                <c:formatCode>General</c:formatCode>
                <c:ptCount val="5"/>
                <c:pt idx="0">
                  <c:v>99974.279999999868</c:v>
                </c:pt>
                <c:pt idx="1">
                  <c:v>97140.779999999955</c:v>
                </c:pt>
                <c:pt idx="2">
                  <c:v>85850.949999999866</c:v>
                </c:pt>
                <c:pt idx="3">
                  <c:v>75792.739999999976</c:v>
                </c:pt>
                <c:pt idx="4">
                  <c:v>51531.809999999903</c:v>
                </c:pt>
              </c:numCache>
            </c:numRef>
          </c:val>
          <c:extLst>
            <c:ext xmlns:c16="http://schemas.microsoft.com/office/drawing/2014/chart" uri="{C3380CC4-5D6E-409C-BE32-E72D297353CC}">
              <c16:uniqueId val="{00000000-8FE8-4D85-A030-D9A9C27B6771}"/>
            </c:ext>
          </c:extLst>
        </c:ser>
        <c:ser>
          <c:idx val="1"/>
          <c:order val="1"/>
          <c:tx>
            <c:strRef>
              <c:f>Pivot_Table!$C$24</c:f>
              <c:strCache>
                <c:ptCount val="1"/>
                <c:pt idx="0">
                  <c:v>Count of Transaction_ID</c:v>
                </c:pt>
              </c:strCache>
            </c:strRef>
          </c:tx>
          <c:spPr>
            <a:solidFill>
              <a:schemeClr val="accent2"/>
            </a:solidFill>
            <a:ln>
              <a:noFill/>
            </a:ln>
            <a:effectLst/>
            <a:sp3d/>
          </c:spPr>
          <c:invertIfNegative val="0"/>
          <c:cat>
            <c:strRef>
              <c:f>Pivot_Table!$A$25:$A$29</c:f>
              <c:strCache>
                <c:ptCount val="5"/>
                <c:pt idx="0">
                  <c:v>Air Jordan 4 Retro</c:v>
                </c:pt>
                <c:pt idx="1">
                  <c:v>Air Jordan 11 Retro</c:v>
                </c:pt>
                <c:pt idx="2">
                  <c:v>Air Jordan 3 Retro</c:v>
                </c:pt>
                <c:pt idx="3">
                  <c:v>Air Jordan 1 High</c:v>
                </c:pt>
                <c:pt idx="4">
                  <c:v>Air Jordan 1 Low</c:v>
                </c:pt>
              </c:strCache>
            </c:strRef>
          </c:cat>
          <c:val>
            <c:numRef>
              <c:f>Pivot_Table!$C$25:$C$29</c:f>
              <c:numCache>
                <c:formatCode>General</c:formatCode>
                <c:ptCount val="5"/>
                <c:pt idx="0">
                  <c:v>1044</c:v>
                </c:pt>
                <c:pt idx="1">
                  <c:v>973</c:v>
                </c:pt>
                <c:pt idx="2">
                  <c:v>1037</c:v>
                </c:pt>
                <c:pt idx="3">
                  <c:v>926</c:v>
                </c:pt>
                <c:pt idx="4">
                  <c:v>1020</c:v>
                </c:pt>
              </c:numCache>
            </c:numRef>
          </c:val>
          <c:extLst>
            <c:ext xmlns:c16="http://schemas.microsoft.com/office/drawing/2014/chart" uri="{C3380CC4-5D6E-409C-BE32-E72D297353CC}">
              <c16:uniqueId val="{00000001-8FE8-4D85-A030-D9A9C27B6771}"/>
            </c:ext>
          </c:extLst>
        </c:ser>
        <c:dLbls>
          <c:showLegendKey val="0"/>
          <c:showVal val="0"/>
          <c:showCatName val="0"/>
          <c:showSerName val="0"/>
          <c:showPercent val="0"/>
          <c:showBubbleSize val="0"/>
        </c:dLbls>
        <c:gapWidth val="150"/>
        <c:shape val="box"/>
        <c:axId val="1347246976"/>
        <c:axId val="1223827632"/>
        <c:axId val="0"/>
      </c:bar3DChart>
      <c:catAx>
        <c:axId val="13472469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3827632"/>
        <c:crosses val="autoZero"/>
        <c:auto val="1"/>
        <c:lblAlgn val="ctr"/>
        <c:lblOffset val="100"/>
        <c:noMultiLvlLbl val="0"/>
      </c:catAx>
      <c:valAx>
        <c:axId val="1223827632"/>
        <c:scaling>
          <c:orientation val="minMax"/>
        </c:scaling>
        <c:delete val="0"/>
        <c:axPos val="b"/>
        <c:majorGridlines>
          <c:spPr>
            <a:ln w="9525" cap="flat" cmpd="sng" algn="ctr">
              <a:solidFill>
                <a:schemeClr val="tx1">
                  <a:lumMod val="15000"/>
                  <a:lumOff val="85000"/>
                </a:schemeClr>
              </a:solidFill>
              <a:round/>
            </a:ln>
            <a:effectLst>
              <a:outerShdw blurRad="50800" dist="50800" dir="5400000" algn="ctr" rotWithShape="0">
                <a:srgbClr val="000000">
                  <a:alpha val="97000"/>
                </a:srgbClr>
              </a:outerShdw>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7246976"/>
        <c:crosses val="autoZero"/>
        <c:crossBetween val="between"/>
      </c:valAx>
      <c:spPr>
        <a:noFill/>
        <a:ln>
          <a:noFill/>
        </a:ln>
        <a:effectLst/>
      </c:spPr>
    </c:plotArea>
    <c:legend>
      <c:legendPos val="r"/>
      <c:legendEntry>
        <c:idx val="1"/>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[jordan_market_dataset_2026 Dashboard project.xlsx]Pivot_Table!Model and Condition numbers</c:name>
    <c:fmtId val="20"/>
  </c:pivotSource>
  <c:chart>
    <c:autoTitleDeleted val="1"/>
    <c:pivotFmts>
      <c:pivotFmt>
        <c:idx val="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s>
    <c:plotArea>
      <c:layout/>
      <c:radarChart>
        <c:radarStyle val="marker"/>
        <c:varyColors val="0"/>
        <c:ser>
          <c:idx val="0"/>
          <c:order val="0"/>
          <c:tx>
            <c:strRef>
              <c:f>Pivot_Table!$B$41</c:f>
              <c:strCache>
                <c:ptCount val="1"/>
                <c:pt idx="0">
                  <c:v>Total</c:v>
                </c:pt>
              </c:strCache>
            </c:strRef>
          </c:tx>
          <c:spPr>
            <a:ln w="28575" cap="rnd">
              <a:solidFill>
                <a:schemeClr val="accent1"/>
              </a:solidFill>
              <a:round/>
            </a:ln>
            <a:effectLst/>
          </c:spPr>
          <c:marker>
            <c:symbol val="none"/>
          </c:marker>
          <c:cat>
            <c:strRef>
              <c:f>Pivot_Table!$A$42:$A$47</c:f>
              <c:strCache>
                <c:ptCount val="5"/>
                <c:pt idx="0">
                  <c:v>Air Jordan 1 Low</c:v>
                </c:pt>
                <c:pt idx="1">
                  <c:v>Air Jordan 4 Retro</c:v>
                </c:pt>
                <c:pt idx="2">
                  <c:v>Air Jordan 1 High</c:v>
                </c:pt>
                <c:pt idx="3">
                  <c:v>Air Jordan 3 Retro</c:v>
                </c:pt>
                <c:pt idx="4">
                  <c:v>Air Jordan 11 Retro</c:v>
                </c:pt>
              </c:strCache>
            </c:strRef>
          </c:cat>
          <c:val>
            <c:numRef>
              <c:f>Pivot_Table!$B$42:$B$47</c:f>
              <c:numCache>
                <c:formatCode>0.00</c:formatCode>
                <c:ptCount val="5"/>
                <c:pt idx="0">
                  <c:v>23.078431372549019</c:v>
                </c:pt>
                <c:pt idx="1">
                  <c:v>22.82088122605364</c:v>
                </c:pt>
                <c:pt idx="2">
                  <c:v>22.719222462203025</c:v>
                </c:pt>
                <c:pt idx="3">
                  <c:v>22.290260366441657</c:v>
                </c:pt>
                <c:pt idx="4">
                  <c:v>21.423432682425489</c:v>
                </c:pt>
              </c:numCache>
            </c:numRef>
          </c:val>
          <c:extLst>
            <c:ext xmlns:c16="http://schemas.microsoft.com/office/drawing/2014/chart" uri="{C3380CC4-5D6E-409C-BE32-E72D297353CC}">
              <c16:uniqueId val="{00000003-9FAC-4C05-B279-2230DDEE6543}"/>
            </c:ext>
          </c:extLst>
        </c:ser>
        <c:dLbls>
          <c:showLegendKey val="0"/>
          <c:showVal val="0"/>
          <c:showCatName val="0"/>
          <c:showSerName val="0"/>
          <c:showPercent val="0"/>
          <c:showBubbleSize val="0"/>
        </c:dLbls>
        <c:axId val="1223829296"/>
        <c:axId val="1223828464"/>
      </c:radarChart>
      <c:catAx>
        <c:axId val="1223829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3828464"/>
        <c:crosses val="autoZero"/>
        <c:auto val="1"/>
        <c:lblAlgn val="ctr"/>
        <c:lblOffset val="100"/>
        <c:noMultiLvlLbl val="0"/>
      </c:catAx>
      <c:valAx>
        <c:axId val="122382846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3829296"/>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[jordan_market_dataset_2026 Dashboard project.xlsx]Pivot_Table!PivotTable1</c:name>
    <c:fmtId val="4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Pivot_Table!$B$51</c:f>
              <c:strCache>
                <c:ptCount val="1"/>
                <c:pt idx="0">
                  <c:v>Total</c:v>
                </c:pt>
              </c:strCache>
            </c:strRef>
          </c:tx>
          <c:spPr>
            <a:solidFill>
              <a:schemeClr val="accent1"/>
            </a:solidFill>
            <a:ln>
              <a:noFill/>
            </a:ln>
            <a:effectLst/>
          </c:spPr>
          <c:invertIfNegative val="0"/>
          <c:cat>
            <c:strRef>
              <c:f>Pivot_Table!$A$52:$A$60</c:f>
              <c:strCache>
                <c:ptCount val="9"/>
                <c:pt idx="0">
                  <c:v>Black Cat</c:v>
                </c:pt>
                <c:pt idx="1">
                  <c:v>Bred</c:v>
                </c:pt>
                <c:pt idx="2">
                  <c:v>Chicago</c:v>
                </c:pt>
                <c:pt idx="3">
                  <c:v>Concord</c:v>
                </c:pt>
                <c:pt idx="4">
                  <c:v>Lost &amp; Found</c:v>
                </c:pt>
                <c:pt idx="5">
                  <c:v>Military Blue</c:v>
                </c:pt>
                <c:pt idx="6">
                  <c:v>Mocha</c:v>
                </c:pt>
                <c:pt idx="7">
                  <c:v>Pine Green</c:v>
                </c:pt>
                <c:pt idx="8">
                  <c:v>Sail</c:v>
                </c:pt>
              </c:strCache>
            </c:strRef>
          </c:cat>
          <c:val>
            <c:numRef>
              <c:f>Pivot_Table!$B$52:$B$60</c:f>
              <c:numCache>
                <c:formatCode>General</c:formatCode>
                <c:ptCount val="9"/>
                <c:pt idx="0">
                  <c:v>146518.37000000032</c:v>
                </c:pt>
                <c:pt idx="1">
                  <c:v>144948.00000000006</c:v>
                </c:pt>
                <c:pt idx="2">
                  <c:v>155851.65000000005</c:v>
                </c:pt>
                <c:pt idx="3">
                  <c:v>148815.35999999993</c:v>
                </c:pt>
                <c:pt idx="4">
                  <c:v>162008.84000000003</c:v>
                </c:pt>
                <c:pt idx="5">
                  <c:v>154745.61000000019</c:v>
                </c:pt>
                <c:pt idx="6">
                  <c:v>145761.14999999991</c:v>
                </c:pt>
                <c:pt idx="7">
                  <c:v>157566.3299999999</c:v>
                </c:pt>
                <c:pt idx="8">
                  <c:v>149937.25000000006</c:v>
                </c:pt>
              </c:numCache>
            </c:numRef>
          </c:val>
          <c:extLst>
            <c:ext xmlns:c16="http://schemas.microsoft.com/office/drawing/2014/chart" uri="{C3380CC4-5D6E-409C-BE32-E72D297353CC}">
              <c16:uniqueId val="{00000000-698F-4227-ABBD-1BBA00B5E1E4}"/>
            </c:ext>
          </c:extLst>
        </c:ser>
        <c:dLbls>
          <c:showLegendKey val="0"/>
          <c:showVal val="0"/>
          <c:showCatName val="0"/>
          <c:showSerName val="0"/>
          <c:showPercent val="0"/>
          <c:showBubbleSize val="0"/>
        </c:dLbls>
        <c:gapWidth val="219"/>
        <c:axId val="1173480752"/>
        <c:axId val="1173479920"/>
      </c:barChart>
      <c:catAx>
        <c:axId val="11734807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3479920"/>
        <c:crosses val="autoZero"/>
        <c:auto val="1"/>
        <c:lblAlgn val="ctr"/>
        <c:lblOffset val="100"/>
        <c:noMultiLvlLbl val="0"/>
      </c:catAx>
      <c:valAx>
        <c:axId val="11734799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3480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[jordan_market_dataset_2026 Dashboard project.xlsx]Pivot_Table!channel sales</c:name>
    <c:fmtId val="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Pivot_Table!$B$13</c:f>
              <c:strCache>
                <c:ptCount val="1"/>
                <c:pt idx="0">
                  <c:v>Sum of Profit_Margin_USD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Pivot_Table!$A$14:$A$18</c:f>
              <c:strCache>
                <c:ptCount val="5"/>
                <c:pt idx="0">
                  <c:v>GOAT</c:v>
                </c:pt>
                <c:pt idx="1">
                  <c:v>kick hub 2026</c:v>
                </c:pt>
                <c:pt idx="2">
                  <c:v>Stadium Goods</c:v>
                </c:pt>
                <c:pt idx="3">
                  <c:v>StockX</c:v>
                </c:pt>
                <c:pt idx="4">
                  <c:v>Walk-in Retail</c:v>
                </c:pt>
              </c:strCache>
            </c:strRef>
          </c:cat>
          <c:val>
            <c:numRef>
              <c:f>Pivot_Table!$B$14:$B$18</c:f>
              <c:numCache>
                <c:formatCode>General</c:formatCode>
                <c:ptCount val="5"/>
                <c:pt idx="0">
                  <c:v>85054.019999999829</c:v>
                </c:pt>
                <c:pt idx="1">
                  <c:v>78912.629999999932</c:v>
                </c:pt>
                <c:pt idx="2">
                  <c:v>81122.499999999884</c:v>
                </c:pt>
                <c:pt idx="3">
                  <c:v>75920.020000000033</c:v>
                </c:pt>
                <c:pt idx="4">
                  <c:v>89281.389999999956</c:v>
                </c:pt>
              </c:numCache>
            </c:numRef>
          </c:val>
          <c:extLst>
            <c:ext xmlns:c16="http://schemas.microsoft.com/office/drawing/2014/chart" uri="{C3380CC4-5D6E-409C-BE32-E72D297353CC}">
              <c16:uniqueId val="{00000000-BDDF-415C-B140-F045F2ECBEC9}"/>
            </c:ext>
          </c:extLst>
        </c:ser>
        <c:ser>
          <c:idx val="1"/>
          <c:order val="1"/>
          <c:tx>
            <c:strRef>
              <c:f>Pivot_Table!$C$13</c:f>
              <c:strCache>
                <c:ptCount val="1"/>
                <c:pt idx="0">
                  <c:v>Count of Transaction_ID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Pivot_Table!$A$14:$A$18</c:f>
              <c:strCache>
                <c:ptCount val="5"/>
                <c:pt idx="0">
                  <c:v>GOAT</c:v>
                </c:pt>
                <c:pt idx="1">
                  <c:v>kick hub 2026</c:v>
                </c:pt>
                <c:pt idx="2">
                  <c:v>Stadium Goods</c:v>
                </c:pt>
                <c:pt idx="3">
                  <c:v>StockX</c:v>
                </c:pt>
                <c:pt idx="4">
                  <c:v>Walk-in Retail</c:v>
                </c:pt>
              </c:strCache>
            </c:strRef>
          </c:cat>
          <c:val>
            <c:numRef>
              <c:f>Pivot_Table!$C$14:$C$18</c:f>
              <c:numCache>
                <c:formatCode>General</c:formatCode>
                <c:ptCount val="5"/>
                <c:pt idx="0">
                  <c:v>1032</c:v>
                </c:pt>
                <c:pt idx="1">
                  <c:v>962</c:v>
                </c:pt>
                <c:pt idx="2">
                  <c:v>982</c:v>
                </c:pt>
                <c:pt idx="3">
                  <c:v>1027</c:v>
                </c:pt>
                <c:pt idx="4">
                  <c:v>997</c:v>
                </c:pt>
              </c:numCache>
            </c:numRef>
          </c:val>
          <c:extLst>
            <c:ext xmlns:c16="http://schemas.microsoft.com/office/drawing/2014/chart" uri="{C3380CC4-5D6E-409C-BE32-E72D297353CC}">
              <c16:uniqueId val="{00000001-BDDF-415C-B140-F045F2ECBEC9}"/>
            </c:ext>
          </c:extLst>
        </c:ser>
        <c:dLbls>
          <c:showLegendKey val="0"/>
          <c:showVal val="0"/>
          <c:showCatName val="0"/>
          <c:showSerName val="0"/>
          <c:showPercent val="0"/>
          <c:showBubbleSize val="0"/>
        </c:dLbls>
        <c:gapWidth val="100"/>
        <c:overlap val="-24"/>
        <c:axId val="414317280"/>
        <c:axId val="414318528"/>
      </c:barChart>
      <c:catAx>
        <c:axId val="41431728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14318528"/>
        <c:crosses val="autoZero"/>
        <c:auto val="1"/>
        <c:lblAlgn val="ctr"/>
        <c:lblOffset val="100"/>
        <c:noMultiLvlLbl val="0"/>
      </c:catAx>
      <c:valAx>
        <c:axId val="41431852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143172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microsoft.com/office/2007/relationships/hdphoto" Target="../media/hdphoto1.wdp"/><Relationship Id="rId1" Type="http://schemas.openxmlformats.org/officeDocument/2006/relationships/image" Target="../media/image1.png"/><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5</xdr:col>
      <xdr:colOff>429559</xdr:colOff>
      <xdr:row>31</xdr:row>
      <xdr:rowOff>136959</xdr:rowOff>
    </xdr:from>
    <xdr:to>
      <xdr:col>7</xdr:col>
      <xdr:colOff>491813</xdr:colOff>
      <xdr:row>42</xdr:row>
      <xdr:rowOff>18676</xdr:rowOff>
    </xdr:to>
    <xdr:graphicFrame macro="">
      <xdr:nvGraphicFramePr>
        <xdr:cNvPr id="16" name="Chart 15">
          <a:extLst>
            <a:ext uri="{FF2B5EF4-FFF2-40B4-BE49-F238E27FC236}">
              <a16:creationId xmlns:a16="http://schemas.microsoft.com/office/drawing/2014/main" id="{0B38FC8A-7F2E-4E8F-9ED2-01CDA1C036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119551</xdr:colOff>
      <xdr:row>5</xdr:row>
      <xdr:rowOff>173182</xdr:rowOff>
    </xdr:from>
    <xdr:to>
      <xdr:col>5</xdr:col>
      <xdr:colOff>115454</xdr:colOff>
      <xdr:row>21</xdr:row>
      <xdr:rowOff>16494</xdr:rowOff>
    </xdr:to>
    <xdr:graphicFrame macro="">
      <xdr:nvGraphicFramePr>
        <xdr:cNvPr id="18" name="Chart 17">
          <a:extLst>
            <a:ext uri="{FF2B5EF4-FFF2-40B4-BE49-F238E27FC236}">
              <a16:creationId xmlns:a16="http://schemas.microsoft.com/office/drawing/2014/main" id="{1FDC880E-E1F9-49A4-A99D-78C67FC27F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37</xdr:col>
      <xdr:colOff>98537</xdr:colOff>
      <xdr:row>46</xdr:row>
      <xdr:rowOff>24422</xdr:rowOff>
    </xdr:to>
    <xdr:sp macro="" textlink="">
      <xdr:nvSpPr>
        <xdr:cNvPr id="2" name="Rectangle 1">
          <a:extLst>
            <a:ext uri="{FF2B5EF4-FFF2-40B4-BE49-F238E27FC236}">
              <a16:creationId xmlns:a16="http://schemas.microsoft.com/office/drawing/2014/main" id="{102D9A77-E964-4007-9643-759AF953F85B}"/>
            </a:ext>
          </a:extLst>
        </xdr:cNvPr>
        <xdr:cNvSpPr/>
      </xdr:nvSpPr>
      <xdr:spPr>
        <a:xfrm>
          <a:off x="0" y="0"/>
          <a:ext cx="22689883" cy="8450384"/>
        </a:xfrm>
        <a:prstGeom prst="rect">
          <a:avLst/>
        </a:prstGeom>
        <a:ln>
          <a:solidFill>
            <a:srgbClr val="FF0000"/>
          </a:solid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b="0" cap="none" spc="0">
            <a:ln w="0"/>
            <a:solidFill>
              <a:srgbClr val="FFC000"/>
            </a:solidFill>
            <a:effectLst>
              <a:outerShdw blurRad="38100" dist="19050" dir="2700000" algn="tl" rotWithShape="0">
                <a:schemeClr val="dk1">
                  <a:alpha val="40000"/>
                </a:schemeClr>
              </a:outerShdw>
            </a:effectLst>
          </a:endParaRPr>
        </a:p>
      </xdr:txBody>
    </xdr:sp>
    <xdr:clientData/>
  </xdr:twoCellAnchor>
  <xdr:twoCellAnchor>
    <xdr:from>
      <xdr:col>0</xdr:col>
      <xdr:colOff>10950</xdr:colOff>
      <xdr:row>0</xdr:row>
      <xdr:rowOff>109482</xdr:rowOff>
    </xdr:from>
    <xdr:to>
      <xdr:col>3</xdr:col>
      <xdr:colOff>266845</xdr:colOff>
      <xdr:row>46</xdr:row>
      <xdr:rowOff>36634</xdr:rowOff>
    </xdr:to>
    <xdr:sp macro="" textlink="">
      <xdr:nvSpPr>
        <xdr:cNvPr id="4" name="Rectangle 3">
          <a:extLst>
            <a:ext uri="{FF2B5EF4-FFF2-40B4-BE49-F238E27FC236}">
              <a16:creationId xmlns:a16="http://schemas.microsoft.com/office/drawing/2014/main" id="{BDA7864F-1E16-4DCD-B8AC-0C5AC08F5231}"/>
            </a:ext>
          </a:extLst>
        </xdr:cNvPr>
        <xdr:cNvSpPr/>
      </xdr:nvSpPr>
      <xdr:spPr>
        <a:xfrm>
          <a:off x="10950" y="109482"/>
          <a:ext cx="2087626" cy="8353114"/>
        </a:xfrm>
        <a:prstGeom prst="rect">
          <a:avLst/>
        </a:prstGeom>
        <a:solidFill>
          <a:srgbClr val="002060"/>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0</xdr:col>
      <xdr:colOff>0</xdr:colOff>
      <xdr:row>0</xdr:row>
      <xdr:rowOff>11189</xdr:rowOff>
    </xdr:from>
    <xdr:to>
      <xdr:col>3</xdr:col>
      <xdr:colOff>227463</xdr:colOff>
      <xdr:row>12</xdr:row>
      <xdr:rowOff>0</xdr:rowOff>
    </xdr:to>
    <xdr:sp macro="" textlink="">
      <xdr:nvSpPr>
        <xdr:cNvPr id="6" name="Rectangle 5">
          <a:extLst>
            <a:ext uri="{FF2B5EF4-FFF2-40B4-BE49-F238E27FC236}">
              <a16:creationId xmlns:a16="http://schemas.microsoft.com/office/drawing/2014/main" id="{0BBC19F2-6572-407C-9FDD-99DB92149337}"/>
            </a:ext>
          </a:extLst>
        </xdr:cNvPr>
        <xdr:cNvSpPr/>
      </xdr:nvSpPr>
      <xdr:spPr>
        <a:xfrm>
          <a:off x="0" y="11189"/>
          <a:ext cx="2050820" cy="2165954"/>
        </a:xfrm>
        <a:prstGeom prst="rect">
          <a:avLst/>
        </a:prstGeom>
        <a:blipFill dpi="0" rotWithShape="1">
          <a:blip xmlns:r="http://schemas.openxmlformats.org/officeDocument/2006/relationships" r:embed="rId1" cstate="print">
            <a:extLst>
              <a:ext uri="{BEBA8EAE-BF5A-486C-A8C5-ECC9F3942E4B}">
                <a14:imgProps xmlns:a14="http://schemas.microsoft.com/office/drawing/2010/main">
                  <a14:imgLayer r:embed="rId2">
                    <a14:imgEffect>
                      <a14:sharpenSoften amount="1000"/>
                    </a14:imgEffect>
                  </a14:imgLayer>
                </a14:imgProps>
              </a:ext>
              <a:ext uri="{28A0092B-C50C-407E-A947-70E740481C1C}">
                <a14:useLocalDpi xmlns:a14="http://schemas.microsoft.com/office/drawing/2010/main" val="0"/>
              </a:ext>
            </a:extLst>
          </a:blip>
          <a:srcRect/>
          <a:stretch>
            <a:fillRect/>
          </a:stretch>
        </a:blipFill>
        <a:ln/>
      </xdr:spPr>
      <xdr:style>
        <a:lnRef idx="2">
          <a:schemeClr val="accent6"/>
        </a:lnRef>
        <a:fillRef idx="1001">
          <a:schemeClr val="dk2"/>
        </a:fillRef>
        <a:effectRef idx="0">
          <a:schemeClr val="accent6"/>
        </a:effectRef>
        <a:fontRef idx="minor">
          <a:schemeClr val="dk1"/>
        </a:fontRef>
      </xdr:style>
      <xdr:txBody>
        <a:bodyPr vertOverflow="clip" horzOverflow="clip" rtlCol="0" anchor="t"/>
        <a:lstStyle/>
        <a:p>
          <a:pPr algn="l"/>
          <a:r>
            <a:rPr lang="en-IN" sz="1800" b="0" cap="none" spc="0">
              <a:ln w="0"/>
              <a:solidFill>
                <a:schemeClr val="tx1"/>
              </a:solidFill>
              <a:effectLst>
                <a:outerShdw blurRad="38100" dist="19050" dir="2700000" algn="tl" rotWithShape="0">
                  <a:schemeClr val="dk1">
                    <a:alpha val="40000"/>
                  </a:schemeClr>
                </a:outerShdw>
              </a:effectLst>
            </a:rPr>
            <a:t>AIR</a:t>
          </a:r>
          <a:r>
            <a:rPr lang="en-IN" sz="1800" b="1" cap="none" spc="0" baseline="0">
              <a:ln w="9525">
                <a:solidFill>
                  <a:schemeClr val="bg1"/>
                </a:solidFill>
                <a:prstDash val="solid"/>
              </a:ln>
              <a:solidFill>
                <a:schemeClr val="tx1"/>
              </a:solidFill>
              <a:effectLst>
                <a:outerShdw blurRad="12700" dist="38100" dir="2700000" algn="tl" rotWithShape="0">
                  <a:schemeClr val="bg1">
                    <a:lumMod val="50000"/>
                  </a:schemeClr>
                </a:outerShdw>
              </a:effectLst>
            </a:rPr>
            <a:t> </a:t>
          </a:r>
        </a:p>
        <a:p>
          <a:pPr algn="l"/>
          <a:r>
            <a:rPr lang="en-IN" sz="1800" b="0" cap="none" spc="0" baseline="0">
              <a:ln w="0"/>
              <a:solidFill>
                <a:schemeClr val="tx1"/>
              </a:solidFill>
              <a:effectLst>
                <a:outerShdw blurRad="38100" dist="19050" dir="2700000" algn="tl" rotWithShape="0">
                  <a:schemeClr val="dk1">
                    <a:alpha val="40000"/>
                  </a:schemeClr>
                </a:outerShdw>
              </a:effectLst>
            </a:rPr>
            <a:t>JORDAN</a:t>
          </a:r>
          <a:endParaRPr lang="en-IN" sz="1800" b="1" cap="none" spc="0">
            <a:ln w="9525">
              <a:solidFill>
                <a:schemeClr val="bg1"/>
              </a:solidFill>
              <a:prstDash val="solid"/>
            </a:ln>
            <a:solidFill>
              <a:schemeClr val="tx1"/>
            </a:solidFill>
            <a:effectLst>
              <a:outerShdw blurRad="12700" dist="38100" dir="2700000" algn="tl" rotWithShape="0">
                <a:schemeClr val="bg1">
                  <a:lumMod val="50000"/>
                </a:schemeClr>
              </a:outerShdw>
            </a:effectLst>
          </a:endParaRPr>
        </a:p>
      </xdr:txBody>
    </xdr:sp>
    <xdr:clientData/>
  </xdr:twoCellAnchor>
  <xdr:twoCellAnchor>
    <xdr:from>
      <xdr:col>3</xdr:col>
      <xdr:colOff>224266</xdr:colOff>
      <xdr:row>0</xdr:row>
      <xdr:rowOff>95039</xdr:rowOff>
    </xdr:from>
    <xdr:to>
      <xdr:col>24</xdr:col>
      <xdr:colOff>189675</xdr:colOff>
      <xdr:row>6</xdr:row>
      <xdr:rowOff>10502</xdr:rowOff>
    </xdr:to>
    <xdr:sp macro="" textlink="">
      <xdr:nvSpPr>
        <xdr:cNvPr id="7" name="Rectangle: Rounded Corners 6">
          <a:extLst>
            <a:ext uri="{FF2B5EF4-FFF2-40B4-BE49-F238E27FC236}">
              <a16:creationId xmlns:a16="http://schemas.microsoft.com/office/drawing/2014/main" id="{EE3E68FB-BC26-4702-8A58-85E708E8E02F}"/>
            </a:ext>
          </a:extLst>
        </xdr:cNvPr>
        <xdr:cNvSpPr/>
      </xdr:nvSpPr>
      <xdr:spPr>
        <a:xfrm>
          <a:off x="2055045" y="95039"/>
          <a:ext cx="12780864" cy="1004034"/>
        </a:xfrm>
        <a:prstGeom prst="roundRect">
          <a:avLst>
            <a:gd name="adj" fmla="val 7500"/>
          </a:avLst>
        </a:prstGeom>
        <a:solidFill>
          <a:schemeClr val="tx1"/>
        </a:solidFill>
        <a:ln>
          <a:solidFill>
            <a:schemeClr val="accent2"/>
          </a:solidFill>
        </a:ln>
        <a:effectLst>
          <a:glow rad="63500">
            <a:schemeClr val="accent2">
              <a:satMod val="175000"/>
              <a:alpha val="40000"/>
            </a:schemeClr>
          </a:glo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2000">
              <a:solidFill>
                <a:schemeClr val="accent5">
                  <a:lumMod val="75000"/>
                </a:schemeClr>
              </a:solidFill>
            </a:rPr>
            <a:t>        </a:t>
          </a:r>
          <a:r>
            <a:rPr lang="en-IN" sz="2000" baseline="0">
              <a:solidFill>
                <a:schemeClr val="accent5">
                  <a:lumMod val="75000"/>
                </a:schemeClr>
              </a:solidFill>
            </a:rPr>
            <a:t> </a:t>
          </a:r>
          <a:r>
            <a:rPr lang="en-IN" sz="2000">
              <a:solidFill>
                <a:schemeClr val="accent5">
                  <a:lumMod val="75000"/>
                </a:schemeClr>
              </a:solidFill>
            </a:rPr>
            <a:t> </a:t>
          </a:r>
          <a:r>
            <a:rPr lang="en-IN" sz="2800">
              <a:solidFill>
                <a:schemeClr val="bg1"/>
              </a:solidFill>
            </a:rPr>
            <a:t>Air Jordan Resale Market  —  Performance Dashboard  2026</a:t>
          </a:r>
        </a:p>
        <a:p>
          <a:pPr algn="l"/>
          <a:r>
            <a:rPr lang="en-IN" sz="2800" i="1" baseline="0">
              <a:solidFill>
                <a:srgbClr val="002060"/>
              </a:solidFill>
              <a:latin typeface="+mn-lt"/>
            </a:rPr>
            <a:t>       </a:t>
          </a:r>
          <a:r>
            <a:rPr lang="en-IN" sz="1400" i="1">
              <a:solidFill>
                <a:schemeClr val="bg1"/>
              </a:solidFill>
              <a:latin typeface="+mn-lt"/>
            </a:rPr>
            <a:t>Figures in USD </a:t>
          </a:r>
        </a:p>
      </xdr:txBody>
    </xdr:sp>
    <xdr:clientData/>
  </xdr:twoCellAnchor>
  <xdr:twoCellAnchor>
    <xdr:from>
      <xdr:col>20</xdr:col>
      <xdr:colOff>79375</xdr:colOff>
      <xdr:row>6</xdr:row>
      <xdr:rowOff>58428</xdr:rowOff>
    </xdr:from>
    <xdr:to>
      <xdr:col>24</xdr:col>
      <xdr:colOff>335138</xdr:colOff>
      <xdr:row>11</xdr:row>
      <xdr:rowOff>179922</xdr:rowOff>
    </xdr:to>
    <xdr:sp macro="" textlink="Pivot_Table!E4">
      <xdr:nvSpPr>
        <xdr:cNvPr id="14" name="Rectangle: Rounded Corners 13">
          <a:extLst>
            <a:ext uri="{FF2B5EF4-FFF2-40B4-BE49-F238E27FC236}">
              <a16:creationId xmlns:a16="http://schemas.microsoft.com/office/drawing/2014/main" id="{868DAE03-29EF-4D9F-A0D8-B3212E91B1ED}"/>
            </a:ext>
          </a:extLst>
        </xdr:cNvPr>
        <xdr:cNvSpPr/>
      </xdr:nvSpPr>
      <xdr:spPr>
        <a:xfrm>
          <a:off x="12250208" y="1169678"/>
          <a:ext cx="2689930" cy="1047536"/>
        </a:xfrm>
        <a:prstGeom prst="roundRect">
          <a:avLst>
            <a:gd name="adj" fmla="val 7500"/>
          </a:avLst>
        </a:prstGeom>
        <a:solidFill>
          <a:schemeClr val="tx1"/>
        </a:solidFill>
        <a:ln>
          <a:solidFill>
            <a:schemeClr val="accent2"/>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r>
            <a:rPr lang="en-US" sz="1800" b="0" i="0" u="none" strike="noStrike" baseline="0">
              <a:ln>
                <a:solidFill>
                  <a:schemeClr val="accent4"/>
                </a:solidFill>
              </a:ln>
              <a:solidFill>
                <a:schemeClr val="accent2"/>
              </a:solidFill>
              <a:latin typeface="Calibri"/>
              <a:ea typeface="Calibri"/>
              <a:cs typeface="Calibri"/>
            </a:rPr>
            <a:t>Average Days In Inventory</a:t>
          </a:r>
        </a:p>
        <a:p>
          <a:pPr marL="0" indent="0" algn="l"/>
          <a:fld id="{00620BC3-FE76-4929-BA76-6D22B24B9B0F}" type="TxLink">
            <a:rPr lang="en-US" sz="3200" b="0" i="0" u="none" strike="noStrike" baseline="0">
              <a:ln>
                <a:solidFill>
                  <a:schemeClr val="accent4"/>
                </a:solidFill>
              </a:ln>
              <a:solidFill>
                <a:schemeClr val="accent2"/>
              </a:solidFill>
              <a:latin typeface="Calibri"/>
              <a:ea typeface="Calibri"/>
              <a:cs typeface="Calibri"/>
            </a:rPr>
            <a:pPr marL="0" indent="0" algn="l"/>
            <a:t>22.47</a:t>
          </a:fld>
          <a:endParaRPr lang="en-IN" sz="3200" b="0" i="0" u="none" strike="noStrike" baseline="0">
            <a:ln>
              <a:solidFill>
                <a:schemeClr val="accent4"/>
              </a:solidFill>
            </a:ln>
            <a:solidFill>
              <a:schemeClr val="accent2"/>
            </a:solidFill>
            <a:latin typeface="Calibri"/>
            <a:ea typeface="Calibri"/>
            <a:cs typeface="Calibri"/>
          </a:endParaRPr>
        </a:p>
      </xdr:txBody>
    </xdr:sp>
    <xdr:clientData/>
  </xdr:twoCellAnchor>
  <xdr:twoCellAnchor>
    <xdr:from>
      <xdr:col>8</xdr:col>
      <xdr:colOff>114522</xdr:colOff>
      <xdr:row>12</xdr:row>
      <xdr:rowOff>40729</xdr:rowOff>
    </xdr:from>
    <xdr:to>
      <xdr:col>13</xdr:col>
      <xdr:colOff>553780</xdr:colOff>
      <xdr:row>25</xdr:row>
      <xdr:rowOff>98961</xdr:rowOff>
    </xdr:to>
    <xdr:graphicFrame macro="">
      <xdr:nvGraphicFramePr>
        <xdr:cNvPr id="22" name="Chart 21">
          <a:extLst>
            <a:ext uri="{FF2B5EF4-FFF2-40B4-BE49-F238E27FC236}">
              <a16:creationId xmlns:a16="http://schemas.microsoft.com/office/drawing/2014/main" id="{4F7AC8F3-5043-4F78-85EE-A7A10B88FB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18355</xdr:colOff>
      <xdr:row>12</xdr:row>
      <xdr:rowOff>40729</xdr:rowOff>
    </xdr:from>
    <xdr:to>
      <xdr:col>19</xdr:col>
      <xdr:colOff>234529</xdr:colOff>
      <xdr:row>25</xdr:row>
      <xdr:rowOff>40871</xdr:rowOff>
    </xdr:to>
    <xdr:graphicFrame macro="">
      <xdr:nvGraphicFramePr>
        <xdr:cNvPr id="23" name="Chart 22">
          <a:extLst>
            <a:ext uri="{FF2B5EF4-FFF2-40B4-BE49-F238E27FC236}">
              <a16:creationId xmlns:a16="http://schemas.microsoft.com/office/drawing/2014/main" id="{19A2DF3D-2FE3-499E-ACCF-3C40BCC3C1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16710</xdr:colOff>
      <xdr:row>12</xdr:row>
      <xdr:rowOff>35277</xdr:rowOff>
    </xdr:from>
    <xdr:to>
      <xdr:col>3</xdr:col>
      <xdr:colOff>255764</xdr:colOff>
      <xdr:row>21</xdr:row>
      <xdr:rowOff>58485</xdr:rowOff>
    </xdr:to>
    <mc:AlternateContent xmlns:mc="http://schemas.openxmlformats.org/markup-compatibility/2006" xmlns:a14="http://schemas.microsoft.com/office/drawing/2010/main">
      <mc:Choice Requires="a14">
        <xdr:graphicFrame macro="">
          <xdr:nvGraphicFramePr>
            <xdr:cNvPr id="27" name="Sales_Channel 1">
              <a:extLst>
                <a:ext uri="{FF2B5EF4-FFF2-40B4-BE49-F238E27FC236}">
                  <a16:creationId xmlns:a16="http://schemas.microsoft.com/office/drawing/2014/main" id="{8683EC07-22B8-4488-8C79-33423104B829}"/>
                </a:ext>
              </a:extLst>
            </xdr:cNvPr>
            <xdr:cNvGraphicFramePr/>
          </xdr:nvGraphicFramePr>
          <xdr:xfrm>
            <a:off x="0" y="0"/>
            <a:ext cx="0" cy="0"/>
          </xdr:xfrm>
          <a:graphic>
            <a:graphicData uri="http://schemas.microsoft.com/office/drawing/2010/slicer">
              <sle:slicer xmlns:sle="http://schemas.microsoft.com/office/drawing/2010/slicer" name="Sales_Channel 1"/>
            </a:graphicData>
          </a:graphic>
        </xdr:graphicFrame>
      </mc:Choice>
      <mc:Fallback xmlns="">
        <xdr:sp macro="" textlink="">
          <xdr:nvSpPr>
            <xdr:cNvPr id="0" name=""/>
            <xdr:cNvSpPr>
              <a:spLocks noTextEdit="1"/>
            </xdr:cNvSpPr>
          </xdr:nvSpPr>
          <xdr:spPr>
            <a:xfrm>
              <a:off x="16710" y="2184843"/>
              <a:ext cx="2136782" cy="17097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16710</xdr:colOff>
      <xdr:row>21</xdr:row>
      <xdr:rowOff>125327</xdr:rowOff>
    </xdr:from>
    <xdr:to>
      <xdr:col>3</xdr:col>
      <xdr:colOff>248047</xdr:colOff>
      <xdr:row>31</xdr:row>
      <xdr:rowOff>16711</xdr:rowOff>
    </xdr:to>
    <mc:AlternateContent xmlns:mc="http://schemas.openxmlformats.org/markup-compatibility/2006" xmlns:a14="http://schemas.microsoft.com/office/drawing/2010/main">
      <mc:Choice Requires="a14">
        <xdr:graphicFrame macro="">
          <xdr:nvGraphicFramePr>
            <xdr:cNvPr id="28" name="Shoe_Model 1">
              <a:extLst>
                <a:ext uri="{FF2B5EF4-FFF2-40B4-BE49-F238E27FC236}">
                  <a16:creationId xmlns:a16="http://schemas.microsoft.com/office/drawing/2014/main" id="{AE22B6A2-4C13-4250-9107-5300C047F61F}"/>
                </a:ext>
              </a:extLst>
            </xdr:cNvPr>
            <xdr:cNvGraphicFramePr/>
          </xdr:nvGraphicFramePr>
          <xdr:xfrm>
            <a:off x="0" y="0"/>
            <a:ext cx="0" cy="0"/>
          </xdr:xfrm>
          <a:graphic>
            <a:graphicData uri="http://schemas.microsoft.com/office/drawing/2010/slicer">
              <sle:slicer xmlns:sle="http://schemas.microsoft.com/office/drawing/2010/slicer" name="Shoe_Model 1"/>
            </a:graphicData>
          </a:graphic>
        </xdr:graphicFrame>
      </mc:Choice>
      <mc:Fallback xmlns="">
        <xdr:sp macro="" textlink="">
          <xdr:nvSpPr>
            <xdr:cNvPr id="0" name=""/>
            <xdr:cNvSpPr>
              <a:spLocks noTextEdit="1"/>
            </xdr:cNvSpPr>
          </xdr:nvSpPr>
          <xdr:spPr>
            <a:xfrm>
              <a:off x="16710" y="3961423"/>
              <a:ext cx="2058049" cy="17180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291613</xdr:colOff>
      <xdr:row>6</xdr:row>
      <xdr:rowOff>58429</xdr:rowOff>
    </xdr:from>
    <xdr:to>
      <xdr:col>7</xdr:col>
      <xdr:colOff>408100</xdr:colOff>
      <xdr:row>11</xdr:row>
      <xdr:rowOff>130538</xdr:rowOff>
    </xdr:to>
    <xdr:sp macro="" textlink="Pivot_Table!A4">
      <xdr:nvSpPr>
        <xdr:cNvPr id="19" name="Rectangle: Rounded Corners 18">
          <a:extLst>
            <a:ext uri="{FF2B5EF4-FFF2-40B4-BE49-F238E27FC236}">
              <a16:creationId xmlns:a16="http://schemas.microsoft.com/office/drawing/2014/main" id="{626CCB8A-61D3-4B7A-ADA0-49BC4161293F}"/>
            </a:ext>
          </a:extLst>
        </xdr:cNvPr>
        <xdr:cNvSpPr/>
      </xdr:nvSpPr>
      <xdr:spPr>
        <a:xfrm>
          <a:off x="2117238" y="1169679"/>
          <a:ext cx="2550654" cy="998151"/>
        </a:xfrm>
        <a:prstGeom prst="roundRect">
          <a:avLst>
            <a:gd name="adj" fmla="val 7500"/>
          </a:avLst>
        </a:prstGeom>
        <a:solidFill>
          <a:schemeClr val="tx1"/>
        </a:solidFill>
        <a:ln>
          <a:solidFill>
            <a:schemeClr val="accent2"/>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r>
            <a:rPr lang="en-US" sz="2000" b="0" i="0" u="none" strike="noStrike" baseline="0">
              <a:ln>
                <a:solidFill>
                  <a:schemeClr val="accent4"/>
                </a:solidFill>
              </a:ln>
              <a:solidFill>
                <a:schemeClr val="accent2"/>
              </a:solidFill>
              <a:latin typeface="Calibri"/>
              <a:ea typeface="Calibri"/>
              <a:cs typeface="Calibri"/>
            </a:rPr>
            <a:t>Total Transaction</a:t>
          </a:r>
        </a:p>
        <a:p>
          <a:pPr marL="0" indent="0" algn="l"/>
          <a:fld id="{28038043-BEED-4744-ACBA-A8CE062292A1}" type="TxLink">
            <a:rPr lang="en-US" sz="3200" b="0" i="0" u="none" strike="noStrike" baseline="0">
              <a:ln>
                <a:solidFill>
                  <a:schemeClr val="accent4"/>
                </a:solidFill>
              </a:ln>
              <a:solidFill>
                <a:schemeClr val="accent2"/>
              </a:solidFill>
              <a:latin typeface="Calibri"/>
              <a:ea typeface="Calibri"/>
              <a:cs typeface="Calibri"/>
            </a:rPr>
            <a:pPr marL="0" indent="0" algn="l"/>
            <a:t>5000</a:t>
          </a:fld>
          <a:endParaRPr lang="en-US" sz="3200" b="0" i="0" u="none" strike="noStrike" baseline="0">
            <a:ln>
              <a:solidFill>
                <a:schemeClr val="accent4"/>
              </a:solidFill>
            </a:ln>
            <a:solidFill>
              <a:schemeClr val="accent2"/>
            </a:solidFill>
            <a:latin typeface="Calibri"/>
            <a:ea typeface="Calibri"/>
            <a:cs typeface="Calibri"/>
          </a:endParaRPr>
        </a:p>
      </xdr:txBody>
    </xdr:sp>
    <xdr:clientData/>
  </xdr:twoCellAnchor>
  <xdr:twoCellAnchor>
    <xdr:from>
      <xdr:col>7</xdr:col>
      <xdr:colOff>470060</xdr:colOff>
      <xdr:row>6</xdr:row>
      <xdr:rowOff>76068</xdr:rowOff>
    </xdr:from>
    <xdr:to>
      <xdr:col>11</xdr:col>
      <xdr:colOff>486694</xdr:colOff>
      <xdr:row>11</xdr:row>
      <xdr:rowOff>148177</xdr:rowOff>
    </xdr:to>
    <xdr:sp macro="" textlink="Pivot_Table!B4">
      <xdr:nvSpPr>
        <xdr:cNvPr id="20" name="Rectangle: Rounded Corners 19">
          <a:extLst>
            <a:ext uri="{FF2B5EF4-FFF2-40B4-BE49-F238E27FC236}">
              <a16:creationId xmlns:a16="http://schemas.microsoft.com/office/drawing/2014/main" id="{8DFB9628-3B5B-4CF0-83F6-2300A90BD3AB}"/>
            </a:ext>
          </a:extLst>
        </xdr:cNvPr>
        <xdr:cNvSpPr/>
      </xdr:nvSpPr>
      <xdr:spPr>
        <a:xfrm>
          <a:off x="4729852" y="1187318"/>
          <a:ext cx="2450800" cy="998151"/>
        </a:xfrm>
        <a:prstGeom prst="roundRect">
          <a:avLst>
            <a:gd name="adj" fmla="val 7500"/>
          </a:avLst>
        </a:prstGeom>
        <a:solidFill>
          <a:schemeClr val="tx1"/>
        </a:solidFill>
        <a:ln>
          <a:solidFill>
            <a:schemeClr val="accent2"/>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r>
            <a:rPr lang="en-US" sz="2000" b="0" i="0" u="none" strike="noStrike" baseline="0">
              <a:ln>
                <a:solidFill>
                  <a:schemeClr val="accent4"/>
                </a:solidFill>
              </a:ln>
              <a:solidFill>
                <a:schemeClr val="accent2"/>
              </a:solidFill>
              <a:latin typeface="Calibri"/>
              <a:ea typeface="Calibri"/>
              <a:cs typeface="Calibri"/>
            </a:rPr>
            <a:t>Highest Profit Margin</a:t>
          </a:r>
        </a:p>
        <a:p>
          <a:pPr marL="0" indent="0" algn="l"/>
          <a:fld id="{B4F907E7-B219-4F61-AD46-3A38BD31F050}" type="TxLink">
            <a:rPr lang="en-US" sz="3200" b="0" i="0" u="none" strike="noStrike" baseline="0">
              <a:ln>
                <a:solidFill>
                  <a:schemeClr val="accent4"/>
                </a:solidFill>
              </a:ln>
              <a:solidFill>
                <a:srgbClr val="FFC000"/>
              </a:solidFill>
              <a:latin typeface="Calibri"/>
              <a:ea typeface="Calibri"/>
              <a:cs typeface="Calibri"/>
            </a:rPr>
            <a:pPr marL="0" indent="0" algn="l"/>
            <a:t> $574.58 </a:t>
          </a:fld>
          <a:endParaRPr lang="en-IN" sz="3200" b="0" i="0" u="none" strike="noStrike" baseline="0">
            <a:ln>
              <a:solidFill>
                <a:schemeClr val="accent4"/>
              </a:solidFill>
            </a:ln>
            <a:solidFill>
              <a:srgbClr val="FFC000"/>
            </a:solidFill>
            <a:latin typeface="Calibri"/>
            <a:ea typeface="Calibri"/>
            <a:cs typeface="Calibri"/>
          </a:endParaRPr>
        </a:p>
      </xdr:txBody>
    </xdr:sp>
    <xdr:clientData/>
  </xdr:twoCellAnchor>
  <xdr:twoCellAnchor>
    <xdr:from>
      <xdr:col>11</xdr:col>
      <xdr:colOff>546934</xdr:colOff>
      <xdr:row>6</xdr:row>
      <xdr:rowOff>58428</xdr:rowOff>
    </xdr:from>
    <xdr:to>
      <xdr:col>16</xdr:col>
      <xdr:colOff>8819</xdr:colOff>
      <xdr:row>11</xdr:row>
      <xdr:rowOff>155517</xdr:rowOff>
    </xdr:to>
    <xdr:sp macro="" textlink="Pivot_Table!C4">
      <xdr:nvSpPr>
        <xdr:cNvPr id="26" name="Rectangle: Rounded Corners 25">
          <a:extLst>
            <a:ext uri="{FF2B5EF4-FFF2-40B4-BE49-F238E27FC236}">
              <a16:creationId xmlns:a16="http://schemas.microsoft.com/office/drawing/2014/main" id="{9D0B141F-0AFC-4E35-9E44-52E97CEFCE5E}"/>
            </a:ext>
          </a:extLst>
        </xdr:cNvPr>
        <xdr:cNvSpPr/>
      </xdr:nvSpPr>
      <xdr:spPr>
        <a:xfrm>
          <a:off x="7240892" y="1169678"/>
          <a:ext cx="2504594" cy="1023131"/>
        </a:xfrm>
        <a:prstGeom prst="roundRect">
          <a:avLst>
            <a:gd name="adj" fmla="val 7500"/>
          </a:avLst>
        </a:prstGeom>
        <a:solidFill>
          <a:schemeClr val="tx1"/>
        </a:solidFill>
        <a:ln>
          <a:solidFill>
            <a:schemeClr val="accent2"/>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r>
            <a:rPr lang="en-US" sz="2000" b="0" i="0" u="none" strike="noStrike" baseline="0">
              <a:ln>
                <a:solidFill>
                  <a:schemeClr val="accent4"/>
                </a:solidFill>
              </a:ln>
              <a:solidFill>
                <a:schemeClr val="accent2"/>
              </a:solidFill>
              <a:latin typeface="Calibri"/>
              <a:ea typeface="Calibri"/>
              <a:cs typeface="Calibri"/>
            </a:rPr>
            <a:t>Total Profit</a:t>
          </a:r>
        </a:p>
        <a:p>
          <a:pPr marL="0" indent="0" algn="l"/>
          <a:fld id="{82A7C6E0-3BD3-4CDA-A4A5-A411C6C4480F}" type="TxLink">
            <a:rPr lang="en-US" sz="3200" b="0" i="0" u="none" strike="noStrike" baseline="0">
              <a:ln>
                <a:solidFill>
                  <a:schemeClr val="accent4"/>
                </a:solidFill>
              </a:ln>
              <a:solidFill>
                <a:schemeClr val="accent2"/>
              </a:solidFill>
              <a:latin typeface="Calibri"/>
              <a:ea typeface="Calibri"/>
              <a:cs typeface="Calibri"/>
            </a:rPr>
            <a:pPr marL="0" indent="0" algn="l"/>
            <a:t> $4,10,290.56 </a:t>
          </a:fld>
          <a:endParaRPr lang="en-IN" sz="3200" b="0" i="0" u="none" strike="noStrike" baseline="0">
            <a:ln>
              <a:solidFill>
                <a:schemeClr val="accent4"/>
              </a:solidFill>
            </a:ln>
            <a:solidFill>
              <a:schemeClr val="accent2"/>
            </a:solidFill>
            <a:latin typeface="Calibri"/>
            <a:ea typeface="Calibri"/>
            <a:cs typeface="Calibri"/>
          </a:endParaRPr>
        </a:p>
      </xdr:txBody>
    </xdr:sp>
    <xdr:clientData/>
  </xdr:twoCellAnchor>
  <xdr:twoCellAnchor>
    <xdr:from>
      <xdr:col>16</xdr:col>
      <xdr:colOff>73772</xdr:colOff>
      <xdr:row>6</xdr:row>
      <xdr:rowOff>31969</xdr:rowOff>
    </xdr:from>
    <xdr:to>
      <xdr:col>20</xdr:col>
      <xdr:colOff>34839</xdr:colOff>
      <xdr:row>11</xdr:row>
      <xdr:rowOff>144673</xdr:rowOff>
    </xdr:to>
    <xdr:sp macro="" textlink="Pivot_Table!D4">
      <xdr:nvSpPr>
        <xdr:cNvPr id="29" name="Rectangle: Rounded Corners 28">
          <a:extLst>
            <a:ext uri="{FF2B5EF4-FFF2-40B4-BE49-F238E27FC236}">
              <a16:creationId xmlns:a16="http://schemas.microsoft.com/office/drawing/2014/main" id="{766FEAD8-D66A-497C-A99A-9A32190FA5F8}"/>
            </a:ext>
          </a:extLst>
        </xdr:cNvPr>
        <xdr:cNvSpPr/>
      </xdr:nvSpPr>
      <xdr:spPr>
        <a:xfrm>
          <a:off x="9810439" y="1143219"/>
          <a:ext cx="2395233" cy="1038746"/>
        </a:xfrm>
        <a:prstGeom prst="roundRect">
          <a:avLst>
            <a:gd name="adj" fmla="val 7500"/>
          </a:avLst>
        </a:prstGeom>
        <a:solidFill>
          <a:schemeClr val="tx1"/>
        </a:solidFill>
        <a:ln>
          <a:solidFill>
            <a:schemeClr val="accent2"/>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r>
            <a:rPr lang="en-US" sz="2000" b="0" i="0" u="none" strike="noStrike" baseline="0">
              <a:ln>
                <a:solidFill>
                  <a:schemeClr val="accent4"/>
                </a:solidFill>
              </a:ln>
              <a:solidFill>
                <a:schemeClr val="accent2"/>
              </a:solidFill>
              <a:latin typeface="Calibri"/>
              <a:ea typeface="Calibri"/>
              <a:cs typeface="Calibri"/>
            </a:rPr>
            <a:t>Average Resale Price </a:t>
          </a:r>
        </a:p>
        <a:p>
          <a:pPr marL="0" indent="0" algn="l"/>
          <a:fld id="{B0B80B9E-AC14-4049-A214-513E2E935CF4}" type="TxLink">
            <a:rPr lang="en-US" sz="3200" b="0" i="0" u="none" strike="noStrike" baseline="0">
              <a:ln>
                <a:solidFill>
                  <a:schemeClr val="accent4"/>
                </a:solidFill>
              </a:ln>
              <a:solidFill>
                <a:schemeClr val="accent2"/>
              </a:solidFill>
              <a:latin typeface="Calibri"/>
              <a:ea typeface="Calibri"/>
              <a:cs typeface="Calibri"/>
            </a:rPr>
            <a:pPr marL="0" indent="0" algn="l"/>
            <a:t> $273.23 </a:t>
          </a:fld>
          <a:endParaRPr lang="en-IN" sz="3200" b="0" i="0" u="none" strike="noStrike" baseline="0">
            <a:ln>
              <a:solidFill>
                <a:schemeClr val="accent4"/>
              </a:solidFill>
            </a:ln>
            <a:solidFill>
              <a:schemeClr val="accent2"/>
            </a:solidFill>
            <a:latin typeface="Calibri"/>
            <a:ea typeface="Calibri"/>
            <a:cs typeface="Calibri"/>
          </a:endParaRPr>
        </a:p>
      </xdr:txBody>
    </xdr:sp>
    <xdr:clientData/>
  </xdr:twoCellAnchor>
  <xdr:twoCellAnchor>
    <xdr:from>
      <xdr:col>3</xdr:col>
      <xdr:colOff>405694</xdr:colOff>
      <xdr:row>12</xdr:row>
      <xdr:rowOff>17639</xdr:rowOff>
    </xdr:from>
    <xdr:to>
      <xdr:col>8</xdr:col>
      <xdr:colOff>61736</xdr:colOff>
      <xdr:row>25</xdr:row>
      <xdr:rowOff>61736</xdr:rowOff>
    </xdr:to>
    <xdr:graphicFrame macro="">
      <xdr:nvGraphicFramePr>
        <xdr:cNvPr id="18" name="Chart 17">
          <a:extLst>
            <a:ext uri="{FF2B5EF4-FFF2-40B4-BE49-F238E27FC236}">
              <a16:creationId xmlns:a16="http://schemas.microsoft.com/office/drawing/2014/main" id="{B7FB4B3B-76EF-4922-83A9-04874DB7C0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388055</xdr:colOff>
      <xdr:row>25</xdr:row>
      <xdr:rowOff>167569</xdr:rowOff>
    </xdr:from>
    <xdr:to>
      <xdr:col>18</xdr:col>
      <xdr:colOff>282222</xdr:colOff>
      <xdr:row>40</xdr:row>
      <xdr:rowOff>132644</xdr:rowOff>
    </xdr:to>
    <xdr:graphicFrame macro="">
      <xdr:nvGraphicFramePr>
        <xdr:cNvPr id="30" name="Chart 29">
          <a:extLst>
            <a:ext uri="{FF2B5EF4-FFF2-40B4-BE49-F238E27FC236}">
              <a16:creationId xmlns:a16="http://schemas.microsoft.com/office/drawing/2014/main" id="{DB823D9D-B418-45D9-9C9A-F2CE586583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18</xdr:col>
      <xdr:colOff>400538</xdr:colOff>
      <xdr:row>26</xdr:row>
      <xdr:rowOff>9768</xdr:rowOff>
    </xdr:from>
    <xdr:to>
      <xdr:col>24</xdr:col>
      <xdr:colOff>312616</xdr:colOff>
      <xdr:row>40</xdr:row>
      <xdr:rowOff>175846</xdr:rowOff>
    </xdr:to>
    <xdr:graphicFrame macro="">
      <xdr:nvGraphicFramePr>
        <xdr:cNvPr id="31" name="Chart 30">
          <a:extLst>
            <a:ext uri="{FF2B5EF4-FFF2-40B4-BE49-F238E27FC236}">
              <a16:creationId xmlns:a16="http://schemas.microsoft.com/office/drawing/2014/main" id="{692849B7-39FA-44C1-8D8B-CC00E7C6D8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0</xdr:colOff>
      <xdr:row>31</xdr:row>
      <xdr:rowOff>123473</xdr:rowOff>
    </xdr:from>
    <xdr:to>
      <xdr:col>3</xdr:col>
      <xdr:colOff>246944</xdr:colOff>
      <xdr:row>37</xdr:row>
      <xdr:rowOff>135115</xdr:rowOff>
    </xdr:to>
    <mc:AlternateContent xmlns:mc="http://schemas.openxmlformats.org/markup-compatibility/2006">
      <mc:Choice xmlns:a14="http://schemas.microsoft.com/office/drawing/2010/main" Requires="a14">
        <xdr:graphicFrame macro="">
          <xdr:nvGraphicFramePr>
            <xdr:cNvPr id="32" name="Years">
              <a:extLst>
                <a:ext uri="{FF2B5EF4-FFF2-40B4-BE49-F238E27FC236}">
                  <a16:creationId xmlns:a16="http://schemas.microsoft.com/office/drawing/2014/main" id="{3368DC2B-C116-45A8-9733-977CCC99C6A8}"/>
                </a:ext>
              </a:extLst>
            </xdr:cNvPr>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dr:sp macro="" textlink="">
          <xdr:nvSpPr>
            <xdr:cNvPr id="0" name=""/>
            <xdr:cNvSpPr>
              <a:spLocks noTextEdit="1"/>
            </xdr:cNvSpPr>
          </xdr:nvSpPr>
          <xdr:spPr>
            <a:xfrm>
              <a:off x="0" y="5747759"/>
              <a:ext cx="2070301" cy="11002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399006</xdr:colOff>
      <xdr:row>30</xdr:row>
      <xdr:rowOff>83023</xdr:rowOff>
    </xdr:from>
    <xdr:to>
      <xdr:col>3</xdr:col>
      <xdr:colOff>402181</xdr:colOff>
      <xdr:row>44</xdr:row>
      <xdr:rowOff>14231</xdr:rowOff>
    </xdr:to>
    <mc:AlternateContent xmlns:mc="http://schemas.openxmlformats.org/markup-compatibility/2006">
      <mc:Choice xmlns:a14="http://schemas.microsoft.com/office/drawing/2010/main" Requires="a14">
        <xdr:graphicFrame macro="">
          <xdr:nvGraphicFramePr>
            <xdr:cNvPr id="34" name="Months 1">
              <a:extLst>
                <a:ext uri="{FF2B5EF4-FFF2-40B4-BE49-F238E27FC236}">
                  <a16:creationId xmlns:a16="http://schemas.microsoft.com/office/drawing/2014/main" id="{087A8132-C158-457A-BDE5-6C64201982B5}"/>
                </a:ext>
              </a:extLst>
            </xdr:cNvPr>
            <xdr:cNvGraphicFramePr/>
          </xdr:nvGraphicFramePr>
          <xdr:xfrm>
            <a:off x="0" y="0"/>
            <a:ext cx="0" cy="0"/>
          </xdr:xfrm>
          <a:graphic>
            <a:graphicData uri="http://schemas.microsoft.com/office/drawing/2010/slicer">
              <sle:slicer xmlns:sle="http://schemas.microsoft.com/office/drawing/2010/slicer" name="Months 1"/>
            </a:graphicData>
          </a:graphic>
        </xdr:graphicFrame>
      </mc:Choice>
      <mc:Fallback>
        <xdr:sp macro="" textlink="">
          <xdr:nvSpPr>
            <xdr:cNvPr id="0" name=""/>
            <xdr:cNvSpPr>
              <a:spLocks noTextEdit="1"/>
            </xdr:cNvSpPr>
          </xdr:nvSpPr>
          <xdr:spPr>
            <a:xfrm>
              <a:off x="399006" y="5525880"/>
              <a:ext cx="1826532" cy="24712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390186</xdr:colOff>
      <xdr:row>10</xdr:row>
      <xdr:rowOff>144760</xdr:rowOff>
    </xdr:from>
    <xdr:to>
      <xdr:col>24</xdr:col>
      <xdr:colOff>273403</xdr:colOff>
      <xdr:row>24</xdr:row>
      <xdr:rowOff>176389</xdr:rowOff>
    </xdr:to>
    <xdr:graphicFrame macro="">
      <xdr:nvGraphicFramePr>
        <xdr:cNvPr id="35" name="Chart 34">
          <a:extLst>
            <a:ext uri="{FF2B5EF4-FFF2-40B4-BE49-F238E27FC236}">
              <a16:creationId xmlns:a16="http://schemas.microsoft.com/office/drawing/2014/main" id="{62D5AAED-6899-4916-9AE4-8A1AD91720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0</xdr:colOff>
      <xdr:row>2</xdr:row>
      <xdr:rowOff>0</xdr:rowOff>
    </xdr:from>
    <xdr:to>
      <xdr:col>8</xdr:col>
      <xdr:colOff>430186</xdr:colOff>
      <xdr:row>15</xdr:row>
      <xdr:rowOff>22853</xdr:rowOff>
    </xdr:to>
    <xdr:graphicFrame macro="">
      <xdr:nvGraphicFramePr>
        <xdr:cNvPr id="5" name="Chart 4">
          <a:extLst>
            <a:ext uri="{FF2B5EF4-FFF2-40B4-BE49-F238E27FC236}">
              <a16:creationId xmlns:a16="http://schemas.microsoft.com/office/drawing/2014/main" id="{681118DA-8BF7-4F54-A948-E42703B831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rthak" refreshedDate="46120.522170833334" createdVersion="7" refreshedVersion="7" minRefreshableVersion="3" recordCount="5000" xr:uid="{00000000-000A-0000-FFFF-FFFF0F000000}">
  <cacheSource type="worksheet">
    <worksheetSource name="Sales_of_Jordan"/>
  </cacheSource>
  <cacheFields count="13">
    <cacheField name="Transaction_ID" numFmtId="0">
      <sharedItems/>
    </cacheField>
    <cacheField name="Sale_Date" numFmtId="14">
      <sharedItems containsSemiMixedTypes="0" containsNonDate="0" containsDate="1" containsString="0" minDate="2023-01-01T00:00:00" maxDate="2025-09-28T00:00:00" count="992">
        <d v="2024-10-23T00:00:00"/>
        <d v="2023-10-23T00:00:00"/>
        <d v="2023-11-13T00:00:00"/>
        <d v="2024-02-01T00:00:00"/>
        <d v="2023-05-29T00:00:00"/>
        <d v="2024-05-04T00:00:00"/>
        <d v="2025-07-21T00:00:00"/>
        <d v="2023-05-13T00:00:00"/>
        <d v="2023-05-30T00:00:00"/>
        <d v="2023-10-16T00:00:00"/>
        <d v="2025-04-10T00:00:00"/>
        <d v="2024-01-06T00:00:00"/>
        <d v="2023-06-24T00:00:00"/>
        <d v="2023-04-01T00:00:00"/>
        <d v="2024-07-09T00:00:00"/>
        <d v="2025-09-11T00:00:00"/>
        <d v="2024-05-31T00:00:00"/>
        <d v="2023-12-06T00:00:00"/>
        <d v="2025-01-14T00:00:00"/>
        <d v="2023-10-24T00:00:00"/>
        <d v="2023-03-12T00:00:00"/>
        <d v="2023-07-03T00:00:00"/>
        <d v="2024-08-30T00:00:00"/>
        <d v="2024-06-25T00:00:00"/>
        <d v="2024-07-24T00:00:00"/>
        <d v="2023-08-27T00:00:00"/>
        <d v="2024-03-13T00:00:00"/>
        <d v="2024-12-12T00:00:00"/>
        <d v="2025-07-06T00:00:00"/>
        <d v="2025-05-05T00:00:00"/>
        <d v="2024-01-24T00:00:00"/>
        <d v="2024-01-22T00:00:00"/>
        <d v="2025-01-19T00:00:00"/>
        <d v="2023-06-01T00:00:00"/>
        <d v="2024-10-04T00:00:00"/>
        <d v="2025-08-13T00:00:00"/>
        <d v="2025-08-15T00:00:00"/>
        <d v="2025-01-22T00:00:00"/>
        <d v="2024-04-18T00:00:00"/>
        <d v="2023-08-20T00:00:00"/>
        <d v="2025-01-02T00:00:00"/>
        <d v="2025-04-07T00:00:00"/>
        <d v="2023-08-30T00:00:00"/>
        <d v="2024-09-15T00:00:00"/>
        <d v="2023-04-26T00:00:00"/>
        <d v="2023-01-25T00:00:00"/>
        <d v="2024-10-30T00:00:00"/>
        <d v="2023-03-23T00:00:00"/>
        <d v="2023-12-02T00:00:00"/>
        <d v="2024-05-13T00:00:00"/>
        <d v="2024-10-12T00:00:00"/>
        <d v="2024-05-11T00:00:00"/>
        <d v="2025-04-15T00:00:00"/>
        <d v="2025-06-20T00:00:00"/>
        <d v="2024-05-19T00:00:00"/>
        <d v="2024-10-05T00:00:00"/>
        <d v="2023-05-27T00:00:00"/>
        <d v="2024-10-13T00:00:00"/>
        <d v="2024-07-30T00:00:00"/>
        <d v="2024-12-16T00:00:00"/>
        <d v="2024-08-06T00:00:00"/>
        <d v="2024-01-26T00:00:00"/>
        <d v="2024-12-09T00:00:00"/>
        <d v="2025-08-31T00:00:00"/>
        <d v="2025-02-21T00:00:00"/>
        <d v="2025-06-15T00:00:00"/>
        <d v="2023-06-21T00:00:00"/>
        <d v="2023-03-19T00:00:00"/>
        <d v="2025-07-05T00:00:00"/>
        <d v="2024-11-05T00:00:00"/>
        <d v="2025-02-25T00:00:00"/>
        <d v="2023-03-30T00:00:00"/>
        <d v="2024-10-08T00:00:00"/>
        <d v="2024-04-08T00:00:00"/>
        <d v="2023-03-22T00:00:00"/>
        <d v="2024-07-18T00:00:00"/>
        <d v="2024-03-18T00:00:00"/>
        <d v="2025-03-24T00:00:00"/>
        <d v="2023-01-13T00:00:00"/>
        <d v="2025-07-15T00:00:00"/>
        <d v="2023-09-29T00:00:00"/>
        <d v="2024-03-03T00:00:00"/>
        <d v="2025-04-13T00:00:00"/>
        <d v="2025-08-02T00:00:00"/>
        <d v="2025-06-03T00:00:00"/>
        <d v="2023-11-03T00:00:00"/>
        <d v="2023-01-17T00:00:00"/>
        <d v="2024-05-12T00:00:00"/>
        <d v="2025-07-12T00:00:00"/>
        <d v="2025-03-26T00:00:00"/>
        <d v="2023-07-21T00:00:00"/>
        <d v="2024-08-13T00:00:00"/>
        <d v="2025-04-29T00:00:00"/>
        <d v="2024-08-07T00:00:00"/>
        <d v="2025-02-17T00:00:00"/>
        <d v="2025-09-26T00:00:00"/>
        <d v="2023-11-14T00:00:00"/>
        <d v="2023-07-04T00:00:00"/>
        <d v="2023-02-12T00:00:00"/>
        <d v="2023-06-08T00:00:00"/>
        <d v="2024-08-24T00:00:00"/>
        <d v="2024-07-20T00:00:00"/>
        <d v="2023-11-15T00:00:00"/>
        <d v="2023-05-04T00:00:00"/>
        <d v="2025-04-11T00:00:00"/>
        <d v="2025-02-08T00:00:00"/>
        <d v="2023-09-14T00:00:00"/>
        <d v="2023-01-08T00:00:00"/>
        <d v="2025-03-06T00:00:00"/>
        <d v="2023-10-09T00:00:00"/>
        <d v="2023-11-17T00:00:00"/>
        <d v="2025-02-24T00:00:00"/>
        <d v="2025-06-14T00:00:00"/>
        <d v="2023-03-21T00:00:00"/>
        <d v="2024-06-14T00:00:00"/>
        <d v="2025-03-30T00:00:00"/>
        <d v="2023-09-19T00:00:00"/>
        <d v="2025-01-01T00:00:00"/>
        <d v="2025-01-23T00:00:00"/>
        <d v="2025-01-10T00:00:00"/>
        <d v="2025-07-19T00:00:00"/>
        <d v="2024-01-19T00:00:00"/>
        <d v="2025-08-07T00:00:00"/>
        <d v="2024-12-14T00:00:00"/>
        <d v="2025-07-07T00:00:00"/>
        <d v="2025-07-02T00:00:00"/>
        <d v="2024-12-08T00:00:00"/>
        <d v="2024-11-11T00:00:00"/>
        <d v="2025-04-27T00:00:00"/>
        <d v="2024-07-31T00:00:00"/>
        <d v="2023-02-19T00:00:00"/>
        <d v="2024-03-16T00:00:00"/>
        <d v="2023-05-21T00:00:00"/>
        <d v="2025-05-19T00:00:00"/>
        <d v="2025-05-09T00:00:00"/>
        <d v="2024-08-04T00:00:00"/>
        <d v="2024-01-21T00:00:00"/>
        <d v="2023-01-23T00:00:00"/>
        <d v="2024-02-15T00:00:00"/>
        <d v="2023-04-03T00:00:00"/>
        <d v="2023-02-17T00:00:00"/>
        <d v="2025-05-22T00:00:00"/>
        <d v="2023-05-11T00:00:00"/>
        <d v="2023-06-27T00:00:00"/>
        <d v="2025-07-11T00:00:00"/>
        <d v="2025-09-15T00:00:00"/>
        <d v="2024-12-05T00:00:00"/>
        <d v="2024-07-16T00:00:00"/>
        <d v="2024-10-21T00:00:00"/>
        <d v="2023-03-04T00:00:00"/>
        <d v="2024-02-13T00:00:00"/>
        <d v="2024-03-27T00:00:00"/>
        <d v="2025-08-08T00:00:00"/>
        <d v="2024-02-10T00:00:00"/>
        <d v="2024-02-14T00:00:00"/>
        <d v="2024-06-26T00:00:00"/>
        <d v="2025-03-09T00:00:00"/>
        <d v="2024-02-18T00:00:00"/>
        <d v="2023-03-20T00:00:00"/>
        <d v="2024-09-19T00:00:00"/>
        <d v="2024-03-24T00:00:00"/>
        <d v="2024-06-17T00:00:00"/>
        <d v="2024-01-12T00:00:00"/>
        <d v="2023-06-28T00:00:00"/>
        <d v="2023-08-07T00:00:00"/>
        <d v="2023-08-06T00:00:00"/>
        <d v="2025-04-17T00:00:00"/>
        <d v="2023-11-05T00:00:00"/>
        <d v="2023-04-10T00:00:00"/>
        <d v="2025-07-24T00:00:00"/>
        <d v="2023-05-08T00:00:00"/>
        <d v="2024-08-26T00:00:00"/>
        <d v="2023-10-08T00:00:00"/>
        <d v="2025-01-12T00:00:00"/>
        <d v="2023-10-19T00:00:00"/>
        <d v="2023-03-03T00:00:00"/>
        <d v="2025-06-02T00:00:00"/>
        <d v="2024-06-06T00:00:00"/>
        <d v="2024-03-20T00:00:00"/>
        <d v="2025-06-12T00:00:00"/>
        <d v="2024-11-26T00:00:00"/>
        <d v="2024-07-27T00:00:00"/>
        <d v="2025-06-06T00:00:00"/>
        <d v="2024-11-23T00:00:00"/>
        <d v="2025-09-21T00:00:00"/>
        <d v="2025-01-25T00:00:00"/>
        <d v="2024-11-17T00:00:00"/>
        <d v="2023-02-10T00:00:00"/>
        <d v="2024-12-25T00:00:00"/>
        <d v="2023-10-31T00:00:00"/>
        <d v="2024-05-07T00:00:00"/>
        <d v="2024-09-24T00:00:00"/>
        <d v="2023-05-05T00:00:00"/>
        <d v="2024-10-11T00:00:00"/>
        <d v="2024-04-19T00:00:00"/>
        <d v="2024-04-25T00:00:00"/>
        <d v="2025-08-23T00:00:00"/>
        <d v="2025-07-01T00:00:00"/>
        <d v="2023-08-19T00:00:00"/>
        <d v="2023-09-09T00:00:00"/>
        <d v="2025-03-21T00:00:00"/>
        <d v="2025-03-08T00:00:00"/>
        <d v="2023-02-24T00:00:00"/>
        <d v="2023-10-11T00:00:00"/>
        <d v="2024-07-13T00:00:00"/>
        <d v="2023-11-23T00:00:00"/>
        <d v="2023-10-22T00:00:00"/>
        <d v="2025-09-05T00:00:00"/>
        <d v="2023-12-27T00:00:00"/>
        <d v="2025-05-14T00:00:00"/>
        <d v="2025-04-28T00:00:00"/>
        <d v="2023-06-23T00:00:00"/>
        <d v="2023-02-25T00:00:00"/>
        <d v="2024-02-02T00:00:00"/>
        <d v="2024-11-24T00:00:00"/>
        <d v="2023-06-07T00:00:00"/>
        <d v="2023-09-06T00:00:00"/>
        <d v="2024-09-11T00:00:00"/>
        <d v="2024-06-02T00:00:00"/>
        <d v="2025-01-24T00:00:00"/>
        <d v="2024-08-31T00:00:00"/>
        <d v="2024-05-18T00:00:00"/>
        <d v="2023-12-20T00:00:00"/>
        <d v="2024-12-28T00:00:00"/>
        <d v="2025-05-27T00:00:00"/>
        <d v="2024-03-10T00:00:00"/>
        <d v="2024-03-19T00:00:00"/>
        <d v="2025-01-05T00:00:00"/>
        <d v="2024-09-18T00:00:00"/>
        <d v="2024-02-03T00:00:00"/>
        <d v="2025-07-16T00:00:00"/>
        <d v="2023-09-03T00:00:00"/>
        <d v="2023-01-16T00:00:00"/>
        <d v="2023-04-27T00:00:00"/>
        <d v="2024-01-01T00:00:00"/>
        <d v="2025-06-24T00:00:00"/>
        <d v="2023-09-30T00:00:00"/>
        <d v="2024-10-09T00:00:00"/>
        <d v="2025-05-20T00:00:00"/>
        <d v="2024-06-27T00:00:00"/>
        <d v="2024-07-01T00:00:00"/>
        <d v="2025-02-09T00:00:00"/>
        <d v="2023-12-12T00:00:00"/>
        <d v="2024-09-01T00:00:00"/>
        <d v="2024-01-27T00:00:00"/>
        <d v="2023-10-02T00:00:00"/>
        <d v="2025-06-10T00:00:00"/>
        <d v="2023-01-21T00:00:00"/>
        <d v="2025-02-20T00:00:00"/>
        <d v="2024-02-25T00:00:00"/>
        <d v="2024-06-10T00:00:00"/>
        <d v="2024-01-18T00:00:00"/>
        <d v="2025-07-26T00:00:00"/>
        <d v="2024-03-14T00:00:00"/>
        <d v="2025-09-22T00:00:00"/>
        <d v="2023-03-15T00:00:00"/>
        <d v="2025-05-16T00:00:00"/>
        <d v="2023-01-15T00:00:00"/>
        <d v="2025-05-21T00:00:00"/>
        <d v="2025-02-06T00:00:00"/>
        <d v="2025-08-20T00:00:00"/>
        <d v="2025-02-01T00:00:00"/>
        <d v="2025-03-04T00:00:00"/>
        <d v="2023-03-08T00:00:00"/>
        <d v="2025-01-20T00:00:00"/>
        <d v="2024-11-07T00:00:00"/>
        <d v="2024-10-24T00:00:00"/>
        <d v="2024-02-09T00:00:00"/>
        <d v="2023-09-12T00:00:00"/>
        <d v="2023-01-30T00:00:00"/>
        <d v="2023-04-19T00:00:00"/>
        <d v="2023-08-03T00:00:00"/>
        <d v="2024-05-26T00:00:00"/>
        <d v="2025-06-09T00:00:00"/>
        <d v="2023-04-15T00:00:00"/>
        <d v="2024-02-11T00:00:00"/>
        <d v="2024-12-18T00:00:00"/>
        <d v="2023-12-16T00:00:00"/>
        <d v="2025-07-14T00:00:00"/>
        <d v="2025-03-27T00:00:00"/>
        <d v="2023-07-16T00:00:00"/>
        <d v="2023-12-21T00:00:00"/>
        <d v="2023-11-30T00:00:00"/>
        <d v="2025-03-03T00:00:00"/>
        <d v="2024-06-01T00:00:00"/>
        <d v="2023-01-24T00:00:00"/>
        <d v="2024-11-22T00:00:00"/>
        <d v="2024-06-08T00:00:00"/>
        <d v="2025-02-22T00:00:00"/>
        <d v="2024-11-02T00:00:00"/>
        <d v="2024-06-03T00:00:00"/>
        <d v="2023-11-22T00:00:00"/>
        <d v="2023-04-24T00:00:00"/>
        <d v="2024-11-29T00:00:00"/>
        <d v="2023-07-14T00:00:00"/>
        <d v="2024-04-04T00:00:00"/>
        <d v="2024-09-23T00:00:00"/>
        <d v="2025-05-07T00:00:00"/>
        <d v="2023-01-10T00:00:00"/>
        <d v="2024-10-17T00:00:00"/>
        <d v="2023-11-28T00:00:00"/>
        <d v="2025-01-07T00:00:00"/>
        <d v="2024-11-15T00:00:00"/>
        <d v="2025-08-26T00:00:00"/>
        <d v="2023-02-16T00:00:00"/>
        <d v="2024-02-21T00:00:00"/>
        <d v="2024-06-18T00:00:00"/>
        <d v="2024-12-02T00:00:00"/>
        <d v="2024-09-29T00:00:00"/>
        <d v="2023-07-12T00:00:00"/>
        <d v="2023-08-18T00:00:00"/>
        <d v="2023-11-12T00:00:00"/>
        <d v="2024-08-16T00:00:00"/>
        <d v="2023-10-17T00:00:00"/>
        <d v="2025-09-02T00:00:00"/>
        <d v="2024-05-20T00:00:00"/>
        <d v="2024-09-08T00:00:00"/>
        <d v="2023-01-03T00:00:00"/>
        <d v="2025-01-30T00:00:00"/>
        <d v="2024-01-20T00:00:00"/>
        <d v="2024-06-07T00:00:00"/>
        <d v="2023-01-06T00:00:00"/>
        <d v="2024-05-08T00:00:00"/>
        <d v="2024-05-30T00:00:00"/>
        <d v="2025-09-03T00:00:00"/>
        <d v="2024-05-15T00:00:00"/>
        <d v="2023-08-28T00:00:00"/>
        <d v="2023-05-23T00:00:00"/>
        <d v="2023-03-28T00:00:00"/>
        <d v="2025-04-22T00:00:00"/>
        <d v="2023-03-25T00:00:00"/>
        <d v="2024-01-07T00:00:00"/>
        <d v="2024-04-30T00:00:00"/>
        <d v="2025-03-07T00:00:00"/>
        <d v="2023-12-31T00:00:00"/>
        <d v="2024-08-18T00:00:00"/>
        <d v="2024-01-10T00:00:00"/>
        <d v="2023-02-22T00:00:00"/>
        <d v="2024-05-06T00:00:00"/>
        <d v="2025-05-31T00:00:00"/>
        <d v="2025-08-06T00:00:00"/>
        <d v="2023-01-07T00:00:00"/>
        <d v="2025-02-03T00:00:00"/>
        <d v="2023-09-27T00:00:00"/>
        <d v="2025-05-25T00:00:00"/>
        <d v="2024-11-10T00:00:00"/>
        <d v="2023-05-31T00:00:00"/>
        <d v="2025-08-18T00:00:00"/>
        <d v="2024-12-27T00:00:00"/>
        <d v="2024-04-06T00:00:00"/>
        <d v="2025-08-05T00:00:00"/>
        <d v="2024-04-20T00:00:00"/>
        <d v="2023-01-20T00:00:00"/>
        <d v="2023-11-01T00:00:00"/>
        <d v="2024-03-09T00:00:00"/>
        <d v="2023-08-29T00:00:00"/>
        <d v="2023-09-25T00:00:00"/>
        <d v="2025-09-01T00:00:00"/>
        <d v="2023-10-01T00:00:00"/>
        <d v="2025-06-13T00:00:00"/>
        <d v="2024-11-27T00:00:00"/>
        <d v="2024-10-02T00:00:00"/>
        <d v="2023-09-13T00:00:00"/>
        <d v="2023-05-02T00:00:00"/>
        <d v="2024-09-02T00:00:00"/>
        <d v="2025-03-29T00:00:00"/>
        <d v="2024-01-14T00:00:00"/>
        <d v="2023-09-17T00:00:00"/>
        <d v="2025-04-21T00:00:00"/>
        <d v="2023-02-14T00:00:00"/>
        <d v="2024-08-29T00:00:00"/>
        <d v="2023-04-16T00:00:00"/>
        <d v="2025-03-22T00:00:00"/>
        <d v="2025-02-04T00:00:00"/>
        <d v="2023-10-21T00:00:00"/>
        <d v="2024-10-10T00:00:00"/>
        <d v="2025-01-08T00:00:00"/>
        <d v="2024-08-19T00:00:00"/>
        <d v="2025-05-12T00:00:00"/>
        <d v="2024-03-05T00:00:00"/>
        <d v="2025-08-01T00:00:00"/>
        <d v="2024-11-12T00:00:00"/>
        <d v="2024-06-24T00:00:00"/>
        <d v="2023-05-15T00:00:00"/>
        <d v="2023-07-15T00:00:00"/>
        <d v="2024-07-02T00:00:00"/>
        <d v="2023-09-22T00:00:00"/>
        <d v="2024-05-16T00:00:00"/>
        <d v="2023-11-20T00:00:00"/>
        <d v="2024-07-21T00:00:00"/>
        <d v="2024-03-07T00:00:00"/>
        <d v="2023-06-29T00:00:00"/>
        <d v="2024-06-04T00:00:00"/>
        <d v="2023-03-02T00:00:00"/>
        <d v="2025-02-19T00:00:00"/>
        <d v="2024-01-04T00:00:00"/>
        <d v="2023-09-10T00:00:00"/>
        <d v="2025-05-02T00:00:00"/>
        <d v="2023-10-07T00:00:00"/>
        <d v="2024-07-19T00:00:00"/>
        <d v="2024-05-21T00:00:00"/>
        <d v="2024-01-05T00:00:00"/>
        <d v="2024-09-14T00:00:00"/>
        <d v="2024-08-14T00:00:00"/>
        <d v="2023-06-18T00:00:00"/>
        <d v="2024-10-16T00:00:00"/>
        <d v="2025-05-10T00:00:00"/>
        <d v="2025-06-23T00:00:00"/>
        <d v="2024-12-26T00:00:00"/>
        <d v="2024-08-21T00:00:00"/>
        <d v="2025-02-28T00:00:00"/>
        <d v="2024-12-20T00:00:00"/>
        <d v="2025-01-03T00:00:00"/>
        <d v="2024-10-27T00:00:00"/>
        <d v="2023-08-24T00:00:00"/>
        <d v="2023-04-28T00:00:00"/>
        <d v="2025-04-05T00:00:00"/>
        <d v="2024-03-28T00:00:00"/>
        <d v="2025-08-24T00:00:00"/>
        <d v="2025-02-10T00:00:00"/>
        <d v="2024-11-16T00:00:00"/>
        <d v="2023-03-07T00:00:00"/>
        <d v="2025-06-18T00:00:00"/>
        <d v="2025-03-31T00:00:00"/>
        <d v="2024-12-04T00:00:00"/>
        <d v="2024-01-29T00:00:00"/>
        <d v="2023-05-01T00:00:00"/>
        <d v="2025-07-29T00:00:00"/>
        <d v="2023-06-30T00:00:00"/>
        <d v="2024-01-15T00:00:00"/>
        <d v="2024-05-23T00:00:00"/>
        <d v="2025-04-02T00:00:00"/>
        <d v="2023-04-12T00:00:00"/>
        <d v="2025-03-01T00:00:00"/>
        <d v="2024-07-23T00:00:00"/>
        <d v="2024-03-15T00:00:00"/>
        <d v="2024-01-09T00:00:00"/>
        <d v="2024-01-13T00:00:00"/>
        <d v="2023-08-11T00:00:00"/>
        <d v="2024-08-03T00:00:00"/>
        <d v="2023-05-14T00:00:00"/>
        <d v="2025-08-22T00:00:00"/>
        <d v="2025-06-17T00:00:00"/>
        <d v="2025-08-09T00:00:00"/>
        <d v="2024-02-06T00:00:00"/>
        <d v="2023-05-24T00:00:00"/>
        <d v="2023-06-06T00:00:00"/>
        <d v="2025-04-20T00:00:00"/>
        <d v="2023-07-26T00:00:00"/>
        <d v="2025-04-26T00:00:00"/>
        <d v="2025-09-18T00:00:00"/>
        <d v="2025-01-09T00:00:00"/>
        <d v="2023-01-05T00:00:00"/>
        <d v="2023-02-09T00:00:00"/>
        <d v="2024-09-28T00:00:00"/>
        <d v="2023-01-09T00:00:00"/>
        <d v="2023-11-07T00:00:00"/>
        <d v="2023-06-04T00:00:00"/>
        <d v="2023-03-01T00:00:00"/>
        <d v="2025-08-11T00:00:00"/>
        <d v="2023-10-06T00:00:00"/>
        <d v="2024-01-11T00:00:00"/>
        <d v="2023-08-05T00:00:00"/>
        <d v="2023-03-29T00:00:00"/>
        <d v="2024-10-22T00:00:00"/>
        <d v="2025-06-11T00:00:00"/>
        <d v="2024-04-12T00:00:00"/>
        <d v="2025-04-08T00:00:00"/>
        <d v="2024-01-03T00:00:00"/>
        <d v="2023-06-14T00:00:00"/>
        <d v="2024-07-04T00:00:00"/>
        <d v="2023-03-24T00:00:00"/>
        <d v="2024-08-08T00:00:00"/>
        <d v="2023-05-10T00:00:00"/>
        <d v="2025-04-30T00:00:00"/>
        <d v="2024-04-15T00:00:00"/>
        <d v="2025-02-02T00:00:00"/>
        <d v="2024-04-28T00:00:00"/>
        <d v="2024-08-10T00:00:00"/>
        <d v="2025-07-27T00:00:00"/>
        <d v="2025-02-15T00:00:00"/>
        <d v="2023-09-07T00:00:00"/>
        <d v="2023-11-16T00:00:00"/>
        <d v="2023-10-29T00:00:00"/>
        <d v="2023-07-06T00:00:00"/>
        <d v="2023-11-19T00:00:00"/>
        <d v="2023-08-15T00:00:00"/>
        <d v="2023-04-23T00:00:00"/>
        <d v="2023-02-06T00:00:00"/>
        <d v="2023-07-05T00:00:00"/>
        <d v="2024-05-17T00:00:00"/>
        <d v="2025-01-15T00:00:00"/>
        <d v="2023-05-25T00:00:00"/>
        <d v="2024-12-30T00:00:00"/>
        <d v="2025-05-15T00:00:00"/>
        <d v="2023-03-16T00:00:00"/>
        <d v="2023-12-01T00:00:00"/>
        <d v="2023-12-15T00:00:00"/>
        <d v="2023-03-14T00:00:00"/>
        <d v="2024-12-22T00:00:00"/>
        <d v="2023-02-04T00:00:00"/>
        <d v="2024-10-03T00:00:00"/>
        <d v="2023-10-04T00:00:00"/>
        <d v="2023-09-18T00:00:00"/>
        <d v="2024-10-18T00:00:00"/>
        <d v="2025-05-26T00:00:00"/>
        <d v="2024-11-08T00:00:00"/>
        <d v="2024-07-22T00:00:00"/>
        <d v="2023-07-30T00:00:00"/>
        <d v="2023-01-19T00:00:00"/>
        <d v="2023-02-15T00:00:00"/>
        <d v="2023-07-19T00:00:00"/>
        <d v="2023-04-29T00:00:00"/>
        <d v="2024-05-03T00:00:00"/>
        <d v="2023-04-21T00:00:00"/>
        <d v="2024-07-14T00:00:00"/>
        <d v="2024-04-21T00:00:00"/>
        <d v="2024-02-12T00:00:00"/>
        <d v="2024-07-03T00:00:00"/>
        <d v="2023-03-18T00:00:00"/>
        <d v="2024-07-12T00:00:00"/>
        <d v="2023-12-28T00:00:00"/>
        <d v="2023-02-01T00:00:00"/>
        <d v="2024-04-27T00:00:00"/>
        <d v="2024-09-17T00:00:00"/>
        <d v="2023-05-03T00:00:00"/>
        <d v="2025-05-06T00:00:00"/>
        <d v="2024-07-25T00:00:00"/>
        <d v="2023-12-03T00:00:00"/>
        <d v="2024-10-28T00:00:00"/>
        <d v="2023-05-28T00:00:00"/>
        <d v="2023-02-20T00:00:00"/>
        <d v="2025-09-10T00:00:00"/>
        <d v="2023-07-07T00:00:00"/>
        <d v="2025-07-10T00:00:00"/>
        <d v="2024-06-12T00:00:00"/>
        <d v="2023-07-28T00:00:00"/>
        <d v="2025-09-08T00:00:00"/>
        <d v="2024-11-20T00:00:00"/>
        <d v="2024-12-17T00:00:00"/>
        <d v="2024-12-19T00:00:00"/>
        <d v="2024-03-12T00:00:00"/>
        <d v="2025-05-08T00:00:00"/>
        <d v="2024-01-30T00:00:00"/>
        <d v="2024-04-02T00:00:00"/>
        <d v="2025-05-23T00:00:00"/>
        <d v="2024-06-29T00:00:00"/>
        <d v="2023-06-13T00:00:00"/>
        <d v="2023-12-13T00:00:00"/>
        <d v="2023-12-25T00:00:00"/>
        <d v="2023-02-11T00:00:00"/>
        <d v="2024-09-07T00:00:00"/>
        <d v="2023-08-02T00:00:00"/>
        <d v="2025-08-12T00:00:00"/>
        <d v="2023-01-31T00:00:00"/>
        <d v="2025-02-05T00:00:00"/>
        <d v="2023-05-09T00:00:00"/>
        <d v="2024-10-06T00:00:00"/>
        <d v="2023-08-26T00:00:00"/>
        <d v="2024-09-16T00:00:00"/>
        <d v="2024-05-02T00:00:00"/>
        <d v="2023-08-31T00:00:00"/>
        <d v="2024-06-21T00:00:00"/>
        <d v="2025-01-21T00:00:00"/>
        <d v="2024-08-28T00:00:00"/>
        <d v="2024-02-07T00:00:00"/>
        <d v="2025-09-07T00:00:00"/>
        <d v="2023-04-02T00:00:00"/>
        <d v="2025-01-04T00:00:00"/>
        <d v="2023-01-26T00:00:00"/>
        <d v="2023-02-26T00:00:00"/>
        <d v="2023-10-10T00:00:00"/>
        <d v="2023-06-12T00:00:00"/>
        <d v="2023-02-02T00:00:00"/>
        <d v="2025-01-13T00:00:00"/>
        <d v="2024-09-09T00:00:00"/>
        <d v="2024-02-19T00:00:00"/>
        <d v="2024-08-17T00:00:00"/>
        <d v="2023-09-23T00:00:00"/>
        <d v="2024-04-16T00:00:00"/>
        <d v="2023-02-21T00:00:00"/>
        <d v="2025-05-11T00:00:00"/>
        <d v="2023-11-04T00:00:00"/>
        <d v="2023-09-20T00:00:00"/>
        <d v="2024-02-23T00:00:00"/>
        <d v="2024-06-30T00:00:00"/>
        <d v="2025-08-30T00:00:00"/>
        <d v="2023-04-18T00:00:00"/>
        <d v="2023-01-01T00:00:00"/>
        <d v="2024-01-08T00:00:00"/>
        <d v="2023-01-18T00:00:00"/>
        <d v="2023-12-18T00:00:00"/>
        <d v="2024-03-25T00:00:00"/>
        <d v="2024-07-06T00:00:00"/>
        <d v="2023-11-09T00:00:00"/>
        <d v="2023-10-05T00:00:00"/>
        <d v="2024-11-06T00:00:00"/>
        <d v="2024-12-03T00:00:00"/>
        <d v="2025-06-25T00:00:00"/>
        <d v="2025-06-29T00:00:00"/>
        <d v="2025-09-27T00:00:00"/>
        <d v="2023-01-27T00:00:00"/>
        <d v="2024-06-28T00:00:00"/>
        <d v="2023-03-06T00:00:00"/>
        <d v="2024-03-17T00:00:00"/>
        <d v="2023-11-18T00:00:00"/>
        <d v="2024-06-05T00:00:00"/>
        <d v="2023-12-24T00:00:00"/>
        <d v="2023-08-22T00:00:00"/>
        <d v="2023-09-11T00:00:00"/>
        <d v="2025-04-16T00:00:00"/>
        <d v="2023-07-17T00:00:00"/>
        <d v="2023-08-01T00:00:00"/>
        <d v="2024-03-30T00:00:00"/>
        <d v="2023-12-29T00:00:00"/>
        <d v="2023-12-22T00:00:00"/>
        <d v="2024-03-21T00:00:00"/>
        <d v="2024-08-25T00:00:00"/>
        <d v="2024-08-02T00:00:00"/>
        <d v="2025-04-01T00:00:00"/>
        <d v="2023-12-17T00:00:00"/>
        <d v="2024-12-24T00:00:00"/>
        <d v="2024-03-06T00:00:00"/>
        <d v="2023-09-02T00:00:00"/>
        <d v="2024-05-22T00:00:00"/>
        <d v="2023-02-05T00:00:00"/>
        <d v="2024-08-11T00:00:00"/>
        <d v="2024-04-29T00:00:00"/>
        <d v="2025-08-03T00:00:00"/>
        <d v="2023-12-08T00:00:00"/>
        <d v="2023-09-28T00:00:00"/>
        <d v="2024-01-31T00:00:00"/>
        <d v="2024-12-13T00:00:00"/>
        <d v="2023-05-12T00:00:00"/>
        <d v="2024-06-20T00:00:00"/>
        <d v="2023-01-28T00:00:00"/>
        <d v="2023-07-20T00:00:00"/>
        <d v="2024-04-07T00:00:00"/>
        <d v="2024-05-25T00:00:00"/>
        <d v="2025-03-11T00:00:00"/>
        <d v="2023-03-09T00:00:00"/>
        <d v="2023-04-05T00:00:00"/>
        <d v="2024-08-09T00:00:00"/>
        <d v="2023-06-15T00:00:00"/>
        <d v="2023-07-24T00:00:00"/>
        <d v="2025-04-23T00:00:00"/>
        <d v="2025-04-25T00:00:00"/>
        <d v="2025-07-28T00:00:00"/>
        <d v="2023-01-12T00:00:00"/>
        <d v="2024-10-14T00:00:00"/>
        <d v="2025-04-12T00:00:00"/>
        <d v="2025-06-22T00:00:00"/>
        <d v="2023-10-13T00:00:00"/>
        <d v="2024-09-05T00:00:00"/>
        <d v="2024-07-10T00:00:00"/>
        <d v="2025-09-12T00:00:00"/>
        <d v="2023-09-26T00:00:00"/>
        <d v="2024-12-01T00:00:00"/>
        <d v="2025-04-24T00:00:00"/>
        <d v="2024-05-28T00:00:00"/>
        <d v="2023-07-09T00:00:00"/>
        <d v="2024-06-16T00:00:00"/>
        <d v="2025-06-05T00:00:00"/>
        <d v="2025-03-28T00:00:00"/>
        <d v="2025-04-19T00:00:00"/>
        <d v="2023-01-22T00:00:00"/>
        <d v="2025-03-19T00:00:00"/>
        <d v="2023-11-06T00:00:00"/>
        <d v="2025-02-27T00:00:00"/>
        <d v="2024-09-03T00:00:00"/>
        <d v="2024-12-11T00:00:00"/>
        <d v="2025-02-18T00:00:00"/>
        <d v="2024-11-28T00:00:00"/>
        <d v="2023-04-08T00:00:00"/>
        <d v="2023-12-09T00:00:00"/>
        <d v="2024-09-13T00:00:00"/>
        <d v="2023-10-26T00:00:00"/>
        <d v="2023-11-25T00:00:00"/>
        <d v="2023-02-28T00:00:00"/>
        <d v="2024-08-20T00:00:00"/>
        <d v="2025-07-04T00:00:00"/>
        <d v="2023-10-14T00:00:00"/>
        <d v="2023-03-05T00:00:00"/>
        <d v="2024-07-29T00:00:00"/>
        <d v="2023-01-14T00:00:00"/>
        <d v="2023-09-08T00:00:00"/>
        <d v="2023-10-30T00:00:00"/>
        <d v="2024-05-09T00:00:00"/>
        <d v="2023-02-07T00:00:00"/>
        <d v="2024-03-04T00:00:00"/>
        <d v="2024-06-11T00:00:00"/>
        <d v="2025-09-23T00:00:00"/>
        <d v="2025-05-29T00:00:00"/>
        <d v="2025-01-18T00:00:00"/>
        <d v="2025-07-23T00:00:00"/>
        <d v="2025-07-13T00:00:00"/>
        <d v="2025-08-16T00:00:00"/>
        <d v="2023-11-29T00:00:00"/>
        <d v="2025-08-19T00:00:00"/>
        <d v="2025-08-10T00:00:00"/>
        <d v="2025-03-13T00:00:00"/>
        <d v="2024-03-08T00:00:00"/>
        <d v="2023-06-10T00:00:00"/>
        <d v="2024-03-22T00:00:00"/>
        <d v="2023-11-24T00:00:00"/>
        <d v="2024-05-01T00:00:00"/>
        <d v="2025-07-18T00:00:00"/>
        <d v="2024-09-10T00:00:00"/>
        <d v="2024-12-29T00:00:00"/>
        <d v="2025-01-31T00:00:00"/>
        <d v="2023-06-22T00:00:00"/>
        <d v="2023-10-20T00:00:00"/>
        <d v="2025-08-27T00:00:00"/>
        <d v="2024-07-28T00:00:00"/>
        <d v="2025-03-12T00:00:00"/>
        <d v="2023-03-11T00:00:00"/>
        <d v="2024-04-26T00:00:00"/>
        <d v="2023-08-12T00:00:00"/>
        <d v="2023-09-15T00:00:00"/>
        <d v="2025-02-26T00:00:00"/>
        <d v="2023-12-05T00:00:00"/>
        <d v="2024-03-01T00:00:00"/>
        <d v="2023-10-25T00:00:00"/>
        <d v="2025-09-06T00:00:00"/>
        <d v="2023-12-19T00:00:00"/>
        <d v="2023-10-18T00:00:00"/>
        <d v="2023-10-28T00:00:00"/>
        <d v="2024-04-01T00:00:00"/>
        <d v="2024-02-08T00:00:00"/>
        <d v="2023-09-05T00:00:00"/>
        <d v="2024-02-29T00:00:00"/>
        <d v="2024-06-19T00:00:00"/>
        <d v="2024-03-29T00:00:00"/>
        <d v="2023-12-04T00:00:00"/>
        <d v="2024-08-15T00:00:00"/>
        <d v="2025-08-29T00:00:00"/>
        <d v="2023-09-16T00:00:00"/>
        <d v="2023-06-02T00:00:00"/>
        <d v="2023-03-13T00:00:00"/>
        <d v="2024-12-06T00:00:00"/>
        <d v="2025-08-28T00:00:00"/>
        <d v="2024-08-22T00:00:00"/>
        <d v="2023-11-11T00:00:00"/>
        <d v="2024-11-09T00:00:00"/>
        <d v="2023-07-27T00:00:00"/>
        <d v="2024-08-01T00:00:00"/>
        <d v="2025-02-13T00:00:00"/>
        <d v="2023-06-09T00:00:00"/>
        <d v="2024-12-10T00:00:00"/>
        <d v="2025-06-07T00:00:00"/>
        <d v="2023-01-29T00:00:00"/>
        <d v="2023-01-02T00:00:00"/>
        <d v="2023-01-04T00:00:00"/>
        <d v="2023-07-10T00:00:00"/>
        <d v="2023-08-09T00:00:00"/>
        <d v="2023-12-11T00:00:00"/>
        <d v="2024-09-22T00:00:00"/>
        <d v="2024-02-04T00:00:00"/>
        <d v="2025-05-28T00:00:00"/>
        <d v="2024-06-15T00:00:00"/>
        <d v="2024-05-14T00:00:00"/>
        <d v="2023-05-19T00:00:00"/>
        <d v="2024-07-07T00:00:00"/>
        <d v="2025-07-25T00:00:00"/>
        <d v="2023-04-25T00:00:00"/>
        <d v="2023-03-27T00:00:00"/>
        <d v="2024-04-09T00:00:00"/>
        <d v="2023-08-04T00:00:00"/>
        <d v="2023-07-22T00:00:00"/>
        <d v="2024-03-02T00:00:00"/>
        <d v="2024-10-15T00:00:00"/>
        <d v="2023-12-14T00:00:00"/>
        <d v="2023-08-13T00:00:00"/>
        <d v="2025-01-17T00:00:00"/>
        <d v="2024-05-05T00:00:00"/>
        <d v="2025-01-27T00:00:00"/>
        <d v="2024-04-22T00:00:00"/>
        <d v="2024-02-17T00:00:00"/>
        <d v="2023-07-29T00:00:00"/>
        <d v="2025-03-02T00:00:00"/>
        <d v="2025-02-16T00:00:00"/>
        <d v="2023-05-07T00:00:00"/>
        <d v="2024-02-28T00:00:00"/>
        <d v="2025-07-22T00:00:00"/>
        <d v="2023-08-08T00:00:00"/>
        <d v="2023-04-09T00:00:00"/>
        <d v="2024-04-14T00:00:00"/>
        <d v="2025-02-14T00:00:00"/>
        <d v="2024-10-29T00:00:00"/>
        <d v="2025-06-01T00:00:00"/>
        <d v="2024-07-05T00:00:00"/>
        <d v="2023-07-13T00:00:00"/>
        <d v="2025-09-16T00:00:00"/>
        <d v="2025-01-28T00:00:00"/>
        <d v="2023-07-11T00:00:00"/>
        <d v="2024-03-26T00:00:00"/>
        <d v="2024-06-22T00:00:00"/>
        <d v="2023-12-26T00:00:00"/>
        <d v="2025-06-16T00:00:00"/>
        <d v="2025-09-13T00:00:00"/>
        <d v="2023-11-21T00:00:00"/>
        <d v="2025-02-23T00:00:00"/>
        <d v="2025-03-18T00:00:00"/>
        <d v="2023-08-25T00:00:00"/>
        <d v="2023-05-22T00:00:00"/>
        <d v="2025-05-04T00:00:00"/>
        <d v="2024-10-25T00:00:00"/>
        <d v="2024-05-24T00:00:00"/>
        <d v="2023-03-17T00:00:00"/>
        <d v="2025-05-24T00:00:00"/>
        <d v="2024-01-25T00:00:00"/>
        <d v="2024-06-13T00:00:00"/>
        <d v="2024-04-03T00:00:00"/>
        <d v="2024-02-16T00:00:00"/>
        <d v="2025-06-08T00:00:00"/>
        <d v="2025-08-14T00:00:00"/>
        <d v="2023-03-26T00:00:00"/>
        <d v="2024-08-12T00:00:00"/>
        <d v="2023-02-08T00:00:00"/>
        <d v="2023-04-20T00:00:00"/>
        <d v="2023-06-16T00:00:00"/>
        <d v="2024-11-30T00:00:00"/>
        <d v="2025-06-30T00:00:00"/>
        <d v="2025-07-20T00:00:00"/>
        <d v="2023-06-19T00:00:00"/>
        <d v="2024-01-23T00:00:00"/>
        <d v="2024-10-26T00:00:00"/>
        <d v="2024-11-04T00:00:00"/>
        <d v="2025-07-30T00:00:00"/>
        <d v="2023-05-20T00:00:00"/>
        <d v="2024-05-10T00:00:00"/>
        <d v="2024-01-28T00:00:00"/>
        <d v="2025-09-20T00:00:00"/>
        <d v="2024-11-25T00:00:00"/>
        <d v="2024-10-19T00:00:00"/>
        <d v="2024-08-23T00:00:00"/>
        <d v="2025-05-01T00:00:00"/>
        <d v="2025-04-03T00:00:00"/>
        <d v="2023-02-03T00:00:00"/>
        <d v="2023-08-21T00:00:00"/>
        <d v="2025-05-03T00:00:00"/>
        <d v="2025-02-07T00:00:00"/>
        <d v="2023-08-17T00:00:00"/>
        <d v="2025-04-14T00:00:00"/>
        <d v="2025-05-18T00:00:00"/>
        <d v="2024-02-27T00:00:00"/>
        <d v="2024-03-31T00:00:00"/>
        <d v="2025-05-17T00:00:00"/>
        <d v="2023-11-08T00:00:00"/>
        <d v="2024-07-11T00:00:00"/>
        <d v="2024-09-06T00:00:00"/>
        <d v="2025-03-23T00:00:00"/>
        <d v="2023-11-10T00:00:00"/>
        <d v="2024-10-07T00:00:00"/>
        <d v="2023-02-27T00:00:00"/>
        <d v="2024-02-24T00:00:00"/>
        <d v="2023-09-04T00:00:00"/>
        <d v="2024-02-05T00:00:00"/>
        <d v="2024-02-20T00:00:00"/>
        <d v="2023-03-10T00:00:00"/>
        <d v="2024-04-24T00:00:00"/>
        <d v="2023-06-11T00:00:00"/>
        <d v="2024-02-26T00:00:00"/>
        <d v="2023-05-18T00:00:00"/>
        <d v="2023-08-14T00:00:00"/>
        <d v="2025-01-11T00:00:00"/>
        <d v="2025-02-11T00:00:00"/>
        <d v="2023-01-11T00:00:00"/>
        <d v="2024-09-30T00:00:00"/>
        <d v="2023-11-26T00:00:00"/>
        <d v="2025-04-06T00:00:00"/>
        <d v="2024-12-07T00:00:00"/>
        <d v="2025-01-16T00:00:00"/>
        <d v="2025-08-17T00:00:00"/>
        <d v="2025-05-13T00:00:00"/>
        <d v="2025-09-04T00:00:00"/>
        <d v="2023-06-20T00:00:00"/>
        <d v="2024-03-23T00:00:00"/>
        <d v="2025-03-16T00:00:00"/>
        <d v="2024-04-11T00:00:00"/>
        <d v="2023-04-17T00:00:00"/>
        <d v="2023-04-14T00:00:00"/>
        <d v="2024-11-01T00:00:00"/>
        <d v="2024-12-15T00:00:00"/>
        <d v="2025-03-25T00:00:00"/>
        <d v="2025-06-04T00:00:00"/>
        <d v="2023-08-23T00:00:00"/>
        <d v="2023-08-16T00:00:00"/>
        <d v="2023-04-22T00:00:00"/>
        <d v="2025-06-21T00:00:00"/>
        <d v="2024-09-21T00:00:00"/>
        <d v="2025-05-30T00:00:00"/>
        <d v="2025-07-09T00:00:00"/>
        <d v="2024-07-17T00:00:00"/>
        <d v="2023-12-10T00:00:00"/>
        <d v="2025-07-31T00:00:00"/>
        <d v="2023-09-21T00:00:00"/>
        <d v="2023-06-25T00:00:00"/>
        <d v="2025-03-14T00:00:00"/>
        <d v="2025-09-25T00:00:00"/>
        <d v="2023-06-17T00:00:00"/>
        <d v="2024-07-08T00:00:00"/>
        <d v="2023-12-07T00:00:00"/>
        <d v="2023-07-25T00:00:00"/>
        <d v="2025-03-10T00:00:00"/>
        <d v="2025-09-14T00:00:00"/>
        <d v="2025-03-20T00:00:00"/>
        <d v="2025-07-03T00:00:00"/>
        <d v="2023-04-13T00:00:00"/>
        <d v="2024-09-20T00:00:00"/>
        <d v="2023-07-31T00:00:00"/>
        <d v="2024-10-01T00:00:00"/>
        <d v="2024-11-21T00:00:00"/>
        <d v="2025-09-09T00:00:00"/>
        <d v="2024-09-04T00:00:00"/>
        <d v="2024-02-22T00:00:00"/>
        <d v="2024-11-19T00:00:00"/>
        <d v="2025-08-21T00:00:00"/>
        <d v="2024-11-14T00:00:00"/>
        <d v="2025-01-29T00:00:00"/>
        <d v="2023-07-23T00:00:00"/>
        <d v="2024-10-20T00:00:00"/>
        <d v="2025-04-04T00:00:00"/>
        <d v="2024-04-13T00:00:00"/>
        <d v="2025-06-19T00:00:00"/>
        <d v="2025-06-28T00:00:00"/>
        <d v="2024-07-15T00:00:00"/>
        <d v="2024-11-13T00:00:00"/>
        <d v="2023-03-31T00:00:00"/>
        <d v="2023-10-12T00:00:00"/>
        <d v="2024-12-23T00:00:00"/>
        <d v="2025-08-25T00:00:00"/>
        <d v="2024-12-31T00:00:00"/>
        <d v="2024-01-17T00:00:00"/>
        <d v="2023-10-27T00:00:00"/>
        <d v="2024-05-27T00:00:00"/>
        <d v="2025-08-04T00:00:00"/>
        <d v="2023-05-06T00:00:00"/>
        <d v="2025-03-15T00:00:00"/>
        <d v="2024-03-11T00:00:00"/>
        <d v="2025-02-12T00:00:00"/>
        <d v="2023-05-16T00:00:00"/>
        <d v="2023-06-03T00:00:00"/>
        <d v="2025-06-27T00:00:00"/>
        <d v="2023-04-04T00:00:00"/>
        <d v="2024-07-26T00:00:00"/>
        <d v="2024-04-05T00:00:00"/>
        <d v="2023-04-06T00:00:00"/>
        <d v="2025-04-18T00:00:00"/>
        <d v="2023-05-17T00:00:00"/>
        <d v="2024-09-26T00:00:00"/>
        <d v="2025-01-26T00:00:00"/>
        <d v="2023-07-02T00:00:00"/>
        <d v="2023-09-24T00:00:00"/>
        <d v="2024-04-17T00:00:00"/>
        <d v="2024-12-21T00:00:00"/>
        <d v="2023-02-18T00:00:00"/>
        <d v="2024-01-02T00:00:00"/>
        <d v="2023-06-26T00:00:00"/>
        <d v="2024-08-27T00:00:00"/>
        <d v="2023-02-13T00:00:00"/>
        <d v="2023-04-11T00:00:00"/>
        <d v="2023-06-05T00:00:00"/>
        <d v="2023-08-10T00:00:00"/>
        <d v="2024-05-29T00:00:00"/>
        <d v="2024-11-18T00:00:00"/>
        <d v="2023-07-01T00:00:00"/>
        <d v="2025-09-24T00:00:00"/>
        <d v="2025-01-06T00:00:00"/>
        <d v="2023-02-23T00:00:00"/>
        <d v="2025-09-19T00:00:00"/>
        <d v="2025-06-26T00:00:00"/>
        <d v="2024-11-03T00:00:00"/>
        <d v="2023-12-23T00:00:00"/>
        <d v="2023-09-01T00:00:00"/>
        <d v="2024-08-05T00:00:00"/>
        <d v="2025-03-05T00:00:00"/>
        <d v="2023-04-07T00:00:00"/>
        <d v="2024-04-23T00:00:00"/>
        <d v="2023-11-27T00:00:00"/>
        <d v="2023-07-08T00:00:00"/>
        <d v="2025-07-17T00:00:00"/>
        <d v="2024-01-16T00:00:00"/>
        <d v="2023-12-30T00:00:00"/>
        <d v="2024-04-10T00:00:00"/>
        <d v="2024-06-09T00:00:00"/>
        <d v="2023-05-26T00:00:00"/>
        <d v="2025-03-17T00:00:00"/>
        <d v="2023-04-30T00:00:00"/>
        <d v="2023-10-03T00:00:00"/>
        <d v="2024-06-23T00:00:00"/>
        <d v="2024-09-27T00:00:00"/>
      </sharedItems>
      <fieldGroup par="12" base="1">
        <rangePr groupBy="months" startDate="2023-01-01T00:00:00" endDate="2025-09-28T00:00:00"/>
        <groupItems count="14">
          <s v="&lt;01-01-2023"/>
          <s v="Jan"/>
          <s v="Feb"/>
          <s v="Mar"/>
          <s v="Apr"/>
          <s v="May"/>
          <s v="Jun"/>
          <s v="Jul"/>
          <s v="Aug"/>
          <s v="Sep"/>
          <s v="Oct"/>
          <s v="Nov"/>
          <s v="Dec"/>
          <s v="&gt;28-09-2025"/>
        </groupItems>
      </fieldGroup>
    </cacheField>
    <cacheField name="Shoe_Model" numFmtId="0">
      <sharedItems count="5">
        <s v="Air Jordan 11 Retro"/>
        <s v="Air Jordan 1 High"/>
        <s v="Air Jordan 4 Retro"/>
        <s v="Air Jordan 1 Low"/>
        <s v="Air Jordan 3 Retro"/>
      </sharedItems>
    </cacheField>
    <cacheField name="Colorway" numFmtId="0">
      <sharedItems count="9">
        <s v="Sail"/>
        <s v="Mocha"/>
        <s v="Concord"/>
        <s v="Black Cat"/>
        <s v="Bred"/>
        <s v="Chicago"/>
        <s v="Military Blue"/>
        <s v="Lost &amp; Found"/>
        <s v="Pine Green"/>
      </sharedItems>
    </cacheField>
    <cacheField name="Condition" numFmtId="0">
      <sharedItems count="3">
        <s v="Used"/>
        <s v="Deadstock (Brand New)"/>
        <s v="VNDS (Very Near Deadstock)"/>
      </sharedItems>
    </cacheField>
    <cacheField name="Retail_Price_USD" numFmtId="0">
      <sharedItems containsSemiMixedTypes="0" containsString="0" containsNumber="1" containsInteger="1" minValue="110" maxValue="230"/>
    </cacheField>
    <cacheField name="Resale_Price_USD" numFmtId="0">
      <sharedItems containsSemiMixedTypes="0" containsString="0" containsNumber="1" minValue="55.91" maxValue="804.58"/>
    </cacheField>
    <cacheField name="Sales_Channel" numFmtId="0">
      <sharedItems count="5">
        <s v="GOAT"/>
        <s v="StockX"/>
        <s v="kick hub 2026"/>
        <s v="Stadium Goods"/>
        <s v="Walk-in Retail"/>
      </sharedItems>
    </cacheField>
    <cacheField name="Days_in_Inventory" numFmtId="0">
      <sharedItems containsSemiMixedTypes="0" containsString="0" containsNumber="1" containsInteger="1" minValue="1" maxValue="60"/>
    </cacheField>
    <cacheField name="Profit_Margin_USD" numFmtId="0">
      <sharedItems containsSemiMixedTypes="0" containsString="0" containsNumber="1" minValue="-114.35" maxValue="574.58000000000004"/>
    </cacheField>
    <cacheField name="Months" numFmtId="0">
      <sharedItems count="12">
        <s v="Oct"/>
        <s v="Nov"/>
        <s v="Feb"/>
        <s v="May"/>
        <s v="Jul"/>
        <s v="Apr"/>
        <s v="Jan"/>
        <s v="Jun"/>
        <s v="Sep"/>
        <s v="Dec"/>
        <s v="Mar"/>
        <s v="Aug"/>
      </sharedItems>
    </cacheField>
    <cacheField name="Quarters" numFmtId="0" databaseField="0">
      <fieldGroup base="1">
        <rangePr groupBy="quarters" startDate="2023-01-01T00:00:00" endDate="2025-09-28T00:00:00"/>
        <groupItems count="6">
          <s v="&lt;01-01-2023"/>
          <s v="Qtr1"/>
          <s v="Qtr2"/>
          <s v="Qtr3"/>
          <s v="Qtr4"/>
          <s v="&gt;28-09-2025"/>
        </groupItems>
      </fieldGroup>
    </cacheField>
    <cacheField name="Years" numFmtId="0" databaseField="0">
      <fieldGroup base="1">
        <rangePr groupBy="years" startDate="2023-01-01T00:00:00" endDate="2025-09-28T00:00:00"/>
        <groupItems count="5">
          <s v="&lt;01-01-2023"/>
          <s v="2023"/>
          <s v="2024"/>
          <s v="2025"/>
          <s v="&gt;28-09-2025"/>
        </groupItems>
      </fieldGroup>
    </cacheField>
  </cacheFields>
  <extLst>
    <ext xmlns:x14="http://schemas.microsoft.com/office/spreadsheetml/2009/9/main" uri="{725AE2AE-9491-48be-B2B4-4EB974FC3084}">
      <x14:pivotCacheDefinition pivotCacheId="4498541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s v="TRX-100001"/>
    <x v="0"/>
    <x v="0"/>
    <x v="0"/>
    <x v="0"/>
    <n v="225"/>
    <n v="194.67"/>
    <x v="0"/>
    <n v="13"/>
    <n v="-30.33"/>
    <x v="0"/>
  </r>
  <r>
    <s v="TRX-100002"/>
    <x v="1"/>
    <x v="1"/>
    <x v="1"/>
    <x v="1"/>
    <n v="185"/>
    <n v="230.46"/>
    <x v="1"/>
    <n v="10"/>
    <n v="45.46"/>
    <x v="0"/>
  </r>
  <r>
    <s v="TRX-100003"/>
    <x v="2"/>
    <x v="2"/>
    <x v="2"/>
    <x v="1"/>
    <n v="212"/>
    <n v="270.37"/>
    <x v="2"/>
    <n v="33"/>
    <n v="58.37"/>
    <x v="1"/>
  </r>
  <r>
    <s v="TRX-100004"/>
    <x v="3"/>
    <x v="2"/>
    <x v="1"/>
    <x v="0"/>
    <n v="223"/>
    <n v="180.43"/>
    <x v="3"/>
    <n v="60"/>
    <n v="-42.569999999999901"/>
    <x v="2"/>
  </r>
  <r>
    <s v="TRX-100005"/>
    <x v="4"/>
    <x v="3"/>
    <x v="1"/>
    <x v="0"/>
    <n v="137"/>
    <n v="117.43"/>
    <x v="2"/>
    <n v="30"/>
    <n v="-19.569999999999901"/>
    <x v="3"/>
  </r>
  <r>
    <s v="TRX-100006"/>
    <x v="5"/>
    <x v="3"/>
    <x v="2"/>
    <x v="2"/>
    <n v="131"/>
    <n v="141.32"/>
    <x v="2"/>
    <n v="34"/>
    <n v="10.319999999999901"/>
    <x v="3"/>
  </r>
  <r>
    <s v="TRX-100007"/>
    <x v="6"/>
    <x v="4"/>
    <x v="0"/>
    <x v="0"/>
    <n v="204"/>
    <n v="138.28"/>
    <x v="4"/>
    <n v="38"/>
    <n v="-65.72"/>
    <x v="4"/>
  </r>
  <r>
    <s v="TRX-100008"/>
    <x v="7"/>
    <x v="3"/>
    <x v="3"/>
    <x v="1"/>
    <n v="129"/>
    <n v="295.89999999999998"/>
    <x v="2"/>
    <n v="31"/>
    <n v="166.89999999999901"/>
    <x v="3"/>
  </r>
  <r>
    <s v="TRX-100009"/>
    <x v="8"/>
    <x v="4"/>
    <x v="4"/>
    <x v="2"/>
    <n v="205"/>
    <n v="248.04"/>
    <x v="1"/>
    <n v="1"/>
    <n v="43.0399999999999"/>
    <x v="3"/>
  </r>
  <r>
    <s v="TRX-100010"/>
    <x v="9"/>
    <x v="2"/>
    <x v="4"/>
    <x v="0"/>
    <n v="219"/>
    <n v="170.96"/>
    <x v="4"/>
    <n v="44"/>
    <n v="-48.0399999999999"/>
    <x v="0"/>
  </r>
  <r>
    <s v="TRX-100011"/>
    <x v="10"/>
    <x v="3"/>
    <x v="5"/>
    <x v="2"/>
    <n v="136"/>
    <n v="177.57"/>
    <x v="0"/>
    <n v="5"/>
    <n v="41.569999999999901"/>
    <x v="5"/>
  </r>
  <r>
    <s v="TRX-100012"/>
    <x v="11"/>
    <x v="2"/>
    <x v="1"/>
    <x v="0"/>
    <n v="210"/>
    <n v="169.77"/>
    <x v="2"/>
    <n v="6"/>
    <n v="-40.229999999999897"/>
    <x v="6"/>
  </r>
  <r>
    <s v="TRX-100013"/>
    <x v="12"/>
    <x v="0"/>
    <x v="3"/>
    <x v="0"/>
    <n v="225"/>
    <n v="199.1"/>
    <x v="4"/>
    <n v="56"/>
    <n v="-25.9"/>
    <x v="7"/>
  </r>
  <r>
    <s v="TRX-100014"/>
    <x v="13"/>
    <x v="1"/>
    <x v="3"/>
    <x v="2"/>
    <n v="188"/>
    <n v="200.98"/>
    <x v="2"/>
    <n v="57"/>
    <n v="12.979999999999899"/>
    <x v="5"/>
  </r>
  <r>
    <s v="TRX-100015"/>
    <x v="14"/>
    <x v="2"/>
    <x v="0"/>
    <x v="2"/>
    <n v="219"/>
    <n v="306.35000000000002"/>
    <x v="4"/>
    <n v="34"/>
    <n v="87.35"/>
    <x v="4"/>
  </r>
  <r>
    <s v="TRX-100016"/>
    <x v="15"/>
    <x v="4"/>
    <x v="5"/>
    <x v="2"/>
    <n v="202"/>
    <n v="221.73"/>
    <x v="0"/>
    <n v="13"/>
    <n v="19.729999999999901"/>
    <x v="8"/>
  </r>
  <r>
    <s v="TRX-100017"/>
    <x v="16"/>
    <x v="1"/>
    <x v="6"/>
    <x v="0"/>
    <n v="180"/>
    <n v="134.74"/>
    <x v="3"/>
    <n v="54"/>
    <n v="-45.259999999999899"/>
    <x v="3"/>
  </r>
  <r>
    <s v="TRX-100018"/>
    <x v="17"/>
    <x v="2"/>
    <x v="4"/>
    <x v="0"/>
    <n v="213"/>
    <n v="162.53"/>
    <x v="0"/>
    <n v="9"/>
    <n v="-50.47"/>
    <x v="9"/>
  </r>
  <r>
    <s v="TRX-100019"/>
    <x v="18"/>
    <x v="2"/>
    <x v="3"/>
    <x v="1"/>
    <n v="225"/>
    <n v="305.36"/>
    <x v="3"/>
    <n v="11"/>
    <n v="80.36"/>
    <x v="6"/>
  </r>
  <r>
    <s v="TRX-100020"/>
    <x v="19"/>
    <x v="3"/>
    <x v="6"/>
    <x v="2"/>
    <n v="117"/>
    <n v="165.88"/>
    <x v="1"/>
    <n v="1"/>
    <n v="48.879999999999903"/>
    <x v="0"/>
  </r>
  <r>
    <s v="TRX-100021"/>
    <x v="20"/>
    <x v="1"/>
    <x v="2"/>
    <x v="0"/>
    <n v="189"/>
    <n v="168.98"/>
    <x v="2"/>
    <n v="55"/>
    <n v="-20.02"/>
    <x v="10"/>
  </r>
  <r>
    <s v="TRX-100022"/>
    <x v="21"/>
    <x v="3"/>
    <x v="2"/>
    <x v="1"/>
    <n v="138"/>
    <n v="320.72000000000003"/>
    <x v="4"/>
    <n v="34"/>
    <n v="182.72"/>
    <x v="4"/>
  </r>
  <r>
    <s v="TRX-100023"/>
    <x v="22"/>
    <x v="3"/>
    <x v="7"/>
    <x v="2"/>
    <n v="130"/>
    <n v="124.66"/>
    <x v="4"/>
    <n v="37"/>
    <n v="-5.34"/>
    <x v="11"/>
  </r>
  <r>
    <s v="TRX-100024"/>
    <x v="23"/>
    <x v="3"/>
    <x v="8"/>
    <x v="0"/>
    <n v="121"/>
    <n v="96.9"/>
    <x v="1"/>
    <n v="7"/>
    <n v="-24.099999999999898"/>
    <x v="7"/>
  </r>
  <r>
    <s v="TRX-100025"/>
    <x v="24"/>
    <x v="0"/>
    <x v="5"/>
    <x v="0"/>
    <n v="229"/>
    <n v="179.29"/>
    <x v="0"/>
    <n v="10"/>
    <n v="-49.71"/>
    <x v="4"/>
  </r>
  <r>
    <s v="TRX-100026"/>
    <x v="25"/>
    <x v="3"/>
    <x v="5"/>
    <x v="0"/>
    <n v="127"/>
    <n v="68.52"/>
    <x v="0"/>
    <n v="2"/>
    <n v="-58.48"/>
    <x v="11"/>
  </r>
  <r>
    <s v="TRX-100027"/>
    <x v="26"/>
    <x v="1"/>
    <x v="7"/>
    <x v="1"/>
    <n v="188"/>
    <n v="612.41999999999996"/>
    <x v="3"/>
    <n v="10"/>
    <n v="424.41999999999899"/>
    <x v="10"/>
  </r>
  <r>
    <s v="TRX-100028"/>
    <x v="27"/>
    <x v="0"/>
    <x v="7"/>
    <x v="0"/>
    <n v="226"/>
    <n v="168.45"/>
    <x v="4"/>
    <n v="37"/>
    <n v="-57.55"/>
    <x v="9"/>
  </r>
  <r>
    <s v="TRX-100029"/>
    <x v="28"/>
    <x v="3"/>
    <x v="6"/>
    <x v="0"/>
    <n v="116"/>
    <n v="69.03"/>
    <x v="1"/>
    <n v="6"/>
    <n v="-46.97"/>
    <x v="4"/>
  </r>
  <r>
    <s v="TRX-100030"/>
    <x v="29"/>
    <x v="0"/>
    <x v="0"/>
    <x v="2"/>
    <n v="228"/>
    <n v="241.43"/>
    <x v="3"/>
    <n v="16"/>
    <n v="13.43"/>
    <x v="3"/>
  </r>
  <r>
    <s v="TRX-100031"/>
    <x v="30"/>
    <x v="2"/>
    <x v="4"/>
    <x v="2"/>
    <n v="216"/>
    <n v="306.37"/>
    <x v="3"/>
    <n v="47"/>
    <n v="90.37"/>
    <x v="6"/>
  </r>
  <r>
    <s v="TRX-100032"/>
    <x v="31"/>
    <x v="4"/>
    <x v="6"/>
    <x v="1"/>
    <n v="207"/>
    <n v="680.6"/>
    <x v="3"/>
    <n v="57"/>
    <n v="473.6"/>
    <x v="6"/>
  </r>
  <r>
    <s v="TRX-100033"/>
    <x v="32"/>
    <x v="0"/>
    <x v="5"/>
    <x v="1"/>
    <n v="227"/>
    <n v="591.57000000000005"/>
    <x v="1"/>
    <n v="14"/>
    <n v="364.57"/>
    <x v="6"/>
  </r>
  <r>
    <s v="TRX-100034"/>
    <x v="33"/>
    <x v="1"/>
    <x v="6"/>
    <x v="0"/>
    <n v="188"/>
    <n v="97.46"/>
    <x v="3"/>
    <n v="53"/>
    <n v="-90.54"/>
    <x v="7"/>
  </r>
  <r>
    <s v="TRX-100035"/>
    <x v="34"/>
    <x v="2"/>
    <x v="8"/>
    <x v="1"/>
    <n v="219"/>
    <n v="524.34"/>
    <x v="0"/>
    <n v="1"/>
    <n v="305.33999999999997"/>
    <x v="0"/>
  </r>
  <r>
    <s v="TRX-100036"/>
    <x v="35"/>
    <x v="1"/>
    <x v="3"/>
    <x v="2"/>
    <n v="189"/>
    <n v="235.47"/>
    <x v="3"/>
    <n v="37"/>
    <n v="46.47"/>
    <x v="11"/>
  </r>
  <r>
    <s v="TRX-100037"/>
    <x v="36"/>
    <x v="1"/>
    <x v="1"/>
    <x v="1"/>
    <n v="188"/>
    <n v="427.01"/>
    <x v="1"/>
    <n v="9"/>
    <n v="239.01"/>
    <x v="11"/>
  </r>
  <r>
    <s v="TRX-100038"/>
    <x v="37"/>
    <x v="3"/>
    <x v="7"/>
    <x v="1"/>
    <n v="121"/>
    <n v="304.5"/>
    <x v="1"/>
    <n v="7"/>
    <n v="183.5"/>
    <x v="6"/>
  </r>
  <r>
    <s v="TRX-100039"/>
    <x v="29"/>
    <x v="0"/>
    <x v="6"/>
    <x v="2"/>
    <n v="225"/>
    <n v="301.25"/>
    <x v="0"/>
    <n v="6"/>
    <n v="76.25"/>
    <x v="3"/>
  </r>
  <r>
    <s v="TRX-100040"/>
    <x v="38"/>
    <x v="3"/>
    <x v="3"/>
    <x v="1"/>
    <n v="126"/>
    <n v="168.65"/>
    <x v="1"/>
    <n v="4"/>
    <n v="42.65"/>
    <x v="5"/>
  </r>
  <r>
    <s v="TRX-100041"/>
    <x v="39"/>
    <x v="4"/>
    <x v="4"/>
    <x v="0"/>
    <n v="210"/>
    <n v="154.65"/>
    <x v="4"/>
    <n v="50"/>
    <n v="-55.349999999999902"/>
    <x v="11"/>
  </r>
  <r>
    <s v="TRX-100042"/>
    <x v="40"/>
    <x v="0"/>
    <x v="0"/>
    <x v="2"/>
    <n v="228"/>
    <n v="299.99"/>
    <x v="3"/>
    <n v="50"/>
    <n v="71.989999999999995"/>
    <x v="6"/>
  </r>
  <r>
    <s v="TRX-100043"/>
    <x v="41"/>
    <x v="3"/>
    <x v="7"/>
    <x v="0"/>
    <n v="133"/>
    <n v="73.06"/>
    <x v="1"/>
    <n v="2"/>
    <n v="-59.94"/>
    <x v="5"/>
  </r>
  <r>
    <s v="TRX-100044"/>
    <x v="42"/>
    <x v="1"/>
    <x v="4"/>
    <x v="2"/>
    <n v="183"/>
    <n v="225.13"/>
    <x v="1"/>
    <n v="5"/>
    <n v="42.129999999999903"/>
    <x v="11"/>
  </r>
  <r>
    <s v="TRX-100045"/>
    <x v="43"/>
    <x v="1"/>
    <x v="2"/>
    <x v="2"/>
    <n v="179"/>
    <n v="169.88"/>
    <x v="0"/>
    <n v="12"/>
    <n v="-9.1199999999999992"/>
    <x v="8"/>
  </r>
  <r>
    <s v="TRX-100046"/>
    <x v="44"/>
    <x v="2"/>
    <x v="5"/>
    <x v="0"/>
    <n v="218"/>
    <n v="123.44"/>
    <x v="2"/>
    <n v="34"/>
    <n v="-94.56"/>
    <x v="5"/>
  </r>
  <r>
    <s v="TRX-100047"/>
    <x v="45"/>
    <x v="4"/>
    <x v="4"/>
    <x v="1"/>
    <n v="200"/>
    <n v="319.99"/>
    <x v="0"/>
    <n v="7"/>
    <n v="119.99"/>
    <x v="6"/>
  </r>
  <r>
    <s v="TRX-100048"/>
    <x v="46"/>
    <x v="0"/>
    <x v="8"/>
    <x v="1"/>
    <n v="228"/>
    <n v="555.5"/>
    <x v="1"/>
    <n v="11"/>
    <n v="327.5"/>
    <x v="0"/>
  </r>
  <r>
    <s v="TRX-100049"/>
    <x v="47"/>
    <x v="4"/>
    <x v="6"/>
    <x v="0"/>
    <n v="202"/>
    <n v="108.51"/>
    <x v="1"/>
    <n v="5"/>
    <n v="-93.49"/>
    <x v="10"/>
  </r>
  <r>
    <s v="TRX-100050"/>
    <x v="48"/>
    <x v="2"/>
    <x v="8"/>
    <x v="2"/>
    <n v="220"/>
    <n v="302.88"/>
    <x v="2"/>
    <n v="35"/>
    <n v="82.88"/>
    <x v="9"/>
  </r>
  <r>
    <s v="TRX-100051"/>
    <x v="49"/>
    <x v="4"/>
    <x v="1"/>
    <x v="0"/>
    <n v="200"/>
    <n v="171.01"/>
    <x v="3"/>
    <n v="47"/>
    <n v="-28.99"/>
    <x v="3"/>
  </r>
  <r>
    <s v="TRX-100052"/>
    <x v="50"/>
    <x v="3"/>
    <x v="3"/>
    <x v="0"/>
    <n v="125"/>
    <n v="97.66"/>
    <x v="3"/>
    <n v="21"/>
    <n v="-27.34"/>
    <x v="0"/>
  </r>
  <r>
    <s v="TRX-100053"/>
    <x v="51"/>
    <x v="4"/>
    <x v="3"/>
    <x v="1"/>
    <n v="208"/>
    <n v="446.15"/>
    <x v="2"/>
    <n v="20"/>
    <n v="238.14999999999901"/>
    <x v="3"/>
  </r>
  <r>
    <s v="TRX-100054"/>
    <x v="52"/>
    <x v="0"/>
    <x v="1"/>
    <x v="1"/>
    <n v="226"/>
    <n v="759.43"/>
    <x v="3"/>
    <n v="55"/>
    <n v="533.42999999999995"/>
    <x v="5"/>
  </r>
  <r>
    <s v="TRX-100055"/>
    <x v="53"/>
    <x v="4"/>
    <x v="4"/>
    <x v="2"/>
    <n v="202"/>
    <n v="211.51"/>
    <x v="1"/>
    <n v="8"/>
    <n v="9.5099999999999891"/>
    <x v="7"/>
  </r>
  <r>
    <s v="TRX-100056"/>
    <x v="54"/>
    <x v="3"/>
    <x v="0"/>
    <x v="2"/>
    <n v="132"/>
    <n v="170.01"/>
    <x v="2"/>
    <n v="7"/>
    <n v="38.009999999999899"/>
    <x v="3"/>
  </r>
  <r>
    <s v="TRX-100057"/>
    <x v="55"/>
    <x v="0"/>
    <x v="0"/>
    <x v="0"/>
    <n v="229"/>
    <n v="184.37"/>
    <x v="2"/>
    <n v="53"/>
    <n v="-44.629999999999903"/>
    <x v="0"/>
  </r>
  <r>
    <s v="TRX-100058"/>
    <x v="56"/>
    <x v="1"/>
    <x v="8"/>
    <x v="2"/>
    <n v="176"/>
    <n v="163.4"/>
    <x v="3"/>
    <n v="31"/>
    <n v="-12.5999999999999"/>
    <x v="3"/>
  </r>
  <r>
    <s v="TRX-100059"/>
    <x v="57"/>
    <x v="3"/>
    <x v="2"/>
    <x v="2"/>
    <n v="112"/>
    <n v="110.41"/>
    <x v="2"/>
    <n v="57"/>
    <n v="-1.59"/>
    <x v="0"/>
  </r>
  <r>
    <s v="TRX-100060"/>
    <x v="58"/>
    <x v="0"/>
    <x v="5"/>
    <x v="2"/>
    <n v="228"/>
    <n v="212.72"/>
    <x v="0"/>
    <n v="11"/>
    <n v="-15.28"/>
    <x v="4"/>
  </r>
  <r>
    <s v="TRX-100061"/>
    <x v="59"/>
    <x v="2"/>
    <x v="0"/>
    <x v="2"/>
    <n v="211"/>
    <n v="193.96"/>
    <x v="4"/>
    <n v="50"/>
    <n v="-17.0399999999999"/>
    <x v="9"/>
  </r>
  <r>
    <s v="TRX-100062"/>
    <x v="60"/>
    <x v="1"/>
    <x v="8"/>
    <x v="2"/>
    <n v="173"/>
    <n v="200.36"/>
    <x v="3"/>
    <n v="55"/>
    <n v="27.36"/>
    <x v="11"/>
  </r>
  <r>
    <s v="TRX-100063"/>
    <x v="61"/>
    <x v="4"/>
    <x v="3"/>
    <x v="0"/>
    <n v="208"/>
    <n v="118.61"/>
    <x v="2"/>
    <n v="32"/>
    <n v="-89.39"/>
    <x v="6"/>
  </r>
  <r>
    <s v="TRX-100064"/>
    <x v="62"/>
    <x v="1"/>
    <x v="4"/>
    <x v="0"/>
    <n v="170"/>
    <n v="101.7"/>
    <x v="2"/>
    <n v="28"/>
    <n v="-68.3"/>
    <x v="9"/>
  </r>
  <r>
    <s v="TRX-100065"/>
    <x v="34"/>
    <x v="2"/>
    <x v="4"/>
    <x v="2"/>
    <n v="211"/>
    <n v="191.93"/>
    <x v="1"/>
    <n v="1"/>
    <n v="-19.069999999999901"/>
    <x v="0"/>
  </r>
  <r>
    <s v="TRX-100066"/>
    <x v="63"/>
    <x v="3"/>
    <x v="0"/>
    <x v="1"/>
    <n v="132"/>
    <n v="247.89"/>
    <x v="4"/>
    <n v="32"/>
    <n v="115.88999999999901"/>
    <x v="11"/>
  </r>
  <r>
    <s v="TRX-100067"/>
    <x v="64"/>
    <x v="0"/>
    <x v="6"/>
    <x v="1"/>
    <n v="226"/>
    <n v="670.42"/>
    <x v="1"/>
    <n v="8"/>
    <n v="444.41999999999899"/>
    <x v="2"/>
  </r>
  <r>
    <s v="TRX-100068"/>
    <x v="65"/>
    <x v="2"/>
    <x v="5"/>
    <x v="0"/>
    <n v="220"/>
    <n v="181.97"/>
    <x v="0"/>
    <n v="5"/>
    <n v="-38.03"/>
    <x v="7"/>
  </r>
  <r>
    <s v="TRX-100069"/>
    <x v="66"/>
    <x v="0"/>
    <x v="2"/>
    <x v="0"/>
    <n v="229"/>
    <n v="134.63999999999999"/>
    <x v="4"/>
    <n v="51"/>
    <n v="-94.36"/>
    <x v="7"/>
  </r>
  <r>
    <s v="TRX-100070"/>
    <x v="67"/>
    <x v="1"/>
    <x v="8"/>
    <x v="0"/>
    <n v="181"/>
    <n v="117.95"/>
    <x v="4"/>
    <n v="54"/>
    <n v="-63.05"/>
    <x v="10"/>
  </r>
  <r>
    <s v="TRX-100071"/>
    <x v="68"/>
    <x v="4"/>
    <x v="0"/>
    <x v="2"/>
    <n v="202"/>
    <n v="193.83"/>
    <x v="1"/>
    <n v="14"/>
    <n v="-8.1699999999999804"/>
    <x v="4"/>
  </r>
  <r>
    <s v="TRX-100072"/>
    <x v="69"/>
    <x v="4"/>
    <x v="5"/>
    <x v="1"/>
    <n v="204"/>
    <n v="391.7"/>
    <x v="1"/>
    <n v="9"/>
    <n v="187.7"/>
    <x v="1"/>
  </r>
  <r>
    <s v="TRX-100073"/>
    <x v="70"/>
    <x v="1"/>
    <x v="0"/>
    <x v="0"/>
    <n v="182"/>
    <n v="142.63999999999999"/>
    <x v="0"/>
    <n v="12"/>
    <n v="-39.36"/>
    <x v="2"/>
  </r>
  <r>
    <s v="TRX-100074"/>
    <x v="71"/>
    <x v="0"/>
    <x v="2"/>
    <x v="1"/>
    <n v="230"/>
    <n v="751.9"/>
    <x v="3"/>
    <n v="60"/>
    <n v="521.9"/>
    <x v="10"/>
  </r>
  <r>
    <s v="TRX-100075"/>
    <x v="72"/>
    <x v="1"/>
    <x v="4"/>
    <x v="2"/>
    <n v="187"/>
    <n v="225.83"/>
    <x v="3"/>
    <n v="21"/>
    <n v="38.83"/>
    <x v="0"/>
  </r>
  <r>
    <s v="TRX-100076"/>
    <x v="73"/>
    <x v="0"/>
    <x v="7"/>
    <x v="1"/>
    <n v="230"/>
    <n v="580.21"/>
    <x v="1"/>
    <n v="12"/>
    <n v="350.21"/>
    <x v="5"/>
  </r>
  <r>
    <s v="TRX-100077"/>
    <x v="74"/>
    <x v="4"/>
    <x v="8"/>
    <x v="1"/>
    <n v="207"/>
    <n v="593.96"/>
    <x v="1"/>
    <n v="1"/>
    <n v="386.96"/>
    <x v="10"/>
  </r>
  <r>
    <s v="TRX-100078"/>
    <x v="75"/>
    <x v="0"/>
    <x v="5"/>
    <x v="1"/>
    <n v="230"/>
    <n v="451.82"/>
    <x v="2"/>
    <n v="58"/>
    <n v="221.82"/>
    <x v="4"/>
  </r>
  <r>
    <s v="TRX-100079"/>
    <x v="76"/>
    <x v="4"/>
    <x v="6"/>
    <x v="2"/>
    <n v="204"/>
    <n v="302.94"/>
    <x v="4"/>
    <n v="46"/>
    <n v="98.94"/>
    <x v="10"/>
  </r>
  <r>
    <s v="TRX-100080"/>
    <x v="77"/>
    <x v="1"/>
    <x v="8"/>
    <x v="2"/>
    <n v="182"/>
    <n v="261.39"/>
    <x v="2"/>
    <n v="55"/>
    <n v="79.389999999999901"/>
    <x v="10"/>
  </r>
  <r>
    <s v="TRX-100081"/>
    <x v="78"/>
    <x v="2"/>
    <x v="2"/>
    <x v="1"/>
    <n v="213"/>
    <n v="596.74"/>
    <x v="1"/>
    <n v="3"/>
    <n v="383.74"/>
    <x v="6"/>
  </r>
  <r>
    <s v="TRX-100082"/>
    <x v="79"/>
    <x v="2"/>
    <x v="0"/>
    <x v="2"/>
    <n v="211"/>
    <n v="207.22"/>
    <x v="1"/>
    <n v="9"/>
    <n v="-3.78"/>
    <x v="4"/>
  </r>
  <r>
    <s v="TRX-100083"/>
    <x v="80"/>
    <x v="0"/>
    <x v="2"/>
    <x v="2"/>
    <n v="229"/>
    <n v="265.47000000000003"/>
    <x v="2"/>
    <n v="27"/>
    <n v="36.47"/>
    <x v="8"/>
  </r>
  <r>
    <s v="TRX-100084"/>
    <x v="81"/>
    <x v="4"/>
    <x v="4"/>
    <x v="0"/>
    <n v="210"/>
    <n v="141.72"/>
    <x v="3"/>
    <n v="36"/>
    <n v="-68.28"/>
    <x v="10"/>
  </r>
  <r>
    <s v="TRX-100085"/>
    <x v="82"/>
    <x v="0"/>
    <x v="4"/>
    <x v="1"/>
    <n v="225"/>
    <n v="340.7"/>
    <x v="0"/>
    <n v="6"/>
    <n v="115.69999999999899"/>
    <x v="5"/>
  </r>
  <r>
    <s v="TRX-100086"/>
    <x v="83"/>
    <x v="2"/>
    <x v="8"/>
    <x v="0"/>
    <n v="222"/>
    <n v="140.12"/>
    <x v="2"/>
    <n v="39"/>
    <n v="-81.88"/>
    <x v="11"/>
  </r>
  <r>
    <s v="TRX-100087"/>
    <x v="84"/>
    <x v="2"/>
    <x v="7"/>
    <x v="2"/>
    <n v="217"/>
    <n v="308.89"/>
    <x v="3"/>
    <n v="55"/>
    <n v="91.889999999999901"/>
    <x v="7"/>
  </r>
  <r>
    <s v="TRX-100088"/>
    <x v="85"/>
    <x v="2"/>
    <x v="5"/>
    <x v="0"/>
    <n v="222"/>
    <n v="120.14"/>
    <x v="3"/>
    <n v="58"/>
    <n v="-101.86"/>
    <x v="1"/>
  </r>
  <r>
    <s v="TRX-100089"/>
    <x v="86"/>
    <x v="4"/>
    <x v="2"/>
    <x v="2"/>
    <n v="206"/>
    <n v="256.38"/>
    <x v="4"/>
    <n v="53"/>
    <n v="50.379999999999903"/>
    <x v="6"/>
  </r>
  <r>
    <s v="TRX-100090"/>
    <x v="87"/>
    <x v="0"/>
    <x v="5"/>
    <x v="2"/>
    <n v="227"/>
    <n v="245.01"/>
    <x v="0"/>
    <n v="4"/>
    <n v="18.009999999999899"/>
    <x v="3"/>
  </r>
  <r>
    <s v="TRX-100091"/>
    <x v="88"/>
    <x v="3"/>
    <x v="0"/>
    <x v="0"/>
    <n v="120"/>
    <n v="64.67"/>
    <x v="0"/>
    <n v="1"/>
    <n v="-55.33"/>
    <x v="4"/>
  </r>
  <r>
    <s v="TRX-100092"/>
    <x v="89"/>
    <x v="3"/>
    <x v="2"/>
    <x v="1"/>
    <n v="110"/>
    <n v="170.49"/>
    <x v="2"/>
    <n v="10"/>
    <n v="60.49"/>
    <x v="10"/>
  </r>
  <r>
    <s v="TRX-100093"/>
    <x v="90"/>
    <x v="1"/>
    <x v="0"/>
    <x v="0"/>
    <n v="185"/>
    <n v="114.59"/>
    <x v="0"/>
    <n v="3"/>
    <n v="-70.41"/>
    <x v="4"/>
  </r>
  <r>
    <s v="TRX-100094"/>
    <x v="91"/>
    <x v="4"/>
    <x v="5"/>
    <x v="1"/>
    <n v="200"/>
    <n v="496.04"/>
    <x v="3"/>
    <n v="57"/>
    <n v="296.04000000000002"/>
    <x v="11"/>
  </r>
  <r>
    <s v="TRX-100095"/>
    <x v="92"/>
    <x v="2"/>
    <x v="3"/>
    <x v="2"/>
    <n v="218"/>
    <n v="253.06"/>
    <x v="4"/>
    <n v="26"/>
    <n v="35.06"/>
    <x v="5"/>
  </r>
  <r>
    <s v="TRX-100096"/>
    <x v="93"/>
    <x v="3"/>
    <x v="5"/>
    <x v="0"/>
    <n v="122"/>
    <n v="91.84"/>
    <x v="3"/>
    <n v="59"/>
    <n v="-30.159999999999901"/>
    <x v="11"/>
  </r>
  <r>
    <s v="TRX-100097"/>
    <x v="94"/>
    <x v="1"/>
    <x v="5"/>
    <x v="2"/>
    <n v="185"/>
    <n v="267.18"/>
    <x v="4"/>
    <n v="40"/>
    <n v="82.18"/>
    <x v="2"/>
  </r>
  <r>
    <s v="TRX-100098"/>
    <x v="95"/>
    <x v="4"/>
    <x v="3"/>
    <x v="0"/>
    <n v="209"/>
    <n v="126.82"/>
    <x v="0"/>
    <n v="13"/>
    <n v="-82.18"/>
    <x v="8"/>
  </r>
  <r>
    <s v="TRX-100099"/>
    <x v="32"/>
    <x v="0"/>
    <x v="8"/>
    <x v="0"/>
    <n v="227"/>
    <n v="116.83"/>
    <x v="4"/>
    <n v="18"/>
    <n v="-110.17"/>
    <x v="6"/>
  </r>
  <r>
    <s v="TRX-100100"/>
    <x v="96"/>
    <x v="4"/>
    <x v="7"/>
    <x v="0"/>
    <n v="209"/>
    <n v="187.83"/>
    <x v="4"/>
    <n v="34"/>
    <n v="-21.169999999999899"/>
    <x v="1"/>
  </r>
  <r>
    <s v="TRX-100101"/>
    <x v="97"/>
    <x v="0"/>
    <x v="4"/>
    <x v="0"/>
    <n v="229"/>
    <n v="185.03"/>
    <x v="4"/>
    <n v="23"/>
    <n v="-43.97"/>
    <x v="4"/>
  </r>
  <r>
    <s v="TRX-100102"/>
    <x v="98"/>
    <x v="3"/>
    <x v="4"/>
    <x v="1"/>
    <n v="115"/>
    <n v="398.6"/>
    <x v="0"/>
    <n v="4"/>
    <n v="283.60000000000002"/>
    <x v="2"/>
  </r>
  <r>
    <s v="TRX-100103"/>
    <x v="99"/>
    <x v="2"/>
    <x v="1"/>
    <x v="2"/>
    <n v="213"/>
    <n v="271.36"/>
    <x v="0"/>
    <n v="13"/>
    <n v="58.36"/>
    <x v="7"/>
  </r>
  <r>
    <s v="TRX-100104"/>
    <x v="100"/>
    <x v="3"/>
    <x v="8"/>
    <x v="1"/>
    <n v="128"/>
    <n v="380.27"/>
    <x v="4"/>
    <n v="7"/>
    <n v="252.26999999999899"/>
    <x v="11"/>
  </r>
  <r>
    <s v="TRX-100105"/>
    <x v="1"/>
    <x v="2"/>
    <x v="1"/>
    <x v="2"/>
    <n v="213"/>
    <n v="316.7"/>
    <x v="1"/>
    <n v="8"/>
    <n v="103.69999999999899"/>
    <x v="0"/>
  </r>
  <r>
    <s v="TRX-100106"/>
    <x v="101"/>
    <x v="4"/>
    <x v="3"/>
    <x v="0"/>
    <n v="203"/>
    <n v="155.9"/>
    <x v="2"/>
    <n v="58"/>
    <n v="-47.099999999999902"/>
    <x v="4"/>
  </r>
  <r>
    <s v="TRX-100107"/>
    <x v="102"/>
    <x v="0"/>
    <x v="8"/>
    <x v="2"/>
    <n v="226"/>
    <n v="271.02"/>
    <x v="2"/>
    <n v="52"/>
    <n v="45.019999999999897"/>
    <x v="1"/>
  </r>
  <r>
    <s v="TRX-100108"/>
    <x v="103"/>
    <x v="3"/>
    <x v="1"/>
    <x v="2"/>
    <n v="127"/>
    <n v="166.77"/>
    <x v="1"/>
    <n v="7"/>
    <n v="39.770000000000003"/>
    <x v="3"/>
  </r>
  <r>
    <s v="TRX-100109"/>
    <x v="104"/>
    <x v="3"/>
    <x v="8"/>
    <x v="0"/>
    <n v="124"/>
    <n v="96.13"/>
    <x v="2"/>
    <n v="45"/>
    <n v="-27.87"/>
    <x v="5"/>
  </r>
  <r>
    <s v="TRX-100110"/>
    <x v="105"/>
    <x v="3"/>
    <x v="8"/>
    <x v="2"/>
    <n v="126"/>
    <n v="113.7"/>
    <x v="2"/>
    <n v="32"/>
    <n v="-12.299999999999899"/>
    <x v="2"/>
  </r>
  <r>
    <s v="TRX-100111"/>
    <x v="106"/>
    <x v="4"/>
    <x v="6"/>
    <x v="1"/>
    <n v="206"/>
    <n v="670.71"/>
    <x v="4"/>
    <n v="48"/>
    <n v="464.71"/>
    <x v="8"/>
  </r>
  <r>
    <s v="TRX-100112"/>
    <x v="107"/>
    <x v="3"/>
    <x v="5"/>
    <x v="0"/>
    <n v="114"/>
    <n v="57.12"/>
    <x v="1"/>
    <n v="14"/>
    <n v="-56.88"/>
    <x v="6"/>
  </r>
  <r>
    <s v="TRX-100113"/>
    <x v="108"/>
    <x v="0"/>
    <x v="6"/>
    <x v="1"/>
    <n v="228"/>
    <n v="352.01"/>
    <x v="4"/>
    <n v="22"/>
    <n v="124.009999999999"/>
    <x v="10"/>
  </r>
  <r>
    <s v="TRX-100114"/>
    <x v="109"/>
    <x v="4"/>
    <x v="8"/>
    <x v="2"/>
    <n v="208"/>
    <n v="202.7"/>
    <x v="4"/>
    <n v="29"/>
    <n v="-5.3000000000000096"/>
    <x v="0"/>
  </r>
  <r>
    <s v="TRX-100115"/>
    <x v="110"/>
    <x v="1"/>
    <x v="2"/>
    <x v="1"/>
    <n v="185"/>
    <n v="638.41"/>
    <x v="3"/>
    <n v="37"/>
    <n v="453.409999999999"/>
    <x v="1"/>
  </r>
  <r>
    <s v="TRX-100116"/>
    <x v="111"/>
    <x v="4"/>
    <x v="0"/>
    <x v="1"/>
    <n v="202"/>
    <n v="662.24"/>
    <x v="3"/>
    <n v="33"/>
    <n v="460.24"/>
    <x v="2"/>
  </r>
  <r>
    <s v="TRX-100117"/>
    <x v="112"/>
    <x v="2"/>
    <x v="1"/>
    <x v="0"/>
    <n v="213"/>
    <n v="167.9"/>
    <x v="3"/>
    <n v="52"/>
    <n v="-45.099999999999902"/>
    <x v="7"/>
  </r>
  <r>
    <s v="TRX-100118"/>
    <x v="54"/>
    <x v="0"/>
    <x v="3"/>
    <x v="0"/>
    <n v="228"/>
    <n v="156.44999999999999"/>
    <x v="3"/>
    <n v="46"/>
    <n v="-71.55"/>
    <x v="3"/>
  </r>
  <r>
    <s v="TRX-100119"/>
    <x v="113"/>
    <x v="2"/>
    <x v="3"/>
    <x v="2"/>
    <n v="225"/>
    <n v="215.69"/>
    <x v="0"/>
    <n v="1"/>
    <n v="-9.31"/>
    <x v="10"/>
  </r>
  <r>
    <s v="TRX-100120"/>
    <x v="114"/>
    <x v="2"/>
    <x v="7"/>
    <x v="1"/>
    <n v="214"/>
    <n v="740.16"/>
    <x v="0"/>
    <n v="2"/>
    <n v="526.16"/>
    <x v="7"/>
  </r>
  <r>
    <s v="TRX-100121"/>
    <x v="115"/>
    <x v="0"/>
    <x v="0"/>
    <x v="1"/>
    <n v="225"/>
    <n v="431.8"/>
    <x v="0"/>
    <n v="8"/>
    <n v="206.8"/>
    <x v="10"/>
  </r>
  <r>
    <s v="TRX-100122"/>
    <x v="116"/>
    <x v="3"/>
    <x v="8"/>
    <x v="2"/>
    <n v="122"/>
    <n v="173.33"/>
    <x v="4"/>
    <n v="33"/>
    <n v="51.33"/>
    <x v="8"/>
  </r>
  <r>
    <s v="TRX-100123"/>
    <x v="117"/>
    <x v="0"/>
    <x v="8"/>
    <x v="2"/>
    <n v="229"/>
    <n v="334.39"/>
    <x v="4"/>
    <n v="34"/>
    <n v="105.38999999999901"/>
    <x v="6"/>
  </r>
  <r>
    <s v="TRX-100124"/>
    <x v="118"/>
    <x v="2"/>
    <x v="3"/>
    <x v="1"/>
    <n v="219"/>
    <n v="553.42999999999995"/>
    <x v="2"/>
    <n v="29"/>
    <n v="334.42999999999898"/>
    <x v="6"/>
  </r>
  <r>
    <s v="TRX-100125"/>
    <x v="119"/>
    <x v="2"/>
    <x v="8"/>
    <x v="2"/>
    <n v="210"/>
    <n v="199.34"/>
    <x v="1"/>
    <n v="11"/>
    <n v="-10.659999999999901"/>
    <x v="6"/>
  </r>
  <r>
    <s v="TRX-100126"/>
    <x v="120"/>
    <x v="4"/>
    <x v="7"/>
    <x v="0"/>
    <n v="200"/>
    <n v="139.97999999999999"/>
    <x v="1"/>
    <n v="2"/>
    <n v="-60.02"/>
    <x v="4"/>
  </r>
  <r>
    <s v="TRX-100127"/>
    <x v="121"/>
    <x v="3"/>
    <x v="6"/>
    <x v="2"/>
    <n v="114"/>
    <n v="109.48"/>
    <x v="4"/>
    <n v="41"/>
    <n v="-4.5199999999999898"/>
    <x v="6"/>
  </r>
  <r>
    <s v="TRX-100128"/>
    <x v="122"/>
    <x v="4"/>
    <x v="7"/>
    <x v="0"/>
    <n v="200"/>
    <n v="106.63"/>
    <x v="3"/>
    <n v="17"/>
    <n v="-93.37"/>
    <x v="11"/>
  </r>
  <r>
    <s v="TRX-100129"/>
    <x v="123"/>
    <x v="4"/>
    <x v="1"/>
    <x v="1"/>
    <n v="209"/>
    <n v="448.74"/>
    <x v="1"/>
    <n v="6"/>
    <n v="239.74"/>
    <x v="9"/>
  </r>
  <r>
    <s v="TRX-100130"/>
    <x v="124"/>
    <x v="0"/>
    <x v="1"/>
    <x v="1"/>
    <n v="230"/>
    <n v="452.78"/>
    <x v="1"/>
    <n v="2"/>
    <n v="222.77999999999901"/>
    <x v="4"/>
  </r>
  <r>
    <s v="TRX-100131"/>
    <x v="125"/>
    <x v="4"/>
    <x v="3"/>
    <x v="0"/>
    <n v="206"/>
    <n v="120.27"/>
    <x v="0"/>
    <n v="1"/>
    <n v="-85.73"/>
    <x v="4"/>
  </r>
  <r>
    <s v="TRX-100132"/>
    <x v="23"/>
    <x v="0"/>
    <x v="0"/>
    <x v="2"/>
    <n v="228"/>
    <n v="261.39999999999998"/>
    <x v="1"/>
    <n v="5"/>
    <n v="33.399999999999899"/>
    <x v="7"/>
  </r>
  <r>
    <s v="TRX-100133"/>
    <x v="20"/>
    <x v="4"/>
    <x v="0"/>
    <x v="1"/>
    <n v="207"/>
    <n v="667.69"/>
    <x v="0"/>
    <n v="7"/>
    <n v="460.69"/>
    <x v="10"/>
  </r>
  <r>
    <s v="TRX-100134"/>
    <x v="126"/>
    <x v="2"/>
    <x v="7"/>
    <x v="1"/>
    <n v="214"/>
    <n v="447"/>
    <x v="3"/>
    <n v="40"/>
    <n v="233"/>
    <x v="9"/>
  </r>
  <r>
    <s v="TRX-100135"/>
    <x v="127"/>
    <x v="0"/>
    <x v="7"/>
    <x v="0"/>
    <n v="230"/>
    <n v="189.06"/>
    <x v="0"/>
    <n v="7"/>
    <n v="-40.94"/>
    <x v="1"/>
  </r>
  <r>
    <s v="TRX-100136"/>
    <x v="128"/>
    <x v="1"/>
    <x v="1"/>
    <x v="2"/>
    <n v="176"/>
    <n v="187.96"/>
    <x v="4"/>
    <n v="50"/>
    <n v="11.96"/>
    <x v="5"/>
  </r>
  <r>
    <s v="TRX-100137"/>
    <x v="129"/>
    <x v="3"/>
    <x v="1"/>
    <x v="1"/>
    <n v="138"/>
    <n v="240.47"/>
    <x v="3"/>
    <n v="42"/>
    <n v="102.47"/>
    <x v="4"/>
  </r>
  <r>
    <s v="TRX-100138"/>
    <x v="130"/>
    <x v="2"/>
    <x v="7"/>
    <x v="0"/>
    <n v="216"/>
    <n v="166.68"/>
    <x v="1"/>
    <n v="6"/>
    <n v="-49.319999999999901"/>
    <x v="2"/>
  </r>
  <r>
    <s v="TRX-100139"/>
    <x v="131"/>
    <x v="0"/>
    <x v="8"/>
    <x v="1"/>
    <n v="228"/>
    <n v="791.53"/>
    <x v="4"/>
    <n v="49"/>
    <n v="563.53"/>
    <x v="10"/>
  </r>
  <r>
    <s v="TRX-100140"/>
    <x v="132"/>
    <x v="1"/>
    <x v="2"/>
    <x v="2"/>
    <n v="172"/>
    <n v="242.38"/>
    <x v="1"/>
    <n v="2"/>
    <n v="70.38"/>
    <x v="3"/>
  </r>
  <r>
    <s v="TRX-100141"/>
    <x v="133"/>
    <x v="0"/>
    <x v="5"/>
    <x v="2"/>
    <n v="230"/>
    <n v="281"/>
    <x v="0"/>
    <n v="10"/>
    <n v="51"/>
    <x v="3"/>
  </r>
  <r>
    <s v="TRX-100142"/>
    <x v="134"/>
    <x v="3"/>
    <x v="7"/>
    <x v="1"/>
    <n v="129"/>
    <n v="228.99"/>
    <x v="2"/>
    <n v="15"/>
    <n v="99.99"/>
    <x v="3"/>
  </r>
  <r>
    <s v="TRX-100143"/>
    <x v="36"/>
    <x v="0"/>
    <x v="8"/>
    <x v="0"/>
    <n v="228"/>
    <n v="118.31"/>
    <x v="2"/>
    <n v="37"/>
    <n v="-109.69"/>
    <x v="11"/>
  </r>
  <r>
    <s v="TRX-100144"/>
    <x v="114"/>
    <x v="3"/>
    <x v="8"/>
    <x v="0"/>
    <n v="131"/>
    <n v="68.989999999999995"/>
    <x v="2"/>
    <n v="11"/>
    <n v="-62.01"/>
    <x v="7"/>
  </r>
  <r>
    <s v="TRX-100145"/>
    <x v="135"/>
    <x v="3"/>
    <x v="6"/>
    <x v="2"/>
    <n v="128"/>
    <n v="184.96"/>
    <x v="3"/>
    <n v="26"/>
    <n v="56.96"/>
    <x v="11"/>
  </r>
  <r>
    <s v="TRX-100146"/>
    <x v="136"/>
    <x v="3"/>
    <x v="8"/>
    <x v="0"/>
    <n v="130"/>
    <n v="88.39"/>
    <x v="1"/>
    <n v="7"/>
    <n v="-41.61"/>
    <x v="6"/>
  </r>
  <r>
    <s v="TRX-100147"/>
    <x v="137"/>
    <x v="4"/>
    <x v="8"/>
    <x v="1"/>
    <n v="204"/>
    <n v="593.17999999999995"/>
    <x v="1"/>
    <n v="10"/>
    <n v="389.17999999999898"/>
    <x v="6"/>
  </r>
  <r>
    <s v="TRX-100148"/>
    <x v="129"/>
    <x v="1"/>
    <x v="2"/>
    <x v="0"/>
    <n v="172"/>
    <n v="110.16"/>
    <x v="3"/>
    <n v="26"/>
    <n v="-61.84"/>
    <x v="4"/>
  </r>
  <r>
    <s v="TRX-100149"/>
    <x v="138"/>
    <x v="4"/>
    <x v="1"/>
    <x v="0"/>
    <n v="203"/>
    <n v="181.72"/>
    <x v="0"/>
    <n v="13"/>
    <n v="-21.28"/>
    <x v="2"/>
  </r>
  <r>
    <s v="TRX-100150"/>
    <x v="139"/>
    <x v="4"/>
    <x v="7"/>
    <x v="0"/>
    <n v="204"/>
    <n v="126.16"/>
    <x v="3"/>
    <n v="10"/>
    <n v="-77.84"/>
    <x v="5"/>
  </r>
  <r>
    <s v="TRX-100151"/>
    <x v="140"/>
    <x v="4"/>
    <x v="5"/>
    <x v="2"/>
    <n v="205"/>
    <n v="278.83999999999997"/>
    <x v="4"/>
    <n v="54"/>
    <n v="73.839999999999904"/>
    <x v="2"/>
  </r>
  <r>
    <s v="TRX-100152"/>
    <x v="141"/>
    <x v="3"/>
    <x v="2"/>
    <x v="1"/>
    <n v="123"/>
    <n v="268.24"/>
    <x v="3"/>
    <n v="54"/>
    <n v="145.24"/>
    <x v="3"/>
  </r>
  <r>
    <s v="TRX-100153"/>
    <x v="142"/>
    <x v="3"/>
    <x v="1"/>
    <x v="1"/>
    <n v="124"/>
    <n v="397.45"/>
    <x v="3"/>
    <n v="58"/>
    <n v="273.45"/>
    <x v="3"/>
  </r>
  <r>
    <s v="TRX-100154"/>
    <x v="143"/>
    <x v="4"/>
    <x v="3"/>
    <x v="0"/>
    <n v="209"/>
    <n v="175.28"/>
    <x v="4"/>
    <n v="17"/>
    <n v="-33.72"/>
    <x v="7"/>
  </r>
  <r>
    <s v="TRX-100155"/>
    <x v="144"/>
    <x v="4"/>
    <x v="5"/>
    <x v="0"/>
    <n v="209"/>
    <n v="150.85"/>
    <x v="0"/>
    <n v="10"/>
    <n v="-58.15"/>
    <x v="4"/>
  </r>
  <r>
    <s v="TRX-100156"/>
    <x v="145"/>
    <x v="2"/>
    <x v="0"/>
    <x v="1"/>
    <n v="221"/>
    <n v="498.32"/>
    <x v="4"/>
    <n v="53"/>
    <n v="277.32"/>
    <x v="8"/>
  </r>
  <r>
    <s v="TRX-100157"/>
    <x v="67"/>
    <x v="2"/>
    <x v="5"/>
    <x v="0"/>
    <n v="218"/>
    <n v="179.27"/>
    <x v="0"/>
    <n v="14"/>
    <n v="-38.729999999999897"/>
    <x v="10"/>
  </r>
  <r>
    <s v="TRX-100158"/>
    <x v="146"/>
    <x v="0"/>
    <x v="7"/>
    <x v="2"/>
    <n v="227"/>
    <n v="271.14999999999998"/>
    <x v="3"/>
    <n v="12"/>
    <n v="44.149999999999899"/>
    <x v="9"/>
  </r>
  <r>
    <s v="TRX-100159"/>
    <x v="147"/>
    <x v="2"/>
    <x v="3"/>
    <x v="2"/>
    <n v="215"/>
    <n v="217.54"/>
    <x v="2"/>
    <n v="52"/>
    <n v="2.5399999999999898"/>
    <x v="4"/>
  </r>
  <r>
    <s v="TRX-100160"/>
    <x v="148"/>
    <x v="0"/>
    <x v="0"/>
    <x v="2"/>
    <n v="226"/>
    <n v="217.63"/>
    <x v="3"/>
    <n v="30"/>
    <n v="-8.3699999999999992"/>
    <x v="0"/>
  </r>
  <r>
    <s v="TRX-100161"/>
    <x v="149"/>
    <x v="3"/>
    <x v="0"/>
    <x v="1"/>
    <n v="113"/>
    <n v="219.47"/>
    <x v="2"/>
    <n v="40"/>
    <n v="106.47"/>
    <x v="10"/>
  </r>
  <r>
    <s v="TRX-100162"/>
    <x v="150"/>
    <x v="3"/>
    <x v="6"/>
    <x v="0"/>
    <n v="135"/>
    <n v="75.069999999999993"/>
    <x v="3"/>
    <n v="19"/>
    <n v="-59.93"/>
    <x v="2"/>
  </r>
  <r>
    <s v="TRX-100163"/>
    <x v="1"/>
    <x v="2"/>
    <x v="8"/>
    <x v="2"/>
    <n v="211"/>
    <n v="300.64999999999998"/>
    <x v="4"/>
    <n v="13"/>
    <n v="89.649999999999906"/>
    <x v="0"/>
  </r>
  <r>
    <s v="TRX-100164"/>
    <x v="151"/>
    <x v="2"/>
    <x v="1"/>
    <x v="1"/>
    <n v="219"/>
    <n v="670.79"/>
    <x v="2"/>
    <n v="13"/>
    <n v="451.789999999999"/>
    <x v="10"/>
  </r>
  <r>
    <s v="TRX-100165"/>
    <x v="152"/>
    <x v="2"/>
    <x v="6"/>
    <x v="1"/>
    <n v="212"/>
    <n v="369.48"/>
    <x v="0"/>
    <n v="5"/>
    <n v="157.47999999999999"/>
    <x v="11"/>
  </r>
  <r>
    <s v="TRX-100166"/>
    <x v="153"/>
    <x v="4"/>
    <x v="6"/>
    <x v="2"/>
    <n v="203"/>
    <n v="187.45"/>
    <x v="3"/>
    <n v="58"/>
    <n v="-15.55"/>
    <x v="2"/>
  </r>
  <r>
    <s v="TRX-100167"/>
    <x v="154"/>
    <x v="0"/>
    <x v="0"/>
    <x v="1"/>
    <n v="226"/>
    <n v="530.98"/>
    <x v="3"/>
    <n v="51"/>
    <n v="304.98"/>
    <x v="2"/>
  </r>
  <r>
    <s v="TRX-100168"/>
    <x v="155"/>
    <x v="4"/>
    <x v="2"/>
    <x v="0"/>
    <n v="200"/>
    <n v="110.61"/>
    <x v="0"/>
    <n v="8"/>
    <n v="-89.39"/>
    <x v="7"/>
  </r>
  <r>
    <s v="TRX-100169"/>
    <x v="156"/>
    <x v="2"/>
    <x v="3"/>
    <x v="2"/>
    <n v="210"/>
    <n v="217.43"/>
    <x v="4"/>
    <n v="5"/>
    <n v="7.43"/>
    <x v="10"/>
  </r>
  <r>
    <s v="TRX-100170"/>
    <x v="157"/>
    <x v="1"/>
    <x v="0"/>
    <x v="1"/>
    <n v="190"/>
    <n v="650.91"/>
    <x v="2"/>
    <n v="28"/>
    <n v="460.909999999999"/>
    <x v="2"/>
  </r>
  <r>
    <s v="TRX-100171"/>
    <x v="158"/>
    <x v="2"/>
    <x v="5"/>
    <x v="1"/>
    <n v="217"/>
    <n v="538.58000000000004"/>
    <x v="3"/>
    <n v="52"/>
    <n v="321.58"/>
    <x v="10"/>
  </r>
  <r>
    <s v="TRX-100172"/>
    <x v="159"/>
    <x v="4"/>
    <x v="7"/>
    <x v="1"/>
    <n v="200"/>
    <n v="370.77"/>
    <x v="1"/>
    <n v="9"/>
    <n v="170.76999999999899"/>
    <x v="8"/>
  </r>
  <r>
    <s v="TRX-100173"/>
    <x v="160"/>
    <x v="4"/>
    <x v="2"/>
    <x v="0"/>
    <n v="210"/>
    <n v="132.38999999999999"/>
    <x v="3"/>
    <n v="46"/>
    <n v="-77.61"/>
    <x v="10"/>
  </r>
  <r>
    <s v="TRX-100174"/>
    <x v="161"/>
    <x v="0"/>
    <x v="1"/>
    <x v="2"/>
    <n v="226"/>
    <n v="220.39"/>
    <x v="1"/>
    <n v="10"/>
    <n v="-5.6100000000000101"/>
    <x v="7"/>
  </r>
  <r>
    <s v="TRX-100175"/>
    <x v="162"/>
    <x v="3"/>
    <x v="8"/>
    <x v="0"/>
    <n v="137"/>
    <n v="74.430000000000007"/>
    <x v="4"/>
    <n v="15"/>
    <n v="-62.569999999999901"/>
    <x v="6"/>
  </r>
  <r>
    <s v="TRX-100176"/>
    <x v="163"/>
    <x v="1"/>
    <x v="5"/>
    <x v="1"/>
    <n v="187"/>
    <n v="459.93"/>
    <x v="2"/>
    <n v="42"/>
    <n v="272.93"/>
    <x v="7"/>
  </r>
  <r>
    <s v="TRX-100177"/>
    <x v="164"/>
    <x v="2"/>
    <x v="6"/>
    <x v="2"/>
    <n v="218"/>
    <n v="208.31"/>
    <x v="1"/>
    <n v="14"/>
    <n v="-9.6899999999999906"/>
    <x v="11"/>
  </r>
  <r>
    <s v="TRX-100178"/>
    <x v="165"/>
    <x v="4"/>
    <x v="5"/>
    <x v="0"/>
    <n v="210"/>
    <n v="183.61"/>
    <x v="3"/>
    <n v="41"/>
    <n v="-26.389999999999901"/>
    <x v="11"/>
  </r>
  <r>
    <s v="TRX-100179"/>
    <x v="166"/>
    <x v="1"/>
    <x v="7"/>
    <x v="2"/>
    <n v="177"/>
    <n v="238.95"/>
    <x v="4"/>
    <n v="51"/>
    <n v="61.949999999999903"/>
    <x v="5"/>
  </r>
  <r>
    <s v="TRX-100180"/>
    <x v="167"/>
    <x v="0"/>
    <x v="0"/>
    <x v="2"/>
    <n v="225"/>
    <n v="288.70999999999998"/>
    <x v="4"/>
    <n v="17"/>
    <n v="63.709999999999901"/>
    <x v="1"/>
  </r>
  <r>
    <s v="TRX-100181"/>
    <x v="168"/>
    <x v="3"/>
    <x v="0"/>
    <x v="0"/>
    <n v="130"/>
    <n v="83.33"/>
    <x v="1"/>
    <n v="1"/>
    <n v="-46.67"/>
    <x v="5"/>
  </r>
  <r>
    <s v="TRX-100182"/>
    <x v="169"/>
    <x v="0"/>
    <x v="6"/>
    <x v="1"/>
    <n v="226"/>
    <n v="475.82"/>
    <x v="0"/>
    <n v="13"/>
    <n v="249.82"/>
    <x v="4"/>
  </r>
  <r>
    <s v="TRX-100183"/>
    <x v="140"/>
    <x v="0"/>
    <x v="5"/>
    <x v="2"/>
    <n v="226"/>
    <n v="236.38"/>
    <x v="1"/>
    <n v="14"/>
    <n v="10.3799999999999"/>
    <x v="2"/>
  </r>
  <r>
    <s v="TRX-100184"/>
    <x v="170"/>
    <x v="4"/>
    <x v="6"/>
    <x v="0"/>
    <n v="208"/>
    <n v="128.21"/>
    <x v="2"/>
    <n v="9"/>
    <n v="-79.789999999999907"/>
    <x v="3"/>
  </r>
  <r>
    <s v="TRX-100185"/>
    <x v="53"/>
    <x v="2"/>
    <x v="3"/>
    <x v="2"/>
    <n v="213"/>
    <n v="235.86"/>
    <x v="0"/>
    <n v="4"/>
    <n v="22.86"/>
    <x v="7"/>
  </r>
  <r>
    <s v="TRX-100186"/>
    <x v="171"/>
    <x v="3"/>
    <x v="8"/>
    <x v="1"/>
    <n v="132"/>
    <n v="180.21"/>
    <x v="2"/>
    <n v="36"/>
    <n v="48.21"/>
    <x v="11"/>
  </r>
  <r>
    <s v="TRX-100187"/>
    <x v="172"/>
    <x v="2"/>
    <x v="3"/>
    <x v="2"/>
    <n v="225"/>
    <n v="224.29"/>
    <x v="0"/>
    <n v="2"/>
    <n v="-0.71000000000000796"/>
    <x v="0"/>
  </r>
  <r>
    <s v="TRX-100188"/>
    <x v="173"/>
    <x v="2"/>
    <x v="7"/>
    <x v="1"/>
    <n v="218"/>
    <n v="326.39"/>
    <x v="1"/>
    <n v="4"/>
    <n v="108.38999999999901"/>
    <x v="6"/>
  </r>
  <r>
    <s v="TRX-100189"/>
    <x v="174"/>
    <x v="1"/>
    <x v="3"/>
    <x v="2"/>
    <n v="190"/>
    <n v="256.70999999999998"/>
    <x v="3"/>
    <n v="47"/>
    <n v="66.709999999999894"/>
    <x v="0"/>
  </r>
  <r>
    <s v="TRX-100190"/>
    <x v="56"/>
    <x v="2"/>
    <x v="5"/>
    <x v="0"/>
    <n v="210"/>
    <n v="154.63"/>
    <x v="3"/>
    <n v="42"/>
    <n v="-55.37"/>
    <x v="3"/>
  </r>
  <r>
    <s v="TRX-100191"/>
    <x v="175"/>
    <x v="3"/>
    <x v="8"/>
    <x v="0"/>
    <n v="124"/>
    <n v="86.82"/>
    <x v="0"/>
    <n v="1"/>
    <n v="-37.18"/>
    <x v="10"/>
  </r>
  <r>
    <s v="TRX-100192"/>
    <x v="168"/>
    <x v="3"/>
    <x v="4"/>
    <x v="2"/>
    <n v="112"/>
    <n v="112.3"/>
    <x v="0"/>
    <n v="14"/>
    <n v="0.29999999999999699"/>
    <x v="5"/>
  </r>
  <r>
    <s v="TRX-100193"/>
    <x v="106"/>
    <x v="4"/>
    <x v="6"/>
    <x v="2"/>
    <n v="200"/>
    <n v="262.91000000000003"/>
    <x v="2"/>
    <n v="23"/>
    <n v="62.91"/>
    <x v="8"/>
  </r>
  <r>
    <s v="TRX-100194"/>
    <x v="176"/>
    <x v="4"/>
    <x v="8"/>
    <x v="2"/>
    <n v="205"/>
    <n v="278.45"/>
    <x v="2"/>
    <n v="28"/>
    <n v="73.449999999999903"/>
    <x v="7"/>
  </r>
  <r>
    <s v="TRX-100195"/>
    <x v="177"/>
    <x v="4"/>
    <x v="5"/>
    <x v="1"/>
    <n v="209"/>
    <n v="517.53"/>
    <x v="0"/>
    <n v="10"/>
    <n v="308.52999999999997"/>
    <x v="7"/>
  </r>
  <r>
    <s v="TRX-100196"/>
    <x v="178"/>
    <x v="4"/>
    <x v="3"/>
    <x v="2"/>
    <n v="204"/>
    <n v="256.3"/>
    <x v="4"/>
    <n v="39"/>
    <n v="52.3"/>
    <x v="10"/>
  </r>
  <r>
    <s v="TRX-100197"/>
    <x v="179"/>
    <x v="4"/>
    <x v="0"/>
    <x v="0"/>
    <n v="207"/>
    <n v="146.56"/>
    <x v="0"/>
    <n v="5"/>
    <n v="-60.44"/>
    <x v="7"/>
  </r>
  <r>
    <s v="TRX-100198"/>
    <x v="180"/>
    <x v="4"/>
    <x v="0"/>
    <x v="1"/>
    <n v="210"/>
    <n v="665.39"/>
    <x v="0"/>
    <n v="11"/>
    <n v="455.39"/>
    <x v="1"/>
  </r>
  <r>
    <s v="TRX-100199"/>
    <x v="99"/>
    <x v="3"/>
    <x v="4"/>
    <x v="0"/>
    <n v="137"/>
    <n v="76.959999999999994"/>
    <x v="1"/>
    <n v="5"/>
    <n v="-60.04"/>
    <x v="7"/>
  </r>
  <r>
    <s v="TRX-100200"/>
    <x v="181"/>
    <x v="3"/>
    <x v="7"/>
    <x v="1"/>
    <n v="131"/>
    <n v="335.31"/>
    <x v="2"/>
    <n v="50"/>
    <n v="204.31"/>
    <x v="4"/>
  </r>
  <r>
    <s v="TRX-100201"/>
    <x v="182"/>
    <x v="3"/>
    <x v="5"/>
    <x v="2"/>
    <n v="114"/>
    <n v="123.08"/>
    <x v="1"/>
    <n v="10"/>
    <n v="9.0799999999999894"/>
    <x v="7"/>
  </r>
  <r>
    <s v="TRX-100202"/>
    <x v="129"/>
    <x v="0"/>
    <x v="6"/>
    <x v="1"/>
    <n v="227"/>
    <n v="446.18"/>
    <x v="4"/>
    <n v="59"/>
    <n v="219.18"/>
    <x v="4"/>
  </r>
  <r>
    <s v="TRX-100203"/>
    <x v="5"/>
    <x v="1"/>
    <x v="2"/>
    <x v="1"/>
    <n v="172"/>
    <n v="217.8"/>
    <x v="1"/>
    <n v="9"/>
    <n v="45.8"/>
    <x v="3"/>
  </r>
  <r>
    <s v="TRX-100204"/>
    <x v="183"/>
    <x v="4"/>
    <x v="1"/>
    <x v="1"/>
    <n v="202"/>
    <n v="375.91"/>
    <x v="3"/>
    <n v="29"/>
    <n v="173.91"/>
    <x v="1"/>
  </r>
  <r>
    <s v="TRX-100205"/>
    <x v="184"/>
    <x v="1"/>
    <x v="0"/>
    <x v="1"/>
    <n v="170"/>
    <n v="349.42"/>
    <x v="1"/>
    <n v="4"/>
    <n v="179.42"/>
    <x v="8"/>
  </r>
  <r>
    <s v="TRX-100206"/>
    <x v="185"/>
    <x v="4"/>
    <x v="7"/>
    <x v="1"/>
    <n v="200"/>
    <n v="530.63"/>
    <x v="4"/>
    <n v="32"/>
    <n v="330.63"/>
    <x v="6"/>
  </r>
  <r>
    <s v="TRX-100207"/>
    <x v="186"/>
    <x v="1"/>
    <x v="6"/>
    <x v="0"/>
    <n v="188"/>
    <n v="116.99"/>
    <x v="2"/>
    <n v="24"/>
    <n v="-71.010000000000005"/>
    <x v="1"/>
  </r>
  <r>
    <s v="TRX-100208"/>
    <x v="187"/>
    <x v="3"/>
    <x v="1"/>
    <x v="1"/>
    <n v="131"/>
    <n v="299.32"/>
    <x v="4"/>
    <n v="29"/>
    <n v="168.32"/>
    <x v="2"/>
  </r>
  <r>
    <s v="TRX-100209"/>
    <x v="188"/>
    <x v="0"/>
    <x v="5"/>
    <x v="1"/>
    <n v="230"/>
    <n v="462.29"/>
    <x v="1"/>
    <n v="11"/>
    <n v="232.29"/>
    <x v="9"/>
  </r>
  <r>
    <s v="TRX-100210"/>
    <x v="37"/>
    <x v="2"/>
    <x v="6"/>
    <x v="2"/>
    <n v="220"/>
    <n v="248.39"/>
    <x v="0"/>
    <n v="1"/>
    <n v="28.389999999999901"/>
    <x v="6"/>
  </r>
  <r>
    <s v="TRX-100211"/>
    <x v="189"/>
    <x v="3"/>
    <x v="3"/>
    <x v="0"/>
    <n v="122"/>
    <n v="93.7"/>
    <x v="2"/>
    <n v="42"/>
    <n v="-28.299999999999901"/>
    <x v="0"/>
  </r>
  <r>
    <s v="TRX-100212"/>
    <x v="190"/>
    <x v="3"/>
    <x v="0"/>
    <x v="2"/>
    <n v="116"/>
    <n v="158.12"/>
    <x v="0"/>
    <n v="2"/>
    <n v="42.12"/>
    <x v="3"/>
  </r>
  <r>
    <s v="TRX-100213"/>
    <x v="191"/>
    <x v="1"/>
    <x v="6"/>
    <x v="2"/>
    <n v="171"/>
    <n v="197.55"/>
    <x v="2"/>
    <n v="47"/>
    <n v="26.55"/>
    <x v="8"/>
  </r>
  <r>
    <s v="TRX-100214"/>
    <x v="192"/>
    <x v="1"/>
    <x v="2"/>
    <x v="1"/>
    <n v="170"/>
    <n v="594.91999999999996"/>
    <x v="2"/>
    <n v="47"/>
    <n v="424.91999999999899"/>
    <x v="3"/>
  </r>
  <r>
    <s v="TRX-100215"/>
    <x v="168"/>
    <x v="0"/>
    <x v="2"/>
    <x v="2"/>
    <n v="228"/>
    <n v="286.14"/>
    <x v="0"/>
    <n v="4"/>
    <n v="58.139999999999901"/>
    <x v="5"/>
  </r>
  <r>
    <s v="TRX-100216"/>
    <x v="193"/>
    <x v="0"/>
    <x v="6"/>
    <x v="2"/>
    <n v="228"/>
    <n v="229.84"/>
    <x v="0"/>
    <n v="2"/>
    <n v="1.84"/>
    <x v="0"/>
  </r>
  <r>
    <s v="TRX-100217"/>
    <x v="194"/>
    <x v="2"/>
    <x v="5"/>
    <x v="0"/>
    <n v="216"/>
    <n v="165.87"/>
    <x v="3"/>
    <n v="18"/>
    <n v="-50.129999999999903"/>
    <x v="5"/>
  </r>
  <r>
    <s v="TRX-100218"/>
    <x v="195"/>
    <x v="1"/>
    <x v="6"/>
    <x v="1"/>
    <n v="175"/>
    <n v="573.30999999999995"/>
    <x v="2"/>
    <n v="9"/>
    <n v="398.30999999999898"/>
    <x v="5"/>
  </r>
  <r>
    <s v="TRX-100219"/>
    <x v="196"/>
    <x v="3"/>
    <x v="2"/>
    <x v="0"/>
    <n v="135"/>
    <n v="112.03"/>
    <x v="1"/>
    <n v="14"/>
    <n v="-22.97"/>
    <x v="11"/>
  </r>
  <r>
    <s v="TRX-100220"/>
    <x v="197"/>
    <x v="4"/>
    <x v="4"/>
    <x v="1"/>
    <n v="200"/>
    <n v="669.49"/>
    <x v="1"/>
    <n v="6"/>
    <n v="469.49"/>
    <x v="4"/>
  </r>
  <r>
    <s v="TRX-100221"/>
    <x v="198"/>
    <x v="2"/>
    <x v="4"/>
    <x v="0"/>
    <n v="224"/>
    <n v="174.73"/>
    <x v="1"/>
    <n v="5"/>
    <n v="-49.27"/>
    <x v="11"/>
  </r>
  <r>
    <s v="TRX-100222"/>
    <x v="199"/>
    <x v="3"/>
    <x v="8"/>
    <x v="0"/>
    <n v="123"/>
    <n v="91.4"/>
    <x v="1"/>
    <n v="9"/>
    <n v="-31.599999999999898"/>
    <x v="8"/>
  </r>
  <r>
    <s v="TRX-100223"/>
    <x v="200"/>
    <x v="2"/>
    <x v="2"/>
    <x v="2"/>
    <n v="214"/>
    <n v="265.54000000000002"/>
    <x v="0"/>
    <n v="7"/>
    <n v="51.54"/>
    <x v="10"/>
  </r>
  <r>
    <s v="TRX-100224"/>
    <x v="201"/>
    <x v="1"/>
    <x v="1"/>
    <x v="0"/>
    <n v="176"/>
    <n v="138.80000000000001"/>
    <x v="2"/>
    <n v="44"/>
    <n v="-37.199999999999903"/>
    <x v="10"/>
  </r>
  <r>
    <s v="TRX-100225"/>
    <x v="202"/>
    <x v="0"/>
    <x v="7"/>
    <x v="2"/>
    <n v="226"/>
    <n v="287.33"/>
    <x v="0"/>
    <n v="4"/>
    <n v="61.329999999999899"/>
    <x v="2"/>
  </r>
  <r>
    <s v="TRX-100226"/>
    <x v="203"/>
    <x v="4"/>
    <x v="3"/>
    <x v="2"/>
    <n v="201"/>
    <n v="292.64"/>
    <x v="3"/>
    <n v="36"/>
    <n v="91.639999999999901"/>
    <x v="0"/>
  </r>
  <r>
    <s v="TRX-100227"/>
    <x v="204"/>
    <x v="1"/>
    <x v="1"/>
    <x v="0"/>
    <n v="176"/>
    <n v="144.72999999999999"/>
    <x v="0"/>
    <n v="1"/>
    <n v="-31.27"/>
    <x v="4"/>
  </r>
  <r>
    <s v="TRX-100228"/>
    <x v="205"/>
    <x v="4"/>
    <x v="5"/>
    <x v="0"/>
    <n v="210"/>
    <n v="131.04"/>
    <x v="1"/>
    <n v="3"/>
    <n v="-78.959999999999994"/>
    <x v="1"/>
  </r>
  <r>
    <s v="TRX-100229"/>
    <x v="101"/>
    <x v="3"/>
    <x v="2"/>
    <x v="2"/>
    <n v="134"/>
    <n v="136.47999999999999"/>
    <x v="2"/>
    <n v="58"/>
    <n v="2.47999999999998"/>
    <x v="4"/>
  </r>
  <r>
    <s v="TRX-100230"/>
    <x v="206"/>
    <x v="0"/>
    <x v="3"/>
    <x v="0"/>
    <n v="227"/>
    <n v="186.52"/>
    <x v="0"/>
    <n v="9"/>
    <n v="-40.479999999999897"/>
    <x v="0"/>
  </r>
  <r>
    <s v="TRX-100231"/>
    <x v="207"/>
    <x v="4"/>
    <x v="3"/>
    <x v="2"/>
    <n v="202"/>
    <n v="209.94"/>
    <x v="2"/>
    <n v="52"/>
    <n v="7.9399999999999897"/>
    <x v="8"/>
  </r>
  <r>
    <s v="TRX-100232"/>
    <x v="208"/>
    <x v="0"/>
    <x v="5"/>
    <x v="2"/>
    <n v="227"/>
    <n v="249.59"/>
    <x v="3"/>
    <n v="53"/>
    <n v="22.59"/>
    <x v="9"/>
  </r>
  <r>
    <s v="TRX-100233"/>
    <x v="209"/>
    <x v="0"/>
    <x v="6"/>
    <x v="1"/>
    <n v="230"/>
    <n v="355.33"/>
    <x v="0"/>
    <n v="6"/>
    <n v="125.329999999999"/>
    <x v="3"/>
  </r>
  <r>
    <s v="TRX-100234"/>
    <x v="210"/>
    <x v="0"/>
    <x v="2"/>
    <x v="0"/>
    <n v="229"/>
    <n v="153.84"/>
    <x v="1"/>
    <n v="7"/>
    <n v="-75.16"/>
    <x v="5"/>
  </r>
  <r>
    <s v="TRX-100235"/>
    <x v="211"/>
    <x v="4"/>
    <x v="8"/>
    <x v="0"/>
    <n v="205"/>
    <n v="152.24"/>
    <x v="1"/>
    <n v="3"/>
    <n v="-52.759999999999899"/>
    <x v="7"/>
  </r>
  <r>
    <s v="TRX-100236"/>
    <x v="159"/>
    <x v="3"/>
    <x v="1"/>
    <x v="2"/>
    <n v="113"/>
    <n v="141.58000000000001"/>
    <x v="0"/>
    <n v="11"/>
    <n v="28.58"/>
    <x v="8"/>
  </r>
  <r>
    <s v="TRX-100237"/>
    <x v="212"/>
    <x v="0"/>
    <x v="5"/>
    <x v="2"/>
    <n v="227"/>
    <n v="251.93"/>
    <x v="4"/>
    <n v="55"/>
    <n v="24.93"/>
    <x v="2"/>
  </r>
  <r>
    <s v="TRX-100238"/>
    <x v="140"/>
    <x v="0"/>
    <x v="8"/>
    <x v="0"/>
    <n v="229"/>
    <n v="138.25"/>
    <x v="4"/>
    <n v="59"/>
    <n v="-90.75"/>
    <x v="2"/>
  </r>
  <r>
    <s v="TRX-100239"/>
    <x v="213"/>
    <x v="1"/>
    <x v="1"/>
    <x v="2"/>
    <n v="178"/>
    <n v="221.71"/>
    <x v="1"/>
    <n v="9"/>
    <n v="43.71"/>
    <x v="2"/>
  </r>
  <r>
    <s v="TRX-100240"/>
    <x v="214"/>
    <x v="0"/>
    <x v="0"/>
    <x v="2"/>
    <n v="226"/>
    <n v="302.12"/>
    <x v="1"/>
    <n v="4"/>
    <n v="76.12"/>
    <x v="1"/>
  </r>
  <r>
    <s v="TRX-100241"/>
    <x v="215"/>
    <x v="0"/>
    <x v="3"/>
    <x v="0"/>
    <n v="227"/>
    <n v="166.63"/>
    <x v="0"/>
    <n v="12"/>
    <n v="-60.37"/>
    <x v="7"/>
  </r>
  <r>
    <s v="TRX-100242"/>
    <x v="216"/>
    <x v="0"/>
    <x v="8"/>
    <x v="1"/>
    <n v="229"/>
    <n v="441.52"/>
    <x v="0"/>
    <n v="11"/>
    <n v="212.51999999999899"/>
    <x v="8"/>
  </r>
  <r>
    <s v="TRX-100243"/>
    <x v="217"/>
    <x v="2"/>
    <x v="7"/>
    <x v="1"/>
    <n v="211"/>
    <n v="490.2"/>
    <x v="2"/>
    <n v="17"/>
    <n v="279.2"/>
    <x v="8"/>
  </r>
  <r>
    <s v="TRX-100244"/>
    <x v="218"/>
    <x v="2"/>
    <x v="6"/>
    <x v="1"/>
    <n v="217"/>
    <n v="411.85"/>
    <x v="1"/>
    <n v="7"/>
    <n v="194.85"/>
    <x v="7"/>
  </r>
  <r>
    <s v="TRX-100245"/>
    <x v="60"/>
    <x v="2"/>
    <x v="4"/>
    <x v="0"/>
    <n v="213"/>
    <n v="123.74"/>
    <x v="4"/>
    <n v="14"/>
    <n v="-89.26"/>
    <x v="11"/>
  </r>
  <r>
    <s v="TRX-100246"/>
    <x v="219"/>
    <x v="2"/>
    <x v="5"/>
    <x v="2"/>
    <n v="220"/>
    <n v="324.56"/>
    <x v="1"/>
    <n v="1"/>
    <n v="104.56"/>
    <x v="6"/>
  </r>
  <r>
    <s v="TRX-100247"/>
    <x v="220"/>
    <x v="2"/>
    <x v="5"/>
    <x v="0"/>
    <n v="218"/>
    <n v="115.36"/>
    <x v="0"/>
    <n v="13"/>
    <n v="-102.64"/>
    <x v="11"/>
  </r>
  <r>
    <s v="TRX-100248"/>
    <x v="60"/>
    <x v="2"/>
    <x v="4"/>
    <x v="2"/>
    <n v="219"/>
    <n v="261.31"/>
    <x v="3"/>
    <n v="31"/>
    <n v="42.31"/>
    <x v="11"/>
  </r>
  <r>
    <s v="TRX-100249"/>
    <x v="221"/>
    <x v="4"/>
    <x v="6"/>
    <x v="1"/>
    <n v="206"/>
    <n v="652.45000000000005"/>
    <x v="1"/>
    <n v="2"/>
    <n v="446.45"/>
    <x v="3"/>
  </r>
  <r>
    <s v="TRX-100250"/>
    <x v="222"/>
    <x v="1"/>
    <x v="1"/>
    <x v="2"/>
    <n v="172"/>
    <n v="227.76"/>
    <x v="4"/>
    <n v="6"/>
    <n v="55.759999999999899"/>
    <x v="9"/>
  </r>
  <r>
    <s v="TRX-100251"/>
    <x v="58"/>
    <x v="4"/>
    <x v="0"/>
    <x v="0"/>
    <n v="208"/>
    <n v="147.53"/>
    <x v="3"/>
    <n v="8"/>
    <n v="-60.47"/>
    <x v="4"/>
  </r>
  <r>
    <s v="TRX-100252"/>
    <x v="223"/>
    <x v="0"/>
    <x v="5"/>
    <x v="1"/>
    <n v="228"/>
    <n v="787.91"/>
    <x v="1"/>
    <n v="5"/>
    <n v="559.91"/>
    <x v="9"/>
  </r>
  <r>
    <s v="TRX-100253"/>
    <x v="224"/>
    <x v="2"/>
    <x v="6"/>
    <x v="1"/>
    <n v="224"/>
    <n v="773.88"/>
    <x v="1"/>
    <n v="13"/>
    <n v="549.88"/>
    <x v="3"/>
  </r>
  <r>
    <s v="TRX-100254"/>
    <x v="225"/>
    <x v="2"/>
    <x v="5"/>
    <x v="0"/>
    <n v="219"/>
    <n v="121.67"/>
    <x v="3"/>
    <n v="16"/>
    <n v="-97.33"/>
    <x v="10"/>
  </r>
  <r>
    <s v="TRX-100255"/>
    <x v="226"/>
    <x v="1"/>
    <x v="5"/>
    <x v="1"/>
    <n v="176"/>
    <n v="285.43"/>
    <x v="4"/>
    <n v="16"/>
    <n v="109.43"/>
    <x v="10"/>
  </r>
  <r>
    <s v="TRX-100256"/>
    <x v="227"/>
    <x v="3"/>
    <x v="6"/>
    <x v="2"/>
    <n v="113"/>
    <n v="150.16"/>
    <x v="3"/>
    <n v="12"/>
    <n v="37.159999999999997"/>
    <x v="6"/>
  </r>
  <r>
    <s v="TRX-100257"/>
    <x v="228"/>
    <x v="3"/>
    <x v="7"/>
    <x v="0"/>
    <n v="127"/>
    <n v="103"/>
    <x v="2"/>
    <n v="46"/>
    <n v="-24"/>
    <x v="8"/>
  </r>
  <r>
    <s v="TRX-100258"/>
    <x v="229"/>
    <x v="2"/>
    <x v="8"/>
    <x v="1"/>
    <n v="212"/>
    <n v="618.66999999999996"/>
    <x v="1"/>
    <n v="7"/>
    <n v="406.66999999999899"/>
    <x v="2"/>
  </r>
  <r>
    <s v="TRX-100259"/>
    <x v="230"/>
    <x v="0"/>
    <x v="5"/>
    <x v="2"/>
    <n v="228"/>
    <n v="298.10000000000002"/>
    <x v="2"/>
    <n v="56"/>
    <n v="70.099999999999994"/>
    <x v="4"/>
  </r>
  <r>
    <s v="TRX-100260"/>
    <x v="231"/>
    <x v="2"/>
    <x v="4"/>
    <x v="0"/>
    <n v="220"/>
    <n v="166.34"/>
    <x v="3"/>
    <n v="48"/>
    <n v="-53.66"/>
    <x v="8"/>
  </r>
  <r>
    <s v="TRX-100261"/>
    <x v="232"/>
    <x v="1"/>
    <x v="6"/>
    <x v="1"/>
    <n v="178"/>
    <n v="568.72"/>
    <x v="3"/>
    <n v="47"/>
    <n v="390.72"/>
    <x v="6"/>
  </r>
  <r>
    <s v="TRX-100262"/>
    <x v="59"/>
    <x v="3"/>
    <x v="6"/>
    <x v="0"/>
    <n v="123"/>
    <n v="76.930000000000007"/>
    <x v="1"/>
    <n v="10"/>
    <n v="-46.069999999999901"/>
    <x v="9"/>
  </r>
  <r>
    <s v="TRX-100263"/>
    <x v="233"/>
    <x v="3"/>
    <x v="0"/>
    <x v="0"/>
    <n v="135"/>
    <n v="88.12"/>
    <x v="2"/>
    <n v="12"/>
    <n v="-46.879999999999903"/>
    <x v="5"/>
  </r>
  <r>
    <s v="TRX-100264"/>
    <x v="234"/>
    <x v="4"/>
    <x v="6"/>
    <x v="1"/>
    <n v="210"/>
    <n v="270.61"/>
    <x v="4"/>
    <n v="16"/>
    <n v="60.61"/>
    <x v="6"/>
  </r>
  <r>
    <s v="TRX-100265"/>
    <x v="235"/>
    <x v="3"/>
    <x v="0"/>
    <x v="1"/>
    <n v="135"/>
    <n v="168.47"/>
    <x v="1"/>
    <n v="8"/>
    <n v="33.47"/>
    <x v="7"/>
  </r>
  <r>
    <s v="TRX-100266"/>
    <x v="236"/>
    <x v="1"/>
    <x v="8"/>
    <x v="0"/>
    <n v="186"/>
    <n v="105.45"/>
    <x v="0"/>
    <n v="2"/>
    <n v="-80.55"/>
    <x v="8"/>
  </r>
  <r>
    <s v="TRX-100267"/>
    <x v="237"/>
    <x v="3"/>
    <x v="7"/>
    <x v="0"/>
    <n v="136"/>
    <n v="94.21"/>
    <x v="1"/>
    <n v="3"/>
    <n v="-41.79"/>
    <x v="0"/>
  </r>
  <r>
    <s v="TRX-100268"/>
    <x v="163"/>
    <x v="2"/>
    <x v="7"/>
    <x v="0"/>
    <n v="213"/>
    <n v="123.38"/>
    <x v="3"/>
    <n v="5"/>
    <n v="-89.62"/>
    <x v="7"/>
  </r>
  <r>
    <s v="TRX-100269"/>
    <x v="238"/>
    <x v="0"/>
    <x v="6"/>
    <x v="1"/>
    <n v="230"/>
    <n v="599.35"/>
    <x v="0"/>
    <n v="13"/>
    <n v="369.35"/>
    <x v="3"/>
  </r>
  <r>
    <s v="TRX-100270"/>
    <x v="239"/>
    <x v="4"/>
    <x v="5"/>
    <x v="0"/>
    <n v="200"/>
    <n v="163.09"/>
    <x v="0"/>
    <n v="6"/>
    <n v="-36.909999999999997"/>
    <x v="7"/>
  </r>
  <r>
    <s v="TRX-100271"/>
    <x v="31"/>
    <x v="3"/>
    <x v="6"/>
    <x v="0"/>
    <n v="122"/>
    <n v="64.23"/>
    <x v="4"/>
    <n v="23"/>
    <n v="-57.769999999999897"/>
    <x v="6"/>
  </r>
  <r>
    <s v="TRX-100272"/>
    <x v="240"/>
    <x v="4"/>
    <x v="3"/>
    <x v="0"/>
    <n v="202"/>
    <n v="153.52000000000001"/>
    <x v="2"/>
    <n v="51"/>
    <n v="-48.479999999999897"/>
    <x v="4"/>
  </r>
  <r>
    <s v="TRX-100273"/>
    <x v="241"/>
    <x v="4"/>
    <x v="7"/>
    <x v="1"/>
    <n v="200"/>
    <n v="605.9"/>
    <x v="2"/>
    <n v="56"/>
    <n v="405.9"/>
    <x v="2"/>
  </r>
  <r>
    <s v="TRX-100274"/>
    <x v="242"/>
    <x v="2"/>
    <x v="5"/>
    <x v="0"/>
    <n v="224"/>
    <n v="196.27"/>
    <x v="3"/>
    <n v="14"/>
    <n v="-27.729999999999901"/>
    <x v="9"/>
  </r>
  <r>
    <s v="TRX-100275"/>
    <x v="243"/>
    <x v="4"/>
    <x v="7"/>
    <x v="0"/>
    <n v="203"/>
    <n v="147.58000000000001"/>
    <x v="0"/>
    <n v="10"/>
    <n v="-55.419999999999902"/>
    <x v="8"/>
  </r>
  <r>
    <s v="TRX-100276"/>
    <x v="244"/>
    <x v="4"/>
    <x v="5"/>
    <x v="2"/>
    <n v="201"/>
    <n v="294.12"/>
    <x v="2"/>
    <n v="31"/>
    <n v="93.12"/>
    <x v="6"/>
  </r>
  <r>
    <s v="TRX-100277"/>
    <x v="245"/>
    <x v="3"/>
    <x v="8"/>
    <x v="0"/>
    <n v="139"/>
    <n v="95.54"/>
    <x v="4"/>
    <n v="22"/>
    <n v="-43.459999999999901"/>
    <x v="0"/>
  </r>
  <r>
    <s v="TRX-100278"/>
    <x v="50"/>
    <x v="3"/>
    <x v="5"/>
    <x v="2"/>
    <n v="123"/>
    <n v="160.21"/>
    <x v="3"/>
    <n v="51"/>
    <n v="37.21"/>
    <x v="0"/>
  </r>
  <r>
    <s v="TRX-100279"/>
    <x v="246"/>
    <x v="1"/>
    <x v="0"/>
    <x v="1"/>
    <n v="188"/>
    <n v="402.04"/>
    <x v="2"/>
    <n v="35"/>
    <n v="214.04"/>
    <x v="7"/>
  </r>
  <r>
    <s v="TRX-100280"/>
    <x v="201"/>
    <x v="3"/>
    <x v="0"/>
    <x v="2"/>
    <n v="136"/>
    <n v="165.32"/>
    <x v="2"/>
    <n v="12"/>
    <n v="29.319999999999901"/>
    <x v="10"/>
  </r>
  <r>
    <s v="TRX-100281"/>
    <x v="247"/>
    <x v="1"/>
    <x v="3"/>
    <x v="0"/>
    <n v="175"/>
    <n v="148.5"/>
    <x v="2"/>
    <n v="18"/>
    <n v="-26.5"/>
    <x v="6"/>
  </r>
  <r>
    <s v="TRX-100282"/>
    <x v="248"/>
    <x v="0"/>
    <x v="0"/>
    <x v="1"/>
    <n v="228"/>
    <n v="743.43"/>
    <x v="1"/>
    <n v="1"/>
    <n v="515.42999999999995"/>
    <x v="2"/>
  </r>
  <r>
    <s v="TRX-100283"/>
    <x v="249"/>
    <x v="0"/>
    <x v="8"/>
    <x v="1"/>
    <n v="229"/>
    <n v="759.16"/>
    <x v="4"/>
    <n v="6"/>
    <n v="530.16"/>
    <x v="2"/>
  </r>
  <r>
    <s v="TRX-100284"/>
    <x v="250"/>
    <x v="3"/>
    <x v="4"/>
    <x v="0"/>
    <n v="137"/>
    <n v="115.82"/>
    <x v="2"/>
    <n v="50"/>
    <n v="-21.18"/>
    <x v="7"/>
  </r>
  <r>
    <s v="TRX-100285"/>
    <x v="251"/>
    <x v="2"/>
    <x v="3"/>
    <x v="0"/>
    <n v="221"/>
    <n v="179.56"/>
    <x v="0"/>
    <n v="10"/>
    <n v="-41.44"/>
    <x v="6"/>
  </r>
  <r>
    <s v="TRX-100286"/>
    <x v="252"/>
    <x v="0"/>
    <x v="7"/>
    <x v="1"/>
    <n v="225"/>
    <n v="668.65"/>
    <x v="4"/>
    <n v="33"/>
    <n v="443.65"/>
    <x v="4"/>
  </r>
  <r>
    <s v="TRX-100287"/>
    <x v="12"/>
    <x v="3"/>
    <x v="0"/>
    <x v="1"/>
    <n v="140"/>
    <n v="292.93"/>
    <x v="2"/>
    <n v="25"/>
    <n v="152.93"/>
    <x v="7"/>
  </r>
  <r>
    <s v="TRX-100288"/>
    <x v="130"/>
    <x v="3"/>
    <x v="4"/>
    <x v="1"/>
    <n v="123"/>
    <n v="368.08"/>
    <x v="2"/>
    <n v="22"/>
    <n v="245.07999999999899"/>
    <x v="2"/>
  </r>
  <r>
    <s v="TRX-100289"/>
    <x v="253"/>
    <x v="2"/>
    <x v="2"/>
    <x v="1"/>
    <n v="218"/>
    <n v="369.92"/>
    <x v="2"/>
    <n v="8"/>
    <n v="151.91999999999999"/>
    <x v="10"/>
  </r>
  <r>
    <s v="TRX-100290"/>
    <x v="254"/>
    <x v="3"/>
    <x v="3"/>
    <x v="1"/>
    <n v="112"/>
    <n v="153.01"/>
    <x v="4"/>
    <n v="43"/>
    <n v="41.009999999999899"/>
    <x v="8"/>
  </r>
  <r>
    <s v="TRX-100291"/>
    <x v="255"/>
    <x v="3"/>
    <x v="4"/>
    <x v="0"/>
    <n v="138"/>
    <n v="84.73"/>
    <x v="4"/>
    <n v="46"/>
    <n v="-53.269999999999897"/>
    <x v="10"/>
  </r>
  <r>
    <s v="TRX-100292"/>
    <x v="127"/>
    <x v="0"/>
    <x v="8"/>
    <x v="0"/>
    <n v="225"/>
    <n v="147.51"/>
    <x v="0"/>
    <n v="4"/>
    <n v="-77.489999999999995"/>
    <x v="1"/>
  </r>
  <r>
    <s v="TRX-100293"/>
    <x v="28"/>
    <x v="4"/>
    <x v="0"/>
    <x v="1"/>
    <n v="203"/>
    <n v="650.30999999999995"/>
    <x v="2"/>
    <n v="53"/>
    <n v="447.30999999999898"/>
    <x v="4"/>
  </r>
  <r>
    <s v="TRX-100294"/>
    <x v="256"/>
    <x v="1"/>
    <x v="3"/>
    <x v="1"/>
    <n v="180"/>
    <n v="517.77"/>
    <x v="2"/>
    <n v="30"/>
    <n v="337.77"/>
    <x v="3"/>
  </r>
  <r>
    <s v="TRX-100295"/>
    <x v="257"/>
    <x v="1"/>
    <x v="8"/>
    <x v="0"/>
    <n v="172"/>
    <n v="147.27000000000001"/>
    <x v="0"/>
    <n v="12"/>
    <n v="-24.729999999999901"/>
    <x v="6"/>
  </r>
  <r>
    <s v="TRX-100296"/>
    <x v="258"/>
    <x v="4"/>
    <x v="4"/>
    <x v="1"/>
    <n v="205"/>
    <n v="575.80999999999995"/>
    <x v="2"/>
    <n v="25"/>
    <n v="370.80999999999898"/>
    <x v="3"/>
  </r>
  <r>
    <s v="TRX-100297"/>
    <x v="259"/>
    <x v="2"/>
    <x v="7"/>
    <x v="1"/>
    <n v="225"/>
    <n v="449.9"/>
    <x v="3"/>
    <n v="31"/>
    <n v="224.89999999999901"/>
    <x v="2"/>
  </r>
  <r>
    <s v="TRX-100298"/>
    <x v="260"/>
    <x v="1"/>
    <x v="3"/>
    <x v="2"/>
    <n v="187"/>
    <n v="268.31"/>
    <x v="0"/>
    <n v="11"/>
    <n v="81.31"/>
    <x v="11"/>
  </r>
  <r>
    <s v="TRX-100299"/>
    <x v="261"/>
    <x v="2"/>
    <x v="2"/>
    <x v="2"/>
    <n v="222"/>
    <n v="332.15"/>
    <x v="2"/>
    <n v="58"/>
    <n v="110.149999999999"/>
    <x v="2"/>
  </r>
  <r>
    <s v="TRX-100300"/>
    <x v="23"/>
    <x v="4"/>
    <x v="8"/>
    <x v="2"/>
    <n v="202"/>
    <n v="270.87"/>
    <x v="0"/>
    <n v="11"/>
    <n v="68.87"/>
    <x v="7"/>
  </r>
  <r>
    <s v="TRX-100301"/>
    <x v="141"/>
    <x v="3"/>
    <x v="3"/>
    <x v="1"/>
    <n v="115"/>
    <n v="250.66"/>
    <x v="1"/>
    <n v="6"/>
    <n v="135.66"/>
    <x v="3"/>
  </r>
  <r>
    <s v="TRX-100302"/>
    <x v="262"/>
    <x v="3"/>
    <x v="5"/>
    <x v="1"/>
    <n v="139"/>
    <n v="328.15"/>
    <x v="3"/>
    <n v="27"/>
    <n v="189.14999999999901"/>
    <x v="10"/>
  </r>
  <r>
    <s v="TRX-100303"/>
    <x v="263"/>
    <x v="4"/>
    <x v="3"/>
    <x v="1"/>
    <n v="201"/>
    <n v="330.78"/>
    <x v="0"/>
    <n v="2"/>
    <n v="129.77999999999901"/>
    <x v="10"/>
  </r>
  <r>
    <s v="TRX-100304"/>
    <x v="56"/>
    <x v="3"/>
    <x v="1"/>
    <x v="1"/>
    <n v="126"/>
    <n v="252.81"/>
    <x v="2"/>
    <n v="34"/>
    <n v="126.81"/>
    <x v="3"/>
  </r>
  <r>
    <s v="TRX-100305"/>
    <x v="54"/>
    <x v="3"/>
    <x v="0"/>
    <x v="2"/>
    <n v="122"/>
    <n v="141.12"/>
    <x v="1"/>
    <n v="12"/>
    <n v="19.12"/>
    <x v="3"/>
  </r>
  <r>
    <s v="TRX-100306"/>
    <x v="49"/>
    <x v="4"/>
    <x v="1"/>
    <x v="0"/>
    <n v="205"/>
    <n v="123.84"/>
    <x v="0"/>
    <n v="3"/>
    <n v="-81.16"/>
    <x v="3"/>
  </r>
  <r>
    <s v="TRX-100307"/>
    <x v="136"/>
    <x v="0"/>
    <x v="0"/>
    <x v="1"/>
    <n v="226"/>
    <n v="439.93"/>
    <x v="2"/>
    <n v="13"/>
    <n v="213.93"/>
    <x v="6"/>
  </r>
  <r>
    <s v="TRX-100308"/>
    <x v="264"/>
    <x v="2"/>
    <x v="6"/>
    <x v="0"/>
    <n v="223"/>
    <n v="195.53"/>
    <x v="1"/>
    <n v="11"/>
    <n v="-27.47"/>
    <x v="6"/>
  </r>
  <r>
    <s v="TRX-100309"/>
    <x v="265"/>
    <x v="2"/>
    <x v="1"/>
    <x v="0"/>
    <n v="220"/>
    <n v="123.02"/>
    <x v="1"/>
    <n v="12"/>
    <n v="-96.98"/>
    <x v="1"/>
  </r>
  <r>
    <s v="TRX-100310"/>
    <x v="266"/>
    <x v="4"/>
    <x v="4"/>
    <x v="2"/>
    <n v="205"/>
    <n v="212.7"/>
    <x v="4"/>
    <n v="25"/>
    <n v="7.6999999999999797"/>
    <x v="0"/>
  </r>
  <r>
    <s v="TRX-100311"/>
    <x v="267"/>
    <x v="0"/>
    <x v="6"/>
    <x v="1"/>
    <n v="230"/>
    <n v="731.56"/>
    <x v="4"/>
    <n v="52"/>
    <n v="501.55999999999898"/>
    <x v="2"/>
  </r>
  <r>
    <s v="TRX-100312"/>
    <x v="268"/>
    <x v="2"/>
    <x v="3"/>
    <x v="0"/>
    <n v="220"/>
    <n v="161.37"/>
    <x v="4"/>
    <n v="6"/>
    <n v="-58.629999999999903"/>
    <x v="8"/>
  </r>
  <r>
    <s v="TRX-100313"/>
    <x v="269"/>
    <x v="0"/>
    <x v="8"/>
    <x v="1"/>
    <n v="227"/>
    <n v="788.65"/>
    <x v="1"/>
    <n v="5"/>
    <n v="561.65"/>
    <x v="6"/>
  </r>
  <r>
    <s v="TRX-100314"/>
    <x v="153"/>
    <x v="4"/>
    <x v="3"/>
    <x v="1"/>
    <n v="202"/>
    <n v="451.35"/>
    <x v="2"/>
    <n v="11"/>
    <n v="249.35"/>
    <x v="2"/>
  </r>
  <r>
    <s v="TRX-100315"/>
    <x v="270"/>
    <x v="1"/>
    <x v="0"/>
    <x v="0"/>
    <n v="173"/>
    <n v="153.80000000000001"/>
    <x v="3"/>
    <n v="28"/>
    <n v="-19.1999999999999"/>
    <x v="5"/>
  </r>
  <r>
    <s v="TRX-100316"/>
    <x v="271"/>
    <x v="2"/>
    <x v="8"/>
    <x v="1"/>
    <n v="216"/>
    <n v="358.11"/>
    <x v="0"/>
    <n v="7"/>
    <n v="142.11000000000001"/>
    <x v="11"/>
  </r>
  <r>
    <s v="TRX-100317"/>
    <x v="221"/>
    <x v="3"/>
    <x v="7"/>
    <x v="1"/>
    <n v="113"/>
    <n v="293.67"/>
    <x v="1"/>
    <n v="7"/>
    <n v="180.67"/>
    <x v="3"/>
  </r>
  <r>
    <s v="TRX-100318"/>
    <x v="272"/>
    <x v="2"/>
    <x v="7"/>
    <x v="2"/>
    <n v="218"/>
    <n v="209.92"/>
    <x v="1"/>
    <n v="9"/>
    <n v="-8.0800000000000107"/>
    <x v="3"/>
  </r>
  <r>
    <s v="TRX-100319"/>
    <x v="273"/>
    <x v="3"/>
    <x v="1"/>
    <x v="2"/>
    <n v="137"/>
    <n v="148.63999999999999"/>
    <x v="1"/>
    <n v="9"/>
    <n v="11.639999999999899"/>
    <x v="7"/>
  </r>
  <r>
    <s v="TRX-100320"/>
    <x v="274"/>
    <x v="3"/>
    <x v="6"/>
    <x v="0"/>
    <n v="124"/>
    <n v="99.95"/>
    <x v="4"/>
    <n v="7"/>
    <n v="-24.049999999999901"/>
    <x v="5"/>
  </r>
  <r>
    <s v="TRX-100321"/>
    <x v="275"/>
    <x v="1"/>
    <x v="7"/>
    <x v="1"/>
    <n v="176"/>
    <n v="440.82"/>
    <x v="3"/>
    <n v="33"/>
    <n v="264.82"/>
    <x v="2"/>
  </r>
  <r>
    <s v="TRX-100322"/>
    <x v="276"/>
    <x v="1"/>
    <x v="0"/>
    <x v="1"/>
    <n v="190"/>
    <n v="311.56"/>
    <x v="4"/>
    <n v="46"/>
    <n v="121.56"/>
    <x v="9"/>
  </r>
  <r>
    <s v="TRX-100323"/>
    <x v="277"/>
    <x v="0"/>
    <x v="3"/>
    <x v="1"/>
    <n v="229"/>
    <n v="684.48"/>
    <x v="4"/>
    <n v="53"/>
    <n v="455.48"/>
    <x v="9"/>
  </r>
  <r>
    <s v="TRX-100324"/>
    <x v="278"/>
    <x v="3"/>
    <x v="7"/>
    <x v="2"/>
    <n v="118"/>
    <n v="129.74"/>
    <x v="2"/>
    <n v="42"/>
    <n v="11.74"/>
    <x v="4"/>
  </r>
  <r>
    <s v="TRX-100325"/>
    <x v="177"/>
    <x v="1"/>
    <x v="4"/>
    <x v="1"/>
    <n v="170"/>
    <n v="543.6"/>
    <x v="2"/>
    <n v="32"/>
    <n v="373.6"/>
    <x v="7"/>
  </r>
  <r>
    <s v="TRX-100326"/>
    <x v="13"/>
    <x v="1"/>
    <x v="6"/>
    <x v="2"/>
    <n v="171"/>
    <n v="170.08"/>
    <x v="1"/>
    <n v="9"/>
    <n v="-0.91999999999998705"/>
    <x v="5"/>
  </r>
  <r>
    <s v="TRX-100327"/>
    <x v="279"/>
    <x v="0"/>
    <x v="6"/>
    <x v="0"/>
    <n v="226"/>
    <n v="135.65"/>
    <x v="3"/>
    <n v="34"/>
    <n v="-90.35"/>
    <x v="10"/>
  </r>
  <r>
    <s v="TRX-100328"/>
    <x v="280"/>
    <x v="4"/>
    <x v="0"/>
    <x v="0"/>
    <n v="206"/>
    <n v="158.27000000000001"/>
    <x v="4"/>
    <n v="47"/>
    <n v="-47.729999999999897"/>
    <x v="4"/>
  </r>
  <r>
    <s v="TRX-100329"/>
    <x v="281"/>
    <x v="1"/>
    <x v="5"/>
    <x v="2"/>
    <n v="179"/>
    <n v="259.77999999999997"/>
    <x v="0"/>
    <n v="9"/>
    <n v="80.779999999999902"/>
    <x v="9"/>
  </r>
  <r>
    <s v="TRX-100330"/>
    <x v="282"/>
    <x v="4"/>
    <x v="0"/>
    <x v="0"/>
    <n v="207"/>
    <n v="112.99"/>
    <x v="0"/>
    <n v="9"/>
    <n v="-94.01"/>
    <x v="1"/>
  </r>
  <r>
    <s v="TRX-100331"/>
    <x v="283"/>
    <x v="3"/>
    <x v="4"/>
    <x v="2"/>
    <n v="110"/>
    <n v="162.82"/>
    <x v="0"/>
    <n v="9"/>
    <n v="52.819999999999901"/>
    <x v="10"/>
  </r>
  <r>
    <s v="TRX-100332"/>
    <x v="284"/>
    <x v="3"/>
    <x v="5"/>
    <x v="0"/>
    <n v="127"/>
    <n v="65.349999999999994"/>
    <x v="0"/>
    <n v="2"/>
    <n v="-61.65"/>
    <x v="7"/>
  </r>
  <r>
    <s v="TRX-100333"/>
    <x v="285"/>
    <x v="3"/>
    <x v="4"/>
    <x v="0"/>
    <n v="117"/>
    <n v="77.680000000000007"/>
    <x v="4"/>
    <n v="8"/>
    <n v="-39.319999999999901"/>
    <x v="6"/>
  </r>
  <r>
    <s v="TRX-100334"/>
    <x v="286"/>
    <x v="4"/>
    <x v="0"/>
    <x v="1"/>
    <n v="206"/>
    <n v="689.93"/>
    <x v="2"/>
    <n v="14"/>
    <n v="483.92999999999898"/>
    <x v="1"/>
  </r>
  <r>
    <s v="TRX-100335"/>
    <x v="287"/>
    <x v="0"/>
    <x v="8"/>
    <x v="2"/>
    <n v="230"/>
    <n v="340.21"/>
    <x v="2"/>
    <n v="53"/>
    <n v="110.209999999999"/>
    <x v="7"/>
  </r>
  <r>
    <s v="TRX-100336"/>
    <x v="288"/>
    <x v="3"/>
    <x v="6"/>
    <x v="0"/>
    <n v="127"/>
    <n v="100.26"/>
    <x v="3"/>
    <n v="46"/>
    <n v="-26.739999999999899"/>
    <x v="2"/>
  </r>
  <r>
    <s v="TRX-100337"/>
    <x v="289"/>
    <x v="3"/>
    <x v="5"/>
    <x v="1"/>
    <n v="110"/>
    <n v="282.29000000000002"/>
    <x v="3"/>
    <n v="33"/>
    <n v="172.29"/>
    <x v="1"/>
  </r>
  <r>
    <s v="TRX-100338"/>
    <x v="290"/>
    <x v="3"/>
    <x v="3"/>
    <x v="0"/>
    <n v="115"/>
    <n v="63.8"/>
    <x v="2"/>
    <n v="11"/>
    <n v="-51.2"/>
    <x v="7"/>
  </r>
  <r>
    <s v="TRX-100339"/>
    <x v="291"/>
    <x v="4"/>
    <x v="8"/>
    <x v="2"/>
    <n v="200"/>
    <n v="221.96"/>
    <x v="0"/>
    <n v="12"/>
    <n v="21.96"/>
    <x v="1"/>
  </r>
  <r>
    <s v="TRX-100340"/>
    <x v="292"/>
    <x v="2"/>
    <x v="8"/>
    <x v="1"/>
    <n v="216"/>
    <n v="646.82000000000005"/>
    <x v="4"/>
    <n v="47"/>
    <n v="430.82"/>
    <x v="5"/>
  </r>
  <r>
    <s v="TRX-100341"/>
    <x v="293"/>
    <x v="3"/>
    <x v="0"/>
    <x v="2"/>
    <n v="137"/>
    <n v="134.47999999999999"/>
    <x v="4"/>
    <n v="33"/>
    <n v="-2.5200000000000098"/>
    <x v="1"/>
  </r>
  <r>
    <s v="TRX-100342"/>
    <x v="294"/>
    <x v="3"/>
    <x v="2"/>
    <x v="0"/>
    <n v="122"/>
    <n v="108.08"/>
    <x v="4"/>
    <n v="38"/>
    <n v="-13.92"/>
    <x v="4"/>
  </r>
  <r>
    <s v="TRX-100343"/>
    <x v="295"/>
    <x v="0"/>
    <x v="6"/>
    <x v="1"/>
    <n v="226"/>
    <n v="460.27"/>
    <x v="0"/>
    <n v="11"/>
    <n v="234.26999999999899"/>
    <x v="5"/>
  </r>
  <r>
    <s v="TRX-100344"/>
    <x v="282"/>
    <x v="2"/>
    <x v="5"/>
    <x v="1"/>
    <n v="214"/>
    <n v="462.4"/>
    <x v="1"/>
    <n v="3"/>
    <n v="248.39999999999901"/>
    <x v="1"/>
  </r>
  <r>
    <s v="TRX-100345"/>
    <x v="296"/>
    <x v="4"/>
    <x v="6"/>
    <x v="0"/>
    <n v="202"/>
    <n v="109.26"/>
    <x v="0"/>
    <n v="1"/>
    <n v="-92.74"/>
    <x v="8"/>
  </r>
  <r>
    <s v="TRX-100346"/>
    <x v="87"/>
    <x v="2"/>
    <x v="3"/>
    <x v="2"/>
    <n v="218"/>
    <n v="299.58999999999997"/>
    <x v="4"/>
    <n v="26"/>
    <n v="81.589999999999904"/>
    <x v="3"/>
  </r>
  <r>
    <s v="TRX-100347"/>
    <x v="255"/>
    <x v="2"/>
    <x v="3"/>
    <x v="0"/>
    <n v="225"/>
    <n v="139.61000000000001"/>
    <x v="2"/>
    <n v="46"/>
    <n v="-85.389999999999901"/>
    <x v="10"/>
  </r>
  <r>
    <s v="TRX-100348"/>
    <x v="265"/>
    <x v="0"/>
    <x v="8"/>
    <x v="1"/>
    <n v="226"/>
    <n v="488.26"/>
    <x v="1"/>
    <n v="14"/>
    <n v="262.26"/>
    <x v="1"/>
  </r>
  <r>
    <s v="TRX-100349"/>
    <x v="297"/>
    <x v="3"/>
    <x v="8"/>
    <x v="1"/>
    <n v="131"/>
    <n v="356.53"/>
    <x v="2"/>
    <n v="50"/>
    <n v="225.52999999999901"/>
    <x v="3"/>
  </r>
  <r>
    <s v="TRX-100350"/>
    <x v="298"/>
    <x v="2"/>
    <x v="1"/>
    <x v="2"/>
    <n v="221"/>
    <n v="313.60000000000002"/>
    <x v="2"/>
    <n v="25"/>
    <n v="92.6"/>
    <x v="6"/>
  </r>
  <r>
    <s v="TRX-100351"/>
    <x v="1"/>
    <x v="3"/>
    <x v="8"/>
    <x v="0"/>
    <n v="110"/>
    <n v="69.78"/>
    <x v="4"/>
    <n v="55"/>
    <n v="-40.22"/>
    <x v="0"/>
  </r>
  <r>
    <s v="TRX-100352"/>
    <x v="299"/>
    <x v="2"/>
    <x v="2"/>
    <x v="0"/>
    <n v="219"/>
    <n v="149.37"/>
    <x v="0"/>
    <n v="3"/>
    <n v="-69.63"/>
    <x v="0"/>
  </r>
  <r>
    <s v="TRX-100353"/>
    <x v="300"/>
    <x v="3"/>
    <x v="2"/>
    <x v="2"/>
    <n v="111"/>
    <n v="155.16"/>
    <x v="2"/>
    <n v="27"/>
    <n v="44.16"/>
    <x v="1"/>
  </r>
  <r>
    <s v="TRX-100354"/>
    <x v="301"/>
    <x v="3"/>
    <x v="7"/>
    <x v="0"/>
    <n v="116"/>
    <n v="102.13"/>
    <x v="4"/>
    <n v="20"/>
    <n v="-13.87"/>
    <x v="6"/>
  </r>
  <r>
    <s v="TRX-100355"/>
    <x v="302"/>
    <x v="4"/>
    <x v="2"/>
    <x v="0"/>
    <n v="204"/>
    <n v="164.41"/>
    <x v="1"/>
    <n v="12"/>
    <n v="-39.590000000000003"/>
    <x v="1"/>
  </r>
  <r>
    <s v="TRX-100356"/>
    <x v="303"/>
    <x v="3"/>
    <x v="1"/>
    <x v="2"/>
    <n v="132"/>
    <n v="155.82"/>
    <x v="1"/>
    <n v="11"/>
    <n v="23.819999999999901"/>
    <x v="11"/>
  </r>
  <r>
    <s v="TRX-100357"/>
    <x v="223"/>
    <x v="0"/>
    <x v="4"/>
    <x v="2"/>
    <n v="226"/>
    <n v="203.64"/>
    <x v="3"/>
    <n v="39"/>
    <n v="-22.36"/>
    <x v="9"/>
  </r>
  <r>
    <s v="TRX-100358"/>
    <x v="304"/>
    <x v="3"/>
    <x v="7"/>
    <x v="0"/>
    <n v="122"/>
    <n v="98.73"/>
    <x v="0"/>
    <n v="6"/>
    <n v="-23.2699999999999"/>
    <x v="2"/>
  </r>
  <r>
    <s v="TRX-100359"/>
    <x v="305"/>
    <x v="3"/>
    <x v="2"/>
    <x v="0"/>
    <n v="130"/>
    <n v="101.58"/>
    <x v="2"/>
    <n v="11"/>
    <n v="-28.42"/>
    <x v="2"/>
  </r>
  <r>
    <s v="TRX-100360"/>
    <x v="301"/>
    <x v="2"/>
    <x v="6"/>
    <x v="1"/>
    <n v="221"/>
    <n v="449.41"/>
    <x v="4"/>
    <n v="16"/>
    <n v="228.41"/>
    <x v="6"/>
  </r>
  <r>
    <s v="TRX-100361"/>
    <x v="306"/>
    <x v="3"/>
    <x v="5"/>
    <x v="0"/>
    <n v="140"/>
    <n v="110.21"/>
    <x v="2"/>
    <n v="8"/>
    <n v="-29.79"/>
    <x v="7"/>
  </r>
  <r>
    <s v="TRX-100362"/>
    <x v="307"/>
    <x v="2"/>
    <x v="3"/>
    <x v="1"/>
    <n v="224"/>
    <n v="763.44"/>
    <x v="3"/>
    <n v="25"/>
    <n v="539.44000000000005"/>
    <x v="9"/>
  </r>
  <r>
    <s v="TRX-100363"/>
    <x v="287"/>
    <x v="4"/>
    <x v="5"/>
    <x v="1"/>
    <n v="207"/>
    <n v="517.13"/>
    <x v="4"/>
    <n v="24"/>
    <n v="310.13"/>
    <x v="7"/>
  </r>
  <r>
    <s v="TRX-100364"/>
    <x v="40"/>
    <x v="0"/>
    <x v="8"/>
    <x v="1"/>
    <n v="227"/>
    <n v="507.27"/>
    <x v="3"/>
    <n v="22"/>
    <n v="280.27"/>
    <x v="6"/>
  </r>
  <r>
    <s v="TRX-100365"/>
    <x v="262"/>
    <x v="3"/>
    <x v="3"/>
    <x v="0"/>
    <n v="124"/>
    <n v="79.400000000000006"/>
    <x v="1"/>
    <n v="11"/>
    <n v="-44.599999999999902"/>
    <x v="10"/>
  </r>
  <r>
    <s v="TRX-100366"/>
    <x v="101"/>
    <x v="1"/>
    <x v="6"/>
    <x v="0"/>
    <n v="178"/>
    <n v="159.88"/>
    <x v="4"/>
    <n v="38"/>
    <n v="-18.12"/>
    <x v="4"/>
  </r>
  <r>
    <s v="TRX-100367"/>
    <x v="308"/>
    <x v="4"/>
    <x v="8"/>
    <x v="2"/>
    <n v="201"/>
    <n v="283.44"/>
    <x v="2"/>
    <n v="56"/>
    <n v="82.44"/>
    <x v="8"/>
  </r>
  <r>
    <s v="TRX-100368"/>
    <x v="162"/>
    <x v="3"/>
    <x v="4"/>
    <x v="2"/>
    <n v="122"/>
    <n v="179.74"/>
    <x v="3"/>
    <n v="8"/>
    <n v="57.74"/>
    <x v="6"/>
  </r>
  <r>
    <s v="TRX-100369"/>
    <x v="4"/>
    <x v="2"/>
    <x v="0"/>
    <x v="0"/>
    <n v="221"/>
    <n v="163"/>
    <x v="4"/>
    <n v="19"/>
    <n v="-58"/>
    <x v="3"/>
  </r>
  <r>
    <s v="TRX-100370"/>
    <x v="309"/>
    <x v="1"/>
    <x v="1"/>
    <x v="2"/>
    <n v="178"/>
    <n v="187.89"/>
    <x v="2"/>
    <n v="33"/>
    <n v="9.8899999999999793"/>
    <x v="4"/>
  </r>
  <r>
    <s v="TRX-100371"/>
    <x v="310"/>
    <x v="3"/>
    <x v="8"/>
    <x v="0"/>
    <n v="113"/>
    <n v="70.319999999999993"/>
    <x v="0"/>
    <n v="9"/>
    <n v="-42.68"/>
    <x v="11"/>
  </r>
  <r>
    <s v="TRX-100372"/>
    <x v="62"/>
    <x v="4"/>
    <x v="7"/>
    <x v="0"/>
    <n v="203"/>
    <n v="123.04"/>
    <x v="2"/>
    <n v="8"/>
    <n v="-79.959999999999994"/>
    <x v="9"/>
  </r>
  <r>
    <s v="TRX-100373"/>
    <x v="155"/>
    <x v="3"/>
    <x v="6"/>
    <x v="2"/>
    <n v="120"/>
    <n v="179.48"/>
    <x v="4"/>
    <n v="6"/>
    <n v="59.479999999999897"/>
    <x v="7"/>
  </r>
  <r>
    <s v="TRX-100374"/>
    <x v="311"/>
    <x v="3"/>
    <x v="1"/>
    <x v="0"/>
    <n v="138"/>
    <n v="99.81"/>
    <x v="0"/>
    <n v="14"/>
    <n v="-38.19"/>
    <x v="1"/>
  </r>
  <r>
    <s v="TRX-100375"/>
    <x v="312"/>
    <x v="2"/>
    <x v="2"/>
    <x v="1"/>
    <n v="211"/>
    <n v="550.41"/>
    <x v="4"/>
    <n v="14"/>
    <n v="339.409999999999"/>
    <x v="11"/>
  </r>
  <r>
    <s v="TRX-100376"/>
    <x v="313"/>
    <x v="3"/>
    <x v="7"/>
    <x v="1"/>
    <n v="134"/>
    <n v="238.13"/>
    <x v="4"/>
    <n v="34"/>
    <n v="104.13"/>
    <x v="0"/>
  </r>
  <r>
    <s v="TRX-100377"/>
    <x v="0"/>
    <x v="4"/>
    <x v="2"/>
    <x v="2"/>
    <n v="210"/>
    <n v="261.39"/>
    <x v="3"/>
    <n v="51"/>
    <n v="51.389999999999901"/>
    <x v="0"/>
  </r>
  <r>
    <s v="TRX-100378"/>
    <x v="314"/>
    <x v="0"/>
    <x v="7"/>
    <x v="2"/>
    <n v="225"/>
    <n v="323.22000000000003"/>
    <x v="1"/>
    <n v="11"/>
    <n v="98.22"/>
    <x v="8"/>
  </r>
  <r>
    <s v="TRX-100379"/>
    <x v="263"/>
    <x v="1"/>
    <x v="0"/>
    <x v="0"/>
    <n v="179"/>
    <n v="132.91"/>
    <x v="0"/>
    <n v="13"/>
    <n v="-46.09"/>
    <x v="10"/>
  </r>
  <r>
    <s v="TRX-100380"/>
    <x v="315"/>
    <x v="2"/>
    <x v="7"/>
    <x v="0"/>
    <n v="219"/>
    <n v="130.74"/>
    <x v="0"/>
    <n v="9"/>
    <n v="-88.259999999999906"/>
    <x v="3"/>
  </r>
  <r>
    <s v="TRX-100381"/>
    <x v="316"/>
    <x v="2"/>
    <x v="0"/>
    <x v="0"/>
    <n v="221"/>
    <n v="119.45"/>
    <x v="3"/>
    <n v="37"/>
    <n v="-101.55"/>
    <x v="8"/>
  </r>
  <r>
    <s v="TRX-100382"/>
    <x v="49"/>
    <x v="1"/>
    <x v="5"/>
    <x v="0"/>
    <n v="186"/>
    <n v="136.63"/>
    <x v="3"/>
    <n v="58"/>
    <n v="-49.37"/>
    <x v="3"/>
  </r>
  <r>
    <s v="TRX-100383"/>
    <x v="317"/>
    <x v="4"/>
    <x v="3"/>
    <x v="0"/>
    <n v="208"/>
    <n v="142.32"/>
    <x v="4"/>
    <n v="26"/>
    <n v="-65.680000000000007"/>
    <x v="6"/>
  </r>
  <r>
    <s v="TRX-100384"/>
    <x v="231"/>
    <x v="2"/>
    <x v="1"/>
    <x v="0"/>
    <n v="217"/>
    <n v="163.63"/>
    <x v="1"/>
    <n v="9"/>
    <n v="-53.37"/>
    <x v="8"/>
  </r>
  <r>
    <s v="TRX-100385"/>
    <x v="192"/>
    <x v="2"/>
    <x v="5"/>
    <x v="1"/>
    <n v="218"/>
    <n v="639.44000000000005"/>
    <x v="4"/>
    <n v="17"/>
    <n v="421.44"/>
    <x v="3"/>
  </r>
  <r>
    <s v="TRX-100386"/>
    <x v="318"/>
    <x v="2"/>
    <x v="4"/>
    <x v="0"/>
    <n v="213"/>
    <n v="176.17"/>
    <x v="0"/>
    <n v="9"/>
    <n v="-36.83"/>
    <x v="6"/>
  </r>
  <r>
    <s v="TRX-100387"/>
    <x v="319"/>
    <x v="3"/>
    <x v="6"/>
    <x v="1"/>
    <n v="125"/>
    <n v="367.51"/>
    <x v="3"/>
    <n v="49"/>
    <n v="242.51"/>
    <x v="6"/>
  </r>
  <r>
    <s v="TRX-100388"/>
    <x v="320"/>
    <x v="1"/>
    <x v="4"/>
    <x v="1"/>
    <n v="174"/>
    <n v="553.83000000000004"/>
    <x v="3"/>
    <n v="8"/>
    <n v="379.83"/>
    <x v="7"/>
  </r>
  <r>
    <s v="TRX-100389"/>
    <x v="321"/>
    <x v="2"/>
    <x v="0"/>
    <x v="2"/>
    <n v="213"/>
    <n v="258.83"/>
    <x v="0"/>
    <n v="12"/>
    <n v="45.829999999999899"/>
    <x v="6"/>
  </r>
  <r>
    <s v="TRX-100390"/>
    <x v="322"/>
    <x v="4"/>
    <x v="7"/>
    <x v="0"/>
    <n v="200"/>
    <n v="148.77000000000001"/>
    <x v="1"/>
    <n v="5"/>
    <n v="-51.229999999999897"/>
    <x v="3"/>
  </r>
  <r>
    <s v="TRX-100391"/>
    <x v="228"/>
    <x v="0"/>
    <x v="4"/>
    <x v="1"/>
    <n v="229"/>
    <n v="395.27"/>
    <x v="0"/>
    <n v="2"/>
    <n v="166.26999999999899"/>
    <x v="8"/>
  </r>
  <r>
    <s v="TRX-100392"/>
    <x v="323"/>
    <x v="0"/>
    <x v="3"/>
    <x v="0"/>
    <n v="228"/>
    <n v="137.19"/>
    <x v="4"/>
    <n v="13"/>
    <n v="-90.81"/>
    <x v="3"/>
  </r>
  <r>
    <s v="TRX-100393"/>
    <x v="324"/>
    <x v="3"/>
    <x v="0"/>
    <x v="0"/>
    <n v="137"/>
    <n v="72.7"/>
    <x v="1"/>
    <n v="2"/>
    <n v="-64.3"/>
    <x v="8"/>
  </r>
  <r>
    <s v="TRX-100394"/>
    <x v="72"/>
    <x v="2"/>
    <x v="2"/>
    <x v="0"/>
    <n v="223"/>
    <n v="166.61"/>
    <x v="1"/>
    <n v="1"/>
    <n v="-56.389999999999901"/>
    <x v="0"/>
  </r>
  <r>
    <s v="TRX-100395"/>
    <x v="325"/>
    <x v="2"/>
    <x v="4"/>
    <x v="1"/>
    <n v="215"/>
    <n v="318.10000000000002"/>
    <x v="1"/>
    <n v="10"/>
    <n v="103.1"/>
    <x v="3"/>
  </r>
  <r>
    <s v="TRX-100396"/>
    <x v="195"/>
    <x v="2"/>
    <x v="2"/>
    <x v="1"/>
    <n v="211"/>
    <n v="727.9"/>
    <x v="0"/>
    <n v="7"/>
    <n v="516.9"/>
    <x v="5"/>
  </r>
  <r>
    <s v="TRX-100397"/>
    <x v="326"/>
    <x v="3"/>
    <x v="8"/>
    <x v="0"/>
    <n v="128"/>
    <n v="85.16"/>
    <x v="4"/>
    <n v="24"/>
    <n v="-42.84"/>
    <x v="11"/>
  </r>
  <r>
    <s v="TRX-100398"/>
    <x v="327"/>
    <x v="0"/>
    <x v="4"/>
    <x v="2"/>
    <n v="226"/>
    <n v="216.6"/>
    <x v="3"/>
    <n v="38"/>
    <n v="-9.4"/>
    <x v="3"/>
  </r>
  <r>
    <s v="TRX-100399"/>
    <x v="328"/>
    <x v="1"/>
    <x v="1"/>
    <x v="0"/>
    <n v="170"/>
    <n v="146.80000000000001"/>
    <x v="1"/>
    <n v="6"/>
    <n v="-23.1999999999999"/>
    <x v="10"/>
  </r>
  <r>
    <s v="TRX-100400"/>
    <x v="148"/>
    <x v="0"/>
    <x v="6"/>
    <x v="1"/>
    <n v="225"/>
    <n v="484.46"/>
    <x v="3"/>
    <n v="17"/>
    <n v="259.45999999999998"/>
    <x v="0"/>
  </r>
  <r>
    <s v="TRX-100401"/>
    <x v="85"/>
    <x v="3"/>
    <x v="7"/>
    <x v="1"/>
    <n v="135"/>
    <n v="204.64"/>
    <x v="0"/>
    <n v="14"/>
    <n v="69.639999999999901"/>
    <x v="1"/>
  </r>
  <r>
    <s v="TRX-100402"/>
    <x v="329"/>
    <x v="1"/>
    <x v="3"/>
    <x v="2"/>
    <n v="172"/>
    <n v="255.12"/>
    <x v="4"/>
    <n v="16"/>
    <n v="83.12"/>
    <x v="5"/>
  </r>
  <r>
    <s v="TRX-100403"/>
    <x v="330"/>
    <x v="2"/>
    <x v="2"/>
    <x v="1"/>
    <n v="215"/>
    <n v="437.92"/>
    <x v="4"/>
    <n v="15"/>
    <n v="222.92"/>
    <x v="10"/>
  </r>
  <r>
    <s v="TRX-100404"/>
    <x v="331"/>
    <x v="0"/>
    <x v="0"/>
    <x v="1"/>
    <n v="226"/>
    <n v="466.23"/>
    <x v="1"/>
    <n v="4"/>
    <n v="240.23"/>
    <x v="6"/>
  </r>
  <r>
    <s v="TRX-100405"/>
    <x v="45"/>
    <x v="0"/>
    <x v="7"/>
    <x v="2"/>
    <n v="225"/>
    <n v="300.67"/>
    <x v="4"/>
    <n v="59"/>
    <n v="75.67"/>
    <x v="6"/>
  </r>
  <r>
    <s v="TRX-100406"/>
    <x v="332"/>
    <x v="4"/>
    <x v="4"/>
    <x v="2"/>
    <n v="205"/>
    <n v="273.92"/>
    <x v="3"/>
    <n v="11"/>
    <n v="68.92"/>
    <x v="5"/>
  </r>
  <r>
    <s v="TRX-100407"/>
    <x v="333"/>
    <x v="0"/>
    <x v="7"/>
    <x v="2"/>
    <n v="227"/>
    <n v="323.70999999999998"/>
    <x v="4"/>
    <n v="39"/>
    <n v="96.709999999999894"/>
    <x v="10"/>
  </r>
  <r>
    <s v="TRX-100408"/>
    <x v="334"/>
    <x v="1"/>
    <x v="0"/>
    <x v="0"/>
    <n v="170"/>
    <n v="85.71"/>
    <x v="4"/>
    <n v="24"/>
    <n v="-84.29"/>
    <x v="9"/>
  </r>
  <r>
    <s v="TRX-100409"/>
    <x v="335"/>
    <x v="1"/>
    <x v="7"/>
    <x v="2"/>
    <n v="190"/>
    <n v="201.36"/>
    <x v="4"/>
    <n v="45"/>
    <n v="11.36"/>
    <x v="11"/>
  </r>
  <r>
    <s v="TRX-100410"/>
    <x v="299"/>
    <x v="2"/>
    <x v="8"/>
    <x v="1"/>
    <n v="212"/>
    <n v="271.93"/>
    <x v="1"/>
    <n v="3"/>
    <n v="59.93"/>
    <x v="0"/>
  </r>
  <r>
    <s v="TRX-100411"/>
    <x v="64"/>
    <x v="0"/>
    <x v="5"/>
    <x v="0"/>
    <n v="229"/>
    <n v="122.56"/>
    <x v="1"/>
    <n v="9"/>
    <n v="-106.44"/>
    <x v="2"/>
  </r>
  <r>
    <s v="TRX-100412"/>
    <x v="255"/>
    <x v="2"/>
    <x v="1"/>
    <x v="0"/>
    <n v="220"/>
    <n v="173.45"/>
    <x v="4"/>
    <n v="45"/>
    <n v="-46.55"/>
    <x v="10"/>
  </r>
  <r>
    <s v="TRX-100413"/>
    <x v="336"/>
    <x v="3"/>
    <x v="8"/>
    <x v="0"/>
    <n v="129"/>
    <n v="88.76"/>
    <x v="4"/>
    <n v="30"/>
    <n v="-40.239999999999903"/>
    <x v="6"/>
  </r>
  <r>
    <s v="TRX-100414"/>
    <x v="153"/>
    <x v="4"/>
    <x v="7"/>
    <x v="1"/>
    <n v="204"/>
    <n v="283.89999999999998"/>
    <x v="4"/>
    <n v="21"/>
    <n v="79.899999999999906"/>
    <x v="2"/>
  </r>
  <r>
    <s v="TRX-100415"/>
    <x v="337"/>
    <x v="0"/>
    <x v="1"/>
    <x v="1"/>
    <n v="227"/>
    <n v="660.37"/>
    <x v="1"/>
    <n v="6"/>
    <n v="433.37"/>
    <x v="2"/>
  </r>
  <r>
    <s v="TRX-100416"/>
    <x v="338"/>
    <x v="2"/>
    <x v="4"/>
    <x v="2"/>
    <n v="214"/>
    <n v="268.73"/>
    <x v="4"/>
    <n v="13"/>
    <n v="54.73"/>
    <x v="3"/>
  </r>
  <r>
    <s v="TRX-100417"/>
    <x v="339"/>
    <x v="4"/>
    <x v="1"/>
    <x v="2"/>
    <n v="209"/>
    <n v="248.5"/>
    <x v="1"/>
    <n v="8"/>
    <n v="39.5"/>
    <x v="3"/>
  </r>
  <r>
    <s v="TRX-100418"/>
    <x v="340"/>
    <x v="4"/>
    <x v="3"/>
    <x v="1"/>
    <n v="203"/>
    <n v="469.92"/>
    <x v="2"/>
    <n v="51"/>
    <n v="266.92"/>
    <x v="11"/>
  </r>
  <r>
    <s v="TRX-100419"/>
    <x v="215"/>
    <x v="0"/>
    <x v="1"/>
    <x v="0"/>
    <n v="226"/>
    <n v="164.76"/>
    <x v="3"/>
    <n v="24"/>
    <n v="-61.24"/>
    <x v="7"/>
  </r>
  <r>
    <s v="TRX-100420"/>
    <x v="341"/>
    <x v="1"/>
    <x v="5"/>
    <x v="0"/>
    <n v="184"/>
    <n v="138.65"/>
    <x v="2"/>
    <n v="9"/>
    <n v="-45.349999999999902"/>
    <x v="6"/>
  </r>
  <r>
    <s v="TRX-100421"/>
    <x v="342"/>
    <x v="3"/>
    <x v="1"/>
    <x v="0"/>
    <n v="131"/>
    <n v="100.04"/>
    <x v="2"/>
    <n v="25"/>
    <n v="-30.959999999999901"/>
    <x v="2"/>
  </r>
  <r>
    <s v="TRX-100422"/>
    <x v="343"/>
    <x v="4"/>
    <x v="6"/>
    <x v="0"/>
    <n v="208"/>
    <n v="139.30000000000001"/>
    <x v="4"/>
    <n v="60"/>
    <n v="-68.699999999999903"/>
    <x v="8"/>
  </r>
  <r>
    <s v="TRX-100423"/>
    <x v="66"/>
    <x v="1"/>
    <x v="1"/>
    <x v="2"/>
    <n v="173"/>
    <n v="211.4"/>
    <x v="0"/>
    <n v="8"/>
    <n v="38.4"/>
    <x v="7"/>
  </r>
  <r>
    <s v="TRX-100424"/>
    <x v="344"/>
    <x v="2"/>
    <x v="4"/>
    <x v="0"/>
    <n v="216"/>
    <n v="171.72"/>
    <x v="1"/>
    <n v="4"/>
    <n v="-44.28"/>
    <x v="3"/>
  </r>
  <r>
    <s v="TRX-100425"/>
    <x v="345"/>
    <x v="2"/>
    <x v="3"/>
    <x v="1"/>
    <n v="225"/>
    <n v="784.65"/>
    <x v="2"/>
    <n v="17"/>
    <n v="559.65"/>
    <x v="1"/>
  </r>
  <r>
    <s v="TRX-100426"/>
    <x v="331"/>
    <x v="1"/>
    <x v="4"/>
    <x v="2"/>
    <n v="189"/>
    <n v="248.6"/>
    <x v="4"/>
    <n v="56"/>
    <n v="59.599999999999902"/>
    <x v="6"/>
  </r>
  <r>
    <s v="TRX-100427"/>
    <x v="346"/>
    <x v="0"/>
    <x v="6"/>
    <x v="1"/>
    <n v="227"/>
    <n v="614.94000000000005"/>
    <x v="0"/>
    <n v="10"/>
    <n v="387.94"/>
    <x v="3"/>
  </r>
  <r>
    <s v="TRX-100428"/>
    <x v="347"/>
    <x v="4"/>
    <x v="7"/>
    <x v="0"/>
    <n v="210"/>
    <n v="165.15"/>
    <x v="0"/>
    <n v="4"/>
    <n v="-44.849999999999902"/>
    <x v="11"/>
  </r>
  <r>
    <s v="TRX-100429"/>
    <x v="348"/>
    <x v="1"/>
    <x v="0"/>
    <x v="2"/>
    <n v="180"/>
    <n v="255.03"/>
    <x v="2"/>
    <n v="32"/>
    <n v="75.03"/>
    <x v="9"/>
  </r>
  <r>
    <s v="TRX-100430"/>
    <x v="349"/>
    <x v="0"/>
    <x v="2"/>
    <x v="2"/>
    <n v="229"/>
    <n v="241.33"/>
    <x v="1"/>
    <n v="7"/>
    <n v="12.33"/>
    <x v="5"/>
  </r>
  <r>
    <s v="TRX-100431"/>
    <x v="350"/>
    <x v="2"/>
    <x v="1"/>
    <x v="2"/>
    <n v="222"/>
    <n v="199.85"/>
    <x v="4"/>
    <n v="42"/>
    <n v="-22.15"/>
    <x v="11"/>
  </r>
  <r>
    <s v="TRX-100432"/>
    <x v="351"/>
    <x v="1"/>
    <x v="3"/>
    <x v="0"/>
    <n v="170"/>
    <n v="132.84"/>
    <x v="4"/>
    <n v="13"/>
    <n v="-37.159999999999997"/>
    <x v="5"/>
  </r>
  <r>
    <s v="TRX-100433"/>
    <x v="352"/>
    <x v="1"/>
    <x v="0"/>
    <x v="2"/>
    <n v="177"/>
    <n v="200.32"/>
    <x v="1"/>
    <n v="10"/>
    <n v="23.319999999999901"/>
    <x v="6"/>
  </r>
  <r>
    <s v="TRX-100434"/>
    <x v="175"/>
    <x v="2"/>
    <x v="4"/>
    <x v="0"/>
    <n v="215"/>
    <n v="181.37"/>
    <x v="2"/>
    <n v="51"/>
    <n v="-33.629999999999903"/>
    <x v="10"/>
  </r>
  <r>
    <s v="TRX-100435"/>
    <x v="78"/>
    <x v="1"/>
    <x v="8"/>
    <x v="2"/>
    <n v="186"/>
    <n v="241.45"/>
    <x v="1"/>
    <n v="4"/>
    <n v="55.449999999999903"/>
    <x v="6"/>
  </r>
  <r>
    <s v="TRX-100436"/>
    <x v="251"/>
    <x v="1"/>
    <x v="7"/>
    <x v="2"/>
    <n v="189"/>
    <n v="283.42"/>
    <x v="2"/>
    <n v="27"/>
    <n v="94.42"/>
    <x v="6"/>
  </r>
  <r>
    <s v="TRX-100437"/>
    <x v="353"/>
    <x v="1"/>
    <x v="1"/>
    <x v="2"/>
    <n v="178"/>
    <n v="189.13"/>
    <x v="3"/>
    <n v="33"/>
    <n v="11.1299999999999"/>
    <x v="1"/>
  </r>
  <r>
    <s v="TRX-100438"/>
    <x v="351"/>
    <x v="0"/>
    <x v="7"/>
    <x v="1"/>
    <n v="228"/>
    <n v="497.81"/>
    <x v="1"/>
    <n v="14"/>
    <n v="269.81"/>
    <x v="5"/>
  </r>
  <r>
    <s v="TRX-100439"/>
    <x v="354"/>
    <x v="2"/>
    <x v="0"/>
    <x v="1"/>
    <n v="210"/>
    <n v="284.91000000000003"/>
    <x v="1"/>
    <n v="1"/>
    <n v="74.91"/>
    <x v="10"/>
  </r>
  <r>
    <s v="TRX-100440"/>
    <x v="51"/>
    <x v="4"/>
    <x v="2"/>
    <x v="2"/>
    <n v="203"/>
    <n v="247.06"/>
    <x v="2"/>
    <n v="13"/>
    <n v="44.06"/>
    <x v="3"/>
  </r>
  <r>
    <s v="TRX-100441"/>
    <x v="355"/>
    <x v="4"/>
    <x v="2"/>
    <x v="2"/>
    <n v="205"/>
    <n v="257.42"/>
    <x v="3"/>
    <n v="19"/>
    <n v="52.42"/>
    <x v="11"/>
  </r>
  <r>
    <s v="TRX-100442"/>
    <x v="356"/>
    <x v="4"/>
    <x v="1"/>
    <x v="0"/>
    <n v="201"/>
    <n v="134.75"/>
    <x v="3"/>
    <n v="55"/>
    <n v="-66.25"/>
    <x v="8"/>
  </r>
  <r>
    <s v="TRX-100443"/>
    <x v="357"/>
    <x v="4"/>
    <x v="1"/>
    <x v="1"/>
    <n v="208"/>
    <n v="619.83000000000004"/>
    <x v="0"/>
    <n v="14"/>
    <n v="411.83"/>
    <x v="8"/>
  </r>
  <r>
    <s v="TRX-100444"/>
    <x v="157"/>
    <x v="1"/>
    <x v="3"/>
    <x v="0"/>
    <n v="171"/>
    <n v="141.49"/>
    <x v="3"/>
    <n v="58"/>
    <n v="-29.509999999999899"/>
    <x v="2"/>
  </r>
  <r>
    <s v="TRX-100445"/>
    <x v="358"/>
    <x v="3"/>
    <x v="3"/>
    <x v="1"/>
    <n v="137"/>
    <n v="175.4"/>
    <x v="2"/>
    <n v="52"/>
    <n v="38.4"/>
    <x v="0"/>
  </r>
  <r>
    <s v="TRX-100446"/>
    <x v="78"/>
    <x v="3"/>
    <x v="1"/>
    <x v="0"/>
    <n v="125"/>
    <n v="104.1"/>
    <x v="0"/>
    <n v="10"/>
    <n v="-20.9"/>
    <x v="6"/>
  </r>
  <r>
    <s v="TRX-100447"/>
    <x v="337"/>
    <x v="2"/>
    <x v="4"/>
    <x v="2"/>
    <n v="224"/>
    <n v="225.34"/>
    <x v="1"/>
    <n v="3"/>
    <n v="1.34"/>
    <x v="2"/>
  </r>
  <r>
    <s v="TRX-100448"/>
    <x v="79"/>
    <x v="4"/>
    <x v="8"/>
    <x v="0"/>
    <n v="202"/>
    <n v="120.36"/>
    <x v="1"/>
    <n v="7"/>
    <n v="-81.64"/>
    <x v="4"/>
  </r>
  <r>
    <s v="TRX-100449"/>
    <x v="106"/>
    <x v="1"/>
    <x v="2"/>
    <x v="2"/>
    <n v="176"/>
    <n v="225.39"/>
    <x v="4"/>
    <n v="9"/>
    <n v="49.389999999999901"/>
    <x v="8"/>
  </r>
  <r>
    <s v="TRX-100450"/>
    <x v="359"/>
    <x v="0"/>
    <x v="2"/>
    <x v="2"/>
    <n v="230"/>
    <n v="325.16000000000003"/>
    <x v="1"/>
    <n v="4"/>
    <n v="95.16"/>
    <x v="7"/>
  </r>
  <r>
    <s v="TRX-100451"/>
    <x v="310"/>
    <x v="0"/>
    <x v="2"/>
    <x v="1"/>
    <n v="229"/>
    <n v="517.53"/>
    <x v="4"/>
    <n v="59"/>
    <n v="288.52999999999997"/>
    <x v="11"/>
  </r>
  <r>
    <s v="TRX-100452"/>
    <x v="326"/>
    <x v="0"/>
    <x v="3"/>
    <x v="0"/>
    <n v="225"/>
    <n v="115.52"/>
    <x v="3"/>
    <n v="58"/>
    <n v="-109.48"/>
    <x v="11"/>
  </r>
  <r>
    <s v="TRX-100453"/>
    <x v="360"/>
    <x v="3"/>
    <x v="6"/>
    <x v="0"/>
    <n v="111"/>
    <n v="83.74"/>
    <x v="0"/>
    <n v="7"/>
    <n v="-27.26"/>
    <x v="1"/>
  </r>
  <r>
    <s v="TRX-100454"/>
    <x v="272"/>
    <x v="4"/>
    <x v="2"/>
    <x v="2"/>
    <n v="210"/>
    <n v="237.99"/>
    <x v="1"/>
    <n v="13"/>
    <n v="27.99"/>
    <x v="3"/>
  </r>
  <r>
    <s v="TRX-100455"/>
    <x v="361"/>
    <x v="0"/>
    <x v="7"/>
    <x v="0"/>
    <n v="229"/>
    <n v="186.33"/>
    <x v="2"/>
    <n v="42"/>
    <n v="-42.669999999999902"/>
    <x v="0"/>
  </r>
  <r>
    <s v="TRX-100456"/>
    <x v="362"/>
    <x v="0"/>
    <x v="0"/>
    <x v="2"/>
    <n v="225"/>
    <n v="311.57"/>
    <x v="1"/>
    <n v="3"/>
    <n v="86.57"/>
    <x v="8"/>
  </r>
  <r>
    <s v="TRX-100457"/>
    <x v="239"/>
    <x v="2"/>
    <x v="6"/>
    <x v="2"/>
    <n v="225"/>
    <n v="222.41"/>
    <x v="0"/>
    <n v="4"/>
    <n v="-2.59"/>
    <x v="7"/>
  </r>
  <r>
    <s v="TRX-100458"/>
    <x v="363"/>
    <x v="4"/>
    <x v="7"/>
    <x v="0"/>
    <n v="200"/>
    <n v="172.1"/>
    <x v="1"/>
    <n v="9"/>
    <n v="-27.9"/>
    <x v="3"/>
  </r>
  <r>
    <s v="TRX-100459"/>
    <x v="188"/>
    <x v="2"/>
    <x v="1"/>
    <x v="1"/>
    <n v="222"/>
    <n v="756.15"/>
    <x v="2"/>
    <n v="33"/>
    <n v="534.15"/>
    <x v="9"/>
  </r>
  <r>
    <s v="TRX-100460"/>
    <x v="277"/>
    <x v="2"/>
    <x v="1"/>
    <x v="2"/>
    <n v="215"/>
    <n v="320.42"/>
    <x v="4"/>
    <n v="11"/>
    <n v="105.42"/>
    <x v="9"/>
  </r>
  <r>
    <s v="TRX-100461"/>
    <x v="364"/>
    <x v="3"/>
    <x v="8"/>
    <x v="1"/>
    <n v="118"/>
    <n v="179.22"/>
    <x v="0"/>
    <n v="9"/>
    <n v="61.22"/>
    <x v="8"/>
  </r>
  <r>
    <s v="TRX-100462"/>
    <x v="365"/>
    <x v="3"/>
    <x v="2"/>
    <x v="2"/>
    <n v="119"/>
    <n v="126.67"/>
    <x v="4"/>
    <n v="19"/>
    <n v="7.67"/>
    <x v="10"/>
  </r>
  <r>
    <s v="TRX-100463"/>
    <x v="366"/>
    <x v="4"/>
    <x v="3"/>
    <x v="2"/>
    <n v="201"/>
    <n v="195.3"/>
    <x v="3"/>
    <n v="26"/>
    <n v="-5.6999999999999797"/>
    <x v="6"/>
  </r>
  <r>
    <s v="TRX-100464"/>
    <x v="367"/>
    <x v="4"/>
    <x v="7"/>
    <x v="2"/>
    <n v="207"/>
    <n v="229.63"/>
    <x v="1"/>
    <n v="12"/>
    <n v="22.6299999999999"/>
    <x v="8"/>
  </r>
  <r>
    <s v="TRX-100465"/>
    <x v="37"/>
    <x v="2"/>
    <x v="8"/>
    <x v="1"/>
    <n v="212"/>
    <n v="270.14999999999998"/>
    <x v="4"/>
    <n v="14"/>
    <n v="58.149999999999899"/>
    <x v="6"/>
  </r>
  <r>
    <s v="TRX-100466"/>
    <x v="204"/>
    <x v="3"/>
    <x v="2"/>
    <x v="0"/>
    <n v="128"/>
    <n v="102.48"/>
    <x v="3"/>
    <n v="33"/>
    <n v="-25.5199999999999"/>
    <x v="4"/>
  </r>
  <r>
    <s v="TRX-100467"/>
    <x v="368"/>
    <x v="3"/>
    <x v="7"/>
    <x v="0"/>
    <n v="133"/>
    <n v="90.09"/>
    <x v="2"/>
    <n v="14"/>
    <n v="-42.91"/>
    <x v="5"/>
  </r>
  <r>
    <s v="TRX-100468"/>
    <x v="369"/>
    <x v="2"/>
    <x v="0"/>
    <x v="2"/>
    <n v="216"/>
    <n v="237.41"/>
    <x v="3"/>
    <n v="43"/>
    <n v="21.409999999999901"/>
    <x v="2"/>
  </r>
  <r>
    <s v="TRX-100469"/>
    <x v="370"/>
    <x v="1"/>
    <x v="0"/>
    <x v="0"/>
    <n v="183"/>
    <n v="122.3"/>
    <x v="3"/>
    <n v="43"/>
    <n v="-60.7"/>
    <x v="11"/>
  </r>
  <r>
    <s v="TRX-100470"/>
    <x v="2"/>
    <x v="4"/>
    <x v="3"/>
    <x v="2"/>
    <n v="201"/>
    <n v="273.58"/>
    <x v="4"/>
    <n v="55"/>
    <n v="72.579999999999899"/>
    <x v="1"/>
  </r>
  <r>
    <s v="TRX-100471"/>
    <x v="371"/>
    <x v="0"/>
    <x v="2"/>
    <x v="1"/>
    <n v="229"/>
    <n v="462.32"/>
    <x v="2"/>
    <n v="37"/>
    <n v="233.32"/>
    <x v="5"/>
  </r>
  <r>
    <s v="TRX-100472"/>
    <x v="372"/>
    <x v="4"/>
    <x v="8"/>
    <x v="2"/>
    <n v="205"/>
    <n v="230.04"/>
    <x v="4"/>
    <n v="29"/>
    <n v="25.0399999999999"/>
    <x v="10"/>
  </r>
  <r>
    <s v="TRX-100473"/>
    <x v="373"/>
    <x v="3"/>
    <x v="2"/>
    <x v="2"/>
    <n v="111"/>
    <n v="163.53"/>
    <x v="3"/>
    <n v="26"/>
    <n v="52.53"/>
    <x v="2"/>
  </r>
  <r>
    <s v="TRX-100474"/>
    <x v="374"/>
    <x v="1"/>
    <x v="5"/>
    <x v="0"/>
    <n v="186"/>
    <n v="164.61"/>
    <x v="3"/>
    <n v="43"/>
    <n v="-21.389999999999901"/>
    <x v="0"/>
  </r>
  <r>
    <s v="TRX-100475"/>
    <x v="104"/>
    <x v="2"/>
    <x v="2"/>
    <x v="2"/>
    <n v="214"/>
    <n v="291.56"/>
    <x v="2"/>
    <n v="54"/>
    <n v="77.56"/>
    <x v="5"/>
  </r>
  <r>
    <s v="TRX-100476"/>
    <x v="375"/>
    <x v="3"/>
    <x v="0"/>
    <x v="1"/>
    <n v="140"/>
    <n v="201.66"/>
    <x v="4"/>
    <n v="54"/>
    <n v="61.66"/>
    <x v="0"/>
  </r>
  <r>
    <s v="TRX-100477"/>
    <x v="376"/>
    <x v="4"/>
    <x v="2"/>
    <x v="1"/>
    <n v="200"/>
    <n v="469.41"/>
    <x v="4"/>
    <n v="41"/>
    <n v="269.41000000000003"/>
    <x v="6"/>
  </r>
  <r>
    <s v="TRX-100478"/>
    <x v="47"/>
    <x v="4"/>
    <x v="3"/>
    <x v="1"/>
    <n v="207"/>
    <n v="430.67"/>
    <x v="4"/>
    <n v="32"/>
    <n v="223.67"/>
    <x v="10"/>
  </r>
  <r>
    <s v="TRX-100479"/>
    <x v="377"/>
    <x v="4"/>
    <x v="2"/>
    <x v="1"/>
    <n v="209"/>
    <n v="699.44"/>
    <x v="1"/>
    <n v="4"/>
    <n v="490.44"/>
    <x v="11"/>
  </r>
  <r>
    <s v="TRX-100480"/>
    <x v="378"/>
    <x v="3"/>
    <x v="8"/>
    <x v="0"/>
    <n v="131"/>
    <n v="111.93"/>
    <x v="1"/>
    <n v="14"/>
    <n v="-19.069999999999901"/>
    <x v="3"/>
  </r>
  <r>
    <s v="TRX-100481"/>
    <x v="298"/>
    <x v="2"/>
    <x v="1"/>
    <x v="0"/>
    <n v="210"/>
    <n v="140.44"/>
    <x v="3"/>
    <n v="21"/>
    <n v="-69.56"/>
    <x v="6"/>
  </r>
  <r>
    <s v="TRX-100482"/>
    <x v="379"/>
    <x v="2"/>
    <x v="7"/>
    <x v="2"/>
    <n v="218"/>
    <n v="287.82"/>
    <x v="4"/>
    <n v="30"/>
    <n v="69.819999999999993"/>
    <x v="10"/>
  </r>
  <r>
    <s v="TRX-100483"/>
    <x v="380"/>
    <x v="4"/>
    <x v="7"/>
    <x v="2"/>
    <n v="209"/>
    <n v="195.82"/>
    <x v="3"/>
    <n v="57"/>
    <n v="-13.18"/>
    <x v="11"/>
  </r>
  <r>
    <s v="TRX-100484"/>
    <x v="381"/>
    <x v="0"/>
    <x v="2"/>
    <x v="0"/>
    <n v="228"/>
    <n v="148.47999999999999"/>
    <x v="4"/>
    <n v="13"/>
    <n v="-79.52"/>
    <x v="1"/>
  </r>
  <r>
    <s v="TRX-100485"/>
    <x v="382"/>
    <x v="4"/>
    <x v="7"/>
    <x v="0"/>
    <n v="208"/>
    <n v="184.7"/>
    <x v="2"/>
    <n v="45"/>
    <n v="-23.3"/>
    <x v="7"/>
  </r>
  <r>
    <s v="TRX-100486"/>
    <x v="383"/>
    <x v="1"/>
    <x v="4"/>
    <x v="1"/>
    <n v="174"/>
    <n v="592.9"/>
    <x v="3"/>
    <n v="41"/>
    <n v="418.9"/>
    <x v="3"/>
  </r>
  <r>
    <s v="TRX-100487"/>
    <x v="188"/>
    <x v="4"/>
    <x v="7"/>
    <x v="2"/>
    <n v="206"/>
    <n v="206.25"/>
    <x v="2"/>
    <n v="50"/>
    <n v="0.25"/>
    <x v="9"/>
  </r>
  <r>
    <s v="TRX-100488"/>
    <x v="384"/>
    <x v="0"/>
    <x v="2"/>
    <x v="0"/>
    <n v="230"/>
    <n v="170.62"/>
    <x v="3"/>
    <n v="21"/>
    <n v="-59.379999999999903"/>
    <x v="4"/>
  </r>
  <r>
    <s v="TRX-100489"/>
    <x v="385"/>
    <x v="0"/>
    <x v="6"/>
    <x v="0"/>
    <n v="227"/>
    <n v="114.93"/>
    <x v="3"/>
    <n v="19"/>
    <n v="-112.07"/>
    <x v="4"/>
  </r>
  <r>
    <s v="TRX-100490"/>
    <x v="386"/>
    <x v="3"/>
    <x v="7"/>
    <x v="1"/>
    <n v="113"/>
    <n v="238.32"/>
    <x v="1"/>
    <n v="10"/>
    <n v="125.32"/>
    <x v="8"/>
  </r>
  <r>
    <s v="TRX-100491"/>
    <x v="387"/>
    <x v="3"/>
    <x v="0"/>
    <x v="1"/>
    <n v="115"/>
    <n v="335.71"/>
    <x v="0"/>
    <n v="8"/>
    <n v="220.70999999999901"/>
    <x v="3"/>
  </r>
  <r>
    <s v="TRX-100492"/>
    <x v="388"/>
    <x v="0"/>
    <x v="8"/>
    <x v="0"/>
    <n v="229"/>
    <n v="141.62"/>
    <x v="2"/>
    <n v="38"/>
    <n v="-87.38"/>
    <x v="1"/>
  </r>
  <r>
    <s v="TRX-100493"/>
    <x v="262"/>
    <x v="3"/>
    <x v="3"/>
    <x v="1"/>
    <n v="132"/>
    <n v="191.69"/>
    <x v="1"/>
    <n v="13"/>
    <n v="59.69"/>
    <x v="10"/>
  </r>
  <r>
    <s v="TRX-100494"/>
    <x v="389"/>
    <x v="4"/>
    <x v="1"/>
    <x v="2"/>
    <n v="206"/>
    <n v="192.33"/>
    <x v="0"/>
    <n v="11"/>
    <n v="-13.6699999999999"/>
    <x v="4"/>
  </r>
  <r>
    <s v="TRX-100495"/>
    <x v="390"/>
    <x v="1"/>
    <x v="6"/>
    <x v="2"/>
    <n v="170"/>
    <n v="216.02"/>
    <x v="2"/>
    <n v="11"/>
    <n v="46.02"/>
    <x v="10"/>
  </r>
  <r>
    <s v="TRX-100496"/>
    <x v="17"/>
    <x v="2"/>
    <x v="3"/>
    <x v="1"/>
    <n v="217"/>
    <n v="397.39"/>
    <x v="4"/>
    <n v="59"/>
    <n v="180.39"/>
    <x v="9"/>
  </r>
  <r>
    <s v="TRX-100497"/>
    <x v="391"/>
    <x v="1"/>
    <x v="0"/>
    <x v="1"/>
    <n v="178"/>
    <n v="269.52999999999997"/>
    <x v="0"/>
    <n v="2"/>
    <n v="91.529999999999902"/>
    <x v="7"/>
  </r>
  <r>
    <s v="TRX-100498"/>
    <x v="5"/>
    <x v="0"/>
    <x v="4"/>
    <x v="1"/>
    <n v="228"/>
    <n v="626.79"/>
    <x v="3"/>
    <n v="11"/>
    <n v="398.789999999999"/>
    <x v="3"/>
  </r>
  <r>
    <s v="TRX-100499"/>
    <x v="276"/>
    <x v="2"/>
    <x v="3"/>
    <x v="0"/>
    <n v="216"/>
    <n v="131.97999999999999"/>
    <x v="1"/>
    <n v="6"/>
    <n v="-84.02"/>
    <x v="9"/>
  </r>
  <r>
    <s v="TRX-100500"/>
    <x v="392"/>
    <x v="2"/>
    <x v="5"/>
    <x v="2"/>
    <n v="215"/>
    <n v="223.47"/>
    <x v="3"/>
    <n v="11"/>
    <n v="8.46999999999999"/>
    <x v="7"/>
  </r>
  <r>
    <s v="TRX-100501"/>
    <x v="393"/>
    <x v="4"/>
    <x v="5"/>
    <x v="0"/>
    <n v="208"/>
    <n v="160.38"/>
    <x v="4"/>
    <n v="18"/>
    <n v="-47.62"/>
    <x v="10"/>
  </r>
  <r>
    <s v="TRX-100502"/>
    <x v="54"/>
    <x v="1"/>
    <x v="6"/>
    <x v="0"/>
    <n v="181"/>
    <n v="129.65"/>
    <x v="3"/>
    <n v="28"/>
    <n v="-51.349999999999902"/>
    <x v="3"/>
  </r>
  <r>
    <s v="TRX-100503"/>
    <x v="59"/>
    <x v="3"/>
    <x v="5"/>
    <x v="1"/>
    <n v="130"/>
    <n v="268.64999999999998"/>
    <x v="1"/>
    <n v="10"/>
    <n v="138.64999999999901"/>
    <x v="9"/>
  </r>
  <r>
    <s v="TRX-100504"/>
    <x v="33"/>
    <x v="0"/>
    <x v="8"/>
    <x v="1"/>
    <n v="229"/>
    <n v="590.46"/>
    <x v="3"/>
    <n v="41"/>
    <n v="361.46"/>
    <x v="7"/>
  </r>
  <r>
    <s v="TRX-100505"/>
    <x v="271"/>
    <x v="3"/>
    <x v="3"/>
    <x v="0"/>
    <n v="116"/>
    <n v="92.75"/>
    <x v="1"/>
    <n v="4"/>
    <n v="-23.25"/>
    <x v="11"/>
  </r>
  <r>
    <s v="TRX-100506"/>
    <x v="394"/>
    <x v="0"/>
    <x v="1"/>
    <x v="1"/>
    <n v="230"/>
    <n v="365.63"/>
    <x v="0"/>
    <n v="9"/>
    <n v="135.63"/>
    <x v="2"/>
  </r>
  <r>
    <s v="TRX-100507"/>
    <x v="395"/>
    <x v="3"/>
    <x v="4"/>
    <x v="2"/>
    <n v="140"/>
    <n v="155.38"/>
    <x v="0"/>
    <n v="7"/>
    <n v="15.3799999999999"/>
    <x v="6"/>
  </r>
  <r>
    <s v="TRX-100508"/>
    <x v="396"/>
    <x v="2"/>
    <x v="3"/>
    <x v="2"/>
    <n v="217"/>
    <n v="203.27"/>
    <x v="2"/>
    <n v="48"/>
    <n v="-13.729999999999899"/>
    <x v="8"/>
  </r>
  <r>
    <s v="TRX-100509"/>
    <x v="84"/>
    <x v="0"/>
    <x v="4"/>
    <x v="2"/>
    <n v="225"/>
    <n v="240.51"/>
    <x v="2"/>
    <n v="56"/>
    <n v="15.5099999999999"/>
    <x v="7"/>
  </r>
  <r>
    <s v="TRX-100510"/>
    <x v="397"/>
    <x v="1"/>
    <x v="7"/>
    <x v="1"/>
    <n v="188"/>
    <n v="313.01"/>
    <x v="1"/>
    <n v="6"/>
    <n v="125.009999999999"/>
    <x v="3"/>
  </r>
  <r>
    <s v="TRX-100511"/>
    <x v="398"/>
    <x v="4"/>
    <x v="1"/>
    <x v="2"/>
    <n v="200"/>
    <n v="196.8"/>
    <x v="3"/>
    <n v="50"/>
    <n v="-3.1999999999999802"/>
    <x v="0"/>
  </r>
  <r>
    <s v="TRX-100512"/>
    <x v="48"/>
    <x v="2"/>
    <x v="7"/>
    <x v="0"/>
    <n v="224"/>
    <n v="195.51"/>
    <x v="4"/>
    <n v="18"/>
    <n v="-28.49"/>
    <x v="9"/>
  </r>
  <r>
    <s v="TRX-100513"/>
    <x v="399"/>
    <x v="2"/>
    <x v="5"/>
    <x v="1"/>
    <n v="210"/>
    <n v="336.64"/>
    <x v="2"/>
    <n v="16"/>
    <n v="126.63999999999901"/>
    <x v="4"/>
  </r>
  <r>
    <s v="TRX-100514"/>
    <x v="400"/>
    <x v="0"/>
    <x v="8"/>
    <x v="2"/>
    <n v="226"/>
    <n v="330.71"/>
    <x v="3"/>
    <n v="23"/>
    <n v="104.709999999999"/>
    <x v="3"/>
  </r>
  <r>
    <s v="TRX-100515"/>
    <x v="401"/>
    <x v="3"/>
    <x v="2"/>
    <x v="0"/>
    <n v="115"/>
    <n v="71.11"/>
    <x v="3"/>
    <n v="39"/>
    <n v="-43.89"/>
    <x v="6"/>
  </r>
  <r>
    <s v="TRX-100516"/>
    <x v="150"/>
    <x v="1"/>
    <x v="1"/>
    <x v="0"/>
    <n v="179"/>
    <n v="125.52"/>
    <x v="0"/>
    <n v="8"/>
    <n v="-53.48"/>
    <x v="2"/>
  </r>
  <r>
    <s v="TRX-100517"/>
    <x v="402"/>
    <x v="1"/>
    <x v="7"/>
    <x v="2"/>
    <n v="180"/>
    <n v="171.47"/>
    <x v="2"/>
    <n v="28"/>
    <n v="-8.5299999999999994"/>
    <x v="8"/>
  </r>
  <r>
    <s v="TRX-100518"/>
    <x v="172"/>
    <x v="2"/>
    <x v="0"/>
    <x v="0"/>
    <n v="211"/>
    <n v="125.33"/>
    <x v="3"/>
    <n v="18"/>
    <n v="-85.67"/>
    <x v="0"/>
  </r>
  <r>
    <s v="TRX-100519"/>
    <x v="211"/>
    <x v="0"/>
    <x v="0"/>
    <x v="0"/>
    <n v="230"/>
    <n v="158.09"/>
    <x v="3"/>
    <n v="44"/>
    <n v="-71.91"/>
    <x v="7"/>
  </r>
  <r>
    <s v="TRX-100520"/>
    <x v="403"/>
    <x v="1"/>
    <x v="1"/>
    <x v="2"/>
    <n v="190"/>
    <n v="244.35"/>
    <x v="2"/>
    <n v="49"/>
    <n v="54.349999999999902"/>
    <x v="11"/>
  </r>
  <r>
    <s v="TRX-100521"/>
    <x v="404"/>
    <x v="4"/>
    <x v="4"/>
    <x v="0"/>
    <n v="203"/>
    <n v="125.81"/>
    <x v="1"/>
    <n v="4"/>
    <n v="-77.19"/>
    <x v="7"/>
  </r>
  <r>
    <s v="TRX-100522"/>
    <x v="405"/>
    <x v="1"/>
    <x v="3"/>
    <x v="2"/>
    <n v="171"/>
    <n v="204.78"/>
    <x v="1"/>
    <n v="13"/>
    <n v="33.78"/>
    <x v="0"/>
  </r>
  <r>
    <s v="TRX-100523"/>
    <x v="406"/>
    <x v="4"/>
    <x v="0"/>
    <x v="1"/>
    <n v="206"/>
    <n v="439.23"/>
    <x v="2"/>
    <n v="8"/>
    <n v="233.23"/>
    <x v="3"/>
  </r>
  <r>
    <s v="TRX-100524"/>
    <x v="36"/>
    <x v="4"/>
    <x v="8"/>
    <x v="2"/>
    <n v="209"/>
    <n v="241.81"/>
    <x v="0"/>
    <n v="2"/>
    <n v="32.81"/>
    <x v="11"/>
  </r>
  <r>
    <s v="TRX-100525"/>
    <x v="407"/>
    <x v="4"/>
    <x v="5"/>
    <x v="0"/>
    <n v="207"/>
    <n v="158.37"/>
    <x v="1"/>
    <n v="7"/>
    <n v="-48.629999999999903"/>
    <x v="7"/>
  </r>
  <r>
    <s v="TRX-100526"/>
    <x v="408"/>
    <x v="3"/>
    <x v="6"/>
    <x v="0"/>
    <n v="125"/>
    <n v="81.83"/>
    <x v="0"/>
    <n v="2"/>
    <n v="-43.17"/>
    <x v="9"/>
  </r>
  <r>
    <s v="TRX-100527"/>
    <x v="409"/>
    <x v="3"/>
    <x v="6"/>
    <x v="2"/>
    <n v="128"/>
    <n v="162.74"/>
    <x v="1"/>
    <n v="5"/>
    <n v="34.74"/>
    <x v="11"/>
  </r>
  <r>
    <s v="TRX-100528"/>
    <x v="410"/>
    <x v="4"/>
    <x v="1"/>
    <x v="2"/>
    <n v="205"/>
    <n v="296.56"/>
    <x v="3"/>
    <n v="11"/>
    <n v="91.56"/>
    <x v="2"/>
  </r>
  <r>
    <s v="TRX-100529"/>
    <x v="102"/>
    <x v="4"/>
    <x v="1"/>
    <x v="2"/>
    <n v="202"/>
    <n v="225.08"/>
    <x v="0"/>
    <n v="4"/>
    <n v="23.08"/>
    <x v="1"/>
  </r>
  <r>
    <s v="TRX-100530"/>
    <x v="213"/>
    <x v="4"/>
    <x v="0"/>
    <x v="0"/>
    <n v="208"/>
    <n v="186.3"/>
    <x v="0"/>
    <n v="12"/>
    <n v="-21.6999999999999"/>
    <x v="2"/>
  </r>
  <r>
    <s v="TRX-100531"/>
    <x v="411"/>
    <x v="0"/>
    <x v="0"/>
    <x v="1"/>
    <n v="230"/>
    <n v="289.86"/>
    <x v="2"/>
    <n v="5"/>
    <n v="59.86"/>
    <x v="9"/>
  </r>
  <r>
    <s v="TRX-100532"/>
    <x v="13"/>
    <x v="4"/>
    <x v="8"/>
    <x v="1"/>
    <n v="201"/>
    <n v="611.91999999999996"/>
    <x v="3"/>
    <n v="35"/>
    <n v="410.91999999999899"/>
    <x v="5"/>
  </r>
  <r>
    <s v="TRX-100533"/>
    <x v="206"/>
    <x v="2"/>
    <x v="6"/>
    <x v="0"/>
    <n v="217"/>
    <n v="129.58000000000001"/>
    <x v="0"/>
    <n v="7"/>
    <n v="-87.419999999999902"/>
    <x v="0"/>
  </r>
  <r>
    <s v="TRX-100534"/>
    <x v="412"/>
    <x v="4"/>
    <x v="7"/>
    <x v="1"/>
    <n v="204"/>
    <n v="361.33"/>
    <x v="0"/>
    <n v="1"/>
    <n v="157.32999999999899"/>
    <x v="6"/>
  </r>
  <r>
    <s v="TRX-100535"/>
    <x v="245"/>
    <x v="4"/>
    <x v="6"/>
    <x v="1"/>
    <n v="201"/>
    <n v="599.89"/>
    <x v="3"/>
    <n v="29"/>
    <n v="398.89"/>
    <x v="0"/>
  </r>
  <r>
    <s v="TRX-100536"/>
    <x v="413"/>
    <x v="1"/>
    <x v="7"/>
    <x v="1"/>
    <n v="178"/>
    <n v="249.8"/>
    <x v="0"/>
    <n v="6"/>
    <n v="71.8"/>
    <x v="0"/>
  </r>
  <r>
    <s v="TRX-100537"/>
    <x v="130"/>
    <x v="0"/>
    <x v="1"/>
    <x v="2"/>
    <n v="227"/>
    <n v="329.42"/>
    <x v="0"/>
    <n v="4"/>
    <n v="102.42"/>
    <x v="2"/>
  </r>
  <r>
    <s v="TRX-100538"/>
    <x v="414"/>
    <x v="1"/>
    <x v="2"/>
    <x v="1"/>
    <n v="189"/>
    <n v="319.08999999999997"/>
    <x v="1"/>
    <n v="1"/>
    <n v="130.08999999999901"/>
    <x v="11"/>
  </r>
  <r>
    <s v="TRX-100539"/>
    <x v="415"/>
    <x v="2"/>
    <x v="3"/>
    <x v="2"/>
    <n v="211"/>
    <n v="232.38"/>
    <x v="2"/>
    <n v="7"/>
    <n v="21.3799999999999"/>
    <x v="5"/>
  </r>
  <r>
    <s v="TRX-100540"/>
    <x v="416"/>
    <x v="0"/>
    <x v="1"/>
    <x v="2"/>
    <n v="230"/>
    <n v="242.46"/>
    <x v="2"/>
    <n v="23"/>
    <n v="12.46"/>
    <x v="5"/>
  </r>
  <r>
    <s v="TRX-100541"/>
    <x v="417"/>
    <x v="0"/>
    <x v="2"/>
    <x v="2"/>
    <n v="228"/>
    <n v="315.14999999999998"/>
    <x v="3"/>
    <n v="40"/>
    <n v="87.149999999999906"/>
    <x v="10"/>
  </r>
  <r>
    <s v="TRX-100542"/>
    <x v="251"/>
    <x v="1"/>
    <x v="2"/>
    <x v="2"/>
    <n v="174"/>
    <n v="249.09"/>
    <x v="4"/>
    <n v="27"/>
    <n v="75.09"/>
    <x v="6"/>
  </r>
  <r>
    <s v="TRX-100543"/>
    <x v="418"/>
    <x v="2"/>
    <x v="8"/>
    <x v="2"/>
    <n v="217"/>
    <n v="215.42"/>
    <x v="0"/>
    <n v="2"/>
    <n v="-1.5800000000000101"/>
    <x v="11"/>
  </r>
  <r>
    <s v="TRX-100544"/>
    <x v="4"/>
    <x v="3"/>
    <x v="0"/>
    <x v="2"/>
    <n v="127"/>
    <n v="125.81"/>
    <x v="2"/>
    <n v="24"/>
    <n v="-1.18999999999999"/>
    <x v="3"/>
  </r>
  <r>
    <s v="TRX-100545"/>
    <x v="265"/>
    <x v="1"/>
    <x v="0"/>
    <x v="2"/>
    <n v="171"/>
    <n v="191.61"/>
    <x v="1"/>
    <n v="2"/>
    <n v="20.61"/>
    <x v="1"/>
  </r>
  <r>
    <s v="TRX-100546"/>
    <x v="419"/>
    <x v="4"/>
    <x v="6"/>
    <x v="0"/>
    <n v="206"/>
    <n v="129.93"/>
    <x v="2"/>
    <n v="42"/>
    <n v="-76.069999999999993"/>
    <x v="2"/>
  </r>
  <r>
    <s v="TRX-100547"/>
    <x v="420"/>
    <x v="2"/>
    <x v="5"/>
    <x v="1"/>
    <n v="213"/>
    <n v="499.22"/>
    <x v="3"/>
    <n v="46"/>
    <n v="286.22000000000003"/>
    <x v="1"/>
  </r>
  <r>
    <s v="TRX-100548"/>
    <x v="272"/>
    <x v="2"/>
    <x v="4"/>
    <x v="2"/>
    <n v="225"/>
    <n v="319.76"/>
    <x v="3"/>
    <n v="33"/>
    <n v="94.759999999999906"/>
    <x v="3"/>
  </r>
  <r>
    <s v="TRX-100549"/>
    <x v="421"/>
    <x v="2"/>
    <x v="8"/>
    <x v="0"/>
    <n v="213"/>
    <n v="109.62"/>
    <x v="4"/>
    <n v="37"/>
    <n v="-103.38"/>
    <x v="10"/>
  </r>
  <r>
    <s v="TRX-100550"/>
    <x v="30"/>
    <x v="1"/>
    <x v="4"/>
    <x v="1"/>
    <n v="175"/>
    <n v="232.34"/>
    <x v="4"/>
    <n v="51"/>
    <n v="57.34"/>
    <x v="6"/>
  </r>
  <r>
    <s v="TRX-100551"/>
    <x v="422"/>
    <x v="4"/>
    <x v="0"/>
    <x v="1"/>
    <n v="210"/>
    <n v="687.65"/>
    <x v="0"/>
    <n v="3"/>
    <n v="477.65"/>
    <x v="7"/>
  </r>
  <r>
    <s v="TRX-100552"/>
    <x v="423"/>
    <x v="0"/>
    <x v="0"/>
    <x v="2"/>
    <n v="230"/>
    <n v="287.48"/>
    <x v="1"/>
    <n v="3"/>
    <n v="57.48"/>
    <x v="10"/>
  </r>
  <r>
    <s v="TRX-100553"/>
    <x v="357"/>
    <x v="4"/>
    <x v="6"/>
    <x v="1"/>
    <n v="200"/>
    <n v="246.17"/>
    <x v="2"/>
    <n v="37"/>
    <n v="46.169999999999902"/>
    <x v="8"/>
  </r>
  <r>
    <s v="TRX-100554"/>
    <x v="405"/>
    <x v="2"/>
    <x v="0"/>
    <x v="2"/>
    <n v="217"/>
    <n v="270.39999999999998"/>
    <x v="3"/>
    <n v="41"/>
    <n v="53.399999999999899"/>
    <x v="0"/>
  </r>
  <r>
    <s v="TRX-100555"/>
    <x v="424"/>
    <x v="4"/>
    <x v="8"/>
    <x v="1"/>
    <n v="208"/>
    <n v="655.45"/>
    <x v="1"/>
    <n v="2"/>
    <n v="447.45"/>
    <x v="9"/>
  </r>
  <r>
    <s v="TRX-100556"/>
    <x v="425"/>
    <x v="3"/>
    <x v="8"/>
    <x v="0"/>
    <n v="122"/>
    <n v="67.09"/>
    <x v="4"/>
    <n v="54"/>
    <n v="-54.91"/>
    <x v="6"/>
  </r>
  <r>
    <s v="TRX-100557"/>
    <x v="34"/>
    <x v="1"/>
    <x v="3"/>
    <x v="2"/>
    <n v="175"/>
    <n v="192.44"/>
    <x v="4"/>
    <n v="59"/>
    <n v="17.439999999999898"/>
    <x v="0"/>
  </r>
  <r>
    <s v="TRX-100558"/>
    <x v="426"/>
    <x v="0"/>
    <x v="3"/>
    <x v="1"/>
    <n v="230"/>
    <n v="756.63"/>
    <x v="2"/>
    <n v="30"/>
    <n v="526.63"/>
    <x v="3"/>
  </r>
  <r>
    <s v="TRX-100559"/>
    <x v="45"/>
    <x v="4"/>
    <x v="0"/>
    <x v="0"/>
    <n v="209"/>
    <n v="129.97999999999999"/>
    <x v="0"/>
    <n v="14"/>
    <n v="-79.02"/>
    <x v="6"/>
  </r>
  <r>
    <s v="TRX-100560"/>
    <x v="372"/>
    <x v="2"/>
    <x v="8"/>
    <x v="2"/>
    <n v="215"/>
    <n v="210.89"/>
    <x v="1"/>
    <n v="7"/>
    <n v="-4.1100000000000101"/>
    <x v="10"/>
  </r>
  <r>
    <s v="TRX-100561"/>
    <x v="288"/>
    <x v="3"/>
    <x v="6"/>
    <x v="1"/>
    <n v="129"/>
    <n v="376.52"/>
    <x v="3"/>
    <n v="42"/>
    <n v="247.51999999999899"/>
    <x v="2"/>
  </r>
  <r>
    <s v="TRX-100562"/>
    <x v="427"/>
    <x v="2"/>
    <x v="7"/>
    <x v="2"/>
    <n v="219"/>
    <n v="320.27"/>
    <x v="4"/>
    <n v="17"/>
    <n v="101.269999999999"/>
    <x v="4"/>
  </r>
  <r>
    <s v="TRX-100563"/>
    <x v="428"/>
    <x v="3"/>
    <x v="2"/>
    <x v="0"/>
    <n v="126"/>
    <n v="86.83"/>
    <x v="1"/>
    <n v="10"/>
    <n v="-39.17"/>
    <x v="7"/>
  </r>
  <r>
    <s v="TRX-100564"/>
    <x v="429"/>
    <x v="0"/>
    <x v="7"/>
    <x v="0"/>
    <n v="226"/>
    <n v="175.41"/>
    <x v="4"/>
    <n v="13"/>
    <n v="-50.59"/>
    <x v="6"/>
  </r>
  <r>
    <s v="TRX-100565"/>
    <x v="172"/>
    <x v="4"/>
    <x v="5"/>
    <x v="1"/>
    <n v="205"/>
    <n v="438.75"/>
    <x v="3"/>
    <n v="32"/>
    <n v="233.75"/>
    <x v="0"/>
  </r>
  <r>
    <s v="TRX-100566"/>
    <x v="73"/>
    <x v="4"/>
    <x v="7"/>
    <x v="1"/>
    <n v="201"/>
    <n v="456.2"/>
    <x v="2"/>
    <n v="17"/>
    <n v="255.2"/>
    <x v="5"/>
  </r>
  <r>
    <s v="TRX-100567"/>
    <x v="430"/>
    <x v="2"/>
    <x v="5"/>
    <x v="1"/>
    <n v="220"/>
    <n v="733.97"/>
    <x v="1"/>
    <n v="14"/>
    <n v="513.97"/>
    <x v="3"/>
  </r>
  <r>
    <s v="TRX-100568"/>
    <x v="431"/>
    <x v="4"/>
    <x v="1"/>
    <x v="0"/>
    <n v="207"/>
    <n v="161.25"/>
    <x v="3"/>
    <n v="44"/>
    <n v="-45.75"/>
    <x v="5"/>
  </r>
  <r>
    <s v="TRX-100569"/>
    <x v="432"/>
    <x v="0"/>
    <x v="6"/>
    <x v="0"/>
    <n v="228"/>
    <n v="157.34"/>
    <x v="0"/>
    <n v="8"/>
    <n v="-70.66"/>
    <x v="5"/>
  </r>
  <r>
    <s v="TRX-100570"/>
    <x v="433"/>
    <x v="1"/>
    <x v="2"/>
    <x v="1"/>
    <n v="187"/>
    <n v="561.42999999999995"/>
    <x v="2"/>
    <n v="16"/>
    <n v="374.42999999999898"/>
    <x v="10"/>
  </r>
  <r>
    <s v="TRX-100571"/>
    <x v="206"/>
    <x v="2"/>
    <x v="4"/>
    <x v="1"/>
    <n v="218"/>
    <n v="691.3"/>
    <x v="3"/>
    <n v="60"/>
    <n v="473.29999999999899"/>
    <x v="0"/>
  </r>
  <r>
    <s v="TRX-100572"/>
    <x v="434"/>
    <x v="0"/>
    <x v="5"/>
    <x v="0"/>
    <n v="230"/>
    <n v="172.51"/>
    <x v="4"/>
    <n v="56"/>
    <n v="-57.49"/>
    <x v="4"/>
  </r>
  <r>
    <s v="TRX-100573"/>
    <x v="31"/>
    <x v="2"/>
    <x v="8"/>
    <x v="1"/>
    <n v="217"/>
    <n v="640.64"/>
    <x v="3"/>
    <n v="58"/>
    <n v="423.64"/>
    <x v="6"/>
  </r>
  <r>
    <s v="TRX-100574"/>
    <x v="275"/>
    <x v="4"/>
    <x v="7"/>
    <x v="2"/>
    <n v="208"/>
    <n v="267.12"/>
    <x v="0"/>
    <n v="2"/>
    <n v="59.12"/>
    <x v="2"/>
  </r>
  <r>
    <s v="TRX-100575"/>
    <x v="435"/>
    <x v="0"/>
    <x v="6"/>
    <x v="2"/>
    <n v="230"/>
    <n v="209.16"/>
    <x v="2"/>
    <n v="26"/>
    <n v="-20.84"/>
    <x v="10"/>
  </r>
  <r>
    <s v="TRX-100576"/>
    <x v="436"/>
    <x v="2"/>
    <x v="1"/>
    <x v="2"/>
    <n v="214"/>
    <n v="289.07"/>
    <x v="4"/>
    <n v="43"/>
    <n v="75.069999999999993"/>
    <x v="6"/>
  </r>
  <r>
    <s v="TRX-100577"/>
    <x v="437"/>
    <x v="2"/>
    <x v="7"/>
    <x v="0"/>
    <n v="217"/>
    <n v="116.01"/>
    <x v="1"/>
    <n v="14"/>
    <n v="-100.99"/>
    <x v="6"/>
  </r>
  <r>
    <s v="TRX-100578"/>
    <x v="60"/>
    <x v="4"/>
    <x v="4"/>
    <x v="0"/>
    <n v="200"/>
    <n v="155.75"/>
    <x v="1"/>
    <n v="2"/>
    <n v="-44.25"/>
    <x v="11"/>
  </r>
  <r>
    <s v="TRX-100579"/>
    <x v="225"/>
    <x v="3"/>
    <x v="3"/>
    <x v="0"/>
    <n v="111"/>
    <n v="72.739999999999995"/>
    <x v="1"/>
    <n v="13"/>
    <n v="-38.26"/>
    <x v="10"/>
  </r>
  <r>
    <s v="TRX-100580"/>
    <x v="114"/>
    <x v="3"/>
    <x v="3"/>
    <x v="1"/>
    <n v="120"/>
    <n v="252.53"/>
    <x v="3"/>
    <n v="36"/>
    <n v="132.53"/>
    <x v="7"/>
  </r>
  <r>
    <s v="TRX-100581"/>
    <x v="192"/>
    <x v="1"/>
    <x v="5"/>
    <x v="1"/>
    <n v="182"/>
    <n v="379.72"/>
    <x v="4"/>
    <n v="32"/>
    <n v="197.72"/>
    <x v="3"/>
  </r>
  <r>
    <s v="TRX-100582"/>
    <x v="438"/>
    <x v="1"/>
    <x v="8"/>
    <x v="2"/>
    <n v="176"/>
    <n v="186.59"/>
    <x v="2"/>
    <n v="29"/>
    <n v="10.59"/>
    <x v="11"/>
  </r>
  <r>
    <s v="TRX-100583"/>
    <x v="439"/>
    <x v="3"/>
    <x v="5"/>
    <x v="2"/>
    <n v="126"/>
    <n v="135.27000000000001"/>
    <x v="0"/>
    <n v="13"/>
    <n v="9.2700000000000102"/>
    <x v="11"/>
  </r>
  <r>
    <s v="TRX-100584"/>
    <x v="440"/>
    <x v="1"/>
    <x v="6"/>
    <x v="0"/>
    <n v="182"/>
    <n v="158.35"/>
    <x v="4"/>
    <n v="56"/>
    <n v="-23.65"/>
    <x v="3"/>
  </r>
  <r>
    <s v="TRX-100585"/>
    <x v="249"/>
    <x v="0"/>
    <x v="5"/>
    <x v="2"/>
    <n v="228"/>
    <n v="218.47"/>
    <x v="1"/>
    <n v="12"/>
    <n v="-9.5299999999999994"/>
    <x v="2"/>
  </r>
  <r>
    <s v="TRX-100586"/>
    <x v="441"/>
    <x v="1"/>
    <x v="8"/>
    <x v="1"/>
    <n v="188"/>
    <n v="564.52"/>
    <x v="0"/>
    <n v="5"/>
    <n v="376.52"/>
    <x v="11"/>
  </r>
  <r>
    <s v="TRX-100587"/>
    <x v="154"/>
    <x v="4"/>
    <x v="2"/>
    <x v="0"/>
    <n v="209"/>
    <n v="167.65"/>
    <x v="2"/>
    <n v="7"/>
    <n v="-41.349999999999902"/>
    <x v="2"/>
  </r>
  <r>
    <s v="TRX-100588"/>
    <x v="19"/>
    <x v="3"/>
    <x v="7"/>
    <x v="0"/>
    <n v="139"/>
    <n v="109.28"/>
    <x v="4"/>
    <n v="35"/>
    <n v="-29.72"/>
    <x v="0"/>
  </r>
  <r>
    <s v="TRX-100589"/>
    <x v="50"/>
    <x v="2"/>
    <x v="5"/>
    <x v="1"/>
    <n v="211"/>
    <n v="662.85"/>
    <x v="4"/>
    <n v="47"/>
    <n v="451.85"/>
    <x v="0"/>
  </r>
  <r>
    <s v="TRX-100590"/>
    <x v="143"/>
    <x v="4"/>
    <x v="4"/>
    <x v="0"/>
    <n v="200"/>
    <n v="112.92"/>
    <x v="1"/>
    <n v="13"/>
    <n v="-87.08"/>
    <x v="7"/>
  </r>
  <r>
    <s v="TRX-100591"/>
    <x v="215"/>
    <x v="1"/>
    <x v="2"/>
    <x v="1"/>
    <n v="186"/>
    <n v="610.95000000000005"/>
    <x v="2"/>
    <n v="6"/>
    <n v="424.95"/>
    <x v="7"/>
  </r>
  <r>
    <s v="TRX-100592"/>
    <x v="442"/>
    <x v="3"/>
    <x v="3"/>
    <x v="2"/>
    <n v="130"/>
    <n v="188.52"/>
    <x v="2"/>
    <n v="24"/>
    <n v="58.52"/>
    <x v="7"/>
  </r>
  <r>
    <s v="TRX-100593"/>
    <x v="443"/>
    <x v="3"/>
    <x v="3"/>
    <x v="0"/>
    <n v="138"/>
    <n v="73.739999999999995"/>
    <x v="1"/>
    <n v="1"/>
    <n v="-64.260000000000005"/>
    <x v="11"/>
  </r>
  <r>
    <s v="TRX-100594"/>
    <x v="323"/>
    <x v="0"/>
    <x v="6"/>
    <x v="1"/>
    <n v="228"/>
    <n v="585.69000000000005"/>
    <x v="3"/>
    <n v="6"/>
    <n v="357.69"/>
    <x v="3"/>
  </r>
  <r>
    <s v="TRX-100595"/>
    <x v="444"/>
    <x v="4"/>
    <x v="7"/>
    <x v="1"/>
    <n v="202"/>
    <n v="520.47"/>
    <x v="4"/>
    <n v="50"/>
    <n v="318.47000000000003"/>
    <x v="2"/>
  </r>
  <r>
    <s v="TRX-100596"/>
    <x v="445"/>
    <x v="1"/>
    <x v="1"/>
    <x v="1"/>
    <n v="179"/>
    <n v="421.03"/>
    <x v="1"/>
    <n v="6"/>
    <n v="242.02999999999901"/>
    <x v="3"/>
  </r>
  <r>
    <s v="TRX-100597"/>
    <x v="181"/>
    <x v="2"/>
    <x v="3"/>
    <x v="0"/>
    <n v="213"/>
    <n v="138.21"/>
    <x v="2"/>
    <n v="27"/>
    <n v="-74.789999999999907"/>
    <x v="4"/>
  </r>
  <r>
    <s v="TRX-100598"/>
    <x v="247"/>
    <x v="1"/>
    <x v="0"/>
    <x v="2"/>
    <n v="172"/>
    <n v="168.25"/>
    <x v="1"/>
    <n v="12"/>
    <n v="-3.75"/>
    <x v="6"/>
  </r>
  <r>
    <s v="TRX-100599"/>
    <x v="446"/>
    <x v="2"/>
    <x v="6"/>
    <x v="1"/>
    <n v="215"/>
    <n v="456.57"/>
    <x v="3"/>
    <n v="48"/>
    <n v="241.57"/>
    <x v="7"/>
  </r>
  <r>
    <s v="TRX-100600"/>
    <x v="360"/>
    <x v="1"/>
    <x v="7"/>
    <x v="2"/>
    <n v="177"/>
    <n v="183.7"/>
    <x v="0"/>
    <n v="2"/>
    <n v="6.6999999999999797"/>
    <x v="1"/>
  </r>
  <r>
    <s v="TRX-100601"/>
    <x v="447"/>
    <x v="3"/>
    <x v="0"/>
    <x v="2"/>
    <n v="115"/>
    <n v="164.7"/>
    <x v="2"/>
    <n v="19"/>
    <n v="49.699999999999903"/>
    <x v="5"/>
  </r>
  <r>
    <s v="TRX-100602"/>
    <x v="448"/>
    <x v="1"/>
    <x v="6"/>
    <x v="0"/>
    <n v="178"/>
    <n v="141"/>
    <x v="1"/>
    <n v="6"/>
    <n v="-37"/>
    <x v="4"/>
  </r>
  <r>
    <s v="TRX-100603"/>
    <x v="42"/>
    <x v="2"/>
    <x v="5"/>
    <x v="2"/>
    <n v="215"/>
    <n v="221.98"/>
    <x v="0"/>
    <n v="11"/>
    <n v="6.9799999999999898"/>
    <x v="11"/>
  </r>
  <r>
    <s v="TRX-100604"/>
    <x v="449"/>
    <x v="3"/>
    <x v="6"/>
    <x v="1"/>
    <n v="117"/>
    <n v="385.58"/>
    <x v="4"/>
    <n v="33"/>
    <n v="268.58"/>
    <x v="5"/>
  </r>
  <r>
    <s v="TRX-100605"/>
    <x v="450"/>
    <x v="1"/>
    <x v="0"/>
    <x v="1"/>
    <n v="172"/>
    <n v="238.24"/>
    <x v="2"/>
    <n v="58"/>
    <n v="66.239999999999995"/>
    <x v="8"/>
  </r>
  <r>
    <s v="TRX-100606"/>
    <x v="451"/>
    <x v="0"/>
    <x v="1"/>
    <x v="2"/>
    <n v="230"/>
    <n v="258.55"/>
    <x v="1"/>
    <n v="5"/>
    <n v="28.55"/>
    <x v="6"/>
  </r>
  <r>
    <s v="TRX-100607"/>
    <x v="452"/>
    <x v="1"/>
    <x v="7"/>
    <x v="0"/>
    <n v="190"/>
    <n v="130.41999999999999"/>
    <x v="3"/>
    <n v="7"/>
    <n v="-59.58"/>
    <x v="6"/>
  </r>
  <r>
    <s v="TRX-100608"/>
    <x v="453"/>
    <x v="2"/>
    <x v="4"/>
    <x v="2"/>
    <n v="216"/>
    <n v="212.8"/>
    <x v="3"/>
    <n v="60"/>
    <n v="-3.1999999999999802"/>
    <x v="2"/>
  </r>
  <r>
    <s v="TRX-100609"/>
    <x v="454"/>
    <x v="2"/>
    <x v="6"/>
    <x v="1"/>
    <n v="216"/>
    <n v="509.66"/>
    <x v="2"/>
    <n v="27"/>
    <n v="293.66000000000003"/>
    <x v="8"/>
  </r>
  <r>
    <s v="TRX-100610"/>
    <x v="41"/>
    <x v="4"/>
    <x v="4"/>
    <x v="1"/>
    <n v="207"/>
    <n v="666.36"/>
    <x v="0"/>
    <n v="9"/>
    <n v="459.36"/>
    <x v="5"/>
  </r>
  <r>
    <s v="TRX-100611"/>
    <x v="455"/>
    <x v="0"/>
    <x v="6"/>
    <x v="2"/>
    <n v="228"/>
    <n v="256.58"/>
    <x v="0"/>
    <n v="10"/>
    <n v="28.579999999999899"/>
    <x v="6"/>
  </r>
  <r>
    <s v="TRX-100612"/>
    <x v="220"/>
    <x v="1"/>
    <x v="6"/>
    <x v="2"/>
    <n v="175"/>
    <n v="182.07"/>
    <x v="3"/>
    <n v="36"/>
    <n v="7.0699999999999896"/>
    <x v="11"/>
  </r>
  <r>
    <s v="TRX-100613"/>
    <x v="456"/>
    <x v="2"/>
    <x v="0"/>
    <x v="1"/>
    <n v="213"/>
    <n v="451.83"/>
    <x v="4"/>
    <n v="7"/>
    <n v="238.82999999999899"/>
    <x v="1"/>
  </r>
  <r>
    <s v="TRX-100614"/>
    <x v="34"/>
    <x v="3"/>
    <x v="4"/>
    <x v="0"/>
    <n v="136"/>
    <n v="68.94"/>
    <x v="3"/>
    <n v="41"/>
    <n v="-67.06"/>
    <x v="0"/>
  </r>
  <r>
    <s v="TRX-100615"/>
    <x v="310"/>
    <x v="2"/>
    <x v="7"/>
    <x v="1"/>
    <n v="221"/>
    <n v="745.45"/>
    <x v="2"/>
    <n v="27"/>
    <n v="524.45000000000005"/>
    <x v="11"/>
  </r>
  <r>
    <s v="TRX-100616"/>
    <x v="457"/>
    <x v="4"/>
    <x v="4"/>
    <x v="0"/>
    <n v="208"/>
    <n v="164.94"/>
    <x v="0"/>
    <n v="2"/>
    <n v="-43.06"/>
    <x v="7"/>
  </r>
  <r>
    <s v="TRX-100617"/>
    <x v="458"/>
    <x v="4"/>
    <x v="8"/>
    <x v="2"/>
    <n v="202"/>
    <n v="249.6"/>
    <x v="0"/>
    <n v="10"/>
    <n v="47.599999999999902"/>
    <x v="10"/>
  </r>
  <r>
    <s v="TRX-100618"/>
    <x v="459"/>
    <x v="1"/>
    <x v="6"/>
    <x v="2"/>
    <n v="183"/>
    <n v="259.01"/>
    <x v="4"/>
    <n v="59"/>
    <n v="76.009999999999906"/>
    <x v="11"/>
  </r>
  <r>
    <s v="TRX-100619"/>
    <x v="341"/>
    <x v="3"/>
    <x v="0"/>
    <x v="1"/>
    <n v="131"/>
    <n v="168.89"/>
    <x v="4"/>
    <n v="49"/>
    <n v="37.889999999999901"/>
    <x v="6"/>
  </r>
  <r>
    <s v="TRX-100620"/>
    <x v="460"/>
    <x v="0"/>
    <x v="2"/>
    <x v="2"/>
    <n v="228"/>
    <n v="239.11"/>
    <x v="3"/>
    <n v="21"/>
    <n v="11.11"/>
    <x v="0"/>
  </r>
  <r>
    <s v="TRX-100621"/>
    <x v="72"/>
    <x v="4"/>
    <x v="8"/>
    <x v="2"/>
    <n v="209"/>
    <n v="261.14"/>
    <x v="3"/>
    <n v="43"/>
    <n v="52.139999999999901"/>
    <x v="0"/>
  </r>
  <r>
    <s v="TRX-100622"/>
    <x v="208"/>
    <x v="0"/>
    <x v="4"/>
    <x v="2"/>
    <n v="228"/>
    <n v="310.29000000000002"/>
    <x v="1"/>
    <n v="10"/>
    <n v="82.29"/>
    <x v="9"/>
  </r>
  <r>
    <s v="TRX-100623"/>
    <x v="199"/>
    <x v="0"/>
    <x v="4"/>
    <x v="0"/>
    <n v="229"/>
    <n v="174.32"/>
    <x v="2"/>
    <n v="5"/>
    <n v="-54.68"/>
    <x v="8"/>
  </r>
  <r>
    <s v="TRX-100624"/>
    <x v="461"/>
    <x v="2"/>
    <x v="2"/>
    <x v="0"/>
    <n v="219"/>
    <n v="116.89"/>
    <x v="2"/>
    <n v="54"/>
    <n v="-102.11"/>
    <x v="6"/>
  </r>
  <r>
    <s v="TRX-100625"/>
    <x v="462"/>
    <x v="4"/>
    <x v="1"/>
    <x v="0"/>
    <n v="200"/>
    <n v="115.01"/>
    <x v="3"/>
    <n v="56"/>
    <n v="-84.99"/>
    <x v="11"/>
  </r>
  <r>
    <s v="TRX-100626"/>
    <x v="109"/>
    <x v="4"/>
    <x v="5"/>
    <x v="0"/>
    <n v="205"/>
    <n v="106.43"/>
    <x v="2"/>
    <n v="35"/>
    <n v="-98.57"/>
    <x v="0"/>
  </r>
  <r>
    <s v="TRX-100627"/>
    <x v="463"/>
    <x v="2"/>
    <x v="6"/>
    <x v="0"/>
    <n v="215"/>
    <n v="111.58"/>
    <x v="4"/>
    <n v="51"/>
    <n v="-103.42"/>
    <x v="10"/>
  </r>
  <r>
    <s v="TRX-100628"/>
    <x v="274"/>
    <x v="1"/>
    <x v="2"/>
    <x v="0"/>
    <n v="174"/>
    <n v="121.54"/>
    <x v="0"/>
    <n v="4"/>
    <n v="-52.459999999999901"/>
    <x v="5"/>
  </r>
  <r>
    <s v="TRX-100629"/>
    <x v="464"/>
    <x v="2"/>
    <x v="8"/>
    <x v="0"/>
    <n v="213"/>
    <n v="109"/>
    <x v="2"/>
    <n v="47"/>
    <n v="-104"/>
    <x v="0"/>
  </r>
  <r>
    <s v="TRX-100630"/>
    <x v="421"/>
    <x v="0"/>
    <x v="6"/>
    <x v="0"/>
    <n v="230"/>
    <n v="144.88"/>
    <x v="3"/>
    <n v="19"/>
    <n v="-85.12"/>
    <x v="10"/>
  </r>
  <r>
    <s v="TRX-100631"/>
    <x v="258"/>
    <x v="1"/>
    <x v="3"/>
    <x v="0"/>
    <n v="189"/>
    <n v="165.45"/>
    <x v="0"/>
    <n v="12"/>
    <n v="-23.55"/>
    <x v="3"/>
  </r>
  <r>
    <s v="TRX-100632"/>
    <x v="71"/>
    <x v="4"/>
    <x v="0"/>
    <x v="1"/>
    <n v="206"/>
    <n v="640.4"/>
    <x v="1"/>
    <n v="6"/>
    <n v="434.4"/>
    <x v="10"/>
  </r>
  <r>
    <s v="TRX-100633"/>
    <x v="27"/>
    <x v="4"/>
    <x v="3"/>
    <x v="0"/>
    <n v="205"/>
    <n v="145.25"/>
    <x v="3"/>
    <n v="50"/>
    <n v="-59.75"/>
    <x v="9"/>
  </r>
  <r>
    <s v="TRX-100634"/>
    <x v="465"/>
    <x v="3"/>
    <x v="1"/>
    <x v="0"/>
    <n v="119"/>
    <n v="92.5"/>
    <x v="3"/>
    <n v="42"/>
    <n v="-26.5"/>
    <x v="7"/>
  </r>
  <r>
    <s v="TRX-100635"/>
    <x v="459"/>
    <x v="0"/>
    <x v="6"/>
    <x v="1"/>
    <n v="225"/>
    <n v="606.95000000000005"/>
    <x v="0"/>
    <n v="3"/>
    <n v="381.95"/>
    <x v="11"/>
  </r>
  <r>
    <s v="TRX-100636"/>
    <x v="466"/>
    <x v="3"/>
    <x v="8"/>
    <x v="0"/>
    <n v="130"/>
    <n v="109.93"/>
    <x v="0"/>
    <n v="3"/>
    <n v="-20.069999999999901"/>
    <x v="5"/>
  </r>
  <r>
    <s v="TRX-100637"/>
    <x v="247"/>
    <x v="4"/>
    <x v="4"/>
    <x v="0"/>
    <n v="206"/>
    <n v="127.31"/>
    <x v="4"/>
    <n v="59"/>
    <n v="-78.69"/>
    <x v="6"/>
  </r>
  <r>
    <s v="TRX-100638"/>
    <x v="467"/>
    <x v="4"/>
    <x v="2"/>
    <x v="1"/>
    <n v="208"/>
    <n v="299.69"/>
    <x v="0"/>
    <n v="14"/>
    <n v="91.69"/>
    <x v="5"/>
  </r>
  <r>
    <s v="TRX-100639"/>
    <x v="282"/>
    <x v="1"/>
    <x v="7"/>
    <x v="0"/>
    <n v="173"/>
    <n v="106.13"/>
    <x v="0"/>
    <n v="2"/>
    <n v="-66.87"/>
    <x v="1"/>
  </r>
  <r>
    <s v="TRX-100640"/>
    <x v="468"/>
    <x v="2"/>
    <x v="2"/>
    <x v="2"/>
    <n v="219"/>
    <n v="211.7"/>
    <x v="2"/>
    <n v="13"/>
    <n v="-7.3000000000000096"/>
    <x v="6"/>
  </r>
  <r>
    <s v="TRX-100641"/>
    <x v="144"/>
    <x v="0"/>
    <x v="4"/>
    <x v="0"/>
    <n v="229"/>
    <n v="163.30000000000001"/>
    <x v="3"/>
    <n v="9"/>
    <n v="-65.699999999999903"/>
    <x v="4"/>
  </r>
  <r>
    <s v="TRX-100642"/>
    <x v="306"/>
    <x v="2"/>
    <x v="8"/>
    <x v="2"/>
    <n v="210"/>
    <n v="278.14999999999998"/>
    <x v="1"/>
    <n v="10"/>
    <n v="68.149999999999906"/>
    <x v="7"/>
  </r>
  <r>
    <s v="TRX-100643"/>
    <x v="416"/>
    <x v="4"/>
    <x v="3"/>
    <x v="1"/>
    <n v="206"/>
    <n v="310.58"/>
    <x v="1"/>
    <n v="13"/>
    <n v="104.579999999999"/>
    <x v="5"/>
  </r>
  <r>
    <s v="TRX-100644"/>
    <x v="36"/>
    <x v="2"/>
    <x v="6"/>
    <x v="0"/>
    <n v="221"/>
    <n v="186.8"/>
    <x v="4"/>
    <n v="17"/>
    <n v="-34.199999999999903"/>
    <x v="11"/>
  </r>
  <r>
    <s v="TRX-100645"/>
    <x v="355"/>
    <x v="0"/>
    <x v="2"/>
    <x v="0"/>
    <n v="226"/>
    <n v="196.96"/>
    <x v="0"/>
    <n v="13"/>
    <n v="-29.0399999999999"/>
    <x v="11"/>
  </r>
  <r>
    <s v="TRX-100646"/>
    <x v="344"/>
    <x v="3"/>
    <x v="5"/>
    <x v="0"/>
    <n v="120"/>
    <n v="62.3"/>
    <x v="3"/>
    <n v="6"/>
    <n v="-57.7"/>
    <x v="3"/>
  </r>
  <r>
    <s v="TRX-100647"/>
    <x v="469"/>
    <x v="4"/>
    <x v="0"/>
    <x v="1"/>
    <n v="200"/>
    <n v="311.73"/>
    <x v="4"/>
    <n v="29"/>
    <n v="111.73"/>
    <x v="7"/>
  </r>
  <r>
    <s v="TRX-100648"/>
    <x v="470"/>
    <x v="1"/>
    <x v="3"/>
    <x v="2"/>
    <n v="179"/>
    <n v="219.32"/>
    <x v="1"/>
    <n v="2"/>
    <n v="40.319999999999901"/>
    <x v="4"/>
  </r>
  <r>
    <s v="TRX-100649"/>
    <x v="134"/>
    <x v="2"/>
    <x v="7"/>
    <x v="1"/>
    <n v="222"/>
    <n v="301"/>
    <x v="2"/>
    <n v="60"/>
    <n v="79"/>
    <x v="3"/>
  </r>
  <r>
    <s v="TRX-100650"/>
    <x v="471"/>
    <x v="3"/>
    <x v="2"/>
    <x v="2"/>
    <n v="120"/>
    <n v="146.19999999999999"/>
    <x v="2"/>
    <n v="16"/>
    <n v="26.1999999999999"/>
    <x v="10"/>
  </r>
  <r>
    <s v="TRX-100651"/>
    <x v="49"/>
    <x v="1"/>
    <x v="5"/>
    <x v="2"/>
    <n v="185"/>
    <n v="266.19"/>
    <x v="3"/>
    <n v="52"/>
    <n v="81.19"/>
    <x v="3"/>
  </r>
  <r>
    <s v="TRX-100652"/>
    <x v="472"/>
    <x v="2"/>
    <x v="8"/>
    <x v="2"/>
    <n v="221"/>
    <n v="270.44"/>
    <x v="4"/>
    <n v="18"/>
    <n v="49.44"/>
    <x v="11"/>
  </r>
  <r>
    <s v="TRX-100653"/>
    <x v="473"/>
    <x v="2"/>
    <x v="2"/>
    <x v="0"/>
    <n v="211"/>
    <n v="147.96"/>
    <x v="0"/>
    <n v="14"/>
    <n v="-63.0399999999999"/>
    <x v="3"/>
  </r>
  <r>
    <s v="TRX-100654"/>
    <x v="474"/>
    <x v="4"/>
    <x v="8"/>
    <x v="1"/>
    <n v="209"/>
    <n v="375.41"/>
    <x v="4"/>
    <n v="43"/>
    <n v="166.41"/>
    <x v="5"/>
  </r>
  <r>
    <s v="TRX-100655"/>
    <x v="475"/>
    <x v="0"/>
    <x v="7"/>
    <x v="0"/>
    <n v="227"/>
    <n v="155.32"/>
    <x v="3"/>
    <n v="33"/>
    <n v="-71.680000000000007"/>
    <x v="5"/>
  </r>
  <r>
    <s v="TRX-100656"/>
    <x v="45"/>
    <x v="3"/>
    <x v="5"/>
    <x v="2"/>
    <n v="135"/>
    <n v="148.35"/>
    <x v="1"/>
    <n v="1"/>
    <n v="13.3499999999999"/>
    <x v="6"/>
  </r>
  <r>
    <s v="TRX-100657"/>
    <x v="476"/>
    <x v="4"/>
    <x v="2"/>
    <x v="2"/>
    <n v="210"/>
    <n v="193.74"/>
    <x v="0"/>
    <n v="5"/>
    <n v="-16.259999999999899"/>
    <x v="2"/>
  </r>
  <r>
    <s v="TRX-100658"/>
    <x v="64"/>
    <x v="4"/>
    <x v="7"/>
    <x v="2"/>
    <n v="201"/>
    <n v="286.10000000000002"/>
    <x v="0"/>
    <n v="14"/>
    <n v="85.1"/>
    <x v="2"/>
  </r>
  <r>
    <s v="TRX-100659"/>
    <x v="477"/>
    <x v="2"/>
    <x v="8"/>
    <x v="1"/>
    <n v="222"/>
    <n v="705.67"/>
    <x v="4"/>
    <n v="40"/>
    <n v="483.66999999999899"/>
    <x v="5"/>
  </r>
  <r>
    <s v="TRX-100660"/>
    <x v="478"/>
    <x v="1"/>
    <x v="1"/>
    <x v="2"/>
    <n v="170"/>
    <n v="227.26"/>
    <x v="3"/>
    <n v="53"/>
    <n v="57.259999999999899"/>
    <x v="11"/>
  </r>
  <r>
    <s v="TRX-100661"/>
    <x v="479"/>
    <x v="0"/>
    <x v="6"/>
    <x v="1"/>
    <n v="229"/>
    <n v="436.59"/>
    <x v="4"/>
    <n v="60"/>
    <n v="207.58999999999901"/>
    <x v="4"/>
  </r>
  <r>
    <s v="TRX-100662"/>
    <x v="480"/>
    <x v="1"/>
    <x v="2"/>
    <x v="0"/>
    <n v="180"/>
    <n v="130.84"/>
    <x v="1"/>
    <n v="10"/>
    <n v="-49.16"/>
    <x v="2"/>
  </r>
  <r>
    <s v="TRX-100663"/>
    <x v="19"/>
    <x v="0"/>
    <x v="1"/>
    <x v="2"/>
    <n v="228"/>
    <n v="291.97000000000003"/>
    <x v="1"/>
    <n v="10"/>
    <n v="63.97"/>
    <x v="0"/>
  </r>
  <r>
    <s v="TRX-100664"/>
    <x v="98"/>
    <x v="4"/>
    <x v="2"/>
    <x v="2"/>
    <n v="206"/>
    <n v="271.79000000000002"/>
    <x v="0"/>
    <n v="1"/>
    <n v="65.790000000000006"/>
    <x v="2"/>
  </r>
  <r>
    <s v="TRX-100665"/>
    <x v="481"/>
    <x v="1"/>
    <x v="0"/>
    <x v="2"/>
    <n v="185"/>
    <n v="197.37"/>
    <x v="3"/>
    <n v="44"/>
    <n v="12.37"/>
    <x v="8"/>
  </r>
  <r>
    <s v="TRX-100666"/>
    <x v="482"/>
    <x v="1"/>
    <x v="0"/>
    <x v="1"/>
    <n v="173"/>
    <n v="222.92"/>
    <x v="2"/>
    <n v="5"/>
    <n v="49.919999999999902"/>
    <x v="1"/>
  </r>
  <r>
    <s v="TRX-100667"/>
    <x v="483"/>
    <x v="4"/>
    <x v="5"/>
    <x v="0"/>
    <n v="204"/>
    <n v="150.46"/>
    <x v="2"/>
    <n v="40"/>
    <n v="-53.5399999999999"/>
    <x v="0"/>
  </r>
  <r>
    <s v="TRX-100668"/>
    <x v="166"/>
    <x v="2"/>
    <x v="6"/>
    <x v="2"/>
    <n v="216"/>
    <n v="312.44"/>
    <x v="2"/>
    <n v="25"/>
    <n v="96.44"/>
    <x v="5"/>
  </r>
  <r>
    <s v="TRX-100669"/>
    <x v="484"/>
    <x v="2"/>
    <x v="4"/>
    <x v="1"/>
    <n v="222"/>
    <n v="413.45"/>
    <x v="1"/>
    <n v="6"/>
    <n v="191.45"/>
    <x v="4"/>
  </r>
  <r>
    <s v="TRX-100670"/>
    <x v="485"/>
    <x v="3"/>
    <x v="4"/>
    <x v="1"/>
    <n v="124"/>
    <n v="315.02"/>
    <x v="2"/>
    <n v="53"/>
    <n v="191.01999999999899"/>
    <x v="1"/>
  </r>
  <r>
    <s v="TRX-100671"/>
    <x v="486"/>
    <x v="1"/>
    <x v="6"/>
    <x v="1"/>
    <n v="179"/>
    <n v="364.04"/>
    <x v="2"/>
    <n v="59"/>
    <n v="185.04"/>
    <x v="11"/>
  </r>
  <r>
    <s v="TRX-100672"/>
    <x v="487"/>
    <x v="3"/>
    <x v="7"/>
    <x v="2"/>
    <n v="120"/>
    <n v="114.96"/>
    <x v="3"/>
    <n v="8"/>
    <n v="-5.04"/>
    <x v="5"/>
  </r>
  <r>
    <s v="TRX-100673"/>
    <x v="488"/>
    <x v="1"/>
    <x v="4"/>
    <x v="1"/>
    <n v="187"/>
    <n v="368.44"/>
    <x v="0"/>
    <n v="11"/>
    <n v="181.44"/>
    <x v="2"/>
  </r>
  <r>
    <s v="TRX-100674"/>
    <x v="12"/>
    <x v="1"/>
    <x v="7"/>
    <x v="2"/>
    <n v="177"/>
    <n v="221.08"/>
    <x v="2"/>
    <n v="12"/>
    <n v="44.08"/>
    <x v="7"/>
  </r>
  <r>
    <s v="TRX-100675"/>
    <x v="217"/>
    <x v="1"/>
    <x v="5"/>
    <x v="1"/>
    <n v="188"/>
    <n v="559.9"/>
    <x v="3"/>
    <n v="7"/>
    <n v="371.9"/>
    <x v="8"/>
  </r>
  <r>
    <s v="TRX-100676"/>
    <x v="47"/>
    <x v="2"/>
    <x v="0"/>
    <x v="0"/>
    <n v="222"/>
    <n v="126.09"/>
    <x v="3"/>
    <n v="26"/>
    <n v="-95.91"/>
    <x v="10"/>
  </r>
  <r>
    <s v="TRX-100677"/>
    <x v="228"/>
    <x v="4"/>
    <x v="0"/>
    <x v="2"/>
    <n v="209"/>
    <n v="221.67"/>
    <x v="0"/>
    <n v="7"/>
    <n v="12.6699999999999"/>
    <x v="8"/>
  </r>
  <r>
    <s v="TRX-100678"/>
    <x v="489"/>
    <x v="3"/>
    <x v="0"/>
    <x v="2"/>
    <n v="136"/>
    <n v="185.37"/>
    <x v="0"/>
    <n v="11"/>
    <n v="49.37"/>
    <x v="4"/>
  </r>
  <r>
    <s v="TRX-100679"/>
    <x v="3"/>
    <x v="1"/>
    <x v="6"/>
    <x v="0"/>
    <n v="180"/>
    <n v="114.15"/>
    <x v="4"/>
    <n v="28"/>
    <n v="-65.849999999999994"/>
    <x v="2"/>
  </r>
  <r>
    <s v="TRX-100680"/>
    <x v="490"/>
    <x v="4"/>
    <x v="5"/>
    <x v="1"/>
    <n v="209"/>
    <n v="477.41"/>
    <x v="4"/>
    <n v="51"/>
    <n v="268.41000000000003"/>
    <x v="3"/>
  </r>
  <r>
    <s v="TRX-100681"/>
    <x v="491"/>
    <x v="3"/>
    <x v="8"/>
    <x v="2"/>
    <n v="128"/>
    <n v="160.74"/>
    <x v="0"/>
    <n v="12"/>
    <n v="32.74"/>
    <x v="6"/>
  </r>
  <r>
    <s v="TRX-100682"/>
    <x v="446"/>
    <x v="0"/>
    <x v="1"/>
    <x v="2"/>
    <n v="226"/>
    <n v="257.62"/>
    <x v="3"/>
    <n v="40"/>
    <n v="31.62"/>
    <x v="7"/>
  </r>
  <r>
    <s v="TRX-100683"/>
    <x v="492"/>
    <x v="4"/>
    <x v="3"/>
    <x v="0"/>
    <n v="206"/>
    <n v="134.91"/>
    <x v="0"/>
    <n v="4"/>
    <n v="-71.09"/>
    <x v="3"/>
  </r>
  <r>
    <s v="TRX-100684"/>
    <x v="493"/>
    <x v="3"/>
    <x v="1"/>
    <x v="1"/>
    <n v="116"/>
    <n v="292.95"/>
    <x v="0"/>
    <n v="7"/>
    <n v="176.95"/>
    <x v="9"/>
  </r>
  <r>
    <s v="TRX-100685"/>
    <x v="494"/>
    <x v="3"/>
    <x v="4"/>
    <x v="2"/>
    <n v="116"/>
    <n v="153.38999999999999"/>
    <x v="4"/>
    <n v="42"/>
    <n v="37.389999999999901"/>
    <x v="3"/>
  </r>
  <r>
    <s v="TRX-100686"/>
    <x v="495"/>
    <x v="4"/>
    <x v="7"/>
    <x v="2"/>
    <n v="203"/>
    <n v="296.23"/>
    <x v="1"/>
    <n v="7"/>
    <n v="93.23"/>
    <x v="10"/>
  </r>
  <r>
    <s v="TRX-100687"/>
    <x v="231"/>
    <x v="1"/>
    <x v="4"/>
    <x v="2"/>
    <n v="183"/>
    <n v="206.08"/>
    <x v="1"/>
    <n v="12"/>
    <n v="23.08"/>
    <x v="8"/>
  </r>
  <r>
    <s v="TRX-100688"/>
    <x v="496"/>
    <x v="1"/>
    <x v="7"/>
    <x v="1"/>
    <n v="175"/>
    <n v="343.51"/>
    <x v="0"/>
    <n v="4"/>
    <n v="168.51"/>
    <x v="9"/>
  </r>
  <r>
    <s v="TRX-100689"/>
    <x v="497"/>
    <x v="1"/>
    <x v="6"/>
    <x v="0"/>
    <n v="176"/>
    <n v="88.3"/>
    <x v="4"/>
    <n v="29"/>
    <n v="-87.7"/>
    <x v="9"/>
  </r>
  <r>
    <s v="TRX-100690"/>
    <x v="111"/>
    <x v="2"/>
    <x v="0"/>
    <x v="1"/>
    <n v="212"/>
    <n v="569.6"/>
    <x v="0"/>
    <n v="12"/>
    <n v="357.6"/>
    <x v="2"/>
  </r>
  <r>
    <s v="TRX-100691"/>
    <x v="59"/>
    <x v="3"/>
    <x v="3"/>
    <x v="1"/>
    <n v="115"/>
    <n v="156.02000000000001"/>
    <x v="1"/>
    <n v="13"/>
    <n v="41.02"/>
    <x v="9"/>
  </r>
  <r>
    <s v="TRX-100692"/>
    <x v="318"/>
    <x v="0"/>
    <x v="0"/>
    <x v="1"/>
    <n v="228"/>
    <n v="491.49"/>
    <x v="4"/>
    <n v="33"/>
    <n v="263.49"/>
    <x v="6"/>
  </r>
  <r>
    <s v="TRX-100693"/>
    <x v="498"/>
    <x v="3"/>
    <x v="4"/>
    <x v="0"/>
    <n v="110"/>
    <n v="82.16"/>
    <x v="4"/>
    <n v="9"/>
    <n v="-27.84"/>
    <x v="10"/>
  </r>
  <r>
    <s v="TRX-100694"/>
    <x v="80"/>
    <x v="1"/>
    <x v="2"/>
    <x v="0"/>
    <n v="179"/>
    <n v="104.52"/>
    <x v="0"/>
    <n v="9"/>
    <n v="-74.48"/>
    <x v="8"/>
  </r>
  <r>
    <s v="TRX-100695"/>
    <x v="106"/>
    <x v="4"/>
    <x v="4"/>
    <x v="0"/>
    <n v="205"/>
    <n v="154.91"/>
    <x v="2"/>
    <n v="43"/>
    <n v="-50.09"/>
    <x v="8"/>
  </r>
  <r>
    <s v="TRX-100696"/>
    <x v="383"/>
    <x v="0"/>
    <x v="6"/>
    <x v="2"/>
    <n v="227"/>
    <n v="335.87"/>
    <x v="1"/>
    <n v="5"/>
    <n v="108.87"/>
    <x v="3"/>
  </r>
  <r>
    <s v="TRX-100697"/>
    <x v="446"/>
    <x v="4"/>
    <x v="7"/>
    <x v="2"/>
    <n v="205"/>
    <n v="231.21"/>
    <x v="4"/>
    <n v="48"/>
    <n v="26.21"/>
    <x v="7"/>
  </r>
  <r>
    <s v="TRX-100698"/>
    <x v="499"/>
    <x v="0"/>
    <x v="6"/>
    <x v="2"/>
    <n v="229"/>
    <n v="207.1"/>
    <x v="3"/>
    <n v="35"/>
    <n v="-21.9"/>
    <x v="9"/>
  </r>
  <r>
    <s v="TRX-100699"/>
    <x v="137"/>
    <x v="2"/>
    <x v="6"/>
    <x v="1"/>
    <n v="223"/>
    <n v="593.64"/>
    <x v="0"/>
    <n v="8"/>
    <n v="370.64"/>
    <x v="6"/>
  </r>
  <r>
    <s v="TRX-100700"/>
    <x v="500"/>
    <x v="1"/>
    <x v="4"/>
    <x v="1"/>
    <n v="170"/>
    <n v="563.67999999999995"/>
    <x v="4"/>
    <n v="26"/>
    <n v="393.67999999999898"/>
    <x v="2"/>
  </r>
  <r>
    <s v="TRX-100701"/>
    <x v="501"/>
    <x v="1"/>
    <x v="0"/>
    <x v="2"/>
    <n v="173"/>
    <n v="190.37"/>
    <x v="0"/>
    <n v="14"/>
    <n v="17.37"/>
    <x v="0"/>
  </r>
  <r>
    <s v="TRX-100702"/>
    <x v="502"/>
    <x v="3"/>
    <x v="2"/>
    <x v="1"/>
    <n v="114"/>
    <n v="255.56"/>
    <x v="0"/>
    <n v="14"/>
    <n v="141.56"/>
    <x v="0"/>
  </r>
  <r>
    <s v="TRX-100703"/>
    <x v="503"/>
    <x v="1"/>
    <x v="3"/>
    <x v="1"/>
    <n v="178"/>
    <n v="434.81"/>
    <x v="3"/>
    <n v="33"/>
    <n v="256.81"/>
    <x v="8"/>
  </r>
  <r>
    <s v="TRX-100704"/>
    <x v="504"/>
    <x v="3"/>
    <x v="7"/>
    <x v="1"/>
    <n v="121"/>
    <n v="151.74"/>
    <x v="4"/>
    <n v="50"/>
    <n v="30.74"/>
    <x v="0"/>
  </r>
  <r>
    <s v="TRX-100705"/>
    <x v="39"/>
    <x v="3"/>
    <x v="7"/>
    <x v="1"/>
    <n v="127"/>
    <n v="404.38"/>
    <x v="0"/>
    <n v="8"/>
    <n v="277.38"/>
    <x v="11"/>
  </r>
  <r>
    <s v="TRX-100706"/>
    <x v="505"/>
    <x v="3"/>
    <x v="0"/>
    <x v="1"/>
    <n v="114"/>
    <n v="373.14"/>
    <x v="0"/>
    <n v="1"/>
    <n v="259.14"/>
    <x v="3"/>
  </r>
  <r>
    <s v="TRX-100707"/>
    <x v="506"/>
    <x v="3"/>
    <x v="3"/>
    <x v="1"/>
    <n v="133"/>
    <n v="317.38"/>
    <x v="1"/>
    <n v="3"/>
    <n v="184.38"/>
    <x v="1"/>
  </r>
  <r>
    <s v="TRX-100708"/>
    <x v="461"/>
    <x v="4"/>
    <x v="2"/>
    <x v="2"/>
    <n v="210"/>
    <n v="284.14"/>
    <x v="4"/>
    <n v="22"/>
    <n v="74.139999999999901"/>
    <x v="6"/>
  </r>
  <r>
    <s v="TRX-100709"/>
    <x v="198"/>
    <x v="3"/>
    <x v="1"/>
    <x v="2"/>
    <n v="126"/>
    <n v="140.68"/>
    <x v="2"/>
    <n v="19"/>
    <n v="14.68"/>
    <x v="11"/>
  </r>
  <r>
    <s v="TRX-100710"/>
    <x v="507"/>
    <x v="4"/>
    <x v="8"/>
    <x v="0"/>
    <n v="206"/>
    <n v="138.88"/>
    <x v="4"/>
    <n v="53"/>
    <n v="-67.12"/>
    <x v="4"/>
  </r>
  <r>
    <s v="TRX-100711"/>
    <x v="508"/>
    <x v="0"/>
    <x v="6"/>
    <x v="2"/>
    <n v="229"/>
    <n v="220.92"/>
    <x v="3"/>
    <n v="52"/>
    <n v="-8.0800000000000107"/>
    <x v="4"/>
  </r>
  <r>
    <s v="TRX-100712"/>
    <x v="442"/>
    <x v="0"/>
    <x v="8"/>
    <x v="1"/>
    <n v="226"/>
    <n v="374.49"/>
    <x v="3"/>
    <n v="57"/>
    <n v="148.49"/>
    <x v="7"/>
  </r>
  <r>
    <s v="TRX-100713"/>
    <x v="509"/>
    <x v="2"/>
    <x v="4"/>
    <x v="1"/>
    <n v="214"/>
    <n v="451.27"/>
    <x v="3"/>
    <n v="42"/>
    <n v="237.26999999999899"/>
    <x v="6"/>
  </r>
  <r>
    <s v="TRX-100714"/>
    <x v="82"/>
    <x v="2"/>
    <x v="5"/>
    <x v="0"/>
    <n v="222"/>
    <n v="126.87"/>
    <x v="3"/>
    <n v="24"/>
    <n v="-95.13"/>
    <x v="5"/>
  </r>
  <r>
    <s v="TRX-100715"/>
    <x v="373"/>
    <x v="0"/>
    <x v="0"/>
    <x v="2"/>
    <n v="227"/>
    <n v="330.24"/>
    <x v="2"/>
    <n v="60"/>
    <n v="103.24"/>
    <x v="2"/>
  </r>
  <r>
    <s v="TRX-100716"/>
    <x v="510"/>
    <x v="0"/>
    <x v="7"/>
    <x v="1"/>
    <n v="227"/>
    <n v="312"/>
    <x v="1"/>
    <n v="9"/>
    <n v="85"/>
    <x v="2"/>
  </r>
  <r>
    <s v="TRX-100717"/>
    <x v="511"/>
    <x v="4"/>
    <x v="3"/>
    <x v="1"/>
    <n v="209"/>
    <n v="646.85"/>
    <x v="4"/>
    <n v="37"/>
    <n v="437.85"/>
    <x v="4"/>
  </r>
  <r>
    <s v="TRX-100718"/>
    <x v="488"/>
    <x v="1"/>
    <x v="6"/>
    <x v="2"/>
    <n v="187"/>
    <n v="269.55"/>
    <x v="2"/>
    <n v="57"/>
    <n v="82.55"/>
    <x v="2"/>
  </r>
  <r>
    <s v="TRX-100719"/>
    <x v="258"/>
    <x v="1"/>
    <x v="3"/>
    <x v="1"/>
    <n v="170"/>
    <n v="458.6"/>
    <x v="4"/>
    <n v="41"/>
    <n v="288.60000000000002"/>
    <x v="3"/>
  </r>
  <r>
    <s v="TRX-100720"/>
    <x v="387"/>
    <x v="4"/>
    <x v="5"/>
    <x v="0"/>
    <n v="204"/>
    <n v="144.31"/>
    <x v="3"/>
    <n v="57"/>
    <n v="-59.69"/>
    <x v="3"/>
  </r>
  <r>
    <s v="TRX-100721"/>
    <x v="512"/>
    <x v="4"/>
    <x v="6"/>
    <x v="0"/>
    <n v="210"/>
    <n v="158.46"/>
    <x v="4"/>
    <n v="14"/>
    <n v="-51.5399999999999"/>
    <x v="5"/>
  </r>
  <r>
    <s v="TRX-100722"/>
    <x v="513"/>
    <x v="2"/>
    <x v="3"/>
    <x v="1"/>
    <n v="219"/>
    <n v="307.26"/>
    <x v="4"/>
    <n v="35"/>
    <n v="88.259999999999906"/>
    <x v="3"/>
  </r>
  <r>
    <s v="TRX-100723"/>
    <x v="514"/>
    <x v="1"/>
    <x v="6"/>
    <x v="2"/>
    <n v="173"/>
    <n v="231.29"/>
    <x v="0"/>
    <n v="8"/>
    <n v="58.2899999999999"/>
    <x v="5"/>
  </r>
  <r>
    <s v="TRX-100724"/>
    <x v="170"/>
    <x v="1"/>
    <x v="7"/>
    <x v="0"/>
    <n v="178"/>
    <n v="145.16999999999999"/>
    <x v="1"/>
    <n v="1"/>
    <n v="-32.83"/>
    <x v="3"/>
  </r>
  <r>
    <s v="TRX-100725"/>
    <x v="186"/>
    <x v="1"/>
    <x v="6"/>
    <x v="0"/>
    <n v="171"/>
    <n v="142.52000000000001"/>
    <x v="4"/>
    <n v="51"/>
    <n v="-28.479999999999901"/>
    <x v="1"/>
  </r>
  <r>
    <s v="TRX-100726"/>
    <x v="239"/>
    <x v="0"/>
    <x v="8"/>
    <x v="1"/>
    <n v="230"/>
    <n v="570.87"/>
    <x v="2"/>
    <n v="20"/>
    <n v="340.87"/>
    <x v="7"/>
  </r>
  <r>
    <s v="TRX-100727"/>
    <x v="515"/>
    <x v="2"/>
    <x v="7"/>
    <x v="1"/>
    <n v="221"/>
    <n v="506.49"/>
    <x v="4"/>
    <n v="9"/>
    <n v="285.49"/>
    <x v="4"/>
  </r>
  <r>
    <s v="TRX-100728"/>
    <x v="405"/>
    <x v="0"/>
    <x v="5"/>
    <x v="1"/>
    <n v="229"/>
    <n v="637.64"/>
    <x v="1"/>
    <n v="2"/>
    <n v="408.64"/>
    <x v="0"/>
  </r>
  <r>
    <s v="TRX-100729"/>
    <x v="417"/>
    <x v="1"/>
    <x v="3"/>
    <x v="2"/>
    <n v="187"/>
    <n v="257.99"/>
    <x v="1"/>
    <n v="4"/>
    <n v="70.989999999999995"/>
    <x v="10"/>
  </r>
  <r>
    <s v="TRX-100730"/>
    <x v="516"/>
    <x v="3"/>
    <x v="1"/>
    <x v="0"/>
    <n v="117"/>
    <n v="86.85"/>
    <x v="0"/>
    <n v="2"/>
    <n v="-30.15"/>
    <x v="5"/>
  </r>
  <r>
    <s v="TRX-100731"/>
    <x v="517"/>
    <x v="1"/>
    <x v="2"/>
    <x v="1"/>
    <n v="184"/>
    <n v="510.34"/>
    <x v="0"/>
    <n v="8"/>
    <n v="326.33999999999997"/>
    <x v="2"/>
  </r>
  <r>
    <s v="TRX-100732"/>
    <x v="485"/>
    <x v="2"/>
    <x v="7"/>
    <x v="0"/>
    <n v="210"/>
    <n v="147.88999999999999"/>
    <x v="3"/>
    <n v="51"/>
    <n v="-62.11"/>
    <x v="1"/>
  </r>
  <r>
    <s v="TRX-100733"/>
    <x v="518"/>
    <x v="3"/>
    <x v="2"/>
    <x v="2"/>
    <n v="135"/>
    <n v="122.18"/>
    <x v="1"/>
    <n v="6"/>
    <n v="-12.819999999999901"/>
    <x v="4"/>
  </r>
  <r>
    <s v="TRX-100734"/>
    <x v="70"/>
    <x v="1"/>
    <x v="3"/>
    <x v="1"/>
    <n v="183"/>
    <n v="322.08"/>
    <x v="3"/>
    <n v="32"/>
    <n v="139.07999999999899"/>
    <x v="2"/>
  </r>
  <r>
    <s v="TRX-100735"/>
    <x v="519"/>
    <x v="3"/>
    <x v="6"/>
    <x v="1"/>
    <n v="118"/>
    <n v="240.27"/>
    <x v="3"/>
    <n v="43"/>
    <n v="122.27"/>
    <x v="10"/>
  </r>
  <r>
    <s v="TRX-100736"/>
    <x v="49"/>
    <x v="4"/>
    <x v="4"/>
    <x v="0"/>
    <n v="200"/>
    <n v="142.65"/>
    <x v="1"/>
    <n v="1"/>
    <n v="-57.349999999999902"/>
    <x v="3"/>
  </r>
  <r>
    <s v="TRX-100737"/>
    <x v="520"/>
    <x v="1"/>
    <x v="8"/>
    <x v="2"/>
    <n v="181"/>
    <n v="212.28"/>
    <x v="3"/>
    <n v="13"/>
    <n v="31.28"/>
    <x v="4"/>
  </r>
  <r>
    <s v="TRX-100738"/>
    <x v="521"/>
    <x v="3"/>
    <x v="0"/>
    <x v="1"/>
    <n v="138"/>
    <n v="374"/>
    <x v="2"/>
    <n v="11"/>
    <n v="236"/>
    <x v="9"/>
  </r>
  <r>
    <s v="TRX-100739"/>
    <x v="428"/>
    <x v="1"/>
    <x v="4"/>
    <x v="2"/>
    <n v="176"/>
    <n v="199.82"/>
    <x v="3"/>
    <n v="23"/>
    <n v="23.819999999999901"/>
    <x v="7"/>
  </r>
  <r>
    <s v="TRX-100740"/>
    <x v="522"/>
    <x v="0"/>
    <x v="2"/>
    <x v="0"/>
    <n v="230"/>
    <n v="184.44"/>
    <x v="4"/>
    <n v="16"/>
    <n v="-45.56"/>
    <x v="2"/>
  </r>
  <r>
    <s v="TRX-100741"/>
    <x v="460"/>
    <x v="3"/>
    <x v="0"/>
    <x v="2"/>
    <n v="117"/>
    <n v="151.5"/>
    <x v="2"/>
    <n v="5"/>
    <n v="34.5"/>
    <x v="0"/>
  </r>
  <r>
    <s v="TRX-100742"/>
    <x v="523"/>
    <x v="0"/>
    <x v="4"/>
    <x v="0"/>
    <n v="226"/>
    <n v="184.31"/>
    <x v="1"/>
    <n v="3"/>
    <n v="-41.69"/>
    <x v="5"/>
  </r>
  <r>
    <s v="TRX-100743"/>
    <x v="477"/>
    <x v="4"/>
    <x v="5"/>
    <x v="2"/>
    <n v="200"/>
    <n v="261.39"/>
    <x v="3"/>
    <n v="23"/>
    <n v="61.389999999999901"/>
    <x v="5"/>
  </r>
  <r>
    <s v="TRX-100744"/>
    <x v="503"/>
    <x v="2"/>
    <x v="7"/>
    <x v="1"/>
    <n v="221"/>
    <n v="382.97"/>
    <x v="2"/>
    <n v="15"/>
    <n v="161.97"/>
    <x v="8"/>
  </r>
  <r>
    <s v="TRX-100745"/>
    <x v="278"/>
    <x v="4"/>
    <x v="0"/>
    <x v="0"/>
    <n v="204"/>
    <n v="155.29"/>
    <x v="2"/>
    <n v="48"/>
    <n v="-48.71"/>
    <x v="4"/>
  </r>
  <r>
    <s v="TRX-100746"/>
    <x v="8"/>
    <x v="3"/>
    <x v="4"/>
    <x v="1"/>
    <n v="140"/>
    <n v="485.95"/>
    <x v="4"/>
    <n v="57"/>
    <n v="345.95"/>
    <x v="3"/>
  </r>
  <r>
    <s v="TRX-100747"/>
    <x v="252"/>
    <x v="4"/>
    <x v="1"/>
    <x v="1"/>
    <n v="206"/>
    <n v="462.19"/>
    <x v="0"/>
    <n v="4"/>
    <n v="256.19"/>
    <x v="4"/>
  </r>
  <r>
    <s v="TRX-100748"/>
    <x v="465"/>
    <x v="4"/>
    <x v="4"/>
    <x v="0"/>
    <n v="203"/>
    <n v="104.13"/>
    <x v="4"/>
    <n v="28"/>
    <n v="-98.87"/>
    <x v="7"/>
  </r>
  <r>
    <s v="TRX-100749"/>
    <x v="358"/>
    <x v="1"/>
    <x v="7"/>
    <x v="0"/>
    <n v="170"/>
    <n v="143.33000000000001"/>
    <x v="4"/>
    <n v="36"/>
    <n v="-26.669999999999899"/>
    <x v="0"/>
  </r>
  <r>
    <s v="TRX-100750"/>
    <x v="293"/>
    <x v="3"/>
    <x v="8"/>
    <x v="0"/>
    <n v="111"/>
    <n v="90.56"/>
    <x v="3"/>
    <n v="50"/>
    <n v="-20.439999999999898"/>
    <x v="1"/>
  </r>
  <r>
    <s v="TRX-100751"/>
    <x v="524"/>
    <x v="2"/>
    <x v="6"/>
    <x v="1"/>
    <n v="213"/>
    <n v="730.88"/>
    <x v="0"/>
    <n v="7"/>
    <n v="517.88"/>
    <x v="8"/>
  </r>
  <r>
    <s v="TRX-100752"/>
    <x v="525"/>
    <x v="1"/>
    <x v="3"/>
    <x v="0"/>
    <n v="185"/>
    <n v="113.58"/>
    <x v="0"/>
    <n v="7"/>
    <n v="-71.42"/>
    <x v="3"/>
  </r>
  <r>
    <s v="TRX-100753"/>
    <x v="64"/>
    <x v="3"/>
    <x v="8"/>
    <x v="2"/>
    <n v="132"/>
    <n v="133.36000000000001"/>
    <x v="4"/>
    <n v="35"/>
    <n v="1.3600000000000101"/>
    <x v="2"/>
  </r>
  <r>
    <s v="TRX-100754"/>
    <x v="391"/>
    <x v="0"/>
    <x v="4"/>
    <x v="1"/>
    <n v="227"/>
    <n v="599.76"/>
    <x v="4"/>
    <n v="20"/>
    <n v="372.76"/>
    <x v="7"/>
  </r>
  <r>
    <s v="TRX-100755"/>
    <x v="189"/>
    <x v="1"/>
    <x v="7"/>
    <x v="1"/>
    <n v="185"/>
    <n v="593.29999999999995"/>
    <x v="1"/>
    <n v="5"/>
    <n v="408.29999999999899"/>
    <x v="0"/>
  </r>
  <r>
    <s v="TRX-100756"/>
    <x v="273"/>
    <x v="2"/>
    <x v="7"/>
    <x v="1"/>
    <n v="218"/>
    <n v="492.08"/>
    <x v="3"/>
    <n v="34"/>
    <n v="274.08"/>
    <x v="7"/>
  </r>
  <r>
    <s v="TRX-100757"/>
    <x v="13"/>
    <x v="3"/>
    <x v="8"/>
    <x v="2"/>
    <n v="136"/>
    <n v="158.66999999999999"/>
    <x v="0"/>
    <n v="8"/>
    <n v="22.669999999999899"/>
    <x v="5"/>
  </r>
  <r>
    <s v="TRX-100758"/>
    <x v="234"/>
    <x v="3"/>
    <x v="3"/>
    <x v="0"/>
    <n v="131"/>
    <n v="73.099999999999994"/>
    <x v="2"/>
    <n v="43"/>
    <n v="-57.9"/>
    <x v="6"/>
  </r>
  <r>
    <s v="TRX-100759"/>
    <x v="526"/>
    <x v="4"/>
    <x v="8"/>
    <x v="1"/>
    <n v="205"/>
    <n v="367.81"/>
    <x v="4"/>
    <n v="13"/>
    <n v="162.81"/>
    <x v="3"/>
  </r>
  <r>
    <s v="TRX-100760"/>
    <x v="99"/>
    <x v="4"/>
    <x v="1"/>
    <x v="2"/>
    <n v="205"/>
    <n v="259.60000000000002"/>
    <x v="0"/>
    <n v="12"/>
    <n v="54.6"/>
    <x v="7"/>
  </r>
  <r>
    <s v="TRX-100761"/>
    <x v="527"/>
    <x v="4"/>
    <x v="7"/>
    <x v="1"/>
    <n v="208"/>
    <n v="259.18"/>
    <x v="4"/>
    <n v="23"/>
    <n v="51.18"/>
    <x v="4"/>
  </r>
  <r>
    <s v="TRX-100762"/>
    <x v="528"/>
    <x v="0"/>
    <x v="6"/>
    <x v="2"/>
    <n v="226"/>
    <n v="270.29000000000002"/>
    <x v="1"/>
    <n v="7"/>
    <n v="44.29"/>
    <x v="9"/>
  </r>
  <r>
    <s v="TRX-100763"/>
    <x v="529"/>
    <x v="0"/>
    <x v="6"/>
    <x v="2"/>
    <n v="229"/>
    <n v="263.76"/>
    <x v="3"/>
    <n v="25"/>
    <n v="34.759999999999899"/>
    <x v="0"/>
  </r>
  <r>
    <s v="TRX-100764"/>
    <x v="519"/>
    <x v="3"/>
    <x v="7"/>
    <x v="2"/>
    <n v="134"/>
    <n v="192.27"/>
    <x v="2"/>
    <n v="26"/>
    <n v="58.27"/>
    <x v="10"/>
  </r>
  <r>
    <s v="TRX-100765"/>
    <x v="530"/>
    <x v="1"/>
    <x v="6"/>
    <x v="2"/>
    <n v="189"/>
    <n v="238.81"/>
    <x v="2"/>
    <n v="43"/>
    <n v="49.81"/>
    <x v="3"/>
  </r>
  <r>
    <s v="TRX-100766"/>
    <x v="247"/>
    <x v="4"/>
    <x v="3"/>
    <x v="1"/>
    <n v="202"/>
    <n v="314.45999999999998"/>
    <x v="2"/>
    <n v="53"/>
    <n v="112.459999999999"/>
    <x v="6"/>
  </r>
  <r>
    <s v="TRX-100767"/>
    <x v="531"/>
    <x v="0"/>
    <x v="7"/>
    <x v="0"/>
    <n v="225"/>
    <n v="172.54"/>
    <x v="2"/>
    <n v="18"/>
    <n v="-52.46"/>
    <x v="2"/>
  </r>
  <r>
    <s v="TRX-100768"/>
    <x v="293"/>
    <x v="2"/>
    <x v="1"/>
    <x v="1"/>
    <n v="221"/>
    <n v="650.9"/>
    <x v="4"/>
    <n v="7"/>
    <n v="429.9"/>
    <x v="1"/>
  </r>
  <r>
    <s v="TRX-100769"/>
    <x v="514"/>
    <x v="0"/>
    <x v="7"/>
    <x v="2"/>
    <n v="226"/>
    <n v="246.81"/>
    <x v="1"/>
    <n v="5"/>
    <n v="20.81"/>
    <x v="5"/>
  </r>
  <r>
    <s v="TRX-100770"/>
    <x v="532"/>
    <x v="2"/>
    <x v="0"/>
    <x v="2"/>
    <n v="216"/>
    <n v="206.18"/>
    <x v="4"/>
    <n v="43"/>
    <n v="-9.8199999999999896"/>
    <x v="8"/>
  </r>
  <r>
    <s v="TRX-100771"/>
    <x v="376"/>
    <x v="3"/>
    <x v="8"/>
    <x v="2"/>
    <n v="121"/>
    <n v="120.38"/>
    <x v="2"/>
    <n v="50"/>
    <n v="-0.62000000000000399"/>
    <x v="6"/>
  </r>
  <r>
    <s v="TRX-100772"/>
    <x v="63"/>
    <x v="4"/>
    <x v="3"/>
    <x v="2"/>
    <n v="209"/>
    <n v="280.02"/>
    <x v="2"/>
    <n v="7"/>
    <n v="71.019999999999897"/>
    <x v="11"/>
  </r>
  <r>
    <s v="TRX-100773"/>
    <x v="533"/>
    <x v="3"/>
    <x v="1"/>
    <x v="2"/>
    <n v="137"/>
    <n v="197.34"/>
    <x v="0"/>
    <n v="6"/>
    <n v="60.34"/>
    <x v="4"/>
  </r>
  <r>
    <s v="TRX-100774"/>
    <x v="18"/>
    <x v="2"/>
    <x v="5"/>
    <x v="0"/>
    <n v="220"/>
    <n v="131.87"/>
    <x v="1"/>
    <n v="13"/>
    <n v="-88.13"/>
    <x v="6"/>
  </r>
  <r>
    <s v="TRX-100775"/>
    <x v="534"/>
    <x v="3"/>
    <x v="6"/>
    <x v="0"/>
    <n v="115"/>
    <n v="64.48"/>
    <x v="3"/>
    <n v="20"/>
    <n v="-50.519999999999897"/>
    <x v="4"/>
  </r>
  <r>
    <s v="TRX-100776"/>
    <x v="535"/>
    <x v="0"/>
    <x v="5"/>
    <x v="1"/>
    <n v="230"/>
    <n v="400.92"/>
    <x v="4"/>
    <n v="34"/>
    <n v="170.92"/>
    <x v="7"/>
  </r>
  <r>
    <s v="TRX-100777"/>
    <x v="213"/>
    <x v="3"/>
    <x v="5"/>
    <x v="0"/>
    <n v="135"/>
    <n v="105.49"/>
    <x v="4"/>
    <n v="54"/>
    <n v="-29.51"/>
    <x v="2"/>
  </r>
  <r>
    <s v="TRX-100778"/>
    <x v="536"/>
    <x v="0"/>
    <x v="4"/>
    <x v="2"/>
    <n v="226"/>
    <n v="226.13"/>
    <x v="0"/>
    <n v="9"/>
    <n v="0.12999999999999501"/>
    <x v="4"/>
  </r>
  <r>
    <s v="TRX-100779"/>
    <x v="512"/>
    <x v="0"/>
    <x v="6"/>
    <x v="1"/>
    <n v="226"/>
    <n v="778.03"/>
    <x v="3"/>
    <n v="29"/>
    <n v="552.03"/>
    <x v="5"/>
  </r>
  <r>
    <s v="TRX-100780"/>
    <x v="403"/>
    <x v="3"/>
    <x v="7"/>
    <x v="2"/>
    <n v="134"/>
    <n v="125.75"/>
    <x v="3"/>
    <n v="46"/>
    <n v="-8.25"/>
    <x v="11"/>
  </r>
  <r>
    <s v="TRX-100781"/>
    <x v="277"/>
    <x v="2"/>
    <x v="2"/>
    <x v="2"/>
    <n v="222"/>
    <n v="200.26"/>
    <x v="0"/>
    <n v="4"/>
    <n v="-21.74"/>
    <x v="9"/>
  </r>
  <r>
    <s v="TRX-100782"/>
    <x v="95"/>
    <x v="3"/>
    <x v="3"/>
    <x v="0"/>
    <n v="111"/>
    <n v="68.92"/>
    <x v="2"/>
    <n v="50"/>
    <n v="-42.08"/>
    <x v="8"/>
  </r>
  <r>
    <s v="TRX-100783"/>
    <x v="511"/>
    <x v="3"/>
    <x v="5"/>
    <x v="0"/>
    <n v="120"/>
    <n v="80.739999999999995"/>
    <x v="4"/>
    <n v="30"/>
    <n v="-39.26"/>
    <x v="4"/>
  </r>
  <r>
    <s v="TRX-100784"/>
    <x v="367"/>
    <x v="1"/>
    <x v="1"/>
    <x v="0"/>
    <n v="177"/>
    <n v="100.66"/>
    <x v="2"/>
    <n v="29"/>
    <n v="-76.34"/>
    <x v="8"/>
  </r>
  <r>
    <s v="TRX-100785"/>
    <x v="370"/>
    <x v="4"/>
    <x v="1"/>
    <x v="1"/>
    <n v="208"/>
    <n v="470.9"/>
    <x v="3"/>
    <n v="31"/>
    <n v="262.89999999999998"/>
    <x v="11"/>
  </r>
  <r>
    <s v="TRX-100786"/>
    <x v="537"/>
    <x v="1"/>
    <x v="4"/>
    <x v="1"/>
    <n v="177"/>
    <n v="215.71"/>
    <x v="1"/>
    <n v="11"/>
    <n v="38.71"/>
    <x v="8"/>
  </r>
  <r>
    <s v="TRX-100787"/>
    <x v="538"/>
    <x v="2"/>
    <x v="0"/>
    <x v="0"/>
    <n v="225"/>
    <n v="141.21"/>
    <x v="1"/>
    <n v="14"/>
    <n v="-83.789999999999907"/>
    <x v="1"/>
  </r>
  <r>
    <s v="TRX-100788"/>
    <x v="381"/>
    <x v="4"/>
    <x v="8"/>
    <x v="2"/>
    <n v="202"/>
    <n v="285.18"/>
    <x v="1"/>
    <n v="12"/>
    <n v="83.18"/>
    <x v="1"/>
  </r>
  <r>
    <s v="TRX-100789"/>
    <x v="539"/>
    <x v="0"/>
    <x v="5"/>
    <x v="2"/>
    <n v="225"/>
    <n v="311.73"/>
    <x v="1"/>
    <n v="12"/>
    <n v="86.73"/>
    <x v="9"/>
  </r>
  <r>
    <s v="TRX-100790"/>
    <x v="540"/>
    <x v="4"/>
    <x v="5"/>
    <x v="1"/>
    <n v="208"/>
    <n v="386.65"/>
    <x v="1"/>
    <n v="9"/>
    <n v="178.64999999999901"/>
    <x v="9"/>
  </r>
  <r>
    <s v="TRX-100791"/>
    <x v="4"/>
    <x v="2"/>
    <x v="8"/>
    <x v="2"/>
    <n v="218"/>
    <n v="276.73"/>
    <x v="3"/>
    <n v="33"/>
    <n v="58.73"/>
    <x v="3"/>
  </r>
  <r>
    <s v="TRX-100792"/>
    <x v="531"/>
    <x v="2"/>
    <x v="3"/>
    <x v="0"/>
    <n v="221"/>
    <n v="182.61"/>
    <x v="2"/>
    <n v="21"/>
    <n v="-38.389999999999901"/>
    <x v="2"/>
  </r>
  <r>
    <s v="TRX-100793"/>
    <x v="541"/>
    <x v="0"/>
    <x v="0"/>
    <x v="2"/>
    <n v="225"/>
    <n v="260.86"/>
    <x v="2"/>
    <n v="26"/>
    <n v="35.86"/>
    <x v="10"/>
  </r>
  <r>
    <s v="TRX-100794"/>
    <x v="188"/>
    <x v="4"/>
    <x v="6"/>
    <x v="0"/>
    <n v="201"/>
    <n v="171.3"/>
    <x v="2"/>
    <n v="12"/>
    <n v="-29.6999999999999"/>
    <x v="9"/>
  </r>
  <r>
    <s v="TRX-100795"/>
    <x v="28"/>
    <x v="3"/>
    <x v="8"/>
    <x v="0"/>
    <n v="130"/>
    <n v="109.09"/>
    <x v="0"/>
    <n v="14"/>
    <n v="-20.909999999999901"/>
    <x v="4"/>
  </r>
  <r>
    <s v="TRX-100796"/>
    <x v="465"/>
    <x v="3"/>
    <x v="7"/>
    <x v="0"/>
    <n v="116"/>
    <n v="87.61"/>
    <x v="0"/>
    <n v="8"/>
    <n v="-28.39"/>
    <x v="7"/>
  </r>
  <r>
    <s v="TRX-100797"/>
    <x v="542"/>
    <x v="3"/>
    <x v="5"/>
    <x v="1"/>
    <n v="137"/>
    <n v="363.54"/>
    <x v="4"/>
    <n v="52"/>
    <n v="226.54"/>
    <x v="3"/>
  </r>
  <r>
    <s v="TRX-100798"/>
    <x v="487"/>
    <x v="0"/>
    <x v="1"/>
    <x v="1"/>
    <n v="227"/>
    <n v="340.5"/>
    <x v="4"/>
    <n v="29"/>
    <n v="113.5"/>
    <x v="5"/>
  </r>
  <r>
    <s v="TRX-100799"/>
    <x v="543"/>
    <x v="2"/>
    <x v="8"/>
    <x v="1"/>
    <n v="211"/>
    <n v="694.2"/>
    <x v="4"/>
    <n v="51"/>
    <n v="483.2"/>
    <x v="6"/>
  </r>
  <r>
    <s v="TRX-100800"/>
    <x v="224"/>
    <x v="2"/>
    <x v="5"/>
    <x v="1"/>
    <n v="225"/>
    <n v="307.39"/>
    <x v="2"/>
    <n v="14"/>
    <n v="82.389999999999901"/>
    <x v="3"/>
  </r>
  <r>
    <s v="TRX-100801"/>
    <x v="544"/>
    <x v="2"/>
    <x v="7"/>
    <x v="1"/>
    <n v="211"/>
    <n v="688.12"/>
    <x v="2"/>
    <n v="36"/>
    <n v="477.12"/>
    <x v="5"/>
  </r>
  <r>
    <s v="TRX-100802"/>
    <x v="213"/>
    <x v="0"/>
    <x v="1"/>
    <x v="2"/>
    <n v="229"/>
    <n v="295.44"/>
    <x v="4"/>
    <n v="18"/>
    <n v="66.44"/>
    <x v="2"/>
  </r>
  <r>
    <s v="TRX-100803"/>
    <x v="116"/>
    <x v="1"/>
    <x v="3"/>
    <x v="0"/>
    <n v="187"/>
    <n v="166.23"/>
    <x v="0"/>
    <n v="10"/>
    <n v="-20.77"/>
    <x v="8"/>
  </r>
  <r>
    <s v="TRX-100804"/>
    <x v="348"/>
    <x v="2"/>
    <x v="5"/>
    <x v="1"/>
    <n v="215"/>
    <n v="332.1"/>
    <x v="2"/>
    <n v="42"/>
    <n v="117.1"/>
    <x v="9"/>
  </r>
  <r>
    <s v="TRX-100805"/>
    <x v="545"/>
    <x v="0"/>
    <x v="3"/>
    <x v="1"/>
    <n v="228"/>
    <n v="694.38"/>
    <x v="0"/>
    <n v="3"/>
    <n v="466.38"/>
    <x v="3"/>
  </r>
  <r>
    <s v="TRX-100806"/>
    <x v="546"/>
    <x v="4"/>
    <x v="6"/>
    <x v="2"/>
    <n v="205"/>
    <n v="223.94"/>
    <x v="2"/>
    <n v="18"/>
    <n v="18.939999999999898"/>
    <x v="7"/>
  </r>
  <r>
    <s v="TRX-100807"/>
    <x v="33"/>
    <x v="2"/>
    <x v="7"/>
    <x v="1"/>
    <n v="213"/>
    <n v="421.4"/>
    <x v="3"/>
    <n v="58"/>
    <n v="208.39999999999901"/>
    <x v="7"/>
  </r>
  <r>
    <s v="TRX-100808"/>
    <x v="262"/>
    <x v="2"/>
    <x v="1"/>
    <x v="2"/>
    <n v="215"/>
    <n v="318.01"/>
    <x v="0"/>
    <n v="14"/>
    <n v="103.009999999999"/>
    <x v="10"/>
  </r>
  <r>
    <s v="TRX-100809"/>
    <x v="547"/>
    <x v="1"/>
    <x v="0"/>
    <x v="1"/>
    <n v="183"/>
    <n v="620.04"/>
    <x v="3"/>
    <n v="24"/>
    <n v="437.039999999999"/>
    <x v="7"/>
  </r>
  <r>
    <s v="TRX-100810"/>
    <x v="380"/>
    <x v="1"/>
    <x v="0"/>
    <x v="2"/>
    <n v="189"/>
    <n v="213.99"/>
    <x v="4"/>
    <n v="50"/>
    <n v="24.99"/>
    <x v="11"/>
  </r>
  <r>
    <s v="TRX-100811"/>
    <x v="519"/>
    <x v="1"/>
    <x v="0"/>
    <x v="2"/>
    <n v="189"/>
    <n v="222.74"/>
    <x v="0"/>
    <n v="2"/>
    <n v="33.74"/>
    <x v="10"/>
  </r>
  <r>
    <s v="TRX-100812"/>
    <x v="443"/>
    <x v="3"/>
    <x v="8"/>
    <x v="0"/>
    <n v="117"/>
    <n v="105.12"/>
    <x v="4"/>
    <n v="56"/>
    <n v="-11.8799999999999"/>
    <x v="11"/>
  </r>
  <r>
    <s v="TRX-100813"/>
    <x v="244"/>
    <x v="0"/>
    <x v="7"/>
    <x v="0"/>
    <n v="230"/>
    <n v="186.98"/>
    <x v="0"/>
    <n v="12"/>
    <n v="-43.02"/>
    <x v="6"/>
  </r>
  <r>
    <s v="TRX-100814"/>
    <x v="548"/>
    <x v="4"/>
    <x v="6"/>
    <x v="2"/>
    <n v="205"/>
    <n v="282.64"/>
    <x v="4"/>
    <n v="23"/>
    <n v="77.639999999999901"/>
    <x v="9"/>
  </r>
  <r>
    <s v="TRX-100815"/>
    <x v="549"/>
    <x v="2"/>
    <x v="2"/>
    <x v="0"/>
    <n v="218"/>
    <n v="155.4"/>
    <x v="4"/>
    <n v="29"/>
    <n v="-62.599999999999902"/>
    <x v="9"/>
  </r>
  <r>
    <s v="TRX-100816"/>
    <x v="550"/>
    <x v="3"/>
    <x v="6"/>
    <x v="2"/>
    <n v="140"/>
    <n v="185.11"/>
    <x v="4"/>
    <n v="39"/>
    <n v="45.11"/>
    <x v="2"/>
  </r>
  <r>
    <s v="TRX-100817"/>
    <x v="6"/>
    <x v="2"/>
    <x v="4"/>
    <x v="2"/>
    <n v="217"/>
    <n v="246.61"/>
    <x v="1"/>
    <n v="9"/>
    <n v="29.61"/>
    <x v="4"/>
  </r>
  <r>
    <s v="TRX-100818"/>
    <x v="551"/>
    <x v="4"/>
    <x v="4"/>
    <x v="0"/>
    <n v="210"/>
    <n v="161.86000000000001"/>
    <x v="2"/>
    <n v="60"/>
    <n v="-48.139999999999901"/>
    <x v="8"/>
  </r>
  <r>
    <s v="TRX-100819"/>
    <x v="347"/>
    <x v="1"/>
    <x v="0"/>
    <x v="2"/>
    <n v="178"/>
    <n v="169.34"/>
    <x v="3"/>
    <n v="29"/>
    <n v="-8.6599999999999895"/>
    <x v="11"/>
  </r>
  <r>
    <s v="TRX-100820"/>
    <x v="37"/>
    <x v="1"/>
    <x v="4"/>
    <x v="2"/>
    <n v="179"/>
    <n v="220.1"/>
    <x v="2"/>
    <n v="18"/>
    <n v="41.099999999999902"/>
    <x v="6"/>
  </r>
  <r>
    <s v="TRX-100821"/>
    <x v="5"/>
    <x v="0"/>
    <x v="6"/>
    <x v="1"/>
    <n v="228"/>
    <n v="413.56"/>
    <x v="0"/>
    <n v="13"/>
    <n v="185.56"/>
    <x v="3"/>
  </r>
  <r>
    <s v="TRX-100822"/>
    <x v="552"/>
    <x v="0"/>
    <x v="4"/>
    <x v="0"/>
    <n v="230"/>
    <n v="124.43"/>
    <x v="0"/>
    <n v="5"/>
    <n v="-105.57"/>
    <x v="11"/>
  </r>
  <r>
    <s v="TRX-100823"/>
    <x v="478"/>
    <x v="1"/>
    <x v="8"/>
    <x v="2"/>
    <n v="170"/>
    <n v="181.3"/>
    <x v="3"/>
    <n v="9"/>
    <n v="11.3"/>
    <x v="11"/>
  </r>
  <r>
    <s v="TRX-100824"/>
    <x v="355"/>
    <x v="2"/>
    <x v="6"/>
    <x v="1"/>
    <n v="218"/>
    <n v="458.05"/>
    <x v="0"/>
    <n v="2"/>
    <n v="240.05"/>
    <x v="11"/>
  </r>
  <r>
    <s v="TRX-100825"/>
    <x v="553"/>
    <x v="0"/>
    <x v="3"/>
    <x v="2"/>
    <n v="225"/>
    <n v="246.99"/>
    <x v="3"/>
    <n v="50"/>
    <n v="21.99"/>
    <x v="11"/>
  </r>
  <r>
    <s v="TRX-100826"/>
    <x v="554"/>
    <x v="3"/>
    <x v="4"/>
    <x v="2"/>
    <n v="130"/>
    <n v="155.69"/>
    <x v="0"/>
    <n v="4"/>
    <n v="25.689999999999898"/>
    <x v="6"/>
  </r>
  <r>
    <s v="TRX-100827"/>
    <x v="555"/>
    <x v="0"/>
    <x v="6"/>
    <x v="2"/>
    <n v="225"/>
    <n v="310.33999999999997"/>
    <x v="1"/>
    <n v="13"/>
    <n v="85.339999999999904"/>
    <x v="2"/>
  </r>
  <r>
    <s v="TRX-100828"/>
    <x v="556"/>
    <x v="0"/>
    <x v="8"/>
    <x v="0"/>
    <n v="228"/>
    <n v="188.09"/>
    <x v="1"/>
    <n v="6"/>
    <n v="-39.909999999999997"/>
    <x v="3"/>
  </r>
  <r>
    <s v="TRX-100829"/>
    <x v="557"/>
    <x v="3"/>
    <x v="5"/>
    <x v="2"/>
    <n v="138"/>
    <n v="174.97"/>
    <x v="2"/>
    <n v="30"/>
    <n v="36.97"/>
    <x v="0"/>
  </r>
  <r>
    <s v="TRX-100830"/>
    <x v="558"/>
    <x v="4"/>
    <x v="4"/>
    <x v="0"/>
    <n v="209"/>
    <n v="148.63"/>
    <x v="3"/>
    <n v="33"/>
    <n v="-60.37"/>
    <x v="11"/>
  </r>
  <r>
    <s v="TRX-100831"/>
    <x v="559"/>
    <x v="3"/>
    <x v="7"/>
    <x v="1"/>
    <n v="129"/>
    <n v="380.21"/>
    <x v="1"/>
    <n v="8"/>
    <n v="251.20999999999901"/>
    <x v="8"/>
  </r>
  <r>
    <s v="TRX-100832"/>
    <x v="560"/>
    <x v="1"/>
    <x v="2"/>
    <x v="2"/>
    <n v="171"/>
    <n v="246.3"/>
    <x v="1"/>
    <n v="5"/>
    <n v="75.3"/>
    <x v="3"/>
  </r>
  <r>
    <s v="TRX-100833"/>
    <x v="235"/>
    <x v="0"/>
    <x v="3"/>
    <x v="0"/>
    <n v="229"/>
    <n v="116.62"/>
    <x v="4"/>
    <n v="35"/>
    <n v="-112.38"/>
    <x v="7"/>
  </r>
  <r>
    <s v="TRX-100834"/>
    <x v="561"/>
    <x v="1"/>
    <x v="7"/>
    <x v="1"/>
    <n v="189"/>
    <n v="592.04"/>
    <x v="0"/>
    <n v="5"/>
    <n v="403.039999999999"/>
    <x v="11"/>
  </r>
  <r>
    <s v="TRX-100835"/>
    <x v="209"/>
    <x v="4"/>
    <x v="0"/>
    <x v="2"/>
    <n v="202"/>
    <n v="210.68"/>
    <x v="1"/>
    <n v="14"/>
    <n v="8.68"/>
    <x v="3"/>
  </r>
  <r>
    <s v="TRX-100836"/>
    <x v="43"/>
    <x v="0"/>
    <x v="0"/>
    <x v="1"/>
    <n v="230"/>
    <n v="778.52"/>
    <x v="1"/>
    <n v="6"/>
    <n v="548.52"/>
    <x v="8"/>
  </r>
  <r>
    <s v="TRX-100837"/>
    <x v="487"/>
    <x v="3"/>
    <x v="3"/>
    <x v="1"/>
    <n v="116"/>
    <n v="335.39"/>
    <x v="4"/>
    <n v="21"/>
    <n v="219.39"/>
    <x v="5"/>
  </r>
  <r>
    <s v="TRX-100838"/>
    <x v="562"/>
    <x v="2"/>
    <x v="7"/>
    <x v="2"/>
    <n v="221"/>
    <n v="235.45"/>
    <x v="3"/>
    <n v="19"/>
    <n v="14.4499999999999"/>
    <x v="7"/>
  </r>
  <r>
    <s v="TRX-100839"/>
    <x v="492"/>
    <x v="2"/>
    <x v="1"/>
    <x v="1"/>
    <n v="214"/>
    <n v="397.6"/>
    <x v="4"/>
    <n v="49"/>
    <n v="183.6"/>
    <x v="3"/>
  </r>
  <r>
    <s v="TRX-100840"/>
    <x v="563"/>
    <x v="1"/>
    <x v="3"/>
    <x v="2"/>
    <n v="170"/>
    <n v="196.21"/>
    <x v="1"/>
    <n v="2"/>
    <n v="26.21"/>
    <x v="6"/>
  </r>
  <r>
    <s v="TRX-100841"/>
    <x v="564"/>
    <x v="1"/>
    <x v="1"/>
    <x v="1"/>
    <n v="182"/>
    <n v="630.01"/>
    <x v="0"/>
    <n v="13"/>
    <n v="448.01"/>
    <x v="11"/>
  </r>
  <r>
    <s v="TRX-100842"/>
    <x v="383"/>
    <x v="3"/>
    <x v="6"/>
    <x v="2"/>
    <n v="138"/>
    <n v="154.55000000000001"/>
    <x v="1"/>
    <n v="3"/>
    <n v="16.55"/>
    <x v="3"/>
  </r>
  <r>
    <s v="TRX-100843"/>
    <x v="485"/>
    <x v="0"/>
    <x v="0"/>
    <x v="0"/>
    <n v="227"/>
    <n v="124.02"/>
    <x v="0"/>
    <n v="10"/>
    <n v="-102.98"/>
    <x v="1"/>
  </r>
  <r>
    <s v="TRX-100844"/>
    <x v="565"/>
    <x v="2"/>
    <x v="3"/>
    <x v="0"/>
    <n v="211"/>
    <n v="112.6"/>
    <x v="3"/>
    <n v="56"/>
    <n v="-98.4"/>
    <x v="2"/>
  </r>
  <r>
    <s v="TRX-100845"/>
    <x v="187"/>
    <x v="0"/>
    <x v="2"/>
    <x v="0"/>
    <n v="230"/>
    <n v="170.43"/>
    <x v="3"/>
    <n v="13"/>
    <n v="-59.569999999999901"/>
    <x v="2"/>
  </r>
  <r>
    <s v="TRX-100846"/>
    <x v="566"/>
    <x v="4"/>
    <x v="8"/>
    <x v="2"/>
    <n v="207"/>
    <n v="200.1"/>
    <x v="3"/>
    <n v="38"/>
    <n v="-6.9"/>
    <x v="8"/>
  </r>
  <r>
    <s v="TRX-100847"/>
    <x v="567"/>
    <x v="3"/>
    <x v="8"/>
    <x v="2"/>
    <n v="113"/>
    <n v="145.31"/>
    <x v="2"/>
    <n v="36"/>
    <n v="32.31"/>
    <x v="5"/>
  </r>
  <r>
    <s v="TRX-100848"/>
    <x v="555"/>
    <x v="1"/>
    <x v="3"/>
    <x v="2"/>
    <n v="183"/>
    <n v="263.89999999999998"/>
    <x v="0"/>
    <n v="10"/>
    <n v="80.899999999999906"/>
    <x v="2"/>
  </r>
  <r>
    <s v="TRX-100849"/>
    <x v="42"/>
    <x v="3"/>
    <x v="2"/>
    <x v="1"/>
    <n v="125"/>
    <n v="169.61"/>
    <x v="2"/>
    <n v="23"/>
    <n v="44.61"/>
    <x v="11"/>
  </r>
  <r>
    <s v="TRX-100850"/>
    <x v="568"/>
    <x v="2"/>
    <x v="4"/>
    <x v="1"/>
    <n v="220"/>
    <n v="642.09"/>
    <x v="0"/>
    <n v="14"/>
    <n v="422.09"/>
    <x v="6"/>
  </r>
  <r>
    <s v="TRX-100851"/>
    <x v="295"/>
    <x v="1"/>
    <x v="7"/>
    <x v="1"/>
    <n v="180"/>
    <n v="380.31"/>
    <x v="4"/>
    <n v="45"/>
    <n v="200.31"/>
    <x v="5"/>
  </r>
  <r>
    <s v="TRX-100852"/>
    <x v="11"/>
    <x v="3"/>
    <x v="0"/>
    <x v="0"/>
    <n v="139"/>
    <n v="92.92"/>
    <x v="4"/>
    <n v="23"/>
    <n v="-46.08"/>
    <x v="6"/>
  </r>
  <r>
    <s v="TRX-100853"/>
    <x v="569"/>
    <x v="2"/>
    <x v="3"/>
    <x v="1"/>
    <n v="222"/>
    <n v="390.74"/>
    <x v="1"/>
    <n v="7"/>
    <n v="168.74"/>
    <x v="6"/>
  </r>
  <r>
    <s v="TRX-100854"/>
    <x v="570"/>
    <x v="3"/>
    <x v="1"/>
    <x v="0"/>
    <n v="122"/>
    <n v="98.25"/>
    <x v="3"/>
    <n v="37"/>
    <n v="-23.75"/>
    <x v="2"/>
  </r>
  <r>
    <s v="TRX-100855"/>
    <x v="571"/>
    <x v="3"/>
    <x v="1"/>
    <x v="0"/>
    <n v="112"/>
    <n v="60.85"/>
    <x v="2"/>
    <n v="51"/>
    <n v="-51.15"/>
    <x v="0"/>
  </r>
  <r>
    <s v="TRX-100856"/>
    <x v="572"/>
    <x v="3"/>
    <x v="1"/>
    <x v="1"/>
    <n v="117"/>
    <n v="331.44"/>
    <x v="2"/>
    <n v="38"/>
    <n v="214.44"/>
    <x v="7"/>
  </r>
  <r>
    <s v="TRX-100857"/>
    <x v="573"/>
    <x v="3"/>
    <x v="7"/>
    <x v="0"/>
    <n v="132"/>
    <n v="104.4"/>
    <x v="2"/>
    <n v="33"/>
    <n v="-27.599999999999898"/>
    <x v="2"/>
  </r>
  <r>
    <s v="TRX-100858"/>
    <x v="574"/>
    <x v="1"/>
    <x v="1"/>
    <x v="2"/>
    <n v="171"/>
    <n v="207.81"/>
    <x v="2"/>
    <n v="10"/>
    <n v="36.81"/>
    <x v="6"/>
  </r>
  <r>
    <s v="TRX-100859"/>
    <x v="551"/>
    <x v="1"/>
    <x v="3"/>
    <x v="1"/>
    <n v="178"/>
    <n v="464.29"/>
    <x v="1"/>
    <n v="8"/>
    <n v="286.29000000000002"/>
    <x v="8"/>
  </r>
  <r>
    <s v="TRX-100860"/>
    <x v="269"/>
    <x v="4"/>
    <x v="2"/>
    <x v="0"/>
    <n v="200"/>
    <n v="122.49"/>
    <x v="0"/>
    <n v="13"/>
    <n v="-77.510000000000005"/>
    <x v="6"/>
  </r>
  <r>
    <s v="TRX-100861"/>
    <x v="575"/>
    <x v="4"/>
    <x v="0"/>
    <x v="1"/>
    <n v="201"/>
    <n v="470.09"/>
    <x v="4"/>
    <n v="6"/>
    <n v="269.08999999999997"/>
    <x v="8"/>
  </r>
  <r>
    <s v="TRX-100862"/>
    <x v="64"/>
    <x v="3"/>
    <x v="2"/>
    <x v="2"/>
    <n v="131"/>
    <n v="185.46"/>
    <x v="2"/>
    <n v="19"/>
    <n v="54.46"/>
    <x v="2"/>
  </r>
  <r>
    <s v="TRX-100863"/>
    <x v="336"/>
    <x v="4"/>
    <x v="3"/>
    <x v="1"/>
    <n v="205"/>
    <n v="503.88"/>
    <x v="2"/>
    <n v="55"/>
    <n v="298.88"/>
    <x v="6"/>
  </r>
  <r>
    <s v="TRX-100864"/>
    <x v="414"/>
    <x v="2"/>
    <x v="7"/>
    <x v="0"/>
    <n v="216"/>
    <n v="108.07"/>
    <x v="2"/>
    <n v="20"/>
    <n v="-107.93"/>
    <x v="11"/>
  </r>
  <r>
    <s v="TRX-100865"/>
    <x v="576"/>
    <x v="2"/>
    <x v="0"/>
    <x v="0"/>
    <n v="222"/>
    <n v="123.09"/>
    <x v="3"/>
    <n v="51"/>
    <n v="-98.91"/>
    <x v="2"/>
  </r>
  <r>
    <s v="TRX-100866"/>
    <x v="577"/>
    <x v="4"/>
    <x v="3"/>
    <x v="2"/>
    <n v="203"/>
    <n v="284.11"/>
    <x v="4"/>
    <n v="56"/>
    <n v="81.11"/>
    <x v="11"/>
  </r>
  <r>
    <s v="TRX-100867"/>
    <x v="578"/>
    <x v="2"/>
    <x v="2"/>
    <x v="2"/>
    <n v="211"/>
    <n v="210.7"/>
    <x v="2"/>
    <n v="24"/>
    <n v="-0.30000000000001098"/>
    <x v="8"/>
  </r>
  <r>
    <s v="TRX-100868"/>
    <x v="579"/>
    <x v="1"/>
    <x v="7"/>
    <x v="0"/>
    <n v="183"/>
    <n v="123.85"/>
    <x v="0"/>
    <n v="12"/>
    <n v="-59.15"/>
    <x v="5"/>
  </r>
  <r>
    <s v="TRX-100869"/>
    <x v="410"/>
    <x v="2"/>
    <x v="2"/>
    <x v="1"/>
    <n v="212"/>
    <n v="274.39"/>
    <x v="3"/>
    <n v="34"/>
    <n v="62.389999999999901"/>
    <x v="2"/>
  </r>
  <r>
    <s v="TRX-100870"/>
    <x v="340"/>
    <x v="0"/>
    <x v="3"/>
    <x v="0"/>
    <n v="227"/>
    <n v="115.99"/>
    <x v="0"/>
    <n v="7"/>
    <n v="-111.01"/>
    <x v="11"/>
  </r>
  <r>
    <s v="TRX-100871"/>
    <x v="95"/>
    <x v="1"/>
    <x v="4"/>
    <x v="1"/>
    <n v="173"/>
    <n v="253.57"/>
    <x v="0"/>
    <n v="12"/>
    <n v="80.569999999999993"/>
    <x v="8"/>
  </r>
  <r>
    <s v="TRX-100872"/>
    <x v="1"/>
    <x v="2"/>
    <x v="2"/>
    <x v="1"/>
    <n v="219"/>
    <n v="589.66999999999996"/>
    <x v="2"/>
    <n v="51"/>
    <n v="370.66999999999899"/>
    <x v="0"/>
  </r>
  <r>
    <s v="TRX-100873"/>
    <x v="477"/>
    <x v="4"/>
    <x v="8"/>
    <x v="0"/>
    <n v="207"/>
    <n v="135.91"/>
    <x v="4"/>
    <n v="46"/>
    <n v="-71.09"/>
    <x v="5"/>
  </r>
  <r>
    <s v="TRX-100874"/>
    <x v="198"/>
    <x v="1"/>
    <x v="4"/>
    <x v="0"/>
    <n v="187"/>
    <n v="137.99"/>
    <x v="1"/>
    <n v="6"/>
    <n v="-49.009999999999899"/>
    <x v="11"/>
  </r>
  <r>
    <s v="TRX-100875"/>
    <x v="564"/>
    <x v="1"/>
    <x v="7"/>
    <x v="1"/>
    <n v="190"/>
    <n v="557.01"/>
    <x v="4"/>
    <n v="28"/>
    <n v="367.01"/>
    <x v="11"/>
  </r>
  <r>
    <s v="TRX-100876"/>
    <x v="477"/>
    <x v="2"/>
    <x v="3"/>
    <x v="2"/>
    <n v="213"/>
    <n v="229.65"/>
    <x v="1"/>
    <n v="14"/>
    <n v="16.649999999999999"/>
    <x v="5"/>
  </r>
  <r>
    <s v="TRX-100877"/>
    <x v="580"/>
    <x v="4"/>
    <x v="2"/>
    <x v="2"/>
    <n v="205"/>
    <n v="203.42"/>
    <x v="0"/>
    <n v="13"/>
    <n v="-1.5800000000000101"/>
    <x v="2"/>
  </r>
  <r>
    <s v="TRX-100878"/>
    <x v="581"/>
    <x v="0"/>
    <x v="7"/>
    <x v="1"/>
    <n v="230"/>
    <n v="618.22"/>
    <x v="4"/>
    <n v="60"/>
    <n v="388.22"/>
    <x v="3"/>
  </r>
  <r>
    <s v="TRX-100879"/>
    <x v="406"/>
    <x v="3"/>
    <x v="8"/>
    <x v="1"/>
    <n v="112"/>
    <n v="338.53"/>
    <x v="2"/>
    <n v="20"/>
    <n v="226.52999999999901"/>
    <x v="3"/>
  </r>
  <r>
    <s v="TRX-100880"/>
    <x v="35"/>
    <x v="0"/>
    <x v="0"/>
    <x v="2"/>
    <n v="229"/>
    <n v="320.87"/>
    <x v="4"/>
    <n v="10"/>
    <n v="91.87"/>
    <x v="11"/>
  </r>
  <r>
    <s v="TRX-100881"/>
    <x v="281"/>
    <x v="0"/>
    <x v="0"/>
    <x v="0"/>
    <n v="229"/>
    <n v="159.22999999999999"/>
    <x v="3"/>
    <n v="32"/>
    <n v="-69.77"/>
    <x v="9"/>
  </r>
  <r>
    <s v="TRX-100882"/>
    <x v="582"/>
    <x v="3"/>
    <x v="4"/>
    <x v="1"/>
    <n v="113"/>
    <n v="315.52999999999997"/>
    <x v="2"/>
    <n v="26"/>
    <n v="202.52999999999901"/>
    <x v="1"/>
  </r>
  <r>
    <s v="TRX-100883"/>
    <x v="583"/>
    <x v="1"/>
    <x v="5"/>
    <x v="1"/>
    <n v="189"/>
    <n v="577.55999999999995"/>
    <x v="0"/>
    <n v="3"/>
    <n v="388.55999999999898"/>
    <x v="8"/>
  </r>
  <r>
    <s v="TRX-100884"/>
    <x v="68"/>
    <x v="1"/>
    <x v="5"/>
    <x v="1"/>
    <n v="174"/>
    <n v="463.03"/>
    <x v="3"/>
    <n v="26"/>
    <n v="289.02999999999997"/>
    <x v="4"/>
  </r>
  <r>
    <s v="TRX-100885"/>
    <x v="6"/>
    <x v="1"/>
    <x v="6"/>
    <x v="0"/>
    <n v="186"/>
    <n v="94.02"/>
    <x v="2"/>
    <n v="52"/>
    <n v="-91.98"/>
    <x v="4"/>
  </r>
  <r>
    <s v="TRX-100886"/>
    <x v="361"/>
    <x v="2"/>
    <x v="2"/>
    <x v="0"/>
    <n v="222"/>
    <n v="136.28"/>
    <x v="1"/>
    <n v="5"/>
    <n v="-85.72"/>
    <x v="0"/>
  </r>
  <r>
    <s v="TRX-100887"/>
    <x v="251"/>
    <x v="0"/>
    <x v="5"/>
    <x v="2"/>
    <n v="228"/>
    <n v="261.22000000000003"/>
    <x v="1"/>
    <n v="1"/>
    <n v="33.22"/>
    <x v="6"/>
  </r>
  <r>
    <s v="TRX-100888"/>
    <x v="584"/>
    <x v="2"/>
    <x v="3"/>
    <x v="1"/>
    <n v="212"/>
    <n v="295.58999999999997"/>
    <x v="1"/>
    <n v="9"/>
    <n v="83.589999999999904"/>
    <x v="2"/>
  </r>
  <r>
    <s v="TRX-100889"/>
    <x v="585"/>
    <x v="3"/>
    <x v="1"/>
    <x v="2"/>
    <n v="136"/>
    <n v="183.02"/>
    <x v="3"/>
    <n v="37"/>
    <n v="47.02"/>
    <x v="7"/>
  </r>
  <r>
    <s v="TRX-100890"/>
    <x v="586"/>
    <x v="2"/>
    <x v="6"/>
    <x v="0"/>
    <n v="223"/>
    <n v="128.78"/>
    <x v="0"/>
    <n v="6"/>
    <n v="-94.22"/>
    <x v="11"/>
  </r>
  <r>
    <s v="TRX-100891"/>
    <x v="34"/>
    <x v="4"/>
    <x v="2"/>
    <x v="0"/>
    <n v="203"/>
    <n v="172.41"/>
    <x v="1"/>
    <n v="1"/>
    <n v="-30.59"/>
    <x v="0"/>
  </r>
  <r>
    <s v="TRX-100892"/>
    <x v="587"/>
    <x v="2"/>
    <x v="6"/>
    <x v="2"/>
    <n v="218"/>
    <n v="200.58"/>
    <x v="2"/>
    <n v="51"/>
    <n v="-17.419999999999899"/>
    <x v="5"/>
  </r>
  <r>
    <s v="TRX-100893"/>
    <x v="571"/>
    <x v="1"/>
    <x v="0"/>
    <x v="1"/>
    <n v="177"/>
    <n v="489.38"/>
    <x v="4"/>
    <n v="40"/>
    <n v="312.38"/>
    <x v="0"/>
  </r>
  <r>
    <s v="TRX-100894"/>
    <x v="247"/>
    <x v="1"/>
    <x v="7"/>
    <x v="1"/>
    <n v="181"/>
    <n v="414.94"/>
    <x v="3"/>
    <n v="26"/>
    <n v="233.94"/>
    <x v="6"/>
  </r>
  <r>
    <s v="TRX-100895"/>
    <x v="116"/>
    <x v="1"/>
    <x v="6"/>
    <x v="2"/>
    <n v="184"/>
    <n v="194.99"/>
    <x v="0"/>
    <n v="7"/>
    <n v="10.99"/>
    <x v="8"/>
  </r>
  <r>
    <s v="TRX-100896"/>
    <x v="588"/>
    <x v="2"/>
    <x v="2"/>
    <x v="2"/>
    <n v="225"/>
    <n v="276.42"/>
    <x v="0"/>
    <n v="6"/>
    <n v="51.42"/>
    <x v="6"/>
  </r>
  <r>
    <s v="TRX-100897"/>
    <x v="208"/>
    <x v="1"/>
    <x v="2"/>
    <x v="0"/>
    <n v="174"/>
    <n v="92.21"/>
    <x v="0"/>
    <n v="6"/>
    <n v="-81.790000000000006"/>
    <x v="9"/>
  </r>
  <r>
    <s v="TRX-100898"/>
    <x v="323"/>
    <x v="4"/>
    <x v="7"/>
    <x v="1"/>
    <n v="207"/>
    <n v="341.93"/>
    <x v="1"/>
    <n v="13"/>
    <n v="134.93"/>
    <x v="3"/>
  </r>
  <r>
    <s v="TRX-100899"/>
    <x v="110"/>
    <x v="4"/>
    <x v="1"/>
    <x v="2"/>
    <n v="204"/>
    <n v="220"/>
    <x v="1"/>
    <n v="12"/>
    <n v="16"/>
    <x v="1"/>
  </r>
  <r>
    <s v="TRX-100900"/>
    <x v="68"/>
    <x v="2"/>
    <x v="1"/>
    <x v="0"/>
    <n v="220"/>
    <n v="139.81"/>
    <x v="2"/>
    <n v="60"/>
    <n v="-80.19"/>
    <x v="4"/>
  </r>
  <r>
    <s v="TRX-100901"/>
    <x v="569"/>
    <x v="4"/>
    <x v="1"/>
    <x v="1"/>
    <n v="210"/>
    <n v="695.15"/>
    <x v="2"/>
    <n v="13"/>
    <n v="485.15"/>
    <x v="6"/>
  </r>
  <r>
    <s v="TRX-100902"/>
    <x v="356"/>
    <x v="3"/>
    <x v="6"/>
    <x v="2"/>
    <n v="121"/>
    <n v="159.66999999999999"/>
    <x v="0"/>
    <n v="12"/>
    <n v="38.669999999999902"/>
    <x v="8"/>
  </r>
  <r>
    <s v="TRX-100903"/>
    <x v="240"/>
    <x v="0"/>
    <x v="5"/>
    <x v="0"/>
    <n v="225"/>
    <n v="133.94999999999999"/>
    <x v="3"/>
    <n v="49"/>
    <n v="-91.05"/>
    <x v="4"/>
  </r>
  <r>
    <s v="TRX-100904"/>
    <x v="85"/>
    <x v="2"/>
    <x v="1"/>
    <x v="1"/>
    <n v="224"/>
    <n v="742.3"/>
    <x v="4"/>
    <n v="7"/>
    <n v="518.29999999999995"/>
    <x v="1"/>
  </r>
  <r>
    <s v="TRX-100905"/>
    <x v="427"/>
    <x v="1"/>
    <x v="6"/>
    <x v="0"/>
    <n v="182"/>
    <n v="99.38"/>
    <x v="0"/>
    <n v="12"/>
    <n v="-82.62"/>
    <x v="4"/>
  </r>
  <r>
    <s v="TRX-100906"/>
    <x v="14"/>
    <x v="2"/>
    <x v="1"/>
    <x v="1"/>
    <n v="213"/>
    <n v="271.86"/>
    <x v="2"/>
    <n v="51"/>
    <n v="58.86"/>
    <x v="4"/>
  </r>
  <r>
    <s v="TRX-100907"/>
    <x v="589"/>
    <x v="1"/>
    <x v="1"/>
    <x v="0"/>
    <n v="174"/>
    <n v="99.21"/>
    <x v="3"/>
    <n v="9"/>
    <n v="-74.790000000000006"/>
    <x v="6"/>
  </r>
  <r>
    <s v="TRX-100908"/>
    <x v="590"/>
    <x v="4"/>
    <x v="4"/>
    <x v="0"/>
    <n v="208"/>
    <n v="118.01"/>
    <x v="2"/>
    <n v="39"/>
    <n v="-89.99"/>
    <x v="6"/>
  </r>
  <r>
    <s v="TRX-100909"/>
    <x v="591"/>
    <x v="3"/>
    <x v="6"/>
    <x v="0"/>
    <n v="139"/>
    <n v="72.22"/>
    <x v="1"/>
    <n v="2"/>
    <n v="-66.78"/>
    <x v="9"/>
  </r>
  <r>
    <s v="TRX-100910"/>
    <x v="592"/>
    <x v="4"/>
    <x v="2"/>
    <x v="2"/>
    <n v="210"/>
    <n v="203.31"/>
    <x v="4"/>
    <n v="45"/>
    <n v="-6.6899999999999897"/>
    <x v="10"/>
  </r>
  <r>
    <s v="TRX-100911"/>
    <x v="593"/>
    <x v="1"/>
    <x v="5"/>
    <x v="2"/>
    <n v="170"/>
    <n v="174.94"/>
    <x v="4"/>
    <n v="40"/>
    <n v="4.9399999999999897"/>
    <x v="4"/>
  </r>
  <r>
    <s v="TRX-100912"/>
    <x v="594"/>
    <x v="3"/>
    <x v="3"/>
    <x v="1"/>
    <n v="132"/>
    <n v="203.24"/>
    <x v="0"/>
    <n v="5"/>
    <n v="71.239999999999995"/>
    <x v="1"/>
  </r>
  <r>
    <s v="TRX-100913"/>
    <x v="595"/>
    <x v="4"/>
    <x v="4"/>
    <x v="0"/>
    <n v="205"/>
    <n v="121.33"/>
    <x v="1"/>
    <n v="5"/>
    <n v="-83.67"/>
    <x v="0"/>
  </r>
  <r>
    <s v="TRX-100914"/>
    <x v="539"/>
    <x v="1"/>
    <x v="3"/>
    <x v="0"/>
    <n v="170"/>
    <n v="99.51"/>
    <x v="0"/>
    <n v="12"/>
    <n v="-70.489999999999995"/>
    <x v="9"/>
  </r>
  <r>
    <s v="TRX-100915"/>
    <x v="596"/>
    <x v="2"/>
    <x v="8"/>
    <x v="2"/>
    <n v="225"/>
    <n v="222.66"/>
    <x v="3"/>
    <n v="46"/>
    <n v="-2.34"/>
    <x v="1"/>
  </r>
  <r>
    <s v="TRX-100916"/>
    <x v="429"/>
    <x v="1"/>
    <x v="4"/>
    <x v="2"/>
    <n v="172"/>
    <n v="244.7"/>
    <x v="0"/>
    <n v="1"/>
    <n v="72.699999999999903"/>
    <x v="6"/>
  </r>
  <r>
    <s v="TRX-100917"/>
    <x v="480"/>
    <x v="0"/>
    <x v="8"/>
    <x v="2"/>
    <n v="230"/>
    <n v="237.69"/>
    <x v="3"/>
    <n v="11"/>
    <n v="7.6899999999999897"/>
    <x v="2"/>
  </r>
  <r>
    <s v="TRX-100918"/>
    <x v="597"/>
    <x v="0"/>
    <x v="8"/>
    <x v="1"/>
    <n v="229"/>
    <n v="467.38"/>
    <x v="1"/>
    <n v="1"/>
    <n v="238.38"/>
    <x v="9"/>
  </r>
  <r>
    <s v="TRX-100919"/>
    <x v="598"/>
    <x v="4"/>
    <x v="7"/>
    <x v="1"/>
    <n v="207"/>
    <n v="666.53"/>
    <x v="4"/>
    <n v="27"/>
    <n v="459.53"/>
    <x v="7"/>
  </r>
  <r>
    <s v="TRX-100920"/>
    <x v="201"/>
    <x v="3"/>
    <x v="2"/>
    <x v="2"/>
    <n v="131"/>
    <n v="193.95"/>
    <x v="4"/>
    <n v="24"/>
    <n v="62.949999999999903"/>
    <x v="10"/>
  </r>
  <r>
    <s v="TRX-100921"/>
    <x v="169"/>
    <x v="3"/>
    <x v="1"/>
    <x v="0"/>
    <n v="133"/>
    <n v="101.3"/>
    <x v="3"/>
    <n v="44"/>
    <n v="-31.7"/>
    <x v="4"/>
  </r>
  <r>
    <s v="TRX-100922"/>
    <x v="207"/>
    <x v="2"/>
    <x v="6"/>
    <x v="2"/>
    <n v="223"/>
    <n v="322.92"/>
    <x v="0"/>
    <n v="1"/>
    <n v="99.92"/>
    <x v="8"/>
  </r>
  <r>
    <s v="TRX-100923"/>
    <x v="153"/>
    <x v="2"/>
    <x v="7"/>
    <x v="1"/>
    <n v="217"/>
    <n v="376.23"/>
    <x v="0"/>
    <n v="8"/>
    <n v="159.22999999999999"/>
    <x v="2"/>
  </r>
  <r>
    <s v="TRX-100924"/>
    <x v="42"/>
    <x v="0"/>
    <x v="1"/>
    <x v="2"/>
    <n v="225"/>
    <n v="222.05"/>
    <x v="2"/>
    <n v="5"/>
    <n v="-2.9499999999999802"/>
    <x v="11"/>
  </r>
  <r>
    <s v="TRX-100925"/>
    <x v="599"/>
    <x v="4"/>
    <x v="2"/>
    <x v="1"/>
    <n v="204"/>
    <n v="389.4"/>
    <x v="4"/>
    <n v="48"/>
    <n v="185.39999999999901"/>
    <x v="7"/>
  </r>
  <r>
    <s v="TRX-100926"/>
    <x v="177"/>
    <x v="0"/>
    <x v="2"/>
    <x v="0"/>
    <n v="228"/>
    <n v="158.13999999999999"/>
    <x v="3"/>
    <n v="13"/>
    <n v="-69.86"/>
    <x v="7"/>
  </r>
  <r>
    <s v="TRX-100927"/>
    <x v="322"/>
    <x v="3"/>
    <x v="4"/>
    <x v="2"/>
    <n v="128"/>
    <n v="145.72"/>
    <x v="4"/>
    <n v="30"/>
    <n v="17.72"/>
    <x v="3"/>
  </r>
  <r>
    <s v="TRX-100928"/>
    <x v="259"/>
    <x v="2"/>
    <x v="1"/>
    <x v="1"/>
    <n v="213"/>
    <n v="613.38"/>
    <x v="3"/>
    <n v="35"/>
    <n v="400.38"/>
    <x v="2"/>
  </r>
  <r>
    <s v="TRX-100929"/>
    <x v="438"/>
    <x v="4"/>
    <x v="8"/>
    <x v="1"/>
    <n v="203"/>
    <n v="602.29"/>
    <x v="2"/>
    <n v="41"/>
    <n v="399.289999999999"/>
    <x v="11"/>
  </r>
  <r>
    <s v="TRX-100930"/>
    <x v="600"/>
    <x v="3"/>
    <x v="5"/>
    <x v="2"/>
    <n v="130"/>
    <n v="133.44999999999999"/>
    <x v="0"/>
    <n v="14"/>
    <n v="3.4499999999999802"/>
    <x v="8"/>
  </r>
  <r>
    <s v="TRX-100931"/>
    <x v="601"/>
    <x v="0"/>
    <x v="2"/>
    <x v="2"/>
    <n v="225"/>
    <n v="229.33"/>
    <x v="2"/>
    <n v="60"/>
    <n v="4.3300000000000098"/>
    <x v="6"/>
  </r>
  <r>
    <s v="TRX-100932"/>
    <x v="120"/>
    <x v="2"/>
    <x v="8"/>
    <x v="2"/>
    <n v="210"/>
    <n v="249.61"/>
    <x v="2"/>
    <n v="12"/>
    <n v="39.61"/>
    <x v="4"/>
  </r>
  <r>
    <s v="TRX-100933"/>
    <x v="207"/>
    <x v="1"/>
    <x v="1"/>
    <x v="1"/>
    <n v="182"/>
    <n v="240.58"/>
    <x v="3"/>
    <n v="39"/>
    <n v="58.58"/>
    <x v="8"/>
  </r>
  <r>
    <s v="TRX-100934"/>
    <x v="602"/>
    <x v="3"/>
    <x v="8"/>
    <x v="0"/>
    <n v="138"/>
    <n v="100.38"/>
    <x v="3"/>
    <n v="10"/>
    <n v="-37.619999999999997"/>
    <x v="7"/>
  </r>
  <r>
    <s v="TRX-100935"/>
    <x v="175"/>
    <x v="0"/>
    <x v="2"/>
    <x v="2"/>
    <n v="229"/>
    <n v="304.19"/>
    <x v="2"/>
    <n v="60"/>
    <n v="75.19"/>
    <x v="10"/>
  </r>
  <r>
    <s v="TRX-100936"/>
    <x v="603"/>
    <x v="3"/>
    <x v="6"/>
    <x v="1"/>
    <n v="137"/>
    <n v="401.55"/>
    <x v="0"/>
    <n v="5"/>
    <n v="264.55"/>
    <x v="10"/>
  </r>
  <r>
    <s v="TRX-100937"/>
    <x v="44"/>
    <x v="1"/>
    <x v="7"/>
    <x v="2"/>
    <n v="176"/>
    <n v="250.11"/>
    <x v="2"/>
    <n v="23"/>
    <n v="74.11"/>
    <x v="5"/>
  </r>
  <r>
    <s v="TRX-100938"/>
    <x v="604"/>
    <x v="4"/>
    <x v="7"/>
    <x v="1"/>
    <n v="203"/>
    <n v="282.89"/>
    <x v="0"/>
    <n v="6"/>
    <n v="79.889999999999901"/>
    <x v="10"/>
  </r>
  <r>
    <s v="TRX-100939"/>
    <x v="428"/>
    <x v="2"/>
    <x v="2"/>
    <x v="2"/>
    <n v="219"/>
    <n v="207.84"/>
    <x v="1"/>
    <n v="13"/>
    <n v="-11.159999999999901"/>
    <x v="7"/>
  </r>
  <r>
    <s v="TRX-100940"/>
    <x v="4"/>
    <x v="1"/>
    <x v="6"/>
    <x v="2"/>
    <n v="186"/>
    <n v="258.11"/>
    <x v="0"/>
    <n v="14"/>
    <n v="72.11"/>
    <x v="3"/>
  </r>
  <r>
    <s v="TRX-100941"/>
    <x v="524"/>
    <x v="3"/>
    <x v="0"/>
    <x v="2"/>
    <n v="137"/>
    <n v="186.15"/>
    <x v="2"/>
    <n v="21"/>
    <n v="49.15"/>
    <x v="8"/>
  </r>
  <r>
    <s v="TRX-100942"/>
    <x v="168"/>
    <x v="2"/>
    <x v="3"/>
    <x v="0"/>
    <n v="224"/>
    <n v="171.77"/>
    <x v="0"/>
    <n v="7"/>
    <n v="-52.229999999999897"/>
    <x v="5"/>
  </r>
  <r>
    <s v="TRX-100943"/>
    <x v="465"/>
    <x v="1"/>
    <x v="3"/>
    <x v="0"/>
    <n v="179"/>
    <n v="109.94"/>
    <x v="1"/>
    <n v="13"/>
    <n v="-69.06"/>
    <x v="7"/>
  </r>
  <r>
    <s v="TRX-100944"/>
    <x v="555"/>
    <x v="1"/>
    <x v="5"/>
    <x v="2"/>
    <n v="181"/>
    <n v="247.9"/>
    <x v="4"/>
    <n v="46"/>
    <n v="66.900000000000006"/>
    <x v="2"/>
  </r>
  <r>
    <s v="TRX-100945"/>
    <x v="338"/>
    <x v="1"/>
    <x v="1"/>
    <x v="2"/>
    <n v="175"/>
    <n v="242.78"/>
    <x v="3"/>
    <n v="5"/>
    <n v="67.78"/>
    <x v="3"/>
  </r>
  <r>
    <s v="TRX-100946"/>
    <x v="297"/>
    <x v="0"/>
    <x v="7"/>
    <x v="0"/>
    <n v="229"/>
    <n v="193.44"/>
    <x v="2"/>
    <n v="11"/>
    <n v="-35.56"/>
    <x v="3"/>
  </r>
  <r>
    <s v="TRX-100947"/>
    <x v="515"/>
    <x v="0"/>
    <x v="3"/>
    <x v="1"/>
    <n v="226"/>
    <n v="529.21"/>
    <x v="1"/>
    <n v="3"/>
    <n v="303.20999999999998"/>
    <x v="4"/>
  </r>
  <r>
    <s v="TRX-100948"/>
    <x v="552"/>
    <x v="3"/>
    <x v="0"/>
    <x v="0"/>
    <n v="118"/>
    <n v="78.42"/>
    <x v="1"/>
    <n v="7"/>
    <n v="-39.58"/>
    <x v="11"/>
  </r>
  <r>
    <s v="TRX-100949"/>
    <x v="605"/>
    <x v="2"/>
    <x v="7"/>
    <x v="1"/>
    <n v="219"/>
    <n v="737.93"/>
    <x v="4"/>
    <n v="18"/>
    <n v="518.92999999999995"/>
    <x v="1"/>
  </r>
  <r>
    <s v="TRX-100950"/>
    <x v="606"/>
    <x v="1"/>
    <x v="3"/>
    <x v="2"/>
    <n v="182"/>
    <n v="251.01"/>
    <x v="2"/>
    <n v="48"/>
    <n v="69.009999999999906"/>
    <x v="7"/>
  </r>
  <r>
    <s v="TRX-100951"/>
    <x v="607"/>
    <x v="2"/>
    <x v="0"/>
    <x v="2"/>
    <n v="212"/>
    <n v="233.47"/>
    <x v="4"/>
    <n v="12"/>
    <n v="21.47"/>
    <x v="9"/>
  </r>
  <r>
    <s v="TRX-100952"/>
    <x v="49"/>
    <x v="0"/>
    <x v="6"/>
    <x v="2"/>
    <n v="225"/>
    <n v="227.52"/>
    <x v="4"/>
    <n v="22"/>
    <n v="2.5200000000000098"/>
    <x v="3"/>
  </r>
  <r>
    <s v="TRX-100953"/>
    <x v="559"/>
    <x v="1"/>
    <x v="1"/>
    <x v="0"/>
    <n v="181"/>
    <n v="104.83"/>
    <x v="3"/>
    <n v="49"/>
    <n v="-76.17"/>
    <x v="8"/>
  </r>
  <r>
    <s v="TRX-100954"/>
    <x v="540"/>
    <x v="2"/>
    <x v="7"/>
    <x v="2"/>
    <n v="217"/>
    <n v="280.12"/>
    <x v="0"/>
    <n v="13"/>
    <n v="63.12"/>
    <x v="9"/>
  </r>
  <r>
    <s v="TRX-100955"/>
    <x v="442"/>
    <x v="1"/>
    <x v="1"/>
    <x v="2"/>
    <n v="190"/>
    <n v="204"/>
    <x v="0"/>
    <n v="12"/>
    <n v="14"/>
    <x v="7"/>
  </r>
  <r>
    <s v="TRX-100956"/>
    <x v="608"/>
    <x v="2"/>
    <x v="4"/>
    <x v="2"/>
    <n v="211"/>
    <n v="222.29"/>
    <x v="1"/>
    <n v="7"/>
    <n v="11.2899999999999"/>
    <x v="11"/>
  </r>
  <r>
    <s v="TRX-100957"/>
    <x v="337"/>
    <x v="2"/>
    <x v="4"/>
    <x v="1"/>
    <n v="218"/>
    <n v="665.84"/>
    <x v="3"/>
    <n v="53"/>
    <n v="447.84"/>
    <x v="2"/>
  </r>
  <r>
    <s v="TRX-100958"/>
    <x v="558"/>
    <x v="4"/>
    <x v="6"/>
    <x v="0"/>
    <n v="207"/>
    <n v="143.61000000000001"/>
    <x v="3"/>
    <n v="34"/>
    <n v="-63.389999999999901"/>
    <x v="11"/>
  </r>
  <r>
    <s v="TRX-100959"/>
    <x v="261"/>
    <x v="0"/>
    <x v="8"/>
    <x v="1"/>
    <n v="230"/>
    <n v="751.03"/>
    <x v="1"/>
    <n v="6"/>
    <n v="521.03"/>
    <x v="2"/>
  </r>
  <r>
    <s v="TRX-100960"/>
    <x v="609"/>
    <x v="3"/>
    <x v="8"/>
    <x v="1"/>
    <n v="138"/>
    <n v="353.01"/>
    <x v="4"/>
    <n v="15"/>
    <n v="215.01"/>
    <x v="8"/>
  </r>
  <r>
    <s v="TRX-100961"/>
    <x v="439"/>
    <x v="0"/>
    <x v="8"/>
    <x v="0"/>
    <n v="227"/>
    <n v="116.85"/>
    <x v="1"/>
    <n v="9"/>
    <n v="-110.15"/>
    <x v="11"/>
  </r>
  <r>
    <s v="TRX-100962"/>
    <x v="514"/>
    <x v="0"/>
    <x v="7"/>
    <x v="2"/>
    <n v="230"/>
    <n v="210.33"/>
    <x v="3"/>
    <n v="60"/>
    <n v="-19.669999999999899"/>
    <x v="5"/>
  </r>
  <r>
    <s v="TRX-100963"/>
    <x v="8"/>
    <x v="1"/>
    <x v="3"/>
    <x v="2"/>
    <n v="172"/>
    <n v="252.96"/>
    <x v="2"/>
    <n v="58"/>
    <n v="80.959999999999994"/>
    <x v="3"/>
  </r>
  <r>
    <s v="TRX-100964"/>
    <x v="30"/>
    <x v="4"/>
    <x v="0"/>
    <x v="2"/>
    <n v="200"/>
    <n v="222.22"/>
    <x v="0"/>
    <n v="9"/>
    <n v="22.22"/>
    <x v="6"/>
  </r>
  <r>
    <s v="TRX-100965"/>
    <x v="469"/>
    <x v="1"/>
    <x v="8"/>
    <x v="0"/>
    <n v="186"/>
    <n v="131.51"/>
    <x v="1"/>
    <n v="6"/>
    <n v="-54.49"/>
    <x v="7"/>
  </r>
  <r>
    <s v="TRX-100966"/>
    <x v="610"/>
    <x v="0"/>
    <x v="0"/>
    <x v="2"/>
    <n v="225"/>
    <n v="259.14"/>
    <x v="1"/>
    <n v="14"/>
    <n v="34.139999999999901"/>
    <x v="5"/>
  </r>
  <r>
    <s v="TRX-100967"/>
    <x v="611"/>
    <x v="3"/>
    <x v="4"/>
    <x v="1"/>
    <n v="127"/>
    <n v="339.82"/>
    <x v="4"/>
    <n v="53"/>
    <n v="212.82"/>
    <x v="4"/>
  </r>
  <r>
    <s v="TRX-100968"/>
    <x v="612"/>
    <x v="2"/>
    <x v="6"/>
    <x v="1"/>
    <n v="214"/>
    <n v="587.53"/>
    <x v="2"/>
    <n v="20"/>
    <n v="373.53"/>
    <x v="11"/>
  </r>
  <r>
    <s v="TRX-100969"/>
    <x v="105"/>
    <x v="2"/>
    <x v="0"/>
    <x v="1"/>
    <n v="223"/>
    <n v="770.63"/>
    <x v="0"/>
    <n v="6"/>
    <n v="547.63"/>
    <x v="2"/>
  </r>
  <r>
    <s v="TRX-100970"/>
    <x v="33"/>
    <x v="4"/>
    <x v="2"/>
    <x v="2"/>
    <n v="204"/>
    <n v="210.86"/>
    <x v="0"/>
    <n v="4"/>
    <n v="6.8600000000000101"/>
    <x v="7"/>
  </r>
  <r>
    <s v="TRX-100971"/>
    <x v="449"/>
    <x v="3"/>
    <x v="6"/>
    <x v="2"/>
    <n v="125"/>
    <n v="119.2"/>
    <x v="1"/>
    <n v="5"/>
    <n v="-5.7999999999999901"/>
    <x v="5"/>
  </r>
  <r>
    <s v="TRX-100972"/>
    <x v="79"/>
    <x v="4"/>
    <x v="6"/>
    <x v="2"/>
    <n v="209"/>
    <n v="197.58"/>
    <x v="0"/>
    <n v="2"/>
    <n v="-11.4199999999999"/>
    <x v="4"/>
  </r>
  <r>
    <s v="TRX-100973"/>
    <x v="439"/>
    <x v="2"/>
    <x v="1"/>
    <x v="0"/>
    <n v="210"/>
    <n v="161.75"/>
    <x v="3"/>
    <n v="22"/>
    <n v="-48.25"/>
    <x v="11"/>
  </r>
  <r>
    <s v="TRX-100974"/>
    <x v="610"/>
    <x v="0"/>
    <x v="4"/>
    <x v="0"/>
    <n v="229"/>
    <n v="132.16"/>
    <x v="0"/>
    <n v="9"/>
    <n v="-96.84"/>
    <x v="5"/>
  </r>
  <r>
    <s v="TRX-100975"/>
    <x v="613"/>
    <x v="3"/>
    <x v="8"/>
    <x v="0"/>
    <n v="121"/>
    <n v="82.66"/>
    <x v="1"/>
    <n v="12"/>
    <n v="-38.340000000000003"/>
    <x v="10"/>
  </r>
  <r>
    <s v="TRX-100976"/>
    <x v="45"/>
    <x v="4"/>
    <x v="1"/>
    <x v="2"/>
    <n v="209"/>
    <n v="191.29"/>
    <x v="3"/>
    <n v="9"/>
    <n v="-17.71"/>
    <x v="6"/>
  </r>
  <r>
    <s v="TRX-100977"/>
    <x v="614"/>
    <x v="2"/>
    <x v="1"/>
    <x v="0"/>
    <n v="225"/>
    <n v="178.75"/>
    <x v="0"/>
    <n v="3"/>
    <n v="-46.25"/>
    <x v="9"/>
  </r>
  <r>
    <s v="TRX-100978"/>
    <x v="215"/>
    <x v="0"/>
    <x v="8"/>
    <x v="0"/>
    <n v="230"/>
    <n v="127.01"/>
    <x v="2"/>
    <n v="47"/>
    <n v="-102.99"/>
    <x v="7"/>
  </r>
  <r>
    <s v="TRX-100979"/>
    <x v="260"/>
    <x v="3"/>
    <x v="0"/>
    <x v="2"/>
    <n v="110"/>
    <n v="118.22"/>
    <x v="2"/>
    <n v="45"/>
    <n v="8.21999999999999"/>
    <x v="11"/>
  </r>
  <r>
    <s v="TRX-100980"/>
    <x v="500"/>
    <x v="3"/>
    <x v="5"/>
    <x v="1"/>
    <n v="118"/>
    <n v="199.2"/>
    <x v="3"/>
    <n v="60"/>
    <n v="81.199999999999903"/>
    <x v="2"/>
  </r>
  <r>
    <s v="TRX-100981"/>
    <x v="615"/>
    <x v="4"/>
    <x v="3"/>
    <x v="2"/>
    <n v="205"/>
    <n v="221.63"/>
    <x v="3"/>
    <n v="10"/>
    <n v="16.6299999999999"/>
    <x v="9"/>
  </r>
  <r>
    <s v="TRX-100982"/>
    <x v="26"/>
    <x v="2"/>
    <x v="0"/>
    <x v="1"/>
    <n v="213"/>
    <n v="502.81"/>
    <x v="0"/>
    <n v="9"/>
    <n v="289.81"/>
    <x v="10"/>
  </r>
  <r>
    <s v="TRX-100983"/>
    <x v="616"/>
    <x v="0"/>
    <x v="0"/>
    <x v="2"/>
    <n v="225"/>
    <n v="246.16"/>
    <x v="3"/>
    <n v="44"/>
    <n v="21.159999999999901"/>
    <x v="10"/>
  </r>
  <r>
    <s v="TRX-100984"/>
    <x v="617"/>
    <x v="1"/>
    <x v="7"/>
    <x v="2"/>
    <n v="173"/>
    <n v="185.54"/>
    <x v="0"/>
    <n v="5"/>
    <n v="12.5399999999999"/>
    <x v="11"/>
  </r>
  <r>
    <s v="TRX-100985"/>
    <x v="618"/>
    <x v="2"/>
    <x v="4"/>
    <x v="0"/>
    <n v="220"/>
    <n v="145.04"/>
    <x v="0"/>
    <n v="10"/>
    <n v="-74.959999999999994"/>
    <x v="11"/>
  </r>
  <r>
    <s v="TRX-100986"/>
    <x v="619"/>
    <x v="3"/>
    <x v="2"/>
    <x v="1"/>
    <n v="136"/>
    <n v="329.57"/>
    <x v="0"/>
    <n v="6"/>
    <n v="193.57"/>
    <x v="5"/>
  </r>
  <r>
    <s v="TRX-100987"/>
    <x v="45"/>
    <x v="4"/>
    <x v="1"/>
    <x v="2"/>
    <n v="202"/>
    <n v="262.12"/>
    <x v="2"/>
    <n v="6"/>
    <n v="60.12"/>
    <x v="6"/>
  </r>
  <r>
    <s v="TRX-100988"/>
    <x v="104"/>
    <x v="0"/>
    <x v="1"/>
    <x v="0"/>
    <n v="229"/>
    <n v="124.17"/>
    <x v="2"/>
    <n v="25"/>
    <n v="-104.83"/>
    <x v="5"/>
  </r>
  <r>
    <s v="TRX-100989"/>
    <x v="534"/>
    <x v="3"/>
    <x v="0"/>
    <x v="1"/>
    <n v="112"/>
    <n v="142.1"/>
    <x v="1"/>
    <n v="13"/>
    <n v="30.099999999999898"/>
    <x v="4"/>
  </r>
  <r>
    <s v="TRX-100990"/>
    <x v="620"/>
    <x v="0"/>
    <x v="2"/>
    <x v="1"/>
    <n v="228"/>
    <n v="330.13"/>
    <x v="2"/>
    <n v="28"/>
    <n v="102.13"/>
    <x v="9"/>
  </r>
  <r>
    <s v="TRX-100991"/>
    <x v="272"/>
    <x v="0"/>
    <x v="0"/>
    <x v="2"/>
    <n v="225"/>
    <n v="270.89999999999998"/>
    <x v="4"/>
    <n v="34"/>
    <n v="45.899999999999899"/>
    <x v="3"/>
  </r>
  <r>
    <s v="TRX-100992"/>
    <x v="14"/>
    <x v="0"/>
    <x v="1"/>
    <x v="0"/>
    <n v="228"/>
    <n v="121.79"/>
    <x v="4"/>
    <n v="47"/>
    <n v="-106.21"/>
    <x v="4"/>
  </r>
  <r>
    <s v="TRX-100993"/>
    <x v="621"/>
    <x v="0"/>
    <x v="8"/>
    <x v="0"/>
    <n v="230"/>
    <n v="175.82"/>
    <x v="1"/>
    <n v="14"/>
    <n v="-54.18"/>
    <x v="9"/>
  </r>
  <r>
    <s v="TRX-100994"/>
    <x v="362"/>
    <x v="0"/>
    <x v="4"/>
    <x v="2"/>
    <n v="230"/>
    <n v="288.69"/>
    <x v="1"/>
    <n v="4"/>
    <n v="58.69"/>
    <x v="8"/>
  </r>
  <r>
    <s v="TRX-100995"/>
    <x v="106"/>
    <x v="2"/>
    <x v="7"/>
    <x v="0"/>
    <n v="218"/>
    <n v="138.16"/>
    <x v="2"/>
    <n v="18"/>
    <n v="-79.84"/>
    <x v="8"/>
  </r>
  <r>
    <s v="TRX-100996"/>
    <x v="35"/>
    <x v="0"/>
    <x v="3"/>
    <x v="1"/>
    <n v="228"/>
    <n v="763.09"/>
    <x v="1"/>
    <n v="9"/>
    <n v="535.09"/>
    <x v="11"/>
  </r>
  <r>
    <s v="TRX-100997"/>
    <x v="469"/>
    <x v="4"/>
    <x v="8"/>
    <x v="2"/>
    <n v="203"/>
    <n v="283.3"/>
    <x v="1"/>
    <n v="13"/>
    <n v="80.3"/>
    <x v="7"/>
  </r>
  <r>
    <s v="TRX-100998"/>
    <x v="622"/>
    <x v="2"/>
    <x v="4"/>
    <x v="2"/>
    <n v="222"/>
    <n v="292.74"/>
    <x v="4"/>
    <n v="18"/>
    <n v="70.739999999999995"/>
    <x v="10"/>
  </r>
  <r>
    <s v="TRX-100999"/>
    <x v="623"/>
    <x v="3"/>
    <x v="8"/>
    <x v="0"/>
    <n v="137"/>
    <n v="116.52"/>
    <x v="4"/>
    <n v="20"/>
    <n v="-20.48"/>
    <x v="8"/>
  </r>
  <r>
    <s v="TRX-101000"/>
    <x v="308"/>
    <x v="4"/>
    <x v="7"/>
    <x v="0"/>
    <n v="203"/>
    <n v="110.22"/>
    <x v="2"/>
    <n v="25"/>
    <n v="-92.78"/>
    <x v="8"/>
  </r>
  <r>
    <s v="TRX-101001"/>
    <x v="46"/>
    <x v="0"/>
    <x v="5"/>
    <x v="0"/>
    <n v="226"/>
    <n v="155.35"/>
    <x v="3"/>
    <n v="43"/>
    <n v="-70.650000000000006"/>
    <x v="0"/>
  </r>
  <r>
    <s v="TRX-101002"/>
    <x v="624"/>
    <x v="4"/>
    <x v="6"/>
    <x v="1"/>
    <n v="204"/>
    <n v="627.41"/>
    <x v="0"/>
    <n v="3"/>
    <n v="423.409999999999"/>
    <x v="3"/>
  </r>
  <r>
    <s v="TRX-101003"/>
    <x v="601"/>
    <x v="0"/>
    <x v="1"/>
    <x v="1"/>
    <n v="228"/>
    <n v="370.14"/>
    <x v="2"/>
    <n v="32"/>
    <n v="142.13999999999999"/>
    <x v="6"/>
  </r>
  <r>
    <s v="TRX-101004"/>
    <x v="577"/>
    <x v="3"/>
    <x v="0"/>
    <x v="1"/>
    <n v="120"/>
    <n v="284.25"/>
    <x v="1"/>
    <n v="3"/>
    <n v="164.25"/>
    <x v="11"/>
  </r>
  <r>
    <s v="TRX-101005"/>
    <x v="91"/>
    <x v="2"/>
    <x v="7"/>
    <x v="1"/>
    <n v="214"/>
    <n v="306.86"/>
    <x v="0"/>
    <n v="7"/>
    <n v="92.86"/>
    <x v="11"/>
  </r>
  <r>
    <s v="TRX-101006"/>
    <x v="48"/>
    <x v="0"/>
    <x v="1"/>
    <x v="0"/>
    <n v="227"/>
    <n v="135.19"/>
    <x v="4"/>
    <n v="43"/>
    <n v="-91.81"/>
    <x v="9"/>
  </r>
  <r>
    <s v="TRX-101007"/>
    <x v="425"/>
    <x v="0"/>
    <x v="7"/>
    <x v="2"/>
    <n v="225"/>
    <n v="205.49"/>
    <x v="2"/>
    <n v="44"/>
    <n v="-19.509999999999899"/>
    <x v="6"/>
  </r>
  <r>
    <s v="TRX-101008"/>
    <x v="49"/>
    <x v="3"/>
    <x v="3"/>
    <x v="2"/>
    <n v="133"/>
    <n v="173.29"/>
    <x v="1"/>
    <n v="7"/>
    <n v="40.2899999999999"/>
    <x v="3"/>
  </r>
  <r>
    <s v="TRX-101009"/>
    <x v="361"/>
    <x v="3"/>
    <x v="6"/>
    <x v="2"/>
    <n v="136"/>
    <n v="181.35"/>
    <x v="4"/>
    <n v="35"/>
    <n v="45.349999999999902"/>
    <x v="0"/>
  </r>
  <r>
    <s v="TRX-101010"/>
    <x v="523"/>
    <x v="2"/>
    <x v="2"/>
    <x v="2"/>
    <n v="222"/>
    <n v="283.51"/>
    <x v="0"/>
    <n v="5"/>
    <n v="61.509999999999899"/>
    <x v="5"/>
  </r>
  <r>
    <s v="TRX-101011"/>
    <x v="625"/>
    <x v="1"/>
    <x v="4"/>
    <x v="2"/>
    <n v="187"/>
    <n v="272.74"/>
    <x v="0"/>
    <n v="9"/>
    <n v="85.74"/>
    <x v="2"/>
  </r>
  <r>
    <s v="TRX-101012"/>
    <x v="517"/>
    <x v="1"/>
    <x v="8"/>
    <x v="2"/>
    <n v="179"/>
    <n v="169.7"/>
    <x v="2"/>
    <n v="36"/>
    <n v="-9.3000000000000096"/>
    <x v="2"/>
  </r>
  <r>
    <s v="TRX-101013"/>
    <x v="626"/>
    <x v="4"/>
    <x v="7"/>
    <x v="0"/>
    <n v="203"/>
    <n v="157.43"/>
    <x v="0"/>
    <n v="7"/>
    <n v="-45.569999999999901"/>
    <x v="11"/>
  </r>
  <r>
    <s v="TRX-101014"/>
    <x v="627"/>
    <x v="1"/>
    <x v="0"/>
    <x v="0"/>
    <n v="188"/>
    <n v="118.13"/>
    <x v="4"/>
    <n v="44"/>
    <n v="-69.87"/>
    <x v="5"/>
  </r>
  <r>
    <s v="TRX-101015"/>
    <x v="9"/>
    <x v="0"/>
    <x v="6"/>
    <x v="2"/>
    <n v="230"/>
    <n v="264.72000000000003"/>
    <x v="0"/>
    <n v="9"/>
    <n v="34.72"/>
    <x v="0"/>
  </r>
  <r>
    <s v="TRX-101016"/>
    <x v="628"/>
    <x v="1"/>
    <x v="3"/>
    <x v="0"/>
    <n v="182"/>
    <n v="119.36"/>
    <x v="4"/>
    <n v="49"/>
    <n v="-62.64"/>
    <x v="11"/>
  </r>
  <r>
    <s v="TRX-101017"/>
    <x v="629"/>
    <x v="4"/>
    <x v="7"/>
    <x v="0"/>
    <n v="208"/>
    <n v="166.81"/>
    <x v="1"/>
    <n v="10"/>
    <n v="-41.19"/>
    <x v="9"/>
  </r>
  <r>
    <s v="TRX-101018"/>
    <x v="630"/>
    <x v="0"/>
    <x v="0"/>
    <x v="0"/>
    <n v="225"/>
    <n v="199.04"/>
    <x v="0"/>
    <n v="4"/>
    <n v="-25.96"/>
    <x v="8"/>
  </r>
  <r>
    <s v="TRX-101019"/>
    <x v="451"/>
    <x v="4"/>
    <x v="8"/>
    <x v="0"/>
    <n v="210"/>
    <n v="180.94"/>
    <x v="2"/>
    <n v="14"/>
    <n v="-29.06"/>
    <x v="6"/>
  </r>
  <r>
    <s v="TRX-101020"/>
    <x v="631"/>
    <x v="0"/>
    <x v="8"/>
    <x v="1"/>
    <n v="225"/>
    <n v="447.2"/>
    <x v="0"/>
    <n v="14"/>
    <n v="222.2"/>
    <x v="6"/>
  </r>
  <r>
    <s v="TRX-101021"/>
    <x v="632"/>
    <x v="1"/>
    <x v="8"/>
    <x v="0"/>
    <n v="190"/>
    <n v="131.35"/>
    <x v="0"/>
    <n v="4"/>
    <n v="-58.65"/>
    <x v="9"/>
  </r>
  <r>
    <s v="TRX-101022"/>
    <x v="44"/>
    <x v="0"/>
    <x v="7"/>
    <x v="1"/>
    <n v="229"/>
    <n v="650.99"/>
    <x v="3"/>
    <n v="24"/>
    <n v="421.99"/>
    <x v="5"/>
  </r>
  <r>
    <s v="TRX-101023"/>
    <x v="272"/>
    <x v="1"/>
    <x v="5"/>
    <x v="2"/>
    <n v="171"/>
    <n v="162.11000000000001"/>
    <x v="1"/>
    <n v="5"/>
    <n v="-8.8899999999999793"/>
    <x v="3"/>
  </r>
  <r>
    <s v="TRX-101024"/>
    <x v="633"/>
    <x v="4"/>
    <x v="4"/>
    <x v="2"/>
    <n v="201"/>
    <n v="197.1"/>
    <x v="0"/>
    <n v="10"/>
    <n v="-3.9"/>
    <x v="3"/>
  </r>
  <r>
    <s v="TRX-101025"/>
    <x v="634"/>
    <x v="2"/>
    <x v="4"/>
    <x v="0"/>
    <n v="210"/>
    <n v="177.47"/>
    <x v="0"/>
    <n v="14"/>
    <n v="-32.53"/>
    <x v="7"/>
  </r>
  <r>
    <s v="TRX-101026"/>
    <x v="24"/>
    <x v="3"/>
    <x v="0"/>
    <x v="0"/>
    <n v="132"/>
    <n v="71.91"/>
    <x v="4"/>
    <n v="43"/>
    <n v="-60.09"/>
    <x v="4"/>
  </r>
  <r>
    <s v="TRX-101027"/>
    <x v="228"/>
    <x v="4"/>
    <x v="6"/>
    <x v="2"/>
    <n v="200"/>
    <n v="251.34"/>
    <x v="4"/>
    <n v="48"/>
    <n v="51.34"/>
    <x v="8"/>
  </r>
  <r>
    <s v="TRX-101028"/>
    <x v="635"/>
    <x v="2"/>
    <x v="3"/>
    <x v="2"/>
    <n v="216"/>
    <n v="316.22000000000003"/>
    <x v="1"/>
    <n v="7"/>
    <n v="100.22"/>
    <x v="6"/>
  </r>
  <r>
    <s v="TRX-101029"/>
    <x v="101"/>
    <x v="2"/>
    <x v="5"/>
    <x v="2"/>
    <n v="222"/>
    <n v="313.17"/>
    <x v="4"/>
    <n v="32"/>
    <n v="91.17"/>
    <x v="4"/>
  </r>
  <r>
    <s v="TRX-101030"/>
    <x v="567"/>
    <x v="0"/>
    <x v="1"/>
    <x v="2"/>
    <n v="227"/>
    <n v="222.08"/>
    <x v="1"/>
    <n v="13"/>
    <n v="-4.9199999999999804"/>
    <x v="5"/>
  </r>
  <r>
    <s v="TRX-101031"/>
    <x v="607"/>
    <x v="1"/>
    <x v="6"/>
    <x v="0"/>
    <n v="175"/>
    <n v="145.65"/>
    <x v="2"/>
    <n v="31"/>
    <n v="-29.349999999999898"/>
    <x v="9"/>
  </r>
  <r>
    <s v="TRX-101032"/>
    <x v="548"/>
    <x v="4"/>
    <x v="6"/>
    <x v="1"/>
    <n v="208"/>
    <n v="594.01"/>
    <x v="3"/>
    <n v="50"/>
    <n v="386.01"/>
    <x v="9"/>
  </r>
  <r>
    <s v="TRX-101033"/>
    <x v="215"/>
    <x v="3"/>
    <x v="7"/>
    <x v="2"/>
    <n v="112"/>
    <n v="104.44"/>
    <x v="2"/>
    <n v="47"/>
    <n v="-7.56"/>
    <x v="7"/>
  </r>
  <r>
    <s v="TRX-101034"/>
    <x v="423"/>
    <x v="0"/>
    <x v="5"/>
    <x v="0"/>
    <n v="225"/>
    <n v="135.81"/>
    <x v="2"/>
    <n v="54"/>
    <n v="-89.19"/>
    <x v="10"/>
  </r>
  <r>
    <s v="TRX-101035"/>
    <x v="551"/>
    <x v="2"/>
    <x v="8"/>
    <x v="0"/>
    <n v="221"/>
    <n v="180.73"/>
    <x v="1"/>
    <n v="9"/>
    <n v="-40.270000000000003"/>
    <x v="8"/>
  </r>
  <r>
    <s v="TRX-101036"/>
    <x v="193"/>
    <x v="0"/>
    <x v="2"/>
    <x v="0"/>
    <n v="226"/>
    <n v="154.71"/>
    <x v="4"/>
    <n v="8"/>
    <n v="-71.289999999999907"/>
    <x v="0"/>
  </r>
  <r>
    <s v="TRX-101037"/>
    <x v="578"/>
    <x v="1"/>
    <x v="3"/>
    <x v="1"/>
    <n v="186"/>
    <n v="607.91"/>
    <x v="3"/>
    <n v="42"/>
    <n v="421.909999999999"/>
    <x v="8"/>
  </r>
  <r>
    <s v="TRX-101038"/>
    <x v="636"/>
    <x v="1"/>
    <x v="5"/>
    <x v="2"/>
    <n v="184"/>
    <n v="239.73"/>
    <x v="3"/>
    <n v="19"/>
    <n v="55.729999999999897"/>
    <x v="4"/>
  </r>
  <r>
    <s v="TRX-101039"/>
    <x v="127"/>
    <x v="3"/>
    <x v="5"/>
    <x v="0"/>
    <n v="132"/>
    <n v="113.82"/>
    <x v="3"/>
    <n v="57"/>
    <n v="-18.18"/>
    <x v="1"/>
  </r>
  <r>
    <s v="TRX-101040"/>
    <x v="61"/>
    <x v="3"/>
    <x v="2"/>
    <x v="2"/>
    <n v="123"/>
    <n v="132.29"/>
    <x v="4"/>
    <n v="38"/>
    <n v="9.2899999999999903"/>
    <x v="6"/>
  </r>
  <r>
    <s v="TRX-101041"/>
    <x v="637"/>
    <x v="0"/>
    <x v="8"/>
    <x v="0"/>
    <n v="230"/>
    <n v="177.49"/>
    <x v="1"/>
    <n v="1"/>
    <n v="-52.509999999999899"/>
    <x v="5"/>
  </r>
  <r>
    <s v="TRX-101042"/>
    <x v="363"/>
    <x v="1"/>
    <x v="7"/>
    <x v="1"/>
    <n v="190"/>
    <n v="412.56"/>
    <x v="0"/>
    <n v="14"/>
    <n v="222.56"/>
    <x v="3"/>
  </r>
  <r>
    <s v="TRX-101043"/>
    <x v="50"/>
    <x v="1"/>
    <x v="6"/>
    <x v="0"/>
    <n v="188"/>
    <n v="137.75"/>
    <x v="4"/>
    <n v="7"/>
    <n v="-50.25"/>
    <x v="0"/>
  </r>
  <r>
    <s v="TRX-101044"/>
    <x v="624"/>
    <x v="0"/>
    <x v="1"/>
    <x v="1"/>
    <n v="227"/>
    <n v="479.87"/>
    <x v="4"/>
    <n v="46"/>
    <n v="252.87"/>
    <x v="3"/>
  </r>
  <r>
    <s v="TRX-101045"/>
    <x v="465"/>
    <x v="2"/>
    <x v="1"/>
    <x v="1"/>
    <n v="210"/>
    <n v="502.23"/>
    <x v="4"/>
    <n v="30"/>
    <n v="292.23"/>
    <x v="7"/>
  </r>
  <r>
    <s v="TRX-101046"/>
    <x v="574"/>
    <x v="1"/>
    <x v="3"/>
    <x v="2"/>
    <n v="180"/>
    <n v="162.56"/>
    <x v="0"/>
    <n v="3"/>
    <n v="-17.439999999999898"/>
    <x v="6"/>
  </r>
  <r>
    <s v="TRX-101047"/>
    <x v="638"/>
    <x v="1"/>
    <x v="7"/>
    <x v="2"/>
    <n v="187"/>
    <n v="243.5"/>
    <x v="3"/>
    <n v="7"/>
    <n v="56.5"/>
    <x v="3"/>
  </r>
  <r>
    <s v="TRX-101048"/>
    <x v="639"/>
    <x v="0"/>
    <x v="2"/>
    <x v="1"/>
    <n v="225"/>
    <n v="638.14"/>
    <x v="1"/>
    <n v="13"/>
    <n v="413.14"/>
    <x v="10"/>
  </r>
  <r>
    <s v="TRX-101049"/>
    <x v="279"/>
    <x v="0"/>
    <x v="5"/>
    <x v="0"/>
    <n v="230"/>
    <n v="186.07"/>
    <x v="1"/>
    <n v="10"/>
    <n v="-43.93"/>
    <x v="10"/>
  </r>
  <r>
    <s v="TRX-101050"/>
    <x v="33"/>
    <x v="1"/>
    <x v="1"/>
    <x v="1"/>
    <n v="178"/>
    <n v="483.38"/>
    <x v="0"/>
    <n v="6"/>
    <n v="305.38"/>
    <x v="7"/>
  </r>
  <r>
    <s v="TRX-101051"/>
    <x v="640"/>
    <x v="1"/>
    <x v="6"/>
    <x v="1"/>
    <n v="185"/>
    <n v="591.87"/>
    <x v="0"/>
    <n v="5"/>
    <n v="406.87"/>
    <x v="10"/>
  </r>
  <r>
    <s v="TRX-101052"/>
    <x v="527"/>
    <x v="1"/>
    <x v="8"/>
    <x v="1"/>
    <n v="182"/>
    <n v="394.6"/>
    <x v="3"/>
    <n v="24"/>
    <n v="212.6"/>
    <x v="4"/>
  </r>
  <r>
    <s v="TRX-101053"/>
    <x v="641"/>
    <x v="0"/>
    <x v="4"/>
    <x v="0"/>
    <n v="230"/>
    <n v="138.13999999999999"/>
    <x v="1"/>
    <n v="1"/>
    <n v="-91.86"/>
    <x v="5"/>
  </r>
  <r>
    <s v="TRX-101054"/>
    <x v="642"/>
    <x v="0"/>
    <x v="7"/>
    <x v="2"/>
    <n v="228"/>
    <n v="285.27999999999997"/>
    <x v="4"/>
    <n v="45"/>
    <n v="57.279999999999902"/>
    <x v="11"/>
  </r>
  <r>
    <s v="TRX-101055"/>
    <x v="494"/>
    <x v="3"/>
    <x v="7"/>
    <x v="0"/>
    <n v="133"/>
    <n v="102.74"/>
    <x v="4"/>
    <n v="22"/>
    <n v="-30.26"/>
    <x v="3"/>
  </r>
  <r>
    <s v="TRX-101056"/>
    <x v="636"/>
    <x v="0"/>
    <x v="0"/>
    <x v="2"/>
    <n v="228"/>
    <n v="284.55"/>
    <x v="4"/>
    <n v="30"/>
    <n v="56.55"/>
    <x v="4"/>
  </r>
  <r>
    <s v="TRX-101057"/>
    <x v="413"/>
    <x v="3"/>
    <x v="2"/>
    <x v="2"/>
    <n v="140"/>
    <n v="144.25"/>
    <x v="3"/>
    <n v="37"/>
    <n v="4.25"/>
    <x v="0"/>
  </r>
  <r>
    <s v="TRX-101058"/>
    <x v="67"/>
    <x v="2"/>
    <x v="5"/>
    <x v="1"/>
    <n v="225"/>
    <n v="732.98"/>
    <x v="1"/>
    <n v="13"/>
    <n v="507.98"/>
    <x v="10"/>
  </r>
  <r>
    <s v="TRX-101059"/>
    <x v="507"/>
    <x v="1"/>
    <x v="4"/>
    <x v="2"/>
    <n v="174"/>
    <n v="218.57"/>
    <x v="3"/>
    <n v="46"/>
    <n v="44.569999999999901"/>
    <x v="4"/>
  </r>
  <r>
    <s v="TRX-101060"/>
    <x v="643"/>
    <x v="1"/>
    <x v="8"/>
    <x v="2"/>
    <n v="173"/>
    <n v="241.79"/>
    <x v="3"/>
    <n v="32"/>
    <n v="68.789999999999907"/>
    <x v="7"/>
  </r>
  <r>
    <s v="TRX-101061"/>
    <x v="358"/>
    <x v="3"/>
    <x v="6"/>
    <x v="1"/>
    <n v="127"/>
    <n v="373.92"/>
    <x v="2"/>
    <n v="13"/>
    <n v="246.92"/>
    <x v="0"/>
  </r>
  <r>
    <s v="TRX-101062"/>
    <x v="496"/>
    <x v="2"/>
    <x v="4"/>
    <x v="0"/>
    <n v="221"/>
    <n v="131.72"/>
    <x v="2"/>
    <n v="37"/>
    <n v="-89.28"/>
    <x v="9"/>
  </r>
  <r>
    <s v="TRX-101063"/>
    <x v="644"/>
    <x v="2"/>
    <x v="3"/>
    <x v="0"/>
    <n v="211"/>
    <n v="189.89"/>
    <x v="0"/>
    <n v="7"/>
    <n v="-21.11"/>
    <x v="4"/>
  </r>
  <r>
    <s v="TRX-101064"/>
    <x v="645"/>
    <x v="3"/>
    <x v="6"/>
    <x v="2"/>
    <n v="133"/>
    <n v="168.3"/>
    <x v="1"/>
    <n v="8"/>
    <n v="35.299999999999997"/>
    <x v="5"/>
  </r>
  <r>
    <s v="TRX-101065"/>
    <x v="483"/>
    <x v="0"/>
    <x v="5"/>
    <x v="2"/>
    <n v="230"/>
    <n v="322.51"/>
    <x v="0"/>
    <n v="5"/>
    <n v="92.509999999999906"/>
    <x v="0"/>
  </r>
  <r>
    <s v="TRX-101066"/>
    <x v="550"/>
    <x v="3"/>
    <x v="7"/>
    <x v="2"/>
    <n v="137"/>
    <n v="179.94"/>
    <x v="2"/>
    <n v="52"/>
    <n v="42.94"/>
    <x v="2"/>
  </r>
  <r>
    <s v="TRX-101067"/>
    <x v="76"/>
    <x v="0"/>
    <x v="4"/>
    <x v="0"/>
    <n v="228"/>
    <n v="161.61000000000001"/>
    <x v="3"/>
    <n v="12"/>
    <n v="-66.389999999999901"/>
    <x v="10"/>
  </r>
  <r>
    <s v="TRX-101068"/>
    <x v="646"/>
    <x v="3"/>
    <x v="1"/>
    <x v="0"/>
    <n v="129"/>
    <n v="103.98"/>
    <x v="4"/>
    <n v="46"/>
    <n v="-25.0199999999999"/>
    <x v="5"/>
  </r>
  <r>
    <s v="TRX-101069"/>
    <x v="519"/>
    <x v="2"/>
    <x v="6"/>
    <x v="0"/>
    <n v="220"/>
    <n v="124.38"/>
    <x v="3"/>
    <n v="42"/>
    <n v="-95.62"/>
    <x v="10"/>
  </r>
  <r>
    <s v="TRX-101070"/>
    <x v="117"/>
    <x v="2"/>
    <x v="7"/>
    <x v="2"/>
    <n v="212"/>
    <n v="254.88"/>
    <x v="3"/>
    <n v="46"/>
    <n v="42.879999999999903"/>
    <x v="6"/>
  </r>
  <r>
    <s v="TRX-101071"/>
    <x v="49"/>
    <x v="2"/>
    <x v="8"/>
    <x v="1"/>
    <n v="218"/>
    <n v="319.68"/>
    <x v="2"/>
    <n v="33"/>
    <n v="101.68"/>
    <x v="3"/>
  </r>
  <r>
    <s v="TRX-101072"/>
    <x v="265"/>
    <x v="1"/>
    <x v="0"/>
    <x v="0"/>
    <n v="176"/>
    <n v="106.94"/>
    <x v="1"/>
    <n v="14"/>
    <n v="-69.06"/>
    <x v="1"/>
  </r>
  <r>
    <s v="TRX-101073"/>
    <x v="390"/>
    <x v="4"/>
    <x v="7"/>
    <x v="2"/>
    <n v="201"/>
    <n v="282.14999999999998"/>
    <x v="4"/>
    <n v="11"/>
    <n v="81.149999999999906"/>
    <x v="10"/>
  </r>
  <r>
    <s v="TRX-101074"/>
    <x v="647"/>
    <x v="4"/>
    <x v="2"/>
    <x v="1"/>
    <n v="201"/>
    <n v="286.82"/>
    <x v="3"/>
    <n v="42"/>
    <n v="85.82"/>
    <x v="4"/>
  </r>
  <r>
    <s v="TRX-101075"/>
    <x v="308"/>
    <x v="2"/>
    <x v="8"/>
    <x v="2"/>
    <n v="223"/>
    <n v="258.8"/>
    <x v="0"/>
    <n v="10"/>
    <n v="35.799999999999997"/>
    <x v="8"/>
  </r>
  <r>
    <s v="TRX-101076"/>
    <x v="648"/>
    <x v="0"/>
    <x v="8"/>
    <x v="2"/>
    <n v="230"/>
    <n v="268.86"/>
    <x v="0"/>
    <n v="7"/>
    <n v="38.86"/>
    <x v="6"/>
  </r>
  <r>
    <s v="TRX-101077"/>
    <x v="274"/>
    <x v="3"/>
    <x v="8"/>
    <x v="2"/>
    <n v="137"/>
    <n v="142.59"/>
    <x v="2"/>
    <n v="56"/>
    <n v="5.59"/>
    <x v="5"/>
  </r>
  <r>
    <s v="TRX-101078"/>
    <x v="641"/>
    <x v="4"/>
    <x v="5"/>
    <x v="2"/>
    <n v="210"/>
    <n v="259.27"/>
    <x v="4"/>
    <n v="47"/>
    <n v="49.269999999999897"/>
    <x v="5"/>
  </r>
  <r>
    <s v="TRX-101079"/>
    <x v="475"/>
    <x v="4"/>
    <x v="0"/>
    <x v="0"/>
    <n v="202"/>
    <n v="140.22"/>
    <x v="2"/>
    <n v="30"/>
    <n v="-61.78"/>
    <x v="5"/>
  </r>
  <r>
    <s v="TRX-101080"/>
    <x v="569"/>
    <x v="2"/>
    <x v="1"/>
    <x v="1"/>
    <n v="217"/>
    <n v="710.01"/>
    <x v="3"/>
    <n v="56"/>
    <n v="493.01"/>
    <x v="6"/>
  </r>
  <r>
    <s v="TRX-101081"/>
    <x v="636"/>
    <x v="4"/>
    <x v="4"/>
    <x v="2"/>
    <n v="200"/>
    <n v="296.51"/>
    <x v="4"/>
    <n v="26"/>
    <n v="96.509999999999906"/>
    <x v="4"/>
  </r>
  <r>
    <s v="TRX-101082"/>
    <x v="0"/>
    <x v="4"/>
    <x v="8"/>
    <x v="1"/>
    <n v="200"/>
    <n v="385.07"/>
    <x v="3"/>
    <n v="54"/>
    <n v="185.07"/>
    <x v="0"/>
  </r>
  <r>
    <s v="TRX-101083"/>
    <x v="431"/>
    <x v="2"/>
    <x v="2"/>
    <x v="2"/>
    <n v="214"/>
    <n v="230.17"/>
    <x v="2"/>
    <n v="12"/>
    <n v="16.169999999999899"/>
    <x v="5"/>
  </r>
  <r>
    <s v="TRX-101084"/>
    <x v="83"/>
    <x v="2"/>
    <x v="1"/>
    <x v="0"/>
    <n v="217"/>
    <n v="175.81"/>
    <x v="3"/>
    <n v="55"/>
    <n v="-41.19"/>
    <x v="11"/>
  </r>
  <r>
    <s v="TRX-101085"/>
    <x v="649"/>
    <x v="1"/>
    <x v="2"/>
    <x v="1"/>
    <n v="173"/>
    <n v="353.03"/>
    <x v="1"/>
    <n v="13"/>
    <n v="180.02999999999901"/>
    <x v="0"/>
  </r>
  <r>
    <s v="TRX-101086"/>
    <x v="650"/>
    <x v="3"/>
    <x v="6"/>
    <x v="1"/>
    <n v="139"/>
    <n v="211.76"/>
    <x v="1"/>
    <n v="9"/>
    <n v="72.759999999999906"/>
    <x v="5"/>
  </r>
  <r>
    <s v="TRX-101087"/>
    <x v="147"/>
    <x v="4"/>
    <x v="3"/>
    <x v="0"/>
    <n v="200"/>
    <n v="154.68"/>
    <x v="0"/>
    <n v="7"/>
    <n v="-45.319999999999901"/>
    <x v="4"/>
  </r>
  <r>
    <s v="TRX-101088"/>
    <x v="651"/>
    <x v="3"/>
    <x v="4"/>
    <x v="2"/>
    <n v="135"/>
    <n v="186.75"/>
    <x v="2"/>
    <n v="51"/>
    <n v="51.75"/>
    <x v="7"/>
  </r>
  <r>
    <s v="TRX-101089"/>
    <x v="433"/>
    <x v="3"/>
    <x v="8"/>
    <x v="0"/>
    <n v="115"/>
    <n v="94.48"/>
    <x v="0"/>
    <n v="11"/>
    <n v="-20.5199999999999"/>
    <x v="10"/>
  </r>
  <r>
    <s v="TRX-101090"/>
    <x v="296"/>
    <x v="2"/>
    <x v="2"/>
    <x v="2"/>
    <n v="213"/>
    <n v="215.74"/>
    <x v="2"/>
    <n v="40"/>
    <n v="2.74"/>
    <x v="8"/>
  </r>
  <r>
    <s v="TRX-101091"/>
    <x v="652"/>
    <x v="0"/>
    <x v="8"/>
    <x v="2"/>
    <n v="228"/>
    <n v="242.1"/>
    <x v="1"/>
    <n v="12"/>
    <n v="14.0999999999999"/>
    <x v="0"/>
  </r>
  <r>
    <s v="TRX-101092"/>
    <x v="465"/>
    <x v="3"/>
    <x v="1"/>
    <x v="1"/>
    <n v="115"/>
    <n v="241.59"/>
    <x v="2"/>
    <n v="56"/>
    <n v="126.59"/>
    <x v="7"/>
  </r>
  <r>
    <s v="TRX-101093"/>
    <x v="418"/>
    <x v="0"/>
    <x v="2"/>
    <x v="2"/>
    <n v="228"/>
    <n v="222.79"/>
    <x v="1"/>
    <n v="1"/>
    <n v="-5.21"/>
    <x v="11"/>
  </r>
  <r>
    <s v="TRX-101094"/>
    <x v="653"/>
    <x v="4"/>
    <x v="4"/>
    <x v="0"/>
    <n v="206"/>
    <n v="106.31"/>
    <x v="2"/>
    <n v="55"/>
    <n v="-99.69"/>
    <x v="8"/>
  </r>
  <r>
    <s v="TRX-101095"/>
    <x v="169"/>
    <x v="0"/>
    <x v="5"/>
    <x v="2"/>
    <n v="225"/>
    <n v="263.58"/>
    <x v="4"/>
    <n v="46"/>
    <n v="38.579999999999899"/>
    <x v="4"/>
  </r>
  <r>
    <s v="TRX-101096"/>
    <x v="356"/>
    <x v="0"/>
    <x v="0"/>
    <x v="2"/>
    <n v="225"/>
    <n v="268.2"/>
    <x v="1"/>
    <n v="14"/>
    <n v="43.199999999999903"/>
    <x v="8"/>
  </r>
  <r>
    <s v="TRX-101097"/>
    <x v="97"/>
    <x v="2"/>
    <x v="4"/>
    <x v="0"/>
    <n v="212"/>
    <n v="116.79"/>
    <x v="1"/>
    <n v="14"/>
    <n v="-95.21"/>
    <x v="4"/>
  </r>
  <r>
    <s v="TRX-101098"/>
    <x v="249"/>
    <x v="2"/>
    <x v="5"/>
    <x v="0"/>
    <n v="216"/>
    <n v="189.23"/>
    <x v="0"/>
    <n v="6"/>
    <n v="-26.77"/>
    <x v="2"/>
  </r>
  <r>
    <s v="TRX-101099"/>
    <x v="131"/>
    <x v="2"/>
    <x v="0"/>
    <x v="1"/>
    <n v="223"/>
    <n v="568.54"/>
    <x v="2"/>
    <n v="36"/>
    <n v="345.539999999999"/>
    <x v="10"/>
  </r>
  <r>
    <s v="TRX-101100"/>
    <x v="403"/>
    <x v="1"/>
    <x v="7"/>
    <x v="0"/>
    <n v="182"/>
    <n v="93.01"/>
    <x v="3"/>
    <n v="38"/>
    <n v="-88.99"/>
    <x v="11"/>
  </r>
  <r>
    <s v="TRX-101101"/>
    <x v="654"/>
    <x v="2"/>
    <x v="8"/>
    <x v="2"/>
    <n v="210"/>
    <n v="284.62"/>
    <x v="3"/>
    <n v="7"/>
    <n v="74.62"/>
    <x v="4"/>
  </r>
  <r>
    <s v="TRX-101102"/>
    <x v="45"/>
    <x v="0"/>
    <x v="5"/>
    <x v="1"/>
    <n v="225"/>
    <n v="691.02"/>
    <x v="4"/>
    <n v="30"/>
    <n v="466.02"/>
    <x v="6"/>
  </r>
  <r>
    <s v="TRX-101103"/>
    <x v="655"/>
    <x v="2"/>
    <x v="2"/>
    <x v="0"/>
    <n v="211"/>
    <n v="138.53"/>
    <x v="1"/>
    <n v="14"/>
    <n v="-72.47"/>
    <x v="8"/>
  </r>
  <r>
    <s v="TRX-101104"/>
    <x v="656"/>
    <x v="4"/>
    <x v="7"/>
    <x v="0"/>
    <n v="200"/>
    <n v="141.4"/>
    <x v="4"/>
    <n v="47"/>
    <n v="-58.599999999999902"/>
    <x v="8"/>
  </r>
  <r>
    <s v="TRX-101105"/>
    <x v="657"/>
    <x v="0"/>
    <x v="3"/>
    <x v="2"/>
    <n v="227"/>
    <n v="248.97"/>
    <x v="4"/>
    <n v="42"/>
    <n v="21.97"/>
    <x v="9"/>
  </r>
  <r>
    <s v="TRX-101106"/>
    <x v="202"/>
    <x v="4"/>
    <x v="8"/>
    <x v="1"/>
    <n v="208"/>
    <n v="505.14"/>
    <x v="0"/>
    <n v="14"/>
    <n v="297.14"/>
    <x v="2"/>
  </r>
  <r>
    <s v="TRX-101107"/>
    <x v="658"/>
    <x v="3"/>
    <x v="1"/>
    <x v="2"/>
    <n v="120"/>
    <n v="157.18"/>
    <x v="3"/>
    <n v="31"/>
    <n v="37.18"/>
    <x v="5"/>
  </r>
  <r>
    <s v="TRX-101108"/>
    <x v="659"/>
    <x v="3"/>
    <x v="3"/>
    <x v="0"/>
    <n v="133"/>
    <n v="111.91"/>
    <x v="4"/>
    <n v="52"/>
    <n v="-21.09"/>
    <x v="3"/>
  </r>
  <r>
    <s v="TRX-101109"/>
    <x v="521"/>
    <x v="2"/>
    <x v="8"/>
    <x v="2"/>
    <n v="213"/>
    <n v="247.28"/>
    <x v="4"/>
    <n v="45"/>
    <n v="34.28"/>
    <x v="9"/>
  </r>
  <r>
    <s v="TRX-101110"/>
    <x v="172"/>
    <x v="2"/>
    <x v="7"/>
    <x v="0"/>
    <n v="221"/>
    <n v="130.93"/>
    <x v="2"/>
    <n v="36"/>
    <n v="-90.07"/>
    <x v="0"/>
  </r>
  <r>
    <s v="TRX-101111"/>
    <x v="437"/>
    <x v="2"/>
    <x v="1"/>
    <x v="1"/>
    <n v="225"/>
    <n v="418.42"/>
    <x v="2"/>
    <n v="60"/>
    <n v="193.42"/>
    <x v="6"/>
  </r>
  <r>
    <s v="TRX-101112"/>
    <x v="145"/>
    <x v="0"/>
    <x v="6"/>
    <x v="0"/>
    <n v="227"/>
    <n v="151.30000000000001"/>
    <x v="2"/>
    <n v="30"/>
    <n v="-75.699999999999903"/>
    <x v="8"/>
  </r>
  <r>
    <s v="TRX-101113"/>
    <x v="660"/>
    <x v="2"/>
    <x v="0"/>
    <x v="0"/>
    <n v="217"/>
    <n v="125.92"/>
    <x v="2"/>
    <n v="37"/>
    <n v="-91.08"/>
    <x v="4"/>
  </r>
  <r>
    <s v="TRX-101114"/>
    <x v="661"/>
    <x v="2"/>
    <x v="8"/>
    <x v="1"/>
    <n v="224"/>
    <n v="687.03"/>
    <x v="4"/>
    <n v="9"/>
    <n v="463.03"/>
    <x v="7"/>
  </r>
  <r>
    <s v="TRX-101115"/>
    <x v="304"/>
    <x v="0"/>
    <x v="0"/>
    <x v="2"/>
    <n v="229"/>
    <n v="270.13"/>
    <x v="1"/>
    <n v="14"/>
    <n v="41.129999999999903"/>
    <x v="2"/>
  </r>
  <r>
    <s v="TRX-101116"/>
    <x v="499"/>
    <x v="1"/>
    <x v="1"/>
    <x v="1"/>
    <n v="173"/>
    <n v="389.48"/>
    <x v="4"/>
    <n v="20"/>
    <n v="216.48"/>
    <x v="9"/>
  </r>
  <r>
    <s v="TRX-101117"/>
    <x v="218"/>
    <x v="4"/>
    <x v="3"/>
    <x v="1"/>
    <n v="204"/>
    <n v="393.76"/>
    <x v="2"/>
    <n v="13"/>
    <n v="189.76"/>
    <x v="7"/>
  </r>
  <r>
    <s v="TRX-101118"/>
    <x v="662"/>
    <x v="2"/>
    <x v="4"/>
    <x v="0"/>
    <n v="222"/>
    <n v="168.8"/>
    <x v="3"/>
    <n v="57"/>
    <n v="-53.199999999999903"/>
    <x v="7"/>
  </r>
  <r>
    <s v="TRX-101119"/>
    <x v="663"/>
    <x v="2"/>
    <x v="0"/>
    <x v="1"/>
    <n v="214"/>
    <n v="652.33000000000004"/>
    <x v="0"/>
    <n v="6"/>
    <n v="438.33"/>
    <x v="10"/>
  </r>
  <r>
    <s v="TRX-101120"/>
    <x v="255"/>
    <x v="1"/>
    <x v="3"/>
    <x v="0"/>
    <n v="184"/>
    <n v="116.95"/>
    <x v="2"/>
    <n v="39"/>
    <n v="-67.05"/>
    <x v="10"/>
  </r>
  <r>
    <s v="TRX-101121"/>
    <x v="664"/>
    <x v="3"/>
    <x v="3"/>
    <x v="2"/>
    <n v="136"/>
    <n v="167.11"/>
    <x v="2"/>
    <n v="52"/>
    <n v="31.11"/>
    <x v="5"/>
  </r>
  <r>
    <s v="TRX-101122"/>
    <x v="159"/>
    <x v="4"/>
    <x v="4"/>
    <x v="2"/>
    <n v="200"/>
    <n v="238.72"/>
    <x v="1"/>
    <n v="6"/>
    <n v="38.72"/>
    <x v="8"/>
  </r>
  <r>
    <s v="TRX-101123"/>
    <x v="44"/>
    <x v="0"/>
    <x v="6"/>
    <x v="1"/>
    <n v="229"/>
    <n v="303.79000000000002"/>
    <x v="4"/>
    <n v="14"/>
    <n v="74.790000000000006"/>
    <x v="5"/>
  </r>
  <r>
    <s v="TRX-101124"/>
    <x v="86"/>
    <x v="0"/>
    <x v="7"/>
    <x v="0"/>
    <n v="229"/>
    <n v="152.05000000000001"/>
    <x v="3"/>
    <n v="9"/>
    <n v="-76.949999999999903"/>
    <x v="6"/>
  </r>
  <r>
    <s v="TRX-101125"/>
    <x v="194"/>
    <x v="4"/>
    <x v="4"/>
    <x v="1"/>
    <n v="206"/>
    <n v="391.93"/>
    <x v="4"/>
    <n v="35"/>
    <n v="185.93"/>
    <x v="5"/>
  </r>
  <r>
    <s v="TRX-101126"/>
    <x v="380"/>
    <x v="1"/>
    <x v="0"/>
    <x v="1"/>
    <n v="177"/>
    <n v="511.31"/>
    <x v="0"/>
    <n v="4"/>
    <n v="334.31"/>
    <x v="11"/>
  </r>
  <r>
    <s v="TRX-101127"/>
    <x v="157"/>
    <x v="2"/>
    <x v="8"/>
    <x v="0"/>
    <n v="218"/>
    <n v="181.56"/>
    <x v="4"/>
    <n v="55"/>
    <n v="-36.44"/>
    <x v="2"/>
  </r>
  <r>
    <s v="TRX-101128"/>
    <x v="388"/>
    <x v="3"/>
    <x v="0"/>
    <x v="1"/>
    <n v="116"/>
    <n v="363.9"/>
    <x v="0"/>
    <n v="3"/>
    <n v="247.89999999999901"/>
    <x v="1"/>
  </r>
  <r>
    <s v="TRX-101129"/>
    <x v="473"/>
    <x v="0"/>
    <x v="6"/>
    <x v="2"/>
    <n v="227"/>
    <n v="288.33999999999997"/>
    <x v="3"/>
    <n v="29"/>
    <n v="61.339999999999897"/>
    <x v="3"/>
  </r>
  <r>
    <s v="TRX-101130"/>
    <x v="330"/>
    <x v="0"/>
    <x v="0"/>
    <x v="2"/>
    <n v="227"/>
    <n v="268.73"/>
    <x v="3"/>
    <n v="7"/>
    <n v="41.73"/>
    <x v="10"/>
  </r>
  <r>
    <s v="TRX-101131"/>
    <x v="451"/>
    <x v="4"/>
    <x v="2"/>
    <x v="0"/>
    <n v="209"/>
    <n v="153.72999999999999"/>
    <x v="0"/>
    <n v="10"/>
    <n v="-55.27"/>
    <x v="6"/>
  </r>
  <r>
    <s v="TRX-101132"/>
    <x v="389"/>
    <x v="2"/>
    <x v="5"/>
    <x v="1"/>
    <n v="219"/>
    <n v="381.65"/>
    <x v="2"/>
    <n v="60"/>
    <n v="162.64999999999901"/>
    <x v="4"/>
  </r>
  <r>
    <s v="TRX-101133"/>
    <x v="665"/>
    <x v="0"/>
    <x v="1"/>
    <x v="1"/>
    <n v="225"/>
    <n v="679.34"/>
    <x v="4"/>
    <n v="40"/>
    <n v="454.34"/>
    <x v="6"/>
  </r>
  <r>
    <s v="TRX-101134"/>
    <x v="666"/>
    <x v="4"/>
    <x v="6"/>
    <x v="1"/>
    <n v="210"/>
    <n v="514.51"/>
    <x v="1"/>
    <n v="2"/>
    <n v="304.51"/>
    <x v="10"/>
  </r>
  <r>
    <s v="TRX-101135"/>
    <x v="446"/>
    <x v="1"/>
    <x v="1"/>
    <x v="0"/>
    <n v="175"/>
    <n v="125"/>
    <x v="1"/>
    <n v="14"/>
    <n v="-50"/>
    <x v="7"/>
  </r>
  <r>
    <s v="TRX-101136"/>
    <x v="667"/>
    <x v="3"/>
    <x v="6"/>
    <x v="1"/>
    <n v="123"/>
    <n v="287.12"/>
    <x v="3"/>
    <n v="34"/>
    <n v="164.12"/>
    <x v="1"/>
  </r>
  <r>
    <s v="TRX-101137"/>
    <x v="140"/>
    <x v="0"/>
    <x v="1"/>
    <x v="1"/>
    <n v="230"/>
    <n v="304.81"/>
    <x v="1"/>
    <n v="4"/>
    <n v="74.81"/>
    <x v="2"/>
  </r>
  <r>
    <s v="TRX-101138"/>
    <x v="511"/>
    <x v="3"/>
    <x v="5"/>
    <x v="0"/>
    <n v="117"/>
    <n v="87.11"/>
    <x v="3"/>
    <n v="47"/>
    <n v="-29.89"/>
    <x v="4"/>
  </r>
  <r>
    <s v="TRX-101139"/>
    <x v="451"/>
    <x v="1"/>
    <x v="8"/>
    <x v="2"/>
    <n v="176"/>
    <n v="162.47"/>
    <x v="0"/>
    <n v="4"/>
    <n v="-13.53"/>
    <x v="6"/>
  </r>
  <r>
    <s v="TRX-101140"/>
    <x v="135"/>
    <x v="2"/>
    <x v="7"/>
    <x v="2"/>
    <n v="219"/>
    <n v="277.73"/>
    <x v="2"/>
    <n v="39"/>
    <n v="58.73"/>
    <x v="11"/>
  </r>
  <r>
    <s v="TRX-101141"/>
    <x v="668"/>
    <x v="0"/>
    <x v="4"/>
    <x v="0"/>
    <n v="225"/>
    <n v="167.46"/>
    <x v="2"/>
    <n v="32"/>
    <n v="-57.5399999999999"/>
    <x v="2"/>
  </r>
  <r>
    <s v="TRX-101142"/>
    <x v="547"/>
    <x v="0"/>
    <x v="1"/>
    <x v="0"/>
    <n v="225"/>
    <n v="131.56"/>
    <x v="4"/>
    <n v="35"/>
    <n v="-93.44"/>
    <x v="7"/>
  </r>
  <r>
    <s v="TRX-101143"/>
    <x v="86"/>
    <x v="4"/>
    <x v="6"/>
    <x v="2"/>
    <n v="210"/>
    <n v="192.81"/>
    <x v="1"/>
    <n v="10"/>
    <n v="-17.189999999999898"/>
    <x v="6"/>
  </r>
  <r>
    <s v="TRX-101144"/>
    <x v="668"/>
    <x v="3"/>
    <x v="3"/>
    <x v="1"/>
    <n v="139"/>
    <n v="233.51"/>
    <x v="3"/>
    <n v="55"/>
    <n v="94.509999999999906"/>
    <x v="2"/>
  </r>
  <r>
    <s v="TRX-101145"/>
    <x v="486"/>
    <x v="4"/>
    <x v="1"/>
    <x v="1"/>
    <n v="208"/>
    <n v="634.75"/>
    <x v="4"/>
    <n v="53"/>
    <n v="426.75"/>
    <x v="11"/>
  </r>
  <r>
    <s v="TRX-101146"/>
    <x v="14"/>
    <x v="1"/>
    <x v="5"/>
    <x v="0"/>
    <n v="180"/>
    <n v="129.62"/>
    <x v="1"/>
    <n v="3"/>
    <n v="-50.379999999999903"/>
    <x v="4"/>
  </r>
  <r>
    <s v="TRX-101147"/>
    <x v="661"/>
    <x v="2"/>
    <x v="4"/>
    <x v="0"/>
    <n v="216"/>
    <n v="157.30000000000001"/>
    <x v="1"/>
    <n v="5"/>
    <n v="-58.699999999999903"/>
    <x v="7"/>
  </r>
  <r>
    <s v="TRX-101148"/>
    <x v="554"/>
    <x v="2"/>
    <x v="6"/>
    <x v="0"/>
    <n v="210"/>
    <n v="116.76"/>
    <x v="2"/>
    <n v="57"/>
    <n v="-93.24"/>
    <x v="6"/>
  </r>
  <r>
    <s v="TRX-101149"/>
    <x v="544"/>
    <x v="2"/>
    <x v="3"/>
    <x v="1"/>
    <n v="220"/>
    <n v="506.49"/>
    <x v="3"/>
    <n v="47"/>
    <n v="286.49"/>
    <x v="5"/>
  </r>
  <r>
    <s v="TRX-101150"/>
    <x v="643"/>
    <x v="3"/>
    <x v="8"/>
    <x v="0"/>
    <n v="135"/>
    <n v="71.66"/>
    <x v="3"/>
    <n v="5"/>
    <n v="-63.34"/>
    <x v="7"/>
  </r>
  <r>
    <s v="TRX-101151"/>
    <x v="560"/>
    <x v="1"/>
    <x v="0"/>
    <x v="0"/>
    <n v="182"/>
    <n v="103.26"/>
    <x v="0"/>
    <n v="3"/>
    <n v="-78.739999999999995"/>
    <x v="3"/>
  </r>
  <r>
    <s v="TRX-101152"/>
    <x v="264"/>
    <x v="2"/>
    <x v="4"/>
    <x v="1"/>
    <n v="212"/>
    <n v="571.16999999999996"/>
    <x v="1"/>
    <n v="4"/>
    <n v="359.16999999999899"/>
    <x v="6"/>
  </r>
  <r>
    <s v="TRX-101153"/>
    <x v="415"/>
    <x v="3"/>
    <x v="1"/>
    <x v="2"/>
    <n v="139"/>
    <n v="193.89"/>
    <x v="0"/>
    <n v="14"/>
    <n v="54.889999999999901"/>
    <x v="5"/>
  </r>
  <r>
    <s v="TRX-101154"/>
    <x v="669"/>
    <x v="0"/>
    <x v="8"/>
    <x v="1"/>
    <n v="228"/>
    <n v="756.8"/>
    <x v="2"/>
    <n v="47"/>
    <n v="528.79999999999995"/>
    <x v="8"/>
  </r>
  <r>
    <s v="TRX-101155"/>
    <x v="432"/>
    <x v="0"/>
    <x v="8"/>
    <x v="0"/>
    <n v="226"/>
    <n v="160.82"/>
    <x v="4"/>
    <n v="19"/>
    <n v="-65.180000000000007"/>
    <x v="5"/>
  </r>
  <r>
    <s v="TRX-101156"/>
    <x v="438"/>
    <x v="2"/>
    <x v="4"/>
    <x v="0"/>
    <n v="212"/>
    <n v="139.43"/>
    <x v="0"/>
    <n v="14"/>
    <n v="-72.569999999999993"/>
    <x v="11"/>
  </r>
  <r>
    <s v="TRX-101157"/>
    <x v="337"/>
    <x v="0"/>
    <x v="7"/>
    <x v="1"/>
    <n v="228"/>
    <n v="781.18"/>
    <x v="3"/>
    <n v="39"/>
    <n v="553.17999999999995"/>
    <x v="2"/>
  </r>
  <r>
    <s v="TRX-101158"/>
    <x v="405"/>
    <x v="0"/>
    <x v="4"/>
    <x v="2"/>
    <n v="228"/>
    <n v="269.58999999999997"/>
    <x v="0"/>
    <n v="12"/>
    <n v="41.589999999999897"/>
    <x v="0"/>
  </r>
  <r>
    <s v="TRX-101159"/>
    <x v="670"/>
    <x v="3"/>
    <x v="7"/>
    <x v="1"/>
    <n v="139"/>
    <n v="291.26"/>
    <x v="1"/>
    <n v="1"/>
    <n v="152.26"/>
    <x v="9"/>
  </r>
  <r>
    <s v="TRX-101160"/>
    <x v="671"/>
    <x v="1"/>
    <x v="5"/>
    <x v="2"/>
    <n v="173"/>
    <n v="249.03"/>
    <x v="1"/>
    <n v="9"/>
    <n v="76.03"/>
    <x v="2"/>
  </r>
  <r>
    <s v="TRX-101161"/>
    <x v="284"/>
    <x v="0"/>
    <x v="4"/>
    <x v="0"/>
    <n v="225"/>
    <n v="178.51"/>
    <x v="0"/>
    <n v="1"/>
    <n v="-46.49"/>
    <x v="7"/>
  </r>
  <r>
    <s v="TRX-101162"/>
    <x v="197"/>
    <x v="0"/>
    <x v="4"/>
    <x v="2"/>
    <n v="226"/>
    <n v="316.83999999999997"/>
    <x v="2"/>
    <n v="7"/>
    <n v="90.839999999999904"/>
    <x v="4"/>
  </r>
  <r>
    <s v="TRX-101163"/>
    <x v="651"/>
    <x v="4"/>
    <x v="2"/>
    <x v="0"/>
    <n v="210"/>
    <n v="116.33"/>
    <x v="1"/>
    <n v="2"/>
    <n v="-93.67"/>
    <x v="7"/>
  </r>
  <r>
    <s v="TRX-101164"/>
    <x v="339"/>
    <x v="0"/>
    <x v="4"/>
    <x v="1"/>
    <n v="229"/>
    <n v="703.41"/>
    <x v="0"/>
    <n v="6"/>
    <n v="474.409999999999"/>
    <x v="3"/>
  </r>
  <r>
    <s v="TRX-101165"/>
    <x v="662"/>
    <x v="0"/>
    <x v="6"/>
    <x v="2"/>
    <n v="230"/>
    <n v="270.95"/>
    <x v="4"/>
    <n v="45"/>
    <n v="40.949999999999903"/>
    <x v="7"/>
  </r>
  <r>
    <s v="TRX-101166"/>
    <x v="672"/>
    <x v="4"/>
    <x v="7"/>
    <x v="0"/>
    <n v="208"/>
    <n v="123.98"/>
    <x v="2"/>
    <n v="36"/>
    <n v="-84.02"/>
    <x v="1"/>
  </r>
  <r>
    <s v="TRX-101167"/>
    <x v="371"/>
    <x v="4"/>
    <x v="2"/>
    <x v="0"/>
    <n v="207"/>
    <n v="182.16"/>
    <x v="2"/>
    <n v="50"/>
    <n v="-24.84"/>
    <x v="5"/>
  </r>
  <r>
    <s v="TRX-101168"/>
    <x v="609"/>
    <x v="3"/>
    <x v="7"/>
    <x v="0"/>
    <n v="140"/>
    <n v="95.58"/>
    <x v="2"/>
    <n v="30"/>
    <n v="-44.42"/>
    <x v="8"/>
  </r>
  <r>
    <s v="TRX-101169"/>
    <x v="673"/>
    <x v="2"/>
    <x v="3"/>
    <x v="2"/>
    <n v="214"/>
    <n v="228.44"/>
    <x v="3"/>
    <n v="28"/>
    <n v="14.4399999999999"/>
    <x v="5"/>
  </r>
  <r>
    <s v="TRX-101170"/>
    <x v="353"/>
    <x v="2"/>
    <x v="1"/>
    <x v="0"/>
    <n v="216"/>
    <n v="125.48"/>
    <x v="2"/>
    <n v="24"/>
    <n v="-90.52"/>
    <x v="1"/>
  </r>
  <r>
    <s v="TRX-101171"/>
    <x v="674"/>
    <x v="3"/>
    <x v="0"/>
    <x v="2"/>
    <n v="115"/>
    <n v="171.65"/>
    <x v="3"/>
    <n v="17"/>
    <n v="56.65"/>
    <x v="9"/>
  </r>
  <r>
    <s v="TRX-101172"/>
    <x v="46"/>
    <x v="2"/>
    <x v="7"/>
    <x v="2"/>
    <n v="217"/>
    <n v="252.75"/>
    <x v="0"/>
    <n v="14"/>
    <n v="35.75"/>
    <x v="0"/>
  </r>
  <r>
    <s v="TRX-101173"/>
    <x v="92"/>
    <x v="0"/>
    <x v="6"/>
    <x v="1"/>
    <n v="226"/>
    <n v="605.91"/>
    <x v="1"/>
    <n v="3"/>
    <n v="379.909999999999"/>
    <x v="5"/>
  </r>
  <r>
    <s v="TRX-101174"/>
    <x v="511"/>
    <x v="4"/>
    <x v="1"/>
    <x v="1"/>
    <n v="210"/>
    <n v="665.09"/>
    <x v="2"/>
    <n v="26"/>
    <n v="455.09"/>
    <x v="4"/>
  </r>
  <r>
    <s v="TRX-101175"/>
    <x v="675"/>
    <x v="4"/>
    <x v="7"/>
    <x v="1"/>
    <n v="201"/>
    <n v="597.5"/>
    <x v="2"/>
    <n v="57"/>
    <n v="396.5"/>
    <x v="8"/>
  </r>
  <r>
    <s v="TRX-101176"/>
    <x v="140"/>
    <x v="4"/>
    <x v="2"/>
    <x v="1"/>
    <n v="201"/>
    <n v="446.63"/>
    <x v="3"/>
    <n v="16"/>
    <n v="245.63"/>
    <x v="2"/>
  </r>
  <r>
    <s v="TRX-101177"/>
    <x v="61"/>
    <x v="3"/>
    <x v="7"/>
    <x v="0"/>
    <n v="131"/>
    <n v="92.22"/>
    <x v="2"/>
    <n v="20"/>
    <n v="-38.78"/>
    <x v="6"/>
  </r>
  <r>
    <s v="TRX-101178"/>
    <x v="676"/>
    <x v="3"/>
    <x v="2"/>
    <x v="1"/>
    <n v="130"/>
    <n v="178.38"/>
    <x v="1"/>
    <n v="3"/>
    <n v="48.379999999999903"/>
    <x v="0"/>
  </r>
  <r>
    <s v="TRX-101179"/>
    <x v="318"/>
    <x v="4"/>
    <x v="5"/>
    <x v="0"/>
    <n v="200"/>
    <n v="101.97"/>
    <x v="1"/>
    <n v="10"/>
    <n v="-98.03"/>
    <x v="6"/>
  </r>
  <r>
    <s v="TRX-101180"/>
    <x v="140"/>
    <x v="2"/>
    <x v="3"/>
    <x v="0"/>
    <n v="221"/>
    <n v="167.29"/>
    <x v="4"/>
    <n v="25"/>
    <n v="-53.71"/>
    <x v="2"/>
  </r>
  <r>
    <s v="TRX-101181"/>
    <x v="677"/>
    <x v="3"/>
    <x v="6"/>
    <x v="2"/>
    <n v="138"/>
    <n v="196.34"/>
    <x v="0"/>
    <n v="9"/>
    <n v="58.34"/>
    <x v="1"/>
  </r>
  <r>
    <s v="TRX-101182"/>
    <x v="678"/>
    <x v="4"/>
    <x v="4"/>
    <x v="0"/>
    <n v="201"/>
    <n v="135.27000000000001"/>
    <x v="2"/>
    <n v="34"/>
    <n v="-65.729999999999905"/>
    <x v="2"/>
  </r>
  <r>
    <s v="TRX-101183"/>
    <x v="677"/>
    <x v="2"/>
    <x v="8"/>
    <x v="0"/>
    <n v="224"/>
    <n v="193.06"/>
    <x v="3"/>
    <n v="15"/>
    <n v="-30.939999999999898"/>
    <x v="1"/>
  </r>
  <r>
    <s v="TRX-101184"/>
    <x v="679"/>
    <x v="4"/>
    <x v="6"/>
    <x v="0"/>
    <n v="208"/>
    <n v="145.62"/>
    <x v="3"/>
    <n v="9"/>
    <n v="-62.379999999999903"/>
    <x v="11"/>
  </r>
  <r>
    <s v="TRX-101185"/>
    <x v="680"/>
    <x v="4"/>
    <x v="3"/>
    <x v="2"/>
    <n v="200"/>
    <n v="230.69"/>
    <x v="2"/>
    <n v="49"/>
    <n v="30.689999999999898"/>
    <x v="4"/>
  </r>
  <r>
    <s v="TRX-101186"/>
    <x v="403"/>
    <x v="2"/>
    <x v="4"/>
    <x v="1"/>
    <n v="223"/>
    <n v="509.76"/>
    <x v="0"/>
    <n v="8"/>
    <n v="286.76"/>
    <x v="11"/>
  </r>
  <r>
    <s v="TRX-101187"/>
    <x v="163"/>
    <x v="2"/>
    <x v="5"/>
    <x v="1"/>
    <n v="211"/>
    <n v="319.55"/>
    <x v="2"/>
    <n v="29"/>
    <n v="108.55"/>
    <x v="7"/>
  </r>
  <r>
    <s v="TRX-101188"/>
    <x v="334"/>
    <x v="2"/>
    <x v="1"/>
    <x v="2"/>
    <n v="218"/>
    <n v="282.24"/>
    <x v="1"/>
    <n v="4"/>
    <n v="64.239999999999995"/>
    <x v="9"/>
  </r>
  <r>
    <s v="TRX-101189"/>
    <x v="399"/>
    <x v="2"/>
    <x v="4"/>
    <x v="1"/>
    <n v="221"/>
    <n v="548.25"/>
    <x v="4"/>
    <n v="50"/>
    <n v="327.25"/>
    <x v="4"/>
  </r>
  <r>
    <s v="TRX-101190"/>
    <x v="681"/>
    <x v="3"/>
    <x v="4"/>
    <x v="0"/>
    <n v="110"/>
    <n v="74.13"/>
    <x v="1"/>
    <n v="8"/>
    <n v="-35.869999999999997"/>
    <x v="0"/>
  </r>
  <r>
    <s v="TRX-101191"/>
    <x v="537"/>
    <x v="4"/>
    <x v="6"/>
    <x v="1"/>
    <n v="209"/>
    <n v="641.53"/>
    <x v="4"/>
    <n v="46"/>
    <n v="432.53"/>
    <x v="8"/>
  </r>
  <r>
    <s v="TRX-101192"/>
    <x v="452"/>
    <x v="1"/>
    <x v="1"/>
    <x v="2"/>
    <n v="190"/>
    <n v="193.08"/>
    <x v="2"/>
    <n v="11"/>
    <n v="3.0800000000000098"/>
    <x v="6"/>
  </r>
  <r>
    <s v="TRX-101193"/>
    <x v="682"/>
    <x v="4"/>
    <x v="5"/>
    <x v="1"/>
    <n v="204"/>
    <n v="345.65"/>
    <x v="0"/>
    <n v="12"/>
    <n v="141.64999999999901"/>
    <x v="10"/>
  </r>
  <r>
    <s v="TRX-101194"/>
    <x v="6"/>
    <x v="3"/>
    <x v="4"/>
    <x v="0"/>
    <n v="136"/>
    <n v="113.23"/>
    <x v="1"/>
    <n v="2"/>
    <n v="-22.7699999999999"/>
    <x v="4"/>
  </r>
  <r>
    <s v="TRX-101195"/>
    <x v="494"/>
    <x v="4"/>
    <x v="4"/>
    <x v="1"/>
    <n v="200"/>
    <n v="669.71"/>
    <x v="2"/>
    <n v="14"/>
    <n v="469.71"/>
    <x v="3"/>
  </r>
  <r>
    <s v="TRX-101196"/>
    <x v="683"/>
    <x v="1"/>
    <x v="5"/>
    <x v="0"/>
    <n v="187"/>
    <n v="147.18"/>
    <x v="3"/>
    <n v="21"/>
    <n v="-39.819999999999901"/>
    <x v="4"/>
  </r>
  <r>
    <s v="TRX-101197"/>
    <x v="680"/>
    <x v="2"/>
    <x v="7"/>
    <x v="2"/>
    <n v="219"/>
    <n v="327"/>
    <x v="0"/>
    <n v="11"/>
    <n v="108"/>
    <x v="4"/>
  </r>
  <r>
    <s v="TRX-101198"/>
    <x v="363"/>
    <x v="3"/>
    <x v="6"/>
    <x v="1"/>
    <n v="131"/>
    <n v="239.58"/>
    <x v="3"/>
    <n v="40"/>
    <n v="108.58"/>
    <x v="3"/>
  </r>
  <r>
    <s v="TRX-101199"/>
    <x v="684"/>
    <x v="2"/>
    <x v="2"/>
    <x v="2"/>
    <n v="212"/>
    <n v="280.33999999999997"/>
    <x v="0"/>
    <n v="4"/>
    <n v="68.339999999999904"/>
    <x v="6"/>
  </r>
  <r>
    <s v="TRX-101200"/>
    <x v="460"/>
    <x v="4"/>
    <x v="7"/>
    <x v="0"/>
    <n v="206"/>
    <n v="128.15"/>
    <x v="3"/>
    <n v="26"/>
    <n v="-77.849999999999994"/>
    <x v="0"/>
  </r>
  <r>
    <s v="TRX-101201"/>
    <x v="268"/>
    <x v="0"/>
    <x v="0"/>
    <x v="2"/>
    <n v="225"/>
    <n v="268.93"/>
    <x v="2"/>
    <n v="19"/>
    <n v="43.93"/>
    <x v="8"/>
  </r>
  <r>
    <s v="TRX-101202"/>
    <x v="58"/>
    <x v="2"/>
    <x v="2"/>
    <x v="1"/>
    <n v="222"/>
    <n v="593.03"/>
    <x v="1"/>
    <n v="3"/>
    <n v="371.03"/>
    <x v="4"/>
  </r>
  <r>
    <s v="TRX-101203"/>
    <x v="685"/>
    <x v="1"/>
    <x v="0"/>
    <x v="1"/>
    <n v="189"/>
    <n v="426.24"/>
    <x v="1"/>
    <n v="6"/>
    <n v="237.24"/>
    <x v="8"/>
  </r>
  <r>
    <s v="TRX-101204"/>
    <x v="683"/>
    <x v="1"/>
    <x v="4"/>
    <x v="2"/>
    <n v="184"/>
    <n v="242.71"/>
    <x v="4"/>
    <n v="20"/>
    <n v="58.71"/>
    <x v="4"/>
  </r>
  <r>
    <s v="TRX-101205"/>
    <x v="667"/>
    <x v="3"/>
    <x v="4"/>
    <x v="0"/>
    <n v="131"/>
    <n v="75.91"/>
    <x v="2"/>
    <n v="6"/>
    <n v="-55.09"/>
    <x v="1"/>
  </r>
  <r>
    <s v="TRX-101206"/>
    <x v="582"/>
    <x v="2"/>
    <x v="8"/>
    <x v="1"/>
    <n v="215"/>
    <n v="542.12"/>
    <x v="0"/>
    <n v="1"/>
    <n v="327.12"/>
    <x v="1"/>
  </r>
  <r>
    <s v="TRX-101207"/>
    <x v="518"/>
    <x v="1"/>
    <x v="5"/>
    <x v="0"/>
    <n v="182"/>
    <n v="127.66"/>
    <x v="1"/>
    <n v="13"/>
    <n v="-54.34"/>
    <x v="4"/>
  </r>
  <r>
    <s v="TRX-101208"/>
    <x v="310"/>
    <x v="0"/>
    <x v="7"/>
    <x v="2"/>
    <n v="226"/>
    <n v="208.28"/>
    <x v="0"/>
    <n v="1"/>
    <n v="-17.72"/>
    <x v="11"/>
  </r>
  <r>
    <s v="TRX-101209"/>
    <x v="31"/>
    <x v="4"/>
    <x v="8"/>
    <x v="1"/>
    <n v="202"/>
    <n v="464.05"/>
    <x v="4"/>
    <n v="51"/>
    <n v="262.05"/>
    <x v="6"/>
  </r>
  <r>
    <s v="TRX-101210"/>
    <x v="203"/>
    <x v="4"/>
    <x v="1"/>
    <x v="2"/>
    <n v="207"/>
    <n v="218.97"/>
    <x v="3"/>
    <n v="12"/>
    <n v="11.969999999999899"/>
    <x v="0"/>
  </r>
  <r>
    <s v="TRX-101211"/>
    <x v="466"/>
    <x v="3"/>
    <x v="0"/>
    <x v="2"/>
    <n v="131"/>
    <n v="190.49"/>
    <x v="4"/>
    <n v="37"/>
    <n v="59.49"/>
    <x v="5"/>
  </r>
  <r>
    <s v="TRX-101212"/>
    <x v="686"/>
    <x v="4"/>
    <x v="2"/>
    <x v="0"/>
    <n v="206"/>
    <n v="144.27000000000001"/>
    <x v="4"/>
    <n v="6"/>
    <n v="-61.729999999999897"/>
    <x v="0"/>
  </r>
  <r>
    <s v="TRX-101213"/>
    <x v="687"/>
    <x v="2"/>
    <x v="7"/>
    <x v="1"/>
    <n v="219"/>
    <n v="553.32000000000005"/>
    <x v="0"/>
    <n v="5"/>
    <n v="334.32"/>
    <x v="3"/>
  </r>
  <r>
    <s v="TRX-101214"/>
    <x v="72"/>
    <x v="1"/>
    <x v="2"/>
    <x v="0"/>
    <n v="174"/>
    <n v="123.09"/>
    <x v="1"/>
    <n v="2"/>
    <n v="-50.91"/>
    <x v="0"/>
  </r>
  <r>
    <s v="TRX-101215"/>
    <x v="688"/>
    <x v="0"/>
    <x v="6"/>
    <x v="1"/>
    <n v="225"/>
    <n v="704.76"/>
    <x v="4"/>
    <n v="9"/>
    <n v="479.76"/>
    <x v="2"/>
  </r>
  <r>
    <s v="TRX-101216"/>
    <x v="689"/>
    <x v="4"/>
    <x v="2"/>
    <x v="0"/>
    <n v="202"/>
    <n v="168.84"/>
    <x v="1"/>
    <n v="4"/>
    <n v="-33.159999999999997"/>
    <x v="10"/>
  </r>
  <r>
    <s v="TRX-101217"/>
    <x v="690"/>
    <x v="2"/>
    <x v="8"/>
    <x v="1"/>
    <n v="212"/>
    <n v="549.05999999999995"/>
    <x v="1"/>
    <n v="6"/>
    <n v="337.05999999999898"/>
    <x v="7"/>
  </r>
  <r>
    <s v="TRX-101218"/>
    <x v="691"/>
    <x v="4"/>
    <x v="5"/>
    <x v="2"/>
    <n v="208"/>
    <n v="307.32"/>
    <x v="1"/>
    <n v="6"/>
    <n v="99.32"/>
    <x v="8"/>
  </r>
  <r>
    <s v="TRX-101219"/>
    <x v="593"/>
    <x v="0"/>
    <x v="7"/>
    <x v="1"/>
    <n v="230"/>
    <n v="765.1"/>
    <x v="0"/>
    <n v="11"/>
    <n v="535.1"/>
    <x v="4"/>
  </r>
  <r>
    <s v="TRX-101220"/>
    <x v="692"/>
    <x v="2"/>
    <x v="2"/>
    <x v="1"/>
    <n v="214"/>
    <n v="441.89"/>
    <x v="2"/>
    <n v="39"/>
    <n v="227.89"/>
    <x v="3"/>
  </r>
  <r>
    <s v="TRX-101221"/>
    <x v="454"/>
    <x v="4"/>
    <x v="8"/>
    <x v="0"/>
    <n v="205"/>
    <n v="131.31"/>
    <x v="0"/>
    <n v="10"/>
    <n v="-73.69"/>
    <x v="8"/>
  </r>
  <r>
    <s v="TRX-101222"/>
    <x v="364"/>
    <x v="3"/>
    <x v="2"/>
    <x v="1"/>
    <n v="110"/>
    <n v="274.3"/>
    <x v="1"/>
    <n v="11"/>
    <n v="164.3"/>
    <x v="8"/>
  </r>
  <r>
    <s v="TRX-101223"/>
    <x v="484"/>
    <x v="0"/>
    <x v="6"/>
    <x v="1"/>
    <n v="228"/>
    <n v="641.76"/>
    <x v="0"/>
    <n v="3"/>
    <n v="413.76"/>
    <x v="4"/>
  </r>
  <r>
    <s v="TRX-101224"/>
    <x v="693"/>
    <x v="2"/>
    <x v="2"/>
    <x v="1"/>
    <n v="223"/>
    <n v="297.52"/>
    <x v="2"/>
    <n v="10"/>
    <n v="74.519999999999897"/>
    <x v="6"/>
  </r>
  <r>
    <s v="TRX-101225"/>
    <x v="365"/>
    <x v="3"/>
    <x v="5"/>
    <x v="1"/>
    <n v="120"/>
    <n v="251.28"/>
    <x v="1"/>
    <n v="3"/>
    <n v="131.28"/>
    <x v="10"/>
  </r>
  <r>
    <s v="TRX-101226"/>
    <x v="13"/>
    <x v="3"/>
    <x v="1"/>
    <x v="1"/>
    <n v="129"/>
    <n v="168.61"/>
    <x v="1"/>
    <n v="11"/>
    <n v="39.61"/>
    <x v="5"/>
  </r>
  <r>
    <s v="TRX-101227"/>
    <x v="678"/>
    <x v="2"/>
    <x v="7"/>
    <x v="2"/>
    <n v="215"/>
    <n v="314.27"/>
    <x v="3"/>
    <n v="33"/>
    <n v="99.269999999999897"/>
    <x v="2"/>
  </r>
  <r>
    <s v="TRX-101228"/>
    <x v="694"/>
    <x v="4"/>
    <x v="6"/>
    <x v="0"/>
    <n v="209"/>
    <n v="174.75"/>
    <x v="4"/>
    <n v="59"/>
    <n v="-34.25"/>
    <x v="4"/>
  </r>
  <r>
    <s v="TRX-101229"/>
    <x v="470"/>
    <x v="2"/>
    <x v="7"/>
    <x v="0"/>
    <n v="213"/>
    <n v="163.02000000000001"/>
    <x v="0"/>
    <n v="14"/>
    <n v="-49.979999999999897"/>
    <x v="4"/>
  </r>
  <r>
    <s v="TRX-101230"/>
    <x v="695"/>
    <x v="2"/>
    <x v="0"/>
    <x v="0"/>
    <n v="220"/>
    <n v="131.88999999999999"/>
    <x v="2"/>
    <n v="10"/>
    <n v="-88.11"/>
    <x v="4"/>
  </r>
  <r>
    <s v="TRX-101231"/>
    <x v="696"/>
    <x v="2"/>
    <x v="8"/>
    <x v="0"/>
    <n v="213"/>
    <n v="118.94"/>
    <x v="0"/>
    <n v="1"/>
    <n v="-94.06"/>
    <x v="11"/>
  </r>
  <r>
    <s v="TRX-101232"/>
    <x v="475"/>
    <x v="2"/>
    <x v="2"/>
    <x v="2"/>
    <n v="218"/>
    <n v="285.27"/>
    <x v="4"/>
    <n v="40"/>
    <n v="67.269999999999897"/>
    <x v="5"/>
  </r>
  <r>
    <s v="TRX-101233"/>
    <x v="653"/>
    <x v="0"/>
    <x v="2"/>
    <x v="2"/>
    <n v="228"/>
    <n v="341.01"/>
    <x v="4"/>
    <n v="12"/>
    <n v="113.009999999999"/>
    <x v="8"/>
  </r>
  <r>
    <s v="TRX-101234"/>
    <x v="454"/>
    <x v="0"/>
    <x v="4"/>
    <x v="1"/>
    <n v="225"/>
    <n v="609.34"/>
    <x v="3"/>
    <n v="54"/>
    <n v="384.34"/>
    <x v="8"/>
  </r>
  <r>
    <s v="TRX-101235"/>
    <x v="514"/>
    <x v="0"/>
    <x v="8"/>
    <x v="1"/>
    <n v="226"/>
    <n v="480.58"/>
    <x v="3"/>
    <n v="7"/>
    <n v="254.57999999999899"/>
    <x v="5"/>
  </r>
  <r>
    <s v="TRX-101236"/>
    <x v="489"/>
    <x v="1"/>
    <x v="4"/>
    <x v="1"/>
    <n v="175"/>
    <n v="517.75"/>
    <x v="3"/>
    <n v="8"/>
    <n v="342.75"/>
    <x v="4"/>
  </r>
  <r>
    <s v="TRX-101237"/>
    <x v="307"/>
    <x v="1"/>
    <x v="3"/>
    <x v="0"/>
    <n v="188"/>
    <n v="101.65"/>
    <x v="2"/>
    <n v="21"/>
    <n v="-86.35"/>
    <x v="9"/>
  </r>
  <r>
    <s v="TRX-101238"/>
    <x v="697"/>
    <x v="0"/>
    <x v="5"/>
    <x v="2"/>
    <n v="229"/>
    <n v="313.95999999999998"/>
    <x v="2"/>
    <n v="17"/>
    <n v="84.959999999999894"/>
    <x v="1"/>
  </r>
  <r>
    <s v="TRX-101239"/>
    <x v="698"/>
    <x v="2"/>
    <x v="8"/>
    <x v="0"/>
    <n v="223"/>
    <n v="134.44"/>
    <x v="0"/>
    <n v="10"/>
    <n v="-88.56"/>
    <x v="11"/>
  </r>
  <r>
    <s v="TRX-101240"/>
    <x v="279"/>
    <x v="4"/>
    <x v="1"/>
    <x v="2"/>
    <n v="210"/>
    <n v="264.69"/>
    <x v="2"/>
    <n v="8"/>
    <n v="54.69"/>
    <x v="10"/>
  </r>
  <r>
    <s v="TRX-101241"/>
    <x v="130"/>
    <x v="0"/>
    <x v="6"/>
    <x v="1"/>
    <n v="228"/>
    <n v="751.09"/>
    <x v="1"/>
    <n v="14"/>
    <n v="523.09"/>
    <x v="2"/>
  </r>
  <r>
    <s v="TRX-101242"/>
    <x v="528"/>
    <x v="1"/>
    <x v="2"/>
    <x v="0"/>
    <n v="187"/>
    <n v="168.28"/>
    <x v="3"/>
    <n v="36"/>
    <n v="-18.72"/>
    <x v="9"/>
  </r>
  <r>
    <s v="TRX-101243"/>
    <x v="699"/>
    <x v="4"/>
    <x v="3"/>
    <x v="0"/>
    <n v="208"/>
    <n v="127.13"/>
    <x v="1"/>
    <n v="2"/>
    <n v="-80.87"/>
    <x v="11"/>
  </r>
  <r>
    <s v="TRX-101244"/>
    <x v="219"/>
    <x v="4"/>
    <x v="0"/>
    <x v="1"/>
    <n v="209"/>
    <n v="614.1"/>
    <x v="2"/>
    <n v="20"/>
    <n v="405.1"/>
    <x v="6"/>
  </r>
  <r>
    <s v="TRX-101245"/>
    <x v="67"/>
    <x v="1"/>
    <x v="3"/>
    <x v="2"/>
    <n v="173"/>
    <n v="182.83"/>
    <x v="3"/>
    <n v="12"/>
    <n v="9.8300000000000107"/>
    <x v="10"/>
  </r>
  <r>
    <s v="TRX-101246"/>
    <x v="700"/>
    <x v="2"/>
    <x v="2"/>
    <x v="2"/>
    <n v="222"/>
    <n v="220.84"/>
    <x v="2"/>
    <n v="10"/>
    <n v="-1.1599999999999899"/>
    <x v="10"/>
  </r>
  <r>
    <s v="TRX-101247"/>
    <x v="316"/>
    <x v="3"/>
    <x v="6"/>
    <x v="2"/>
    <n v="137"/>
    <n v="178.42"/>
    <x v="1"/>
    <n v="12"/>
    <n v="41.419999999999902"/>
    <x v="8"/>
  </r>
  <r>
    <s v="TRX-101248"/>
    <x v="70"/>
    <x v="0"/>
    <x v="3"/>
    <x v="0"/>
    <n v="230"/>
    <n v="184.87"/>
    <x v="0"/>
    <n v="6"/>
    <n v="-45.129999999999903"/>
    <x v="2"/>
  </r>
  <r>
    <s v="TRX-101249"/>
    <x v="92"/>
    <x v="4"/>
    <x v="3"/>
    <x v="2"/>
    <n v="204"/>
    <n v="226.2"/>
    <x v="0"/>
    <n v="4"/>
    <n v="22.1999999999999"/>
    <x v="5"/>
  </r>
  <r>
    <s v="TRX-101250"/>
    <x v="701"/>
    <x v="1"/>
    <x v="0"/>
    <x v="2"/>
    <n v="182"/>
    <n v="201.62"/>
    <x v="3"/>
    <n v="25"/>
    <n v="19.62"/>
    <x v="10"/>
  </r>
  <r>
    <s v="TRX-101251"/>
    <x v="643"/>
    <x v="1"/>
    <x v="4"/>
    <x v="1"/>
    <n v="186"/>
    <n v="321.66000000000003"/>
    <x v="4"/>
    <n v="57"/>
    <n v="135.66"/>
    <x v="7"/>
  </r>
  <r>
    <s v="TRX-101252"/>
    <x v="273"/>
    <x v="4"/>
    <x v="2"/>
    <x v="2"/>
    <n v="206"/>
    <n v="266.68"/>
    <x v="0"/>
    <n v="9"/>
    <n v="60.68"/>
    <x v="7"/>
  </r>
  <r>
    <s v="TRX-101253"/>
    <x v="153"/>
    <x v="2"/>
    <x v="3"/>
    <x v="0"/>
    <n v="214"/>
    <n v="137.02000000000001"/>
    <x v="3"/>
    <n v="19"/>
    <n v="-76.979999999999905"/>
    <x v="2"/>
  </r>
  <r>
    <s v="TRX-101254"/>
    <x v="171"/>
    <x v="1"/>
    <x v="3"/>
    <x v="1"/>
    <n v="174"/>
    <n v="308.32"/>
    <x v="3"/>
    <n v="23"/>
    <n v="134.32"/>
    <x v="11"/>
  </r>
  <r>
    <s v="TRX-101255"/>
    <x v="150"/>
    <x v="3"/>
    <x v="8"/>
    <x v="2"/>
    <n v="121"/>
    <n v="173.92"/>
    <x v="1"/>
    <n v="6"/>
    <n v="52.919999999999902"/>
    <x v="2"/>
  </r>
  <r>
    <s v="TRX-101256"/>
    <x v="675"/>
    <x v="2"/>
    <x v="0"/>
    <x v="1"/>
    <n v="214"/>
    <n v="598.02"/>
    <x v="3"/>
    <n v="35"/>
    <n v="384.02"/>
    <x v="8"/>
  </r>
  <r>
    <s v="TRX-101257"/>
    <x v="702"/>
    <x v="1"/>
    <x v="2"/>
    <x v="2"/>
    <n v="184"/>
    <n v="270.98"/>
    <x v="1"/>
    <n v="6"/>
    <n v="86.98"/>
    <x v="7"/>
  </r>
  <r>
    <s v="TRX-101258"/>
    <x v="425"/>
    <x v="2"/>
    <x v="0"/>
    <x v="1"/>
    <n v="219"/>
    <n v="652.13"/>
    <x v="4"/>
    <n v="34"/>
    <n v="433.13"/>
    <x v="6"/>
  </r>
  <r>
    <s v="TRX-101259"/>
    <x v="543"/>
    <x v="0"/>
    <x v="7"/>
    <x v="1"/>
    <n v="226"/>
    <n v="360.54"/>
    <x v="2"/>
    <n v="31"/>
    <n v="134.54"/>
    <x v="6"/>
  </r>
  <r>
    <s v="TRX-101260"/>
    <x v="247"/>
    <x v="4"/>
    <x v="6"/>
    <x v="1"/>
    <n v="208"/>
    <n v="478.17"/>
    <x v="3"/>
    <n v="14"/>
    <n v="270.17"/>
    <x v="6"/>
  </r>
  <r>
    <s v="TRX-101261"/>
    <x v="73"/>
    <x v="4"/>
    <x v="2"/>
    <x v="2"/>
    <n v="200"/>
    <n v="243.82"/>
    <x v="0"/>
    <n v="5"/>
    <n v="43.819999999999901"/>
    <x v="5"/>
  </r>
  <r>
    <s v="TRX-101262"/>
    <x v="643"/>
    <x v="3"/>
    <x v="3"/>
    <x v="0"/>
    <n v="133"/>
    <n v="70.48"/>
    <x v="4"/>
    <n v="46"/>
    <n v="-62.519999999999897"/>
    <x v="7"/>
  </r>
  <r>
    <s v="TRX-101263"/>
    <x v="140"/>
    <x v="0"/>
    <x v="8"/>
    <x v="1"/>
    <n v="227"/>
    <n v="685.17"/>
    <x v="1"/>
    <n v="5"/>
    <n v="458.16999999999899"/>
    <x v="2"/>
  </r>
  <r>
    <s v="TRX-101264"/>
    <x v="213"/>
    <x v="2"/>
    <x v="4"/>
    <x v="1"/>
    <n v="211"/>
    <n v="433.98"/>
    <x v="4"/>
    <n v="47"/>
    <n v="222.98"/>
    <x v="2"/>
  </r>
  <r>
    <s v="TRX-101265"/>
    <x v="616"/>
    <x v="1"/>
    <x v="1"/>
    <x v="0"/>
    <n v="182"/>
    <n v="127.37"/>
    <x v="3"/>
    <n v="24"/>
    <n v="-54.629999999999903"/>
    <x v="10"/>
  </r>
  <r>
    <s v="TRX-101266"/>
    <x v="282"/>
    <x v="3"/>
    <x v="2"/>
    <x v="0"/>
    <n v="115"/>
    <n v="97.35"/>
    <x v="3"/>
    <n v="49"/>
    <n v="-17.649999999999999"/>
    <x v="1"/>
  </r>
  <r>
    <s v="TRX-101267"/>
    <x v="445"/>
    <x v="4"/>
    <x v="8"/>
    <x v="2"/>
    <n v="207"/>
    <n v="187.37"/>
    <x v="4"/>
    <n v="5"/>
    <n v="-19.6299999999999"/>
    <x v="3"/>
  </r>
  <r>
    <s v="TRX-101268"/>
    <x v="703"/>
    <x v="1"/>
    <x v="5"/>
    <x v="1"/>
    <n v="186"/>
    <n v="317.10000000000002"/>
    <x v="1"/>
    <n v="2"/>
    <n v="131.1"/>
    <x v="10"/>
  </r>
  <r>
    <s v="TRX-101269"/>
    <x v="368"/>
    <x v="3"/>
    <x v="4"/>
    <x v="2"/>
    <n v="118"/>
    <n v="175.25"/>
    <x v="4"/>
    <n v="30"/>
    <n v="57.25"/>
    <x v="5"/>
  </r>
  <r>
    <s v="TRX-101270"/>
    <x v="571"/>
    <x v="0"/>
    <x v="1"/>
    <x v="0"/>
    <n v="229"/>
    <n v="190.82"/>
    <x v="4"/>
    <n v="41"/>
    <n v="-38.18"/>
    <x v="0"/>
  </r>
  <r>
    <s v="TRX-101271"/>
    <x v="102"/>
    <x v="1"/>
    <x v="7"/>
    <x v="0"/>
    <n v="178"/>
    <n v="147.97"/>
    <x v="2"/>
    <n v="59"/>
    <n v="-30.03"/>
    <x v="1"/>
  </r>
  <r>
    <s v="TRX-101272"/>
    <x v="484"/>
    <x v="2"/>
    <x v="3"/>
    <x v="2"/>
    <n v="221"/>
    <n v="229.67"/>
    <x v="1"/>
    <n v="12"/>
    <n v="8.6699999999999804"/>
    <x v="4"/>
  </r>
  <r>
    <s v="TRX-101273"/>
    <x v="704"/>
    <x v="2"/>
    <x v="8"/>
    <x v="0"/>
    <n v="223"/>
    <n v="157.21"/>
    <x v="4"/>
    <n v="51"/>
    <n v="-65.789999999999907"/>
    <x v="1"/>
  </r>
  <r>
    <s v="TRX-101274"/>
    <x v="413"/>
    <x v="1"/>
    <x v="8"/>
    <x v="2"/>
    <n v="183"/>
    <n v="167.84"/>
    <x v="2"/>
    <n v="53"/>
    <n v="-15.159999999999901"/>
    <x v="0"/>
  </r>
  <r>
    <s v="TRX-101275"/>
    <x v="331"/>
    <x v="4"/>
    <x v="1"/>
    <x v="2"/>
    <n v="202"/>
    <n v="223.45"/>
    <x v="3"/>
    <n v="37"/>
    <n v="21.4499999999999"/>
    <x v="6"/>
  </r>
  <r>
    <s v="TRX-101276"/>
    <x v="152"/>
    <x v="4"/>
    <x v="2"/>
    <x v="0"/>
    <n v="202"/>
    <n v="104.3"/>
    <x v="1"/>
    <n v="4"/>
    <n v="-97.7"/>
    <x v="11"/>
  </r>
  <r>
    <s v="TRX-101277"/>
    <x v="705"/>
    <x v="2"/>
    <x v="4"/>
    <x v="0"/>
    <n v="213"/>
    <n v="154.75"/>
    <x v="1"/>
    <n v="9"/>
    <n v="-58.25"/>
    <x v="3"/>
  </r>
  <r>
    <s v="TRX-101278"/>
    <x v="27"/>
    <x v="3"/>
    <x v="1"/>
    <x v="1"/>
    <n v="129"/>
    <n v="240.57"/>
    <x v="1"/>
    <n v="2"/>
    <n v="111.57"/>
    <x v="9"/>
  </r>
  <r>
    <s v="TRX-101279"/>
    <x v="640"/>
    <x v="1"/>
    <x v="3"/>
    <x v="1"/>
    <n v="187"/>
    <n v="312.57"/>
    <x v="2"/>
    <n v="25"/>
    <n v="125.57"/>
    <x v="10"/>
  </r>
  <r>
    <s v="TRX-101280"/>
    <x v="88"/>
    <x v="3"/>
    <x v="6"/>
    <x v="2"/>
    <n v="135"/>
    <n v="135.24"/>
    <x v="1"/>
    <n v="8"/>
    <n v="0.24000000000000901"/>
    <x v="4"/>
  </r>
  <r>
    <s v="TRX-101281"/>
    <x v="706"/>
    <x v="3"/>
    <x v="2"/>
    <x v="2"/>
    <n v="124"/>
    <n v="149.15"/>
    <x v="0"/>
    <n v="7"/>
    <n v="25.15"/>
    <x v="4"/>
  </r>
  <r>
    <s v="TRX-101282"/>
    <x v="362"/>
    <x v="3"/>
    <x v="4"/>
    <x v="1"/>
    <n v="131"/>
    <n v="406.86"/>
    <x v="3"/>
    <n v="20"/>
    <n v="275.86"/>
    <x v="8"/>
  </r>
  <r>
    <s v="TRX-101283"/>
    <x v="515"/>
    <x v="4"/>
    <x v="7"/>
    <x v="1"/>
    <n v="204"/>
    <n v="560.64"/>
    <x v="1"/>
    <n v="8"/>
    <n v="356.64"/>
    <x v="4"/>
  </r>
  <r>
    <s v="TRX-101284"/>
    <x v="265"/>
    <x v="1"/>
    <x v="6"/>
    <x v="0"/>
    <n v="186"/>
    <n v="142.69"/>
    <x v="0"/>
    <n v="2"/>
    <n v="-43.31"/>
    <x v="1"/>
  </r>
  <r>
    <s v="TRX-101285"/>
    <x v="221"/>
    <x v="4"/>
    <x v="8"/>
    <x v="0"/>
    <n v="210"/>
    <n v="128.61000000000001"/>
    <x v="1"/>
    <n v="3"/>
    <n v="-81.389999999999901"/>
    <x v="3"/>
  </r>
  <r>
    <s v="TRX-101286"/>
    <x v="707"/>
    <x v="3"/>
    <x v="4"/>
    <x v="2"/>
    <n v="132"/>
    <n v="147.09"/>
    <x v="1"/>
    <n v="14"/>
    <n v="15.09"/>
    <x v="8"/>
  </r>
  <r>
    <s v="TRX-101287"/>
    <x v="708"/>
    <x v="2"/>
    <x v="1"/>
    <x v="0"/>
    <n v="223"/>
    <n v="187.67"/>
    <x v="2"/>
    <n v="48"/>
    <n v="-35.33"/>
    <x v="9"/>
  </r>
  <r>
    <s v="TRX-101288"/>
    <x v="43"/>
    <x v="4"/>
    <x v="8"/>
    <x v="1"/>
    <n v="202"/>
    <n v="675.32"/>
    <x v="2"/>
    <n v="21"/>
    <n v="473.32"/>
    <x v="8"/>
  </r>
  <r>
    <s v="TRX-101289"/>
    <x v="709"/>
    <x v="3"/>
    <x v="7"/>
    <x v="0"/>
    <n v="127"/>
    <n v="108.2"/>
    <x v="2"/>
    <n v="5"/>
    <n v="-18.799999999999901"/>
    <x v="6"/>
  </r>
  <r>
    <s v="TRX-101290"/>
    <x v="710"/>
    <x v="3"/>
    <x v="1"/>
    <x v="0"/>
    <n v="112"/>
    <n v="88.76"/>
    <x v="1"/>
    <n v="10"/>
    <n v="-23.239999999999899"/>
    <x v="7"/>
  </r>
  <r>
    <s v="TRX-101291"/>
    <x v="244"/>
    <x v="0"/>
    <x v="2"/>
    <x v="1"/>
    <n v="226"/>
    <n v="506.73"/>
    <x v="0"/>
    <n v="8"/>
    <n v="280.73"/>
    <x v="6"/>
  </r>
  <r>
    <s v="TRX-101292"/>
    <x v="265"/>
    <x v="0"/>
    <x v="6"/>
    <x v="1"/>
    <n v="226"/>
    <n v="557.83000000000004"/>
    <x v="4"/>
    <n v="20"/>
    <n v="331.83"/>
    <x v="1"/>
  </r>
  <r>
    <s v="TRX-101293"/>
    <x v="711"/>
    <x v="3"/>
    <x v="3"/>
    <x v="2"/>
    <n v="131"/>
    <n v="176.99"/>
    <x v="0"/>
    <n v="8"/>
    <n v="45.99"/>
    <x v="0"/>
  </r>
  <r>
    <s v="TRX-101294"/>
    <x v="204"/>
    <x v="0"/>
    <x v="7"/>
    <x v="2"/>
    <n v="227"/>
    <n v="223.07"/>
    <x v="1"/>
    <n v="1"/>
    <n v="-3.93"/>
    <x v="4"/>
  </r>
  <r>
    <s v="TRX-101295"/>
    <x v="251"/>
    <x v="0"/>
    <x v="5"/>
    <x v="0"/>
    <n v="230"/>
    <n v="116.61"/>
    <x v="0"/>
    <n v="1"/>
    <n v="-113.39"/>
    <x v="6"/>
  </r>
  <r>
    <s v="TRX-101296"/>
    <x v="276"/>
    <x v="3"/>
    <x v="2"/>
    <x v="1"/>
    <n v="126"/>
    <n v="326.51"/>
    <x v="2"/>
    <n v="7"/>
    <n v="200.51"/>
    <x v="9"/>
  </r>
  <r>
    <s v="TRX-101297"/>
    <x v="351"/>
    <x v="0"/>
    <x v="2"/>
    <x v="0"/>
    <n v="227"/>
    <n v="202.67"/>
    <x v="2"/>
    <n v="22"/>
    <n v="-24.33"/>
    <x v="5"/>
  </r>
  <r>
    <s v="TRX-101298"/>
    <x v="154"/>
    <x v="2"/>
    <x v="6"/>
    <x v="0"/>
    <n v="214"/>
    <n v="164.64"/>
    <x v="1"/>
    <n v="8"/>
    <n v="-49.36"/>
    <x v="2"/>
  </r>
  <r>
    <s v="TRX-101299"/>
    <x v="712"/>
    <x v="0"/>
    <x v="2"/>
    <x v="1"/>
    <n v="225"/>
    <n v="353.94"/>
    <x v="4"/>
    <n v="43"/>
    <n v="128.94"/>
    <x v="11"/>
  </r>
  <r>
    <s v="TRX-101300"/>
    <x v="713"/>
    <x v="2"/>
    <x v="1"/>
    <x v="2"/>
    <n v="210"/>
    <n v="302.83"/>
    <x v="3"/>
    <n v="30"/>
    <n v="92.829999999999899"/>
    <x v="4"/>
  </r>
  <r>
    <s v="TRX-101301"/>
    <x v="714"/>
    <x v="4"/>
    <x v="1"/>
    <x v="0"/>
    <n v="208"/>
    <n v="181.02"/>
    <x v="3"/>
    <n v="14"/>
    <n v="-26.979999999999901"/>
    <x v="10"/>
  </r>
  <r>
    <s v="TRX-101302"/>
    <x v="657"/>
    <x v="4"/>
    <x v="0"/>
    <x v="1"/>
    <n v="207"/>
    <n v="504.81"/>
    <x v="2"/>
    <n v="33"/>
    <n v="297.81"/>
    <x v="9"/>
  </r>
  <r>
    <s v="TRX-101303"/>
    <x v="112"/>
    <x v="2"/>
    <x v="7"/>
    <x v="2"/>
    <n v="225"/>
    <n v="288.27"/>
    <x v="0"/>
    <n v="8"/>
    <n v="63.269999999999897"/>
    <x v="7"/>
  </r>
  <r>
    <s v="TRX-101304"/>
    <x v="87"/>
    <x v="4"/>
    <x v="3"/>
    <x v="0"/>
    <n v="209"/>
    <n v="167.63"/>
    <x v="1"/>
    <n v="1"/>
    <n v="-41.37"/>
    <x v="3"/>
  </r>
  <r>
    <s v="TRX-101305"/>
    <x v="277"/>
    <x v="3"/>
    <x v="2"/>
    <x v="2"/>
    <n v="135"/>
    <n v="154.05000000000001"/>
    <x v="4"/>
    <n v="40"/>
    <n v="19.05"/>
    <x v="9"/>
  </r>
  <r>
    <s v="TRX-101306"/>
    <x v="532"/>
    <x v="1"/>
    <x v="4"/>
    <x v="0"/>
    <n v="170"/>
    <n v="109.11"/>
    <x v="2"/>
    <n v="33"/>
    <n v="-60.89"/>
    <x v="8"/>
  </r>
  <r>
    <s v="TRX-101307"/>
    <x v="328"/>
    <x v="3"/>
    <x v="1"/>
    <x v="0"/>
    <n v="118"/>
    <n v="96.07"/>
    <x v="0"/>
    <n v="8"/>
    <n v="-21.93"/>
    <x v="10"/>
  </r>
  <r>
    <s v="TRX-101308"/>
    <x v="46"/>
    <x v="1"/>
    <x v="6"/>
    <x v="2"/>
    <n v="178"/>
    <n v="238.8"/>
    <x v="0"/>
    <n v="11"/>
    <n v="60.8"/>
    <x v="0"/>
  </r>
  <r>
    <s v="TRX-101309"/>
    <x v="715"/>
    <x v="1"/>
    <x v="8"/>
    <x v="1"/>
    <n v="177"/>
    <n v="518.77"/>
    <x v="4"/>
    <n v="54"/>
    <n v="341.77"/>
    <x v="10"/>
  </r>
  <r>
    <s v="TRX-101310"/>
    <x v="600"/>
    <x v="3"/>
    <x v="2"/>
    <x v="2"/>
    <n v="118"/>
    <n v="121.36"/>
    <x v="3"/>
    <n v="41"/>
    <n v="3.3599999999999901"/>
    <x v="8"/>
  </r>
  <r>
    <s v="TRX-101311"/>
    <x v="239"/>
    <x v="4"/>
    <x v="0"/>
    <x v="2"/>
    <n v="209"/>
    <n v="233.24"/>
    <x v="3"/>
    <n v="14"/>
    <n v="24.24"/>
    <x v="7"/>
  </r>
  <r>
    <s v="TRX-101312"/>
    <x v="85"/>
    <x v="2"/>
    <x v="3"/>
    <x v="2"/>
    <n v="222"/>
    <n v="224.81"/>
    <x v="1"/>
    <n v="12"/>
    <n v="2.81"/>
    <x v="1"/>
  </r>
  <r>
    <s v="TRX-101313"/>
    <x v="86"/>
    <x v="0"/>
    <x v="6"/>
    <x v="1"/>
    <n v="230"/>
    <n v="339.86"/>
    <x v="0"/>
    <n v="14"/>
    <n v="109.86"/>
    <x v="6"/>
  </r>
  <r>
    <s v="TRX-101314"/>
    <x v="503"/>
    <x v="4"/>
    <x v="6"/>
    <x v="2"/>
    <n v="205"/>
    <n v="243.76"/>
    <x v="0"/>
    <n v="6"/>
    <n v="38.759999999999899"/>
    <x v="8"/>
  </r>
  <r>
    <s v="TRX-101315"/>
    <x v="606"/>
    <x v="3"/>
    <x v="7"/>
    <x v="2"/>
    <n v="112"/>
    <n v="164.7"/>
    <x v="2"/>
    <n v="34"/>
    <n v="52.699999999999903"/>
    <x v="7"/>
  </r>
  <r>
    <s v="TRX-101316"/>
    <x v="274"/>
    <x v="2"/>
    <x v="5"/>
    <x v="2"/>
    <n v="213"/>
    <n v="192.1"/>
    <x v="1"/>
    <n v="11"/>
    <n v="-20.9"/>
    <x v="5"/>
  </r>
  <r>
    <s v="TRX-101317"/>
    <x v="716"/>
    <x v="4"/>
    <x v="3"/>
    <x v="0"/>
    <n v="205"/>
    <n v="154.83000000000001"/>
    <x v="0"/>
    <n v="11"/>
    <n v="-50.169999999999902"/>
    <x v="5"/>
  </r>
  <r>
    <s v="TRX-101318"/>
    <x v="372"/>
    <x v="2"/>
    <x v="5"/>
    <x v="0"/>
    <n v="213"/>
    <n v="121.33"/>
    <x v="1"/>
    <n v="14"/>
    <n v="-91.67"/>
    <x v="10"/>
  </r>
  <r>
    <s v="TRX-101319"/>
    <x v="31"/>
    <x v="2"/>
    <x v="8"/>
    <x v="1"/>
    <n v="221"/>
    <n v="552.41999999999996"/>
    <x v="4"/>
    <n v="54"/>
    <n v="331.41999999999899"/>
    <x v="6"/>
  </r>
  <r>
    <s v="TRX-101320"/>
    <x v="717"/>
    <x v="2"/>
    <x v="5"/>
    <x v="1"/>
    <n v="223"/>
    <n v="680.16"/>
    <x v="4"/>
    <n v="14"/>
    <n v="457.159999999999"/>
    <x v="11"/>
  </r>
  <r>
    <s v="TRX-101321"/>
    <x v="718"/>
    <x v="4"/>
    <x v="3"/>
    <x v="1"/>
    <n v="209"/>
    <n v="403.17"/>
    <x v="1"/>
    <n v="1"/>
    <n v="194.17"/>
    <x v="8"/>
  </r>
  <r>
    <s v="TRX-101322"/>
    <x v="190"/>
    <x v="4"/>
    <x v="2"/>
    <x v="1"/>
    <n v="203"/>
    <n v="518.92999999999995"/>
    <x v="4"/>
    <n v="60"/>
    <n v="315.92999999999898"/>
    <x v="3"/>
  </r>
  <r>
    <s v="TRX-101323"/>
    <x v="644"/>
    <x v="1"/>
    <x v="8"/>
    <x v="0"/>
    <n v="188"/>
    <n v="121.75"/>
    <x v="3"/>
    <n v="21"/>
    <n v="-66.25"/>
    <x v="4"/>
  </r>
  <r>
    <s v="TRX-101324"/>
    <x v="295"/>
    <x v="1"/>
    <x v="3"/>
    <x v="1"/>
    <n v="174"/>
    <n v="373.23"/>
    <x v="3"/>
    <n v="8"/>
    <n v="199.23"/>
    <x v="5"/>
  </r>
  <r>
    <s v="TRX-101325"/>
    <x v="277"/>
    <x v="1"/>
    <x v="6"/>
    <x v="2"/>
    <n v="182"/>
    <n v="258.76"/>
    <x v="4"/>
    <n v="58"/>
    <n v="76.759999999999906"/>
    <x v="9"/>
  </r>
  <r>
    <s v="TRX-101326"/>
    <x v="403"/>
    <x v="2"/>
    <x v="5"/>
    <x v="1"/>
    <n v="210"/>
    <n v="613.73"/>
    <x v="1"/>
    <n v="3"/>
    <n v="403.73"/>
    <x v="11"/>
  </r>
  <r>
    <s v="TRX-101327"/>
    <x v="719"/>
    <x v="3"/>
    <x v="8"/>
    <x v="1"/>
    <n v="125"/>
    <n v="259.45"/>
    <x v="4"/>
    <n v="28"/>
    <n v="134.44999999999999"/>
    <x v="2"/>
  </r>
  <r>
    <s v="TRX-101328"/>
    <x v="515"/>
    <x v="3"/>
    <x v="2"/>
    <x v="2"/>
    <n v="114"/>
    <n v="160.99"/>
    <x v="2"/>
    <n v="42"/>
    <n v="46.99"/>
    <x v="4"/>
  </r>
  <r>
    <s v="TRX-101329"/>
    <x v="720"/>
    <x v="3"/>
    <x v="8"/>
    <x v="1"/>
    <n v="116"/>
    <n v="369.75"/>
    <x v="2"/>
    <n v="19"/>
    <n v="253.75"/>
    <x v="9"/>
  </r>
  <r>
    <s v="TRX-101330"/>
    <x v="506"/>
    <x v="2"/>
    <x v="5"/>
    <x v="1"/>
    <n v="217"/>
    <n v="687.65"/>
    <x v="3"/>
    <n v="36"/>
    <n v="470.65"/>
    <x v="1"/>
  </r>
  <r>
    <s v="TRX-101331"/>
    <x v="721"/>
    <x v="3"/>
    <x v="2"/>
    <x v="0"/>
    <n v="116"/>
    <n v="58.93"/>
    <x v="3"/>
    <n v="37"/>
    <n v="-57.07"/>
    <x v="10"/>
  </r>
  <r>
    <s v="TRX-101332"/>
    <x v="341"/>
    <x v="0"/>
    <x v="4"/>
    <x v="1"/>
    <n v="227"/>
    <n v="541.49"/>
    <x v="2"/>
    <n v="52"/>
    <n v="314.49"/>
    <x v="6"/>
  </r>
  <r>
    <s v="TRX-101333"/>
    <x v="685"/>
    <x v="4"/>
    <x v="4"/>
    <x v="1"/>
    <n v="208"/>
    <n v="322.33"/>
    <x v="1"/>
    <n v="10"/>
    <n v="114.329999999999"/>
    <x v="8"/>
  </r>
  <r>
    <s v="TRX-101334"/>
    <x v="152"/>
    <x v="3"/>
    <x v="6"/>
    <x v="1"/>
    <n v="139"/>
    <n v="390.47"/>
    <x v="3"/>
    <n v="32"/>
    <n v="251.47"/>
    <x v="11"/>
  </r>
  <r>
    <s v="TRX-101335"/>
    <x v="293"/>
    <x v="4"/>
    <x v="5"/>
    <x v="0"/>
    <n v="208"/>
    <n v="177.96"/>
    <x v="0"/>
    <n v="2"/>
    <n v="-30.0399999999999"/>
    <x v="1"/>
  </r>
  <r>
    <s v="TRX-101336"/>
    <x v="383"/>
    <x v="2"/>
    <x v="6"/>
    <x v="0"/>
    <n v="211"/>
    <n v="186.15"/>
    <x v="4"/>
    <n v="5"/>
    <n v="-24.849999999999898"/>
    <x v="3"/>
  </r>
  <r>
    <s v="TRX-101337"/>
    <x v="689"/>
    <x v="3"/>
    <x v="2"/>
    <x v="2"/>
    <n v="129"/>
    <n v="186.2"/>
    <x v="3"/>
    <n v="60"/>
    <n v="57.199999999999903"/>
    <x v="10"/>
  </r>
  <r>
    <s v="TRX-101338"/>
    <x v="338"/>
    <x v="0"/>
    <x v="5"/>
    <x v="1"/>
    <n v="230"/>
    <n v="497.46"/>
    <x v="2"/>
    <n v="40"/>
    <n v="267.45999999999998"/>
    <x v="3"/>
  </r>
  <r>
    <s v="TRX-101339"/>
    <x v="600"/>
    <x v="1"/>
    <x v="5"/>
    <x v="0"/>
    <n v="177"/>
    <n v="125.47"/>
    <x v="4"/>
    <n v="24"/>
    <n v="-51.53"/>
    <x v="8"/>
  </r>
  <r>
    <s v="TRX-101340"/>
    <x v="493"/>
    <x v="2"/>
    <x v="5"/>
    <x v="2"/>
    <n v="212"/>
    <n v="301.37"/>
    <x v="4"/>
    <n v="36"/>
    <n v="89.37"/>
    <x v="9"/>
  </r>
  <r>
    <s v="TRX-101341"/>
    <x v="240"/>
    <x v="2"/>
    <x v="4"/>
    <x v="1"/>
    <n v="216"/>
    <n v="332.04"/>
    <x v="1"/>
    <n v="2"/>
    <n v="116.04"/>
    <x v="4"/>
  </r>
  <r>
    <s v="TRX-101342"/>
    <x v="539"/>
    <x v="4"/>
    <x v="4"/>
    <x v="0"/>
    <n v="200"/>
    <n v="144.69"/>
    <x v="2"/>
    <n v="45"/>
    <n v="-55.31"/>
    <x v="9"/>
  </r>
  <r>
    <s v="TRX-101343"/>
    <x v="21"/>
    <x v="1"/>
    <x v="1"/>
    <x v="1"/>
    <n v="184"/>
    <n v="601.99"/>
    <x v="0"/>
    <n v="11"/>
    <n v="417.99"/>
    <x v="4"/>
  </r>
  <r>
    <s v="TRX-101344"/>
    <x v="710"/>
    <x v="1"/>
    <x v="5"/>
    <x v="0"/>
    <n v="185"/>
    <n v="103.57"/>
    <x v="1"/>
    <n v="1"/>
    <n v="-81.430000000000007"/>
    <x v="7"/>
  </r>
  <r>
    <s v="TRX-101345"/>
    <x v="705"/>
    <x v="2"/>
    <x v="6"/>
    <x v="0"/>
    <n v="217"/>
    <n v="120.35"/>
    <x v="1"/>
    <n v="6"/>
    <n v="-96.65"/>
    <x v="3"/>
  </r>
  <r>
    <s v="TRX-101346"/>
    <x v="497"/>
    <x v="4"/>
    <x v="5"/>
    <x v="1"/>
    <n v="200"/>
    <n v="496.37"/>
    <x v="3"/>
    <n v="50"/>
    <n v="296.37"/>
    <x v="9"/>
  </r>
  <r>
    <s v="TRX-101347"/>
    <x v="361"/>
    <x v="1"/>
    <x v="8"/>
    <x v="0"/>
    <n v="184"/>
    <n v="143.82"/>
    <x v="2"/>
    <n v="7"/>
    <n v="-40.18"/>
    <x v="0"/>
  </r>
  <r>
    <s v="TRX-101348"/>
    <x v="243"/>
    <x v="2"/>
    <x v="7"/>
    <x v="1"/>
    <n v="211"/>
    <n v="490.46"/>
    <x v="4"/>
    <n v="6"/>
    <n v="279.45999999999998"/>
    <x v="8"/>
  </r>
  <r>
    <s v="TRX-101349"/>
    <x v="500"/>
    <x v="4"/>
    <x v="6"/>
    <x v="2"/>
    <n v="203"/>
    <n v="233.21"/>
    <x v="3"/>
    <n v="36"/>
    <n v="30.21"/>
    <x v="2"/>
  </r>
  <r>
    <s v="TRX-101350"/>
    <x v="251"/>
    <x v="2"/>
    <x v="7"/>
    <x v="1"/>
    <n v="219"/>
    <n v="379.93"/>
    <x v="2"/>
    <n v="20"/>
    <n v="160.93"/>
    <x v="6"/>
  </r>
  <r>
    <s v="TRX-101351"/>
    <x v="281"/>
    <x v="0"/>
    <x v="4"/>
    <x v="1"/>
    <n v="227"/>
    <n v="645.12"/>
    <x v="0"/>
    <n v="11"/>
    <n v="418.12"/>
    <x v="9"/>
  </r>
  <r>
    <s v="TRX-101352"/>
    <x v="722"/>
    <x v="0"/>
    <x v="8"/>
    <x v="1"/>
    <n v="226"/>
    <n v="390.44"/>
    <x v="0"/>
    <n v="1"/>
    <n v="164.44"/>
    <x v="0"/>
  </r>
  <r>
    <s v="TRX-101353"/>
    <x v="152"/>
    <x v="4"/>
    <x v="4"/>
    <x v="0"/>
    <n v="203"/>
    <n v="148.37"/>
    <x v="0"/>
    <n v="1"/>
    <n v="-54.629999999999903"/>
    <x v="11"/>
  </r>
  <r>
    <s v="TRX-101354"/>
    <x v="649"/>
    <x v="4"/>
    <x v="0"/>
    <x v="1"/>
    <n v="210"/>
    <n v="378.91"/>
    <x v="1"/>
    <n v="2"/>
    <n v="168.91"/>
    <x v="0"/>
  </r>
  <r>
    <s v="TRX-101355"/>
    <x v="432"/>
    <x v="2"/>
    <x v="6"/>
    <x v="2"/>
    <n v="216"/>
    <n v="309.62"/>
    <x v="2"/>
    <n v="45"/>
    <n v="93.62"/>
    <x v="5"/>
  </r>
  <r>
    <s v="TRX-101356"/>
    <x v="5"/>
    <x v="3"/>
    <x v="1"/>
    <x v="0"/>
    <n v="114"/>
    <n v="76.599999999999994"/>
    <x v="4"/>
    <n v="28"/>
    <n v="-37.4"/>
    <x v="3"/>
  </r>
  <r>
    <s v="TRX-101357"/>
    <x v="63"/>
    <x v="3"/>
    <x v="7"/>
    <x v="1"/>
    <n v="114"/>
    <n v="357.56"/>
    <x v="3"/>
    <n v="37"/>
    <n v="243.56"/>
    <x v="11"/>
  </r>
  <r>
    <s v="TRX-101358"/>
    <x v="22"/>
    <x v="2"/>
    <x v="0"/>
    <x v="1"/>
    <n v="220"/>
    <n v="474.18"/>
    <x v="3"/>
    <n v="46"/>
    <n v="254.18"/>
    <x v="11"/>
  </r>
  <r>
    <s v="TRX-101359"/>
    <x v="195"/>
    <x v="4"/>
    <x v="0"/>
    <x v="0"/>
    <n v="206"/>
    <n v="119.63"/>
    <x v="4"/>
    <n v="13"/>
    <n v="-86.37"/>
    <x v="5"/>
  </r>
  <r>
    <s v="TRX-101360"/>
    <x v="311"/>
    <x v="3"/>
    <x v="0"/>
    <x v="1"/>
    <n v="117"/>
    <n v="287.35000000000002"/>
    <x v="4"/>
    <n v="31"/>
    <n v="170.35"/>
    <x v="1"/>
  </r>
  <r>
    <s v="TRX-101361"/>
    <x v="6"/>
    <x v="4"/>
    <x v="5"/>
    <x v="0"/>
    <n v="203"/>
    <n v="162.83000000000001"/>
    <x v="3"/>
    <n v="29"/>
    <n v="-40.169999999999902"/>
    <x v="4"/>
  </r>
  <r>
    <s v="TRX-101362"/>
    <x v="366"/>
    <x v="1"/>
    <x v="0"/>
    <x v="0"/>
    <n v="176"/>
    <n v="125.73"/>
    <x v="4"/>
    <n v="34"/>
    <n v="-50.269999999999897"/>
    <x v="6"/>
  </r>
  <r>
    <s v="TRX-101363"/>
    <x v="723"/>
    <x v="1"/>
    <x v="7"/>
    <x v="2"/>
    <n v="183"/>
    <n v="190.84"/>
    <x v="2"/>
    <n v="38"/>
    <n v="7.84"/>
    <x v="8"/>
  </r>
  <r>
    <s v="TRX-101364"/>
    <x v="19"/>
    <x v="3"/>
    <x v="3"/>
    <x v="1"/>
    <n v="136"/>
    <n v="360.71"/>
    <x v="1"/>
    <n v="4"/>
    <n v="224.70999999999901"/>
    <x v="0"/>
  </r>
  <r>
    <s v="TRX-101365"/>
    <x v="395"/>
    <x v="4"/>
    <x v="7"/>
    <x v="2"/>
    <n v="206"/>
    <n v="217.27"/>
    <x v="3"/>
    <n v="24"/>
    <n v="11.27"/>
    <x v="6"/>
  </r>
  <r>
    <s v="TRX-101366"/>
    <x v="77"/>
    <x v="0"/>
    <x v="5"/>
    <x v="2"/>
    <n v="227"/>
    <n v="311.91000000000003"/>
    <x v="3"/>
    <n v="15"/>
    <n v="84.91"/>
    <x v="10"/>
  </r>
  <r>
    <s v="TRX-101367"/>
    <x v="724"/>
    <x v="3"/>
    <x v="8"/>
    <x v="1"/>
    <n v="121"/>
    <n v="169.7"/>
    <x v="1"/>
    <n v="8"/>
    <n v="48.699999999999903"/>
    <x v="9"/>
  </r>
  <r>
    <s v="TRX-101368"/>
    <x v="725"/>
    <x v="1"/>
    <x v="1"/>
    <x v="1"/>
    <n v="174"/>
    <n v="516.88"/>
    <x v="3"/>
    <n v="28"/>
    <n v="342.88"/>
    <x v="0"/>
  </r>
  <r>
    <s v="TRX-101369"/>
    <x v="726"/>
    <x v="2"/>
    <x v="8"/>
    <x v="2"/>
    <n v="217"/>
    <n v="272.32"/>
    <x v="2"/>
    <n v="45"/>
    <n v="55.319999999999901"/>
    <x v="0"/>
  </r>
  <r>
    <s v="TRX-101370"/>
    <x v="79"/>
    <x v="2"/>
    <x v="3"/>
    <x v="1"/>
    <n v="212"/>
    <n v="697.75"/>
    <x v="4"/>
    <n v="57"/>
    <n v="485.75"/>
    <x v="4"/>
  </r>
  <r>
    <s v="TRX-101371"/>
    <x v="727"/>
    <x v="2"/>
    <x v="1"/>
    <x v="2"/>
    <n v="224"/>
    <n v="234.74"/>
    <x v="0"/>
    <n v="5"/>
    <n v="10.74"/>
    <x v="5"/>
  </r>
  <r>
    <s v="TRX-101372"/>
    <x v="198"/>
    <x v="1"/>
    <x v="4"/>
    <x v="1"/>
    <n v="172"/>
    <n v="518.23"/>
    <x v="4"/>
    <n v="29"/>
    <n v="346.23"/>
    <x v="11"/>
  </r>
  <r>
    <s v="TRX-101373"/>
    <x v="190"/>
    <x v="4"/>
    <x v="2"/>
    <x v="1"/>
    <n v="210"/>
    <n v="694.13"/>
    <x v="1"/>
    <n v="9"/>
    <n v="484.13"/>
    <x v="3"/>
  </r>
  <r>
    <s v="TRX-101374"/>
    <x v="728"/>
    <x v="1"/>
    <x v="4"/>
    <x v="1"/>
    <n v="173"/>
    <n v="412.14"/>
    <x v="2"/>
    <n v="8"/>
    <n v="239.14"/>
    <x v="2"/>
  </r>
  <r>
    <s v="TRX-101375"/>
    <x v="729"/>
    <x v="1"/>
    <x v="8"/>
    <x v="2"/>
    <n v="186"/>
    <n v="248.27"/>
    <x v="0"/>
    <n v="11"/>
    <n v="62.27"/>
    <x v="8"/>
  </r>
  <r>
    <s v="TRX-101376"/>
    <x v="730"/>
    <x v="1"/>
    <x v="7"/>
    <x v="2"/>
    <n v="176"/>
    <n v="159.19"/>
    <x v="1"/>
    <n v="14"/>
    <n v="-16.809999999999999"/>
    <x v="2"/>
  </r>
  <r>
    <s v="TRX-101377"/>
    <x v="731"/>
    <x v="2"/>
    <x v="5"/>
    <x v="0"/>
    <n v="219"/>
    <n v="141.84"/>
    <x v="1"/>
    <n v="9"/>
    <n v="-77.16"/>
    <x v="7"/>
  </r>
  <r>
    <s v="TRX-101378"/>
    <x v="27"/>
    <x v="3"/>
    <x v="7"/>
    <x v="1"/>
    <n v="133"/>
    <n v="423.62"/>
    <x v="2"/>
    <n v="45"/>
    <n v="290.62"/>
    <x v="9"/>
  </r>
  <r>
    <s v="TRX-101379"/>
    <x v="273"/>
    <x v="3"/>
    <x v="6"/>
    <x v="0"/>
    <n v="116"/>
    <n v="96.06"/>
    <x v="2"/>
    <n v="15"/>
    <n v="-19.939999999999898"/>
    <x v="7"/>
  </r>
  <r>
    <s v="TRX-101380"/>
    <x v="732"/>
    <x v="3"/>
    <x v="1"/>
    <x v="2"/>
    <n v="120"/>
    <n v="177.23"/>
    <x v="0"/>
    <n v="1"/>
    <n v="57.229999999999897"/>
    <x v="10"/>
  </r>
  <r>
    <s v="TRX-101381"/>
    <x v="353"/>
    <x v="1"/>
    <x v="7"/>
    <x v="2"/>
    <n v="187"/>
    <n v="183.67"/>
    <x v="0"/>
    <n v="10"/>
    <n v="-3.3300000000000098"/>
    <x v="1"/>
  </r>
  <r>
    <s v="TRX-101382"/>
    <x v="141"/>
    <x v="0"/>
    <x v="1"/>
    <x v="1"/>
    <n v="228"/>
    <n v="791.95"/>
    <x v="2"/>
    <n v="21"/>
    <n v="563.95000000000005"/>
    <x v="3"/>
  </r>
  <r>
    <s v="TRX-101383"/>
    <x v="733"/>
    <x v="3"/>
    <x v="7"/>
    <x v="2"/>
    <n v="120"/>
    <n v="154.62"/>
    <x v="2"/>
    <n v="60"/>
    <n v="34.619999999999997"/>
    <x v="9"/>
  </r>
  <r>
    <s v="TRX-101384"/>
    <x v="389"/>
    <x v="4"/>
    <x v="5"/>
    <x v="2"/>
    <n v="208"/>
    <n v="310.08999999999997"/>
    <x v="3"/>
    <n v="11"/>
    <n v="102.08999999999899"/>
    <x v="4"/>
  </r>
  <r>
    <s v="TRX-101385"/>
    <x v="62"/>
    <x v="3"/>
    <x v="0"/>
    <x v="2"/>
    <n v="122"/>
    <n v="126.54"/>
    <x v="4"/>
    <n v="20"/>
    <n v="4.54"/>
    <x v="9"/>
  </r>
  <r>
    <s v="TRX-101386"/>
    <x v="201"/>
    <x v="2"/>
    <x v="7"/>
    <x v="2"/>
    <n v="221"/>
    <n v="264.42"/>
    <x v="1"/>
    <n v="4"/>
    <n v="43.42"/>
    <x v="10"/>
  </r>
  <r>
    <s v="TRX-101387"/>
    <x v="734"/>
    <x v="3"/>
    <x v="2"/>
    <x v="0"/>
    <n v="129"/>
    <n v="80.91"/>
    <x v="4"/>
    <n v="45"/>
    <n v="-48.09"/>
    <x v="11"/>
  </r>
  <r>
    <s v="TRX-101388"/>
    <x v="735"/>
    <x v="2"/>
    <x v="0"/>
    <x v="0"/>
    <n v="225"/>
    <n v="187.45"/>
    <x v="0"/>
    <n v="5"/>
    <n v="-37.549999999999997"/>
    <x v="11"/>
  </r>
  <r>
    <s v="TRX-101389"/>
    <x v="736"/>
    <x v="0"/>
    <x v="0"/>
    <x v="0"/>
    <n v="228"/>
    <n v="117.69"/>
    <x v="4"/>
    <n v="34"/>
    <n v="-110.31"/>
    <x v="8"/>
  </r>
  <r>
    <s v="TRX-101390"/>
    <x v="410"/>
    <x v="2"/>
    <x v="1"/>
    <x v="0"/>
    <n v="225"/>
    <n v="185.48"/>
    <x v="2"/>
    <n v="41"/>
    <n v="-39.520000000000003"/>
    <x v="2"/>
  </r>
  <r>
    <s v="TRX-101391"/>
    <x v="737"/>
    <x v="0"/>
    <x v="6"/>
    <x v="2"/>
    <n v="227"/>
    <n v="320.95"/>
    <x v="2"/>
    <n v="14"/>
    <n v="93.949999999999903"/>
    <x v="7"/>
  </r>
  <r>
    <s v="TRX-101392"/>
    <x v="511"/>
    <x v="1"/>
    <x v="4"/>
    <x v="2"/>
    <n v="176"/>
    <n v="252.15"/>
    <x v="2"/>
    <n v="36"/>
    <n v="76.150000000000006"/>
    <x v="4"/>
  </r>
  <r>
    <s v="TRX-101393"/>
    <x v="674"/>
    <x v="1"/>
    <x v="0"/>
    <x v="2"/>
    <n v="183"/>
    <n v="231.99"/>
    <x v="1"/>
    <n v="13"/>
    <n v="48.99"/>
    <x v="9"/>
  </r>
  <r>
    <s v="TRX-101394"/>
    <x v="181"/>
    <x v="1"/>
    <x v="5"/>
    <x v="1"/>
    <n v="175"/>
    <n v="566.76"/>
    <x v="4"/>
    <n v="25"/>
    <n v="391.76"/>
    <x v="4"/>
  </r>
  <r>
    <s v="TRX-101395"/>
    <x v="134"/>
    <x v="1"/>
    <x v="5"/>
    <x v="1"/>
    <n v="185"/>
    <n v="647.24"/>
    <x v="3"/>
    <n v="59"/>
    <n v="462.24"/>
    <x v="3"/>
  </r>
  <r>
    <s v="TRX-101396"/>
    <x v="50"/>
    <x v="4"/>
    <x v="8"/>
    <x v="0"/>
    <n v="209"/>
    <n v="153.63999999999999"/>
    <x v="4"/>
    <n v="50"/>
    <n v="-55.36"/>
    <x v="0"/>
  </r>
  <r>
    <s v="TRX-101397"/>
    <x v="86"/>
    <x v="2"/>
    <x v="7"/>
    <x v="1"/>
    <n v="220"/>
    <n v="518.12"/>
    <x v="4"/>
    <n v="38"/>
    <n v="298.12"/>
    <x v="6"/>
  </r>
  <r>
    <s v="TRX-101398"/>
    <x v="517"/>
    <x v="3"/>
    <x v="7"/>
    <x v="2"/>
    <n v="131"/>
    <n v="149.30000000000001"/>
    <x v="4"/>
    <n v="14"/>
    <n v="18.3"/>
    <x v="2"/>
  </r>
  <r>
    <s v="TRX-101399"/>
    <x v="165"/>
    <x v="4"/>
    <x v="0"/>
    <x v="2"/>
    <n v="203"/>
    <n v="262.32"/>
    <x v="4"/>
    <n v="59"/>
    <n v="59.319999999999901"/>
    <x v="11"/>
  </r>
  <r>
    <s v="TRX-101400"/>
    <x v="738"/>
    <x v="3"/>
    <x v="3"/>
    <x v="2"/>
    <n v="132"/>
    <n v="186.14"/>
    <x v="0"/>
    <n v="12"/>
    <n v="54.139999999999901"/>
    <x v="10"/>
  </r>
  <r>
    <s v="TRX-101401"/>
    <x v="622"/>
    <x v="2"/>
    <x v="3"/>
    <x v="1"/>
    <n v="212"/>
    <n v="501.18"/>
    <x v="2"/>
    <n v="9"/>
    <n v="289.18"/>
    <x v="10"/>
  </r>
  <r>
    <s v="TRX-101402"/>
    <x v="485"/>
    <x v="2"/>
    <x v="3"/>
    <x v="1"/>
    <n v="225"/>
    <n v="391.84"/>
    <x v="3"/>
    <n v="33"/>
    <n v="166.83999999999901"/>
    <x v="1"/>
  </r>
  <r>
    <s v="TRX-101403"/>
    <x v="598"/>
    <x v="0"/>
    <x v="3"/>
    <x v="0"/>
    <n v="226"/>
    <n v="147.24"/>
    <x v="1"/>
    <n v="12"/>
    <n v="-78.759999999999906"/>
    <x v="7"/>
  </r>
  <r>
    <s v="TRX-101404"/>
    <x v="739"/>
    <x v="3"/>
    <x v="4"/>
    <x v="2"/>
    <n v="121"/>
    <n v="166.89"/>
    <x v="2"/>
    <n v="6"/>
    <n v="45.889999999999901"/>
    <x v="9"/>
  </r>
  <r>
    <s v="TRX-101405"/>
    <x v="206"/>
    <x v="3"/>
    <x v="7"/>
    <x v="0"/>
    <n v="138"/>
    <n v="120.62"/>
    <x v="2"/>
    <n v="21"/>
    <n v="-17.3799999999999"/>
    <x v="0"/>
  </r>
  <r>
    <s v="TRX-101406"/>
    <x v="336"/>
    <x v="1"/>
    <x v="4"/>
    <x v="1"/>
    <n v="179"/>
    <n v="379.88"/>
    <x v="2"/>
    <n v="48"/>
    <n v="200.88"/>
    <x v="6"/>
  </r>
  <r>
    <s v="TRX-101407"/>
    <x v="37"/>
    <x v="1"/>
    <x v="4"/>
    <x v="2"/>
    <n v="172"/>
    <n v="198.05"/>
    <x v="2"/>
    <n v="28"/>
    <n v="26.05"/>
    <x v="6"/>
  </r>
  <r>
    <s v="TRX-101408"/>
    <x v="383"/>
    <x v="0"/>
    <x v="4"/>
    <x v="0"/>
    <n v="225"/>
    <n v="161.75"/>
    <x v="1"/>
    <n v="12"/>
    <n v="-63.25"/>
    <x v="3"/>
  </r>
  <r>
    <s v="TRX-101409"/>
    <x v="493"/>
    <x v="2"/>
    <x v="1"/>
    <x v="2"/>
    <n v="212"/>
    <n v="237.34"/>
    <x v="2"/>
    <n v="51"/>
    <n v="25.34"/>
    <x v="9"/>
  </r>
  <r>
    <s v="TRX-101410"/>
    <x v="420"/>
    <x v="0"/>
    <x v="1"/>
    <x v="0"/>
    <n v="225"/>
    <n v="174.57"/>
    <x v="4"/>
    <n v="20"/>
    <n v="-50.43"/>
    <x v="1"/>
  </r>
  <r>
    <s v="TRX-101411"/>
    <x v="683"/>
    <x v="1"/>
    <x v="2"/>
    <x v="2"/>
    <n v="174"/>
    <n v="215.06"/>
    <x v="4"/>
    <n v="10"/>
    <n v="41.06"/>
    <x v="4"/>
  </r>
  <r>
    <s v="TRX-101412"/>
    <x v="630"/>
    <x v="0"/>
    <x v="3"/>
    <x v="0"/>
    <n v="227"/>
    <n v="160.12"/>
    <x v="0"/>
    <n v="11"/>
    <n v="-66.88"/>
    <x v="8"/>
  </r>
  <r>
    <s v="TRX-101413"/>
    <x v="740"/>
    <x v="4"/>
    <x v="6"/>
    <x v="0"/>
    <n v="206"/>
    <n v="184.55"/>
    <x v="3"/>
    <n v="32"/>
    <n v="-21.4499999999999"/>
    <x v="11"/>
  </r>
  <r>
    <s v="TRX-101414"/>
    <x v="669"/>
    <x v="4"/>
    <x v="6"/>
    <x v="2"/>
    <n v="202"/>
    <n v="290.63"/>
    <x v="4"/>
    <n v="52"/>
    <n v="88.63"/>
    <x v="8"/>
  </r>
  <r>
    <s v="TRX-101415"/>
    <x v="741"/>
    <x v="2"/>
    <x v="4"/>
    <x v="2"/>
    <n v="213"/>
    <n v="284.54000000000002"/>
    <x v="1"/>
    <n v="7"/>
    <n v="71.540000000000006"/>
    <x v="11"/>
  </r>
  <r>
    <s v="TRX-101416"/>
    <x v="311"/>
    <x v="3"/>
    <x v="7"/>
    <x v="0"/>
    <n v="127"/>
    <n v="101.18"/>
    <x v="3"/>
    <n v="17"/>
    <n v="-25.819999999999901"/>
    <x v="1"/>
  </r>
  <r>
    <s v="TRX-101417"/>
    <x v="633"/>
    <x v="4"/>
    <x v="4"/>
    <x v="2"/>
    <n v="208"/>
    <n v="229.1"/>
    <x v="3"/>
    <n v="11"/>
    <n v="21.099999999999898"/>
    <x v="3"/>
  </r>
  <r>
    <s v="TRX-101418"/>
    <x v="94"/>
    <x v="2"/>
    <x v="1"/>
    <x v="1"/>
    <n v="224"/>
    <n v="637.1"/>
    <x v="0"/>
    <n v="7"/>
    <n v="413.1"/>
    <x v="2"/>
  </r>
  <r>
    <s v="TRX-101419"/>
    <x v="492"/>
    <x v="3"/>
    <x v="7"/>
    <x v="0"/>
    <n v="111"/>
    <n v="98.82"/>
    <x v="4"/>
    <n v="47"/>
    <n v="-12.18"/>
    <x v="3"/>
  </r>
  <r>
    <s v="TRX-101420"/>
    <x v="262"/>
    <x v="1"/>
    <x v="1"/>
    <x v="1"/>
    <n v="176"/>
    <n v="369.86"/>
    <x v="2"/>
    <n v="39"/>
    <n v="193.86"/>
    <x v="10"/>
  </r>
  <r>
    <s v="TRX-101421"/>
    <x v="742"/>
    <x v="3"/>
    <x v="5"/>
    <x v="1"/>
    <n v="125"/>
    <n v="268.11"/>
    <x v="3"/>
    <n v="40"/>
    <n v="143.11000000000001"/>
    <x v="1"/>
  </r>
  <r>
    <s v="TRX-101422"/>
    <x v="272"/>
    <x v="1"/>
    <x v="7"/>
    <x v="2"/>
    <n v="189"/>
    <n v="172.71"/>
    <x v="2"/>
    <n v="46"/>
    <n v="-16.2899999999999"/>
    <x v="3"/>
  </r>
  <r>
    <s v="TRX-101423"/>
    <x v="531"/>
    <x v="1"/>
    <x v="1"/>
    <x v="1"/>
    <n v="187"/>
    <n v="408.96"/>
    <x v="2"/>
    <n v="22"/>
    <n v="221.95999999999901"/>
    <x v="2"/>
  </r>
  <r>
    <s v="TRX-101424"/>
    <x v="64"/>
    <x v="2"/>
    <x v="4"/>
    <x v="1"/>
    <n v="221"/>
    <n v="319.37"/>
    <x v="4"/>
    <n v="26"/>
    <n v="98.37"/>
    <x v="2"/>
  </r>
  <r>
    <s v="TRX-101425"/>
    <x v="297"/>
    <x v="3"/>
    <x v="6"/>
    <x v="0"/>
    <n v="122"/>
    <n v="100.83"/>
    <x v="3"/>
    <n v="58"/>
    <n v="-21.17"/>
    <x v="3"/>
  </r>
  <r>
    <s v="TRX-101426"/>
    <x v="631"/>
    <x v="2"/>
    <x v="0"/>
    <x v="0"/>
    <n v="220"/>
    <n v="191.13"/>
    <x v="4"/>
    <n v="31"/>
    <n v="-28.87"/>
    <x v="6"/>
  </r>
  <r>
    <s v="TRX-101427"/>
    <x v="131"/>
    <x v="1"/>
    <x v="2"/>
    <x v="1"/>
    <n v="173"/>
    <n v="463.4"/>
    <x v="3"/>
    <n v="34"/>
    <n v="290.39999999999998"/>
    <x v="10"/>
  </r>
  <r>
    <s v="TRX-101428"/>
    <x v="19"/>
    <x v="3"/>
    <x v="8"/>
    <x v="0"/>
    <n v="135"/>
    <n v="78.8"/>
    <x v="4"/>
    <n v="54"/>
    <n v="-56.2"/>
    <x v="0"/>
  </r>
  <r>
    <s v="TRX-101429"/>
    <x v="260"/>
    <x v="1"/>
    <x v="1"/>
    <x v="1"/>
    <n v="183"/>
    <n v="640.20000000000005"/>
    <x v="2"/>
    <n v="11"/>
    <n v="457.2"/>
    <x v="11"/>
  </r>
  <r>
    <s v="TRX-101430"/>
    <x v="49"/>
    <x v="3"/>
    <x v="4"/>
    <x v="2"/>
    <n v="117"/>
    <n v="115.1"/>
    <x v="3"/>
    <n v="16"/>
    <n v="-1.9"/>
    <x v="3"/>
  </r>
  <r>
    <s v="TRX-101431"/>
    <x v="317"/>
    <x v="1"/>
    <x v="4"/>
    <x v="2"/>
    <n v="177"/>
    <n v="195.14"/>
    <x v="0"/>
    <n v="6"/>
    <n v="18.139999999999901"/>
    <x v="6"/>
  </r>
  <r>
    <s v="TRX-101432"/>
    <x v="743"/>
    <x v="0"/>
    <x v="4"/>
    <x v="1"/>
    <n v="228"/>
    <n v="650.41"/>
    <x v="2"/>
    <n v="36"/>
    <n v="422.409999999999"/>
    <x v="1"/>
  </r>
  <r>
    <s v="TRX-101433"/>
    <x v="352"/>
    <x v="1"/>
    <x v="4"/>
    <x v="2"/>
    <n v="180"/>
    <n v="260.67"/>
    <x v="1"/>
    <n v="4"/>
    <n v="80.67"/>
    <x v="6"/>
  </r>
  <r>
    <s v="TRX-101434"/>
    <x v="458"/>
    <x v="3"/>
    <x v="7"/>
    <x v="0"/>
    <n v="129"/>
    <n v="73.66"/>
    <x v="1"/>
    <n v="7"/>
    <n v="-55.34"/>
    <x v="10"/>
  </r>
  <r>
    <s v="TRX-101435"/>
    <x v="744"/>
    <x v="0"/>
    <x v="5"/>
    <x v="2"/>
    <n v="227"/>
    <n v="327.2"/>
    <x v="4"/>
    <n v="25"/>
    <n v="100.19999999999899"/>
    <x v="4"/>
  </r>
  <r>
    <s v="TRX-101436"/>
    <x v="631"/>
    <x v="3"/>
    <x v="3"/>
    <x v="0"/>
    <n v="127"/>
    <n v="95.25"/>
    <x v="3"/>
    <n v="60"/>
    <n v="-31.75"/>
    <x v="6"/>
  </r>
  <r>
    <s v="TRX-101437"/>
    <x v="64"/>
    <x v="3"/>
    <x v="8"/>
    <x v="2"/>
    <n v="125"/>
    <n v="125.36"/>
    <x v="1"/>
    <n v="13"/>
    <n v="0.35999999999999899"/>
    <x v="2"/>
  </r>
  <r>
    <s v="TRX-101438"/>
    <x v="6"/>
    <x v="2"/>
    <x v="5"/>
    <x v="0"/>
    <n v="224"/>
    <n v="136.99"/>
    <x v="1"/>
    <n v="3"/>
    <n v="-87.009999999999906"/>
    <x v="4"/>
  </r>
  <r>
    <s v="TRX-101439"/>
    <x v="745"/>
    <x v="3"/>
    <x v="8"/>
    <x v="2"/>
    <n v="113"/>
    <n v="168.08"/>
    <x v="2"/>
    <n v="49"/>
    <n v="55.08"/>
    <x v="11"/>
  </r>
  <r>
    <s v="TRX-101440"/>
    <x v="746"/>
    <x v="3"/>
    <x v="1"/>
    <x v="0"/>
    <n v="128"/>
    <n v="113.9"/>
    <x v="0"/>
    <n v="12"/>
    <n v="-14.0999999999999"/>
    <x v="2"/>
  </r>
  <r>
    <s v="TRX-101441"/>
    <x v="334"/>
    <x v="0"/>
    <x v="1"/>
    <x v="1"/>
    <n v="228"/>
    <n v="433.66"/>
    <x v="1"/>
    <n v="13"/>
    <n v="205.66"/>
    <x v="9"/>
  </r>
  <r>
    <s v="TRX-101442"/>
    <x v="230"/>
    <x v="4"/>
    <x v="1"/>
    <x v="1"/>
    <n v="200"/>
    <n v="616.42999999999995"/>
    <x v="4"/>
    <n v="37"/>
    <n v="416.42999999999898"/>
    <x v="4"/>
  </r>
  <r>
    <s v="TRX-101443"/>
    <x v="683"/>
    <x v="1"/>
    <x v="2"/>
    <x v="1"/>
    <n v="190"/>
    <n v="462.97"/>
    <x v="3"/>
    <n v="42"/>
    <n v="272.97000000000003"/>
    <x v="4"/>
  </r>
  <r>
    <s v="TRX-101444"/>
    <x v="410"/>
    <x v="3"/>
    <x v="5"/>
    <x v="1"/>
    <n v="131"/>
    <n v="310.08999999999997"/>
    <x v="4"/>
    <n v="54"/>
    <n v="179.08999999999901"/>
    <x v="2"/>
  </r>
  <r>
    <s v="TRX-101445"/>
    <x v="747"/>
    <x v="0"/>
    <x v="1"/>
    <x v="1"/>
    <n v="230"/>
    <n v="697.81"/>
    <x v="1"/>
    <n v="5"/>
    <n v="467.80999999999898"/>
    <x v="7"/>
  </r>
  <r>
    <s v="TRX-101446"/>
    <x v="688"/>
    <x v="4"/>
    <x v="5"/>
    <x v="1"/>
    <n v="205"/>
    <n v="329.05"/>
    <x v="2"/>
    <n v="45"/>
    <n v="124.05"/>
    <x v="2"/>
  </r>
  <r>
    <s v="TRX-101447"/>
    <x v="106"/>
    <x v="3"/>
    <x v="3"/>
    <x v="1"/>
    <n v="121"/>
    <n v="248.38"/>
    <x v="2"/>
    <n v="43"/>
    <n v="127.38"/>
    <x v="8"/>
  </r>
  <r>
    <s v="TRX-101448"/>
    <x v="748"/>
    <x v="3"/>
    <x v="0"/>
    <x v="1"/>
    <n v="111"/>
    <n v="272.45999999999998"/>
    <x v="2"/>
    <n v="10"/>
    <n v="161.45999999999901"/>
    <x v="9"/>
  </r>
  <r>
    <s v="TRX-101449"/>
    <x v="749"/>
    <x v="3"/>
    <x v="8"/>
    <x v="0"/>
    <n v="131"/>
    <n v="86.18"/>
    <x v="2"/>
    <n v="58"/>
    <n v="-44.819999999999901"/>
    <x v="7"/>
  </r>
  <r>
    <s v="TRX-101450"/>
    <x v="750"/>
    <x v="2"/>
    <x v="5"/>
    <x v="0"/>
    <n v="216"/>
    <n v="186.39"/>
    <x v="2"/>
    <n v="40"/>
    <n v="-29.61"/>
    <x v="6"/>
  </r>
  <r>
    <s v="TRX-101451"/>
    <x v="333"/>
    <x v="3"/>
    <x v="2"/>
    <x v="1"/>
    <n v="134"/>
    <n v="242.95"/>
    <x v="3"/>
    <n v="55"/>
    <n v="108.94999999999899"/>
    <x v="10"/>
  </r>
  <r>
    <s v="TRX-101452"/>
    <x v="133"/>
    <x v="2"/>
    <x v="2"/>
    <x v="2"/>
    <n v="216"/>
    <n v="211.05"/>
    <x v="1"/>
    <n v="14"/>
    <n v="-4.9499999999999797"/>
    <x v="3"/>
  </r>
  <r>
    <s v="TRX-101453"/>
    <x v="662"/>
    <x v="2"/>
    <x v="3"/>
    <x v="1"/>
    <n v="223"/>
    <n v="343.94"/>
    <x v="0"/>
    <n v="6"/>
    <n v="120.94"/>
    <x v="7"/>
  </r>
  <r>
    <s v="TRX-101454"/>
    <x v="201"/>
    <x v="3"/>
    <x v="5"/>
    <x v="1"/>
    <n v="121"/>
    <n v="216.18"/>
    <x v="3"/>
    <n v="6"/>
    <n v="95.18"/>
    <x v="10"/>
  </r>
  <r>
    <s v="TRX-101455"/>
    <x v="751"/>
    <x v="4"/>
    <x v="3"/>
    <x v="2"/>
    <n v="209"/>
    <n v="240.57"/>
    <x v="1"/>
    <n v="13"/>
    <n v="31.569999999999901"/>
    <x v="6"/>
  </r>
  <r>
    <s v="TRX-101456"/>
    <x v="610"/>
    <x v="0"/>
    <x v="1"/>
    <x v="1"/>
    <n v="226"/>
    <n v="691.84"/>
    <x v="2"/>
    <n v="60"/>
    <n v="465.84"/>
    <x v="5"/>
  </r>
  <r>
    <s v="TRX-101457"/>
    <x v="44"/>
    <x v="0"/>
    <x v="1"/>
    <x v="2"/>
    <n v="230"/>
    <n v="270.92"/>
    <x v="1"/>
    <n v="13"/>
    <n v="40.92"/>
    <x v="5"/>
  </r>
  <r>
    <s v="TRX-101458"/>
    <x v="613"/>
    <x v="4"/>
    <x v="2"/>
    <x v="2"/>
    <n v="207"/>
    <n v="192.15"/>
    <x v="2"/>
    <n v="20"/>
    <n v="-14.8499999999999"/>
    <x v="10"/>
  </r>
  <r>
    <s v="TRX-101459"/>
    <x v="434"/>
    <x v="4"/>
    <x v="3"/>
    <x v="2"/>
    <n v="203"/>
    <n v="247.08"/>
    <x v="2"/>
    <n v="6"/>
    <n v="44.08"/>
    <x v="4"/>
  </r>
  <r>
    <s v="TRX-101460"/>
    <x v="592"/>
    <x v="0"/>
    <x v="7"/>
    <x v="2"/>
    <n v="226"/>
    <n v="212.57"/>
    <x v="0"/>
    <n v="6"/>
    <n v="-13.43"/>
    <x v="10"/>
  </r>
  <r>
    <s v="TRX-101461"/>
    <x v="752"/>
    <x v="3"/>
    <x v="0"/>
    <x v="1"/>
    <n v="114"/>
    <n v="276.66000000000003"/>
    <x v="4"/>
    <n v="8"/>
    <n v="162.66"/>
    <x v="6"/>
  </r>
  <r>
    <s v="TRX-101462"/>
    <x v="171"/>
    <x v="3"/>
    <x v="6"/>
    <x v="2"/>
    <n v="140"/>
    <n v="143.5"/>
    <x v="2"/>
    <n v="22"/>
    <n v="3.5"/>
    <x v="11"/>
  </r>
  <r>
    <s v="TRX-101463"/>
    <x v="554"/>
    <x v="0"/>
    <x v="6"/>
    <x v="0"/>
    <n v="225"/>
    <n v="178.9"/>
    <x v="4"/>
    <n v="44"/>
    <n v="-46.099999999999902"/>
    <x v="6"/>
  </r>
  <r>
    <s v="TRX-101464"/>
    <x v="753"/>
    <x v="3"/>
    <x v="2"/>
    <x v="1"/>
    <n v="127"/>
    <n v="254.37"/>
    <x v="2"/>
    <n v="20"/>
    <n v="127.37"/>
    <x v="4"/>
  </r>
  <r>
    <s v="TRX-101465"/>
    <x v="578"/>
    <x v="3"/>
    <x v="3"/>
    <x v="2"/>
    <n v="129"/>
    <n v="152.69999999999999"/>
    <x v="2"/>
    <n v="38"/>
    <n v="23.6999999999999"/>
    <x v="8"/>
  </r>
  <r>
    <s v="TRX-101466"/>
    <x v="567"/>
    <x v="1"/>
    <x v="2"/>
    <x v="0"/>
    <n v="173"/>
    <n v="145.79"/>
    <x v="1"/>
    <n v="7"/>
    <n v="-27.21"/>
    <x v="5"/>
  </r>
  <r>
    <s v="TRX-101467"/>
    <x v="467"/>
    <x v="2"/>
    <x v="2"/>
    <x v="1"/>
    <n v="220"/>
    <n v="551.75"/>
    <x v="1"/>
    <n v="6"/>
    <n v="331.75"/>
    <x v="5"/>
  </r>
  <r>
    <s v="TRX-101468"/>
    <x v="566"/>
    <x v="3"/>
    <x v="6"/>
    <x v="0"/>
    <n v="140"/>
    <n v="107.37"/>
    <x v="4"/>
    <n v="34"/>
    <n v="-32.629999999999903"/>
    <x v="8"/>
  </r>
  <r>
    <s v="TRX-101469"/>
    <x v="385"/>
    <x v="1"/>
    <x v="8"/>
    <x v="0"/>
    <n v="190"/>
    <n v="113.33"/>
    <x v="4"/>
    <n v="46"/>
    <n v="-76.67"/>
    <x v="4"/>
  </r>
  <r>
    <s v="TRX-101470"/>
    <x v="534"/>
    <x v="4"/>
    <x v="4"/>
    <x v="2"/>
    <n v="201"/>
    <n v="225.3"/>
    <x v="1"/>
    <n v="14"/>
    <n v="24.3"/>
    <x v="4"/>
  </r>
  <r>
    <s v="TRX-101471"/>
    <x v="302"/>
    <x v="0"/>
    <x v="3"/>
    <x v="2"/>
    <n v="226"/>
    <n v="328.64"/>
    <x v="3"/>
    <n v="15"/>
    <n v="102.63999999999901"/>
    <x v="1"/>
  </r>
  <r>
    <s v="TRX-101472"/>
    <x v="123"/>
    <x v="2"/>
    <x v="2"/>
    <x v="1"/>
    <n v="215"/>
    <n v="628.88"/>
    <x v="1"/>
    <n v="10"/>
    <n v="413.88"/>
    <x v="9"/>
  </r>
  <r>
    <s v="TRX-101473"/>
    <x v="297"/>
    <x v="1"/>
    <x v="7"/>
    <x v="2"/>
    <n v="181"/>
    <n v="214.9"/>
    <x v="3"/>
    <n v="39"/>
    <n v="33.9"/>
    <x v="3"/>
  </r>
  <r>
    <s v="TRX-101474"/>
    <x v="317"/>
    <x v="2"/>
    <x v="2"/>
    <x v="2"/>
    <n v="224"/>
    <n v="264"/>
    <x v="4"/>
    <n v="16"/>
    <n v="40"/>
    <x v="6"/>
  </r>
  <r>
    <s v="TRX-101475"/>
    <x v="627"/>
    <x v="3"/>
    <x v="1"/>
    <x v="2"/>
    <n v="122"/>
    <n v="125.34"/>
    <x v="1"/>
    <n v="14"/>
    <n v="3.34"/>
    <x v="5"/>
  </r>
  <r>
    <s v="TRX-101476"/>
    <x v="754"/>
    <x v="2"/>
    <x v="0"/>
    <x v="2"/>
    <n v="216"/>
    <n v="286.73"/>
    <x v="4"/>
    <n v="35"/>
    <n v="70.73"/>
    <x v="11"/>
  </r>
  <r>
    <s v="TRX-101477"/>
    <x v="12"/>
    <x v="2"/>
    <x v="6"/>
    <x v="0"/>
    <n v="210"/>
    <n v="175.38"/>
    <x v="1"/>
    <n v="3"/>
    <n v="-34.619999999999997"/>
    <x v="7"/>
  </r>
  <r>
    <s v="TRX-101478"/>
    <x v="2"/>
    <x v="4"/>
    <x v="3"/>
    <x v="0"/>
    <n v="209"/>
    <n v="145.25"/>
    <x v="4"/>
    <n v="12"/>
    <n v="-63.75"/>
    <x v="1"/>
  </r>
  <r>
    <s v="TRX-101479"/>
    <x v="256"/>
    <x v="2"/>
    <x v="0"/>
    <x v="1"/>
    <n v="212"/>
    <n v="659.22"/>
    <x v="4"/>
    <n v="56"/>
    <n v="447.22"/>
    <x v="3"/>
  </r>
  <r>
    <s v="TRX-101480"/>
    <x v="755"/>
    <x v="0"/>
    <x v="5"/>
    <x v="1"/>
    <n v="226"/>
    <n v="616.01"/>
    <x v="3"/>
    <n v="50"/>
    <n v="390.01"/>
    <x v="9"/>
  </r>
  <r>
    <s v="TRX-101481"/>
    <x v="277"/>
    <x v="3"/>
    <x v="7"/>
    <x v="2"/>
    <n v="138"/>
    <n v="203.43"/>
    <x v="2"/>
    <n v="48"/>
    <n v="65.430000000000007"/>
    <x v="9"/>
  </r>
  <r>
    <s v="TRX-101482"/>
    <x v="526"/>
    <x v="0"/>
    <x v="7"/>
    <x v="1"/>
    <n v="229"/>
    <n v="412.71"/>
    <x v="4"/>
    <n v="37"/>
    <n v="183.70999999999901"/>
    <x v="3"/>
  </r>
  <r>
    <s v="TRX-101483"/>
    <x v="559"/>
    <x v="3"/>
    <x v="7"/>
    <x v="1"/>
    <n v="120"/>
    <n v="156.29"/>
    <x v="2"/>
    <n v="19"/>
    <n v="36.2899999999999"/>
    <x v="8"/>
  </r>
  <r>
    <s v="TRX-101484"/>
    <x v="714"/>
    <x v="4"/>
    <x v="0"/>
    <x v="0"/>
    <n v="201"/>
    <n v="102.68"/>
    <x v="4"/>
    <n v="55"/>
    <n v="-98.32"/>
    <x v="10"/>
  </r>
  <r>
    <s v="TRX-101485"/>
    <x v="28"/>
    <x v="3"/>
    <x v="1"/>
    <x v="1"/>
    <n v="120"/>
    <n v="297.26"/>
    <x v="0"/>
    <n v="1"/>
    <n v="177.26"/>
    <x v="4"/>
  </r>
  <r>
    <s v="TRX-101486"/>
    <x v="168"/>
    <x v="0"/>
    <x v="1"/>
    <x v="1"/>
    <n v="225"/>
    <n v="375.81"/>
    <x v="4"/>
    <n v="18"/>
    <n v="150.81"/>
    <x v="5"/>
  </r>
  <r>
    <s v="TRX-101487"/>
    <x v="756"/>
    <x v="4"/>
    <x v="4"/>
    <x v="1"/>
    <n v="202"/>
    <n v="508.03"/>
    <x v="3"/>
    <n v="42"/>
    <n v="306.02999999999997"/>
    <x v="8"/>
  </r>
  <r>
    <s v="TRX-101488"/>
    <x v="306"/>
    <x v="0"/>
    <x v="3"/>
    <x v="0"/>
    <n v="227"/>
    <n v="129.47999999999999"/>
    <x v="3"/>
    <n v="49"/>
    <n v="-97.52"/>
    <x v="7"/>
  </r>
  <r>
    <s v="TRX-101489"/>
    <x v="757"/>
    <x v="4"/>
    <x v="0"/>
    <x v="1"/>
    <n v="203"/>
    <n v="331.93"/>
    <x v="3"/>
    <n v="22"/>
    <n v="128.93"/>
    <x v="2"/>
  </r>
  <r>
    <s v="TRX-101490"/>
    <x v="224"/>
    <x v="1"/>
    <x v="4"/>
    <x v="1"/>
    <n v="174"/>
    <n v="321.93"/>
    <x v="2"/>
    <n v="21"/>
    <n v="147.93"/>
    <x v="3"/>
  </r>
  <r>
    <s v="TRX-101491"/>
    <x v="266"/>
    <x v="2"/>
    <x v="3"/>
    <x v="2"/>
    <n v="220"/>
    <n v="319.39"/>
    <x v="0"/>
    <n v="3"/>
    <n v="99.389999999999901"/>
    <x v="0"/>
  </r>
  <r>
    <s v="TRX-101492"/>
    <x v="386"/>
    <x v="2"/>
    <x v="4"/>
    <x v="1"/>
    <n v="213"/>
    <n v="535.9"/>
    <x v="3"/>
    <n v="43"/>
    <n v="322.89999999999998"/>
    <x v="8"/>
  </r>
  <r>
    <s v="TRX-101493"/>
    <x v="758"/>
    <x v="1"/>
    <x v="7"/>
    <x v="1"/>
    <n v="173"/>
    <n v="224.12"/>
    <x v="2"/>
    <n v="48"/>
    <n v="51.12"/>
    <x v="3"/>
  </r>
  <r>
    <s v="TRX-101494"/>
    <x v="603"/>
    <x v="0"/>
    <x v="5"/>
    <x v="0"/>
    <n v="230"/>
    <n v="151.78"/>
    <x v="4"/>
    <n v="21"/>
    <n v="-78.22"/>
    <x v="10"/>
  </r>
  <r>
    <s v="TRX-101495"/>
    <x v="267"/>
    <x v="3"/>
    <x v="1"/>
    <x v="0"/>
    <n v="129"/>
    <n v="105.9"/>
    <x v="4"/>
    <n v="26"/>
    <n v="-23.099999999999898"/>
    <x v="2"/>
  </r>
  <r>
    <s v="TRX-101496"/>
    <x v="759"/>
    <x v="2"/>
    <x v="6"/>
    <x v="1"/>
    <n v="222"/>
    <n v="314.08999999999997"/>
    <x v="0"/>
    <n v="4"/>
    <n v="92.089999999999904"/>
    <x v="7"/>
  </r>
  <r>
    <s v="TRX-101497"/>
    <x v="461"/>
    <x v="1"/>
    <x v="7"/>
    <x v="0"/>
    <n v="175"/>
    <n v="142.61000000000001"/>
    <x v="3"/>
    <n v="25"/>
    <n v="-32.389999999999901"/>
    <x v="6"/>
  </r>
  <r>
    <s v="TRX-101498"/>
    <x v="92"/>
    <x v="4"/>
    <x v="6"/>
    <x v="0"/>
    <n v="200"/>
    <n v="102.72"/>
    <x v="0"/>
    <n v="7"/>
    <n v="-97.28"/>
    <x v="5"/>
  </r>
  <r>
    <s v="TRX-101499"/>
    <x v="489"/>
    <x v="3"/>
    <x v="6"/>
    <x v="2"/>
    <n v="119"/>
    <n v="137.76"/>
    <x v="3"/>
    <n v="60"/>
    <n v="18.759999999999899"/>
    <x v="4"/>
  </r>
  <r>
    <s v="TRX-101500"/>
    <x v="199"/>
    <x v="2"/>
    <x v="0"/>
    <x v="2"/>
    <n v="218"/>
    <n v="257.41000000000003"/>
    <x v="2"/>
    <n v="48"/>
    <n v="39.409999999999997"/>
    <x v="8"/>
  </r>
  <r>
    <s v="TRX-101501"/>
    <x v="760"/>
    <x v="0"/>
    <x v="7"/>
    <x v="0"/>
    <n v="226"/>
    <n v="170.07"/>
    <x v="4"/>
    <n v="20"/>
    <n v="-55.93"/>
    <x v="3"/>
  </r>
  <r>
    <s v="TRX-101502"/>
    <x v="55"/>
    <x v="2"/>
    <x v="1"/>
    <x v="2"/>
    <n v="221"/>
    <n v="272.06"/>
    <x v="1"/>
    <n v="8"/>
    <n v="51.06"/>
    <x v="0"/>
  </r>
  <r>
    <s v="TRX-101503"/>
    <x v="595"/>
    <x v="1"/>
    <x v="7"/>
    <x v="1"/>
    <n v="189"/>
    <n v="525.84"/>
    <x v="1"/>
    <n v="8"/>
    <n v="336.84"/>
    <x v="0"/>
  </r>
  <r>
    <s v="TRX-101504"/>
    <x v="761"/>
    <x v="2"/>
    <x v="4"/>
    <x v="2"/>
    <n v="221"/>
    <n v="318.55"/>
    <x v="0"/>
    <n v="11"/>
    <n v="97.55"/>
    <x v="3"/>
  </r>
  <r>
    <s v="TRX-101505"/>
    <x v="762"/>
    <x v="0"/>
    <x v="3"/>
    <x v="0"/>
    <n v="226"/>
    <n v="150.97999999999999"/>
    <x v="4"/>
    <n v="55"/>
    <n v="-75.02"/>
    <x v="4"/>
  </r>
  <r>
    <s v="TRX-101506"/>
    <x v="712"/>
    <x v="1"/>
    <x v="3"/>
    <x v="2"/>
    <n v="173"/>
    <n v="214.17"/>
    <x v="4"/>
    <n v="41"/>
    <n v="41.169999999999902"/>
    <x v="11"/>
  </r>
  <r>
    <s v="TRX-101507"/>
    <x v="406"/>
    <x v="3"/>
    <x v="8"/>
    <x v="0"/>
    <n v="129"/>
    <n v="83.3"/>
    <x v="4"/>
    <n v="52"/>
    <n v="-45.7"/>
    <x v="3"/>
  </r>
  <r>
    <s v="TRX-101508"/>
    <x v="124"/>
    <x v="4"/>
    <x v="0"/>
    <x v="1"/>
    <n v="207"/>
    <n v="716.09"/>
    <x v="4"/>
    <n v="54"/>
    <n v="509.09"/>
    <x v="4"/>
  </r>
  <r>
    <s v="TRX-101509"/>
    <x v="325"/>
    <x v="0"/>
    <x v="0"/>
    <x v="1"/>
    <n v="227"/>
    <n v="518.14"/>
    <x v="4"/>
    <n v="25"/>
    <n v="291.14"/>
    <x v="3"/>
  </r>
  <r>
    <s v="TRX-101510"/>
    <x v="413"/>
    <x v="3"/>
    <x v="1"/>
    <x v="0"/>
    <n v="124"/>
    <n v="105.6"/>
    <x v="1"/>
    <n v="5"/>
    <n v="-18.399999999999999"/>
    <x v="0"/>
  </r>
  <r>
    <s v="TRX-101511"/>
    <x v="763"/>
    <x v="0"/>
    <x v="4"/>
    <x v="1"/>
    <n v="225"/>
    <n v="714.33"/>
    <x v="2"/>
    <n v="20"/>
    <n v="489.33"/>
    <x v="4"/>
  </r>
  <r>
    <s v="TRX-101512"/>
    <x v="764"/>
    <x v="0"/>
    <x v="3"/>
    <x v="2"/>
    <n v="226"/>
    <n v="257.19"/>
    <x v="0"/>
    <n v="1"/>
    <n v="31.189999999999898"/>
    <x v="5"/>
  </r>
  <r>
    <s v="TRX-101513"/>
    <x v="376"/>
    <x v="0"/>
    <x v="3"/>
    <x v="2"/>
    <n v="228"/>
    <n v="331.74"/>
    <x v="2"/>
    <n v="46"/>
    <n v="103.74"/>
    <x v="6"/>
  </r>
  <r>
    <s v="TRX-101514"/>
    <x v="307"/>
    <x v="0"/>
    <x v="0"/>
    <x v="2"/>
    <n v="229"/>
    <n v="304.62"/>
    <x v="4"/>
    <n v="13"/>
    <n v="75.62"/>
    <x v="9"/>
  </r>
  <r>
    <s v="TRX-101515"/>
    <x v="222"/>
    <x v="3"/>
    <x v="6"/>
    <x v="1"/>
    <n v="127"/>
    <n v="296.99"/>
    <x v="4"/>
    <n v="27"/>
    <n v="169.99"/>
    <x v="9"/>
  </r>
  <r>
    <s v="TRX-101516"/>
    <x v="765"/>
    <x v="2"/>
    <x v="4"/>
    <x v="1"/>
    <n v="217"/>
    <n v="719.59"/>
    <x v="4"/>
    <n v="23"/>
    <n v="502.59"/>
    <x v="10"/>
  </r>
  <r>
    <s v="TRX-101517"/>
    <x v="291"/>
    <x v="4"/>
    <x v="0"/>
    <x v="0"/>
    <n v="207"/>
    <n v="153.28"/>
    <x v="3"/>
    <n v="59"/>
    <n v="-53.72"/>
    <x v="1"/>
  </r>
  <r>
    <s v="TRX-101518"/>
    <x v="70"/>
    <x v="4"/>
    <x v="7"/>
    <x v="2"/>
    <n v="209"/>
    <n v="201.15"/>
    <x v="4"/>
    <n v="36"/>
    <n v="-7.8499999999999899"/>
    <x v="2"/>
  </r>
  <r>
    <s v="TRX-101519"/>
    <x v="680"/>
    <x v="1"/>
    <x v="3"/>
    <x v="0"/>
    <n v="183"/>
    <n v="164.5"/>
    <x v="4"/>
    <n v="45"/>
    <n v="-18.5"/>
    <x v="4"/>
  </r>
  <r>
    <s v="TRX-101520"/>
    <x v="234"/>
    <x v="4"/>
    <x v="8"/>
    <x v="1"/>
    <n v="204"/>
    <n v="307.33999999999997"/>
    <x v="0"/>
    <n v="1"/>
    <n v="103.33999999999899"/>
    <x v="6"/>
  </r>
  <r>
    <s v="TRX-101521"/>
    <x v="766"/>
    <x v="3"/>
    <x v="7"/>
    <x v="0"/>
    <n v="127"/>
    <n v="112.72"/>
    <x v="0"/>
    <n v="8"/>
    <n v="-14.28"/>
    <x v="5"/>
  </r>
  <r>
    <s v="TRX-101522"/>
    <x v="629"/>
    <x v="2"/>
    <x v="4"/>
    <x v="1"/>
    <n v="223"/>
    <n v="285.36"/>
    <x v="0"/>
    <n v="8"/>
    <n v="62.36"/>
    <x v="9"/>
  </r>
  <r>
    <s v="TRX-101523"/>
    <x v="367"/>
    <x v="0"/>
    <x v="5"/>
    <x v="0"/>
    <n v="230"/>
    <n v="120.63"/>
    <x v="4"/>
    <n v="48"/>
    <n v="-109.37"/>
    <x v="8"/>
  </r>
  <r>
    <s v="TRX-101524"/>
    <x v="296"/>
    <x v="0"/>
    <x v="8"/>
    <x v="1"/>
    <n v="226"/>
    <n v="415.99"/>
    <x v="3"/>
    <n v="43"/>
    <n v="189.99"/>
    <x v="8"/>
  </r>
  <r>
    <s v="TRX-101525"/>
    <x v="160"/>
    <x v="1"/>
    <x v="8"/>
    <x v="0"/>
    <n v="189"/>
    <n v="160.52000000000001"/>
    <x v="4"/>
    <n v="49"/>
    <n v="-28.479999999999901"/>
    <x v="10"/>
  </r>
  <r>
    <s v="TRX-101526"/>
    <x v="79"/>
    <x v="3"/>
    <x v="2"/>
    <x v="0"/>
    <n v="136"/>
    <n v="95.87"/>
    <x v="4"/>
    <n v="44"/>
    <n v="-40.129999999999903"/>
    <x v="4"/>
  </r>
  <r>
    <s v="TRX-101527"/>
    <x v="641"/>
    <x v="4"/>
    <x v="3"/>
    <x v="1"/>
    <n v="201"/>
    <n v="448.45"/>
    <x v="1"/>
    <n v="12"/>
    <n v="247.45"/>
    <x v="5"/>
  </r>
  <r>
    <s v="TRX-101528"/>
    <x v="430"/>
    <x v="3"/>
    <x v="4"/>
    <x v="0"/>
    <n v="128"/>
    <n v="91.26"/>
    <x v="0"/>
    <n v="13"/>
    <n v="-36.739999999999903"/>
    <x v="3"/>
  </r>
  <r>
    <s v="TRX-101529"/>
    <x v="257"/>
    <x v="0"/>
    <x v="0"/>
    <x v="0"/>
    <n v="228"/>
    <n v="188.39"/>
    <x v="1"/>
    <n v="8"/>
    <n v="-39.61"/>
    <x v="6"/>
  </r>
  <r>
    <s v="TRX-101530"/>
    <x v="416"/>
    <x v="3"/>
    <x v="3"/>
    <x v="2"/>
    <n v="128"/>
    <n v="133.15"/>
    <x v="0"/>
    <n v="11"/>
    <n v="5.15"/>
    <x v="5"/>
  </r>
  <r>
    <s v="TRX-101531"/>
    <x v="85"/>
    <x v="4"/>
    <x v="3"/>
    <x v="2"/>
    <n v="206"/>
    <n v="258.61"/>
    <x v="2"/>
    <n v="35"/>
    <n v="52.61"/>
    <x v="1"/>
  </r>
  <r>
    <s v="TRX-101532"/>
    <x v="767"/>
    <x v="4"/>
    <x v="0"/>
    <x v="1"/>
    <n v="202"/>
    <n v="297.88"/>
    <x v="3"/>
    <n v="31"/>
    <n v="95.88"/>
    <x v="11"/>
  </r>
  <r>
    <s v="TRX-101533"/>
    <x v="377"/>
    <x v="3"/>
    <x v="4"/>
    <x v="1"/>
    <n v="127"/>
    <n v="206.11"/>
    <x v="3"/>
    <n v="52"/>
    <n v="79.11"/>
    <x v="11"/>
  </r>
  <r>
    <s v="TRX-101534"/>
    <x v="119"/>
    <x v="0"/>
    <x v="6"/>
    <x v="0"/>
    <n v="227"/>
    <n v="117.2"/>
    <x v="2"/>
    <n v="45"/>
    <n v="-109.8"/>
    <x v="6"/>
  </r>
  <r>
    <s v="TRX-101535"/>
    <x v="20"/>
    <x v="3"/>
    <x v="8"/>
    <x v="1"/>
    <n v="114"/>
    <n v="352.41"/>
    <x v="1"/>
    <n v="13"/>
    <n v="238.41"/>
    <x v="10"/>
  </r>
  <r>
    <s v="TRX-101536"/>
    <x v="768"/>
    <x v="1"/>
    <x v="1"/>
    <x v="1"/>
    <n v="174"/>
    <n v="564.07000000000005"/>
    <x v="0"/>
    <n v="12"/>
    <n v="390.07"/>
    <x v="4"/>
  </r>
  <r>
    <s v="TRX-101537"/>
    <x v="105"/>
    <x v="1"/>
    <x v="7"/>
    <x v="1"/>
    <n v="172"/>
    <n v="317.86"/>
    <x v="1"/>
    <n v="4"/>
    <n v="145.86000000000001"/>
    <x v="2"/>
  </r>
  <r>
    <s v="TRX-101538"/>
    <x v="698"/>
    <x v="2"/>
    <x v="6"/>
    <x v="0"/>
    <n v="222"/>
    <n v="142.69999999999999"/>
    <x v="3"/>
    <n v="46"/>
    <n v="-79.3"/>
    <x v="11"/>
  </r>
  <r>
    <s v="TRX-101539"/>
    <x v="599"/>
    <x v="4"/>
    <x v="2"/>
    <x v="2"/>
    <n v="207"/>
    <n v="244.09"/>
    <x v="0"/>
    <n v="13"/>
    <n v="37.090000000000003"/>
    <x v="7"/>
  </r>
  <r>
    <s v="TRX-101540"/>
    <x v="769"/>
    <x v="0"/>
    <x v="3"/>
    <x v="1"/>
    <n v="226"/>
    <n v="511.59"/>
    <x v="0"/>
    <n v="1"/>
    <n v="285.58999999999997"/>
    <x v="10"/>
  </r>
  <r>
    <s v="TRX-101541"/>
    <x v="532"/>
    <x v="0"/>
    <x v="4"/>
    <x v="0"/>
    <n v="229"/>
    <n v="136.85"/>
    <x v="0"/>
    <n v="5"/>
    <n v="-92.15"/>
    <x v="8"/>
  </r>
  <r>
    <s v="TRX-101542"/>
    <x v="25"/>
    <x v="0"/>
    <x v="6"/>
    <x v="2"/>
    <n v="230"/>
    <n v="227.24"/>
    <x v="1"/>
    <n v="7"/>
    <n v="-2.75999999999999"/>
    <x v="11"/>
  </r>
  <r>
    <s v="TRX-101543"/>
    <x v="454"/>
    <x v="4"/>
    <x v="7"/>
    <x v="0"/>
    <n v="209"/>
    <n v="112.24"/>
    <x v="0"/>
    <n v="8"/>
    <n v="-96.76"/>
    <x v="8"/>
  </r>
  <r>
    <s v="TRX-101544"/>
    <x v="712"/>
    <x v="2"/>
    <x v="3"/>
    <x v="0"/>
    <n v="224"/>
    <n v="147.72"/>
    <x v="3"/>
    <n v="32"/>
    <n v="-76.28"/>
    <x v="11"/>
  </r>
  <r>
    <s v="TRX-101545"/>
    <x v="770"/>
    <x v="4"/>
    <x v="3"/>
    <x v="2"/>
    <n v="209"/>
    <n v="206.27"/>
    <x v="4"/>
    <n v="32"/>
    <n v="-2.72999999999998"/>
    <x v="0"/>
  </r>
  <r>
    <s v="TRX-101546"/>
    <x v="771"/>
    <x v="0"/>
    <x v="2"/>
    <x v="1"/>
    <n v="226"/>
    <n v="561.48"/>
    <x v="4"/>
    <n v="51"/>
    <n v="335.48"/>
    <x v="9"/>
  </r>
  <r>
    <s v="TRX-101547"/>
    <x v="741"/>
    <x v="1"/>
    <x v="3"/>
    <x v="1"/>
    <n v="179"/>
    <n v="541.76"/>
    <x v="4"/>
    <n v="54"/>
    <n v="362.76"/>
    <x v="11"/>
  </r>
  <r>
    <s v="TRX-101548"/>
    <x v="772"/>
    <x v="1"/>
    <x v="2"/>
    <x v="2"/>
    <n v="170"/>
    <n v="223.06"/>
    <x v="4"/>
    <n v="58"/>
    <n v="53.06"/>
    <x v="11"/>
  </r>
  <r>
    <s v="TRX-101549"/>
    <x v="471"/>
    <x v="2"/>
    <x v="2"/>
    <x v="2"/>
    <n v="213"/>
    <n v="261.74"/>
    <x v="1"/>
    <n v="14"/>
    <n v="48.74"/>
    <x v="10"/>
  </r>
  <r>
    <s v="TRX-101550"/>
    <x v="523"/>
    <x v="0"/>
    <x v="1"/>
    <x v="1"/>
    <n v="230"/>
    <n v="381.32"/>
    <x v="1"/>
    <n v="11"/>
    <n v="151.32"/>
    <x v="5"/>
  </r>
  <r>
    <s v="TRX-101551"/>
    <x v="773"/>
    <x v="3"/>
    <x v="3"/>
    <x v="2"/>
    <n v="124"/>
    <n v="153.5"/>
    <x v="4"/>
    <n v="54"/>
    <n v="29.5"/>
    <x v="6"/>
  </r>
  <r>
    <s v="TRX-101552"/>
    <x v="774"/>
    <x v="4"/>
    <x v="4"/>
    <x v="2"/>
    <n v="202"/>
    <n v="255.25"/>
    <x v="4"/>
    <n v="24"/>
    <n v="53.25"/>
    <x v="3"/>
  </r>
  <r>
    <s v="TRX-101553"/>
    <x v="56"/>
    <x v="3"/>
    <x v="1"/>
    <x v="0"/>
    <n v="135"/>
    <n v="90.75"/>
    <x v="4"/>
    <n v="5"/>
    <n v="-44.25"/>
    <x v="3"/>
  </r>
  <r>
    <s v="TRX-101554"/>
    <x v="16"/>
    <x v="1"/>
    <x v="6"/>
    <x v="0"/>
    <n v="188"/>
    <n v="111.89"/>
    <x v="0"/>
    <n v="1"/>
    <n v="-76.11"/>
    <x v="3"/>
  </r>
  <r>
    <s v="TRX-101555"/>
    <x v="775"/>
    <x v="1"/>
    <x v="8"/>
    <x v="0"/>
    <n v="186"/>
    <n v="166.92"/>
    <x v="2"/>
    <n v="30"/>
    <n v="-19.079999999999998"/>
    <x v="6"/>
  </r>
  <r>
    <s v="TRX-101556"/>
    <x v="776"/>
    <x v="1"/>
    <x v="2"/>
    <x v="1"/>
    <n v="177"/>
    <n v="418.78"/>
    <x v="2"/>
    <n v="18"/>
    <n v="241.77999999999901"/>
    <x v="5"/>
  </r>
  <r>
    <s v="TRX-101557"/>
    <x v="234"/>
    <x v="2"/>
    <x v="6"/>
    <x v="0"/>
    <n v="213"/>
    <n v="155.80000000000001"/>
    <x v="3"/>
    <n v="11"/>
    <n v="-57.199999999999903"/>
    <x v="6"/>
  </r>
  <r>
    <s v="TRX-101558"/>
    <x v="777"/>
    <x v="3"/>
    <x v="6"/>
    <x v="1"/>
    <n v="115"/>
    <n v="334.13"/>
    <x v="1"/>
    <n v="6"/>
    <n v="219.13"/>
    <x v="2"/>
  </r>
  <r>
    <s v="TRX-101559"/>
    <x v="282"/>
    <x v="2"/>
    <x v="0"/>
    <x v="0"/>
    <n v="214"/>
    <n v="168.89"/>
    <x v="2"/>
    <n v="26"/>
    <n v="-45.11"/>
    <x v="1"/>
  </r>
  <r>
    <s v="TRX-101560"/>
    <x v="195"/>
    <x v="4"/>
    <x v="2"/>
    <x v="2"/>
    <n v="206"/>
    <n v="274.38"/>
    <x v="2"/>
    <n v="14"/>
    <n v="68.38"/>
    <x v="5"/>
  </r>
  <r>
    <s v="TRX-101561"/>
    <x v="580"/>
    <x v="4"/>
    <x v="2"/>
    <x v="1"/>
    <n v="203"/>
    <n v="592.11"/>
    <x v="1"/>
    <n v="12"/>
    <n v="389.11"/>
    <x v="2"/>
  </r>
  <r>
    <s v="TRX-101562"/>
    <x v="749"/>
    <x v="3"/>
    <x v="1"/>
    <x v="2"/>
    <n v="129"/>
    <n v="147.79"/>
    <x v="4"/>
    <n v="52"/>
    <n v="18.7899999999999"/>
    <x v="7"/>
  </r>
  <r>
    <s v="TRX-101563"/>
    <x v="508"/>
    <x v="0"/>
    <x v="1"/>
    <x v="1"/>
    <n v="226"/>
    <n v="292.91000000000003"/>
    <x v="0"/>
    <n v="4"/>
    <n v="66.91"/>
    <x v="4"/>
  </r>
  <r>
    <s v="TRX-101564"/>
    <x v="486"/>
    <x v="2"/>
    <x v="4"/>
    <x v="2"/>
    <n v="223"/>
    <n v="243.43"/>
    <x v="2"/>
    <n v="37"/>
    <n v="20.43"/>
    <x v="11"/>
  </r>
  <r>
    <s v="TRX-101565"/>
    <x v="64"/>
    <x v="0"/>
    <x v="5"/>
    <x v="2"/>
    <n v="227"/>
    <n v="221"/>
    <x v="2"/>
    <n v="21"/>
    <n v="-6"/>
    <x v="2"/>
  </r>
  <r>
    <s v="TRX-101566"/>
    <x v="762"/>
    <x v="4"/>
    <x v="6"/>
    <x v="0"/>
    <n v="208"/>
    <n v="144.27000000000001"/>
    <x v="4"/>
    <n v="60"/>
    <n v="-63.729999999999897"/>
    <x v="4"/>
  </r>
  <r>
    <s v="TRX-101567"/>
    <x v="778"/>
    <x v="2"/>
    <x v="1"/>
    <x v="2"/>
    <n v="220"/>
    <n v="286.22000000000003"/>
    <x v="1"/>
    <n v="14"/>
    <n v="66.22"/>
    <x v="4"/>
  </r>
  <r>
    <s v="TRX-101568"/>
    <x v="779"/>
    <x v="0"/>
    <x v="7"/>
    <x v="1"/>
    <n v="226"/>
    <n v="460.05"/>
    <x v="1"/>
    <n v="6"/>
    <n v="234.05"/>
    <x v="10"/>
  </r>
  <r>
    <s v="TRX-101569"/>
    <x v="45"/>
    <x v="4"/>
    <x v="2"/>
    <x v="1"/>
    <n v="203"/>
    <n v="251.01"/>
    <x v="0"/>
    <n v="3"/>
    <n v="48.009999999999899"/>
    <x v="6"/>
  </r>
  <r>
    <s v="TRX-101570"/>
    <x v="127"/>
    <x v="3"/>
    <x v="4"/>
    <x v="1"/>
    <n v="127"/>
    <n v="183.4"/>
    <x v="4"/>
    <n v="17"/>
    <n v="56.4"/>
    <x v="1"/>
  </r>
  <r>
    <s v="TRX-101571"/>
    <x v="613"/>
    <x v="1"/>
    <x v="1"/>
    <x v="0"/>
    <n v="189"/>
    <n v="154.13999999999999"/>
    <x v="3"/>
    <n v="33"/>
    <n v="-34.86"/>
    <x v="10"/>
  </r>
  <r>
    <s v="TRX-101572"/>
    <x v="720"/>
    <x v="1"/>
    <x v="8"/>
    <x v="0"/>
    <n v="174"/>
    <n v="115.15"/>
    <x v="2"/>
    <n v="53"/>
    <n v="-58.849999999999902"/>
    <x v="9"/>
  </r>
  <r>
    <s v="TRX-101573"/>
    <x v="502"/>
    <x v="2"/>
    <x v="3"/>
    <x v="0"/>
    <n v="220"/>
    <n v="162.74"/>
    <x v="4"/>
    <n v="11"/>
    <n v="-57.259999999999899"/>
    <x v="0"/>
  </r>
  <r>
    <s v="TRX-101574"/>
    <x v="780"/>
    <x v="0"/>
    <x v="4"/>
    <x v="2"/>
    <n v="229"/>
    <n v="222.78"/>
    <x v="1"/>
    <n v="13"/>
    <n v="-6.21999999999999"/>
    <x v="2"/>
  </r>
  <r>
    <s v="TRX-101575"/>
    <x v="497"/>
    <x v="1"/>
    <x v="3"/>
    <x v="2"/>
    <n v="174"/>
    <n v="226.2"/>
    <x v="2"/>
    <n v="46"/>
    <n v="52.199999999999903"/>
    <x v="9"/>
  </r>
  <r>
    <s v="TRX-101576"/>
    <x v="677"/>
    <x v="0"/>
    <x v="5"/>
    <x v="0"/>
    <n v="230"/>
    <n v="164.6"/>
    <x v="4"/>
    <n v="31"/>
    <n v="-65.400000000000006"/>
    <x v="1"/>
  </r>
  <r>
    <s v="TRX-101577"/>
    <x v="781"/>
    <x v="3"/>
    <x v="7"/>
    <x v="0"/>
    <n v="138"/>
    <n v="100.67"/>
    <x v="1"/>
    <n v="7"/>
    <n v="-37.33"/>
    <x v="3"/>
  </r>
  <r>
    <s v="TRX-101578"/>
    <x v="745"/>
    <x v="1"/>
    <x v="8"/>
    <x v="1"/>
    <n v="170"/>
    <n v="299.88"/>
    <x v="4"/>
    <n v="18"/>
    <n v="129.88"/>
    <x v="11"/>
  </r>
  <r>
    <s v="TRX-101579"/>
    <x v="143"/>
    <x v="1"/>
    <x v="5"/>
    <x v="2"/>
    <n v="175"/>
    <n v="259.14999999999998"/>
    <x v="1"/>
    <n v="3"/>
    <n v="84.149999999999906"/>
    <x v="7"/>
  </r>
  <r>
    <s v="TRX-101580"/>
    <x v="694"/>
    <x v="3"/>
    <x v="1"/>
    <x v="1"/>
    <n v="112"/>
    <n v="308.25"/>
    <x v="1"/>
    <n v="4"/>
    <n v="196.25"/>
    <x v="4"/>
  </r>
  <r>
    <s v="TRX-101581"/>
    <x v="782"/>
    <x v="1"/>
    <x v="1"/>
    <x v="1"/>
    <n v="186"/>
    <n v="320.7"/>
    <x v="0"/>
    <n v="2"/>
    <n v="134.69999999999999"/>
    <x v="2"/>
  </r>
  <r>
    <s v="TRX-101582"/>
    <x v="731"/>
    <x v="2"/>
    <x v="7"/>
    <x v="2"/>
    <n v="212"/>
    <n v="237.23"/>
    <x v="0"/>
    <n v="8"/>
    <n v="25.229999999999901"/>
    <x v="7"/>
  </r>
  <r>
    <s v="TRX-101583"/>
    <x v="783"/>
    <x v="4"/>
    <x v="5"/>
    <x v="0"/>
    <n v="202"/>
    <n v="159.27000000000001"/>
    <x v="1"/>
    <n v="3"/>
    <n v="-42.729999999999897"/>
    <x v="4"/>
  </r>
  <r>
    <s v="TRX-101584"/>
    <x v="746"/>
    <x v="3"/>
    <x v="3"/>
    <x v="0"/>
    <n v="127"/>
    <n v="105.2"/>
    <x v="4"/>
    <n v="50"/>
    <n v="-21.799999999999901"/>
    <x v="2"/>
  </r>
  <r>
    <s v="TRX-101585"/>
    <x v="118"/>
    <x v="2"/>
    <x v="7"/>
    <x v="0"/>
    <n v="215"/>
    <n v="109"/>
    <x v="4"/>
    <n v="28"/>
    <n v="-106"/>
    <x v="6"/>
  </r>
  <r>
    <s v="TRX-101586"/>
    <x v="26"/>
    <x v="0"/>
    <x v="2"/>
    <x v="0"/>
    <n v="227"/>
    <n v="137.11000000000001"/>
    <x v="2"/>
    <n v="26"/>
    <n v="-89.889999999999901"/>
    <x v="10"/>
  </r>
  <r>
    <s v="TRX-101587"/>
    <x v="201"/>
    <x v="2"/>
    <x v="5"/>
    <x v="1"/>
    <n v="222"/>
    <n v="612.16"/>
    <x v="2"/>
    <n v="39"/>
    <n v="390.159999999999"/>
    <x v="10"/>
  </r>
  <r>
    <s v="TRX-101588"/>
    <x v="784"/>
    <x v="3"/>
    <x v="8"/>
    <x v="1"/>
    <n v="129"/>
    <n v="262.29000000000002"/>
    <x v="3"/>
    <n v="47"/>
    <n v="133.29"/>
    <x v="11"/>
  </r>
  <r>
    <s v="TRX-101589"/>
    <x v="15"/>
    <x v="1"/>
    <x v="0"/>
    <x v="1"/>
    <n v="178"/>
    <n v="223.97"/>
    <x v="3"/>
    <n v="30"/>
    <n v="45.97"/>
    <x v="8"/>
  </r>
  <r>
    <s v="TRX-101590"/>
    <x v="39"/>
    <x v="3"/>
    <x v="8"/>
    <x v="1"/>
    <n v="122"/>
    <n v="399.26"/>
    <x v="3"/>
    <n v="10"/>
    <n v="277.26"/>
    <x v="11"/>
  </r>
  <r>
    <s v="TRX-101591"/>
    <x v="785"/>
    <x v="2"/>
    <x v="4"/>
    <x v="0"/>
    <n v="218"/>
    <n v="147.68"/>
    <x v="3"/>
    <n v="25"/>
    <n v="-70.319999999999993"/>
    <x v="5"/>
  </r>
  <r>
    <s v="TRX-101592"/>
    <x v="390"/>
    <x v="1"/>
    <x v="1"/>
    <x v="1"/>
    <n v="176"/>
    <n v="485.87"/>
    <x v="3"/>
    <n v="17"/>
    <n v="309.87"/>
    <x v="10"/>
  </r>
  <r>
    <s v="TRX-101593"/>
    <x v="730"/>
    <x v="2"/>
    <x v="1"/>
    <x v="0"/>
    <n v="222"/>
    <n v="145.02000000000001"/>
    <x v="3"/>
    <n v="19"/>
    <n v="-76.979999999999905"/>
    <x v="2"/>
  </r>
  <r>
    <s v="TRX-101594"/>
    <x v="591"/>
    <x v="4"/>
    <x v="7"/>
    <x v="0"/>
    <n v="205"/>
    <n v="112.95"/>
    <x v="3"/>
    <n v="42"/>
    <n v="-92.05"/>
    <x v="9"/>
  </r>
  <r>
    <s v="TRX-101595"/>
    <x v="786"/>
    <x v="2"/>
    <x v="3"/>
    <x v="1"/>
    <n v="223"/>
    <n v="389.57"/>
    <x v="1"/>
    <n v="7"/>
    <n v="166.57"/>
    <x v="5"/>
  </r>
  <r>
    <s v="TRX-101596"/>
    <x v="711"/>
    <x v="4"/>
    <x v="1"/>
    <x v="1"/>
    <n v="200"/>
    <n v="580.74"/>
    <x v="1"/>
    <n v="14"/>
    <n v="380.74"/>
    <x v="0"/>
  </r>
  <r>
    <s v="TRX-101597"/>
    <x v="616"/>
    <x v="2"/>
    <x v="8"/>
    <x v="0"/>
    <n v="217"/>
    <n v="149.75"/>
    <x v="1"/>
    <n v="14"/>
    <n v="-67.25"/>
    <x v="10"/>
  </r>
  <r>
    <s v="TRX-101598"/>
    <x v="335"/>
    <x v="4"/>
    <x v="8"/>
    <x v="2"/>
    <n v="203"/>
    <n v="284.67"/>
    <x v="2"/>
    <n v="38"/>
    <n v="81.67"/>
    <x v="11"/>
  </r>
  <r>
    <s v="TRX-101599"/>
    <x v="188"/>
    <x v="2"/>
    <x v="1"/>
    <x v="2"/>
    <n v="212"/>
    <n v="226.82"/>
    <x v="4"/>
    <n v="20"/>
    <n v="14.819999999999901"/>
    <x v="9"/>
  </r>
  <r>
    <s v="TRX-101600"/>
    <x v="787"/>
    <x v="0"/>
    <x v="4"/>
    <x v="0"/>
    <n v="230"/>
    <n v="141.87"/>
    <x v="3"/>
    <n v="59"/>
    <n v="-88.13"/>
    <x v="2"/>
  </r>
  <r>
    <s v="TRX-101601"/>
    <x v="13"/>
    <x v="2"/>
    <x v="2"/>
    <x v="2"/>
    <n v="218"/>
    <n v="228.12"/>
    <x v="4"/>
    <n v="37"/>
    <n v="10.119999999999999"/>
    <x v="5"/>
  </r>
  <r>
    <s v="TRX-101602"/>
    <x v="129"/>
    <x v="1"/>
    <x v="6"/>
    <x v="0"/>
    <n v="182"/>
    <n v="153.12"/>
    <x v="3"/>
    <n v="5"/>
    <n v="-28.8799999999999"/>
    <x v="4"/>
  </r>
  <r>
    <s v="TRX-101603"/>
    <x v="36"/>
    <x v="2"/>
    <x v="1"/>
    <x v="1"/>
    <n v="222"/>
    <n v="554.62"/>
    <x v="3"/>
    <n v="41"/>
    <n v="332.62"/>
    <x v="11"/>
  </r>
  <r>
    <s v="TRX-101604"/>
    <x v="788"/>
    <x v="4"/>
    <x v="7"/>
    <x v="0"/>
    <n v="206"/>
    <n v="162.65"/>
    <x v="4"/>
    <n v="47"/>
    <n v="-43.349999999999902"/>
    <x v="0"/>
  </r>
  <r>
    <s v="TRX-101605"/>
    <x v="691"/>
    <x v="3"/>
    <x v="5"/>
    <x v="1"/>
    <n v="118"/>
    <n v="232.64"/>
    <x v="0"/>
    <n v="3"/>
    <n v="114.63999999999901"/>
    <x v="8"/>
  </r>
  <r>
    <s v="TRX-101606"/>
    <x v="50"/>
    <x v="3"/>
    <x v="8"/>
    <x v="2"/>
    <n v="121"/>
    <n v="130.94999999999999"/>
    <x v="3"/>
    <n v="15"/>
    <n v="9.9499999999999797"/>
    <x v="0"/>
  </r>
  <r>
    <s v="TRX-101607"/>
    <x v="667"/>
    <x v="1"/>
    <x v="5"/>
    <x v="2"/>
    <n v="184"/>
    <n v="262.11"/>
    <x v="3"/>
    <n v="36"/>
    <n v="78.11"/>
    <x v="1"/>
  </r>
  <r>
    <s v="TRX-101608"/>
    <x v="342"/>
    <x v="2"/>
    <x v="4"/>
    <x v="0"/>
    <n v="212"/>
    <n v="152"/>
    <x v="0"/>
    <n v="2"/>
    <n v="-60"/>
    <x v="2"/>
  </r>
  <r>
    <s v="TRX-101609"/>
    <x v="328"/>
    <x v="2"/>
    <x v="0"/>
    <x v="1"/>
    <n v="224"/>
    <n v="395.36"/>
    <x v="3"/>
    <n v="47"/>
    <n v="171.36"/>
    <x v="10"/>
  </r>
  <r>
    <s v="TRX-101610"/>
    <x v="145"/>
    <x v="2"/>
    <x v="4"/>
    <x v="1"/>
    <n v="224"/>
    <n v="723.4"/>
    <x v="3"/>
    <n v="10"/>
    <n v="499.4"/>
    <x v="8"/>
  </r>
  <r>
    <s v="TRX-101611"/>
    <x v="527"/>
    <x v="1"/>
    <x v="7"/>
    <x v="0"/>
    <n v="178"/>
    <n v="89.91"/>
    <x v="4"/>
    <n v="34"/>
    <n v="-88.09"/>
    <x v="4"/>
  </r>
  <r>
    <s v="TRX-101612"/>
    <x v="528"/>
    <x v="1"/>
    <x v="3"/>
    <x v="1"/>
    <n v="170"/>
    <n v="466.6"/>
    <x v="4"/>
    <n v="26"/>
    <n v="296.60000000000002"/>
    <x v="9"/>
  </r>
  <r>
    <s v="TRX-101613"/>
    <x v="519"/>
    <x v="1"/>
    <x v="2"/>
    <x v="0"/>
    <n v="175"/>
    <n v="91.39"/>
    <x v="3"/>
    <n v="28"/>
    <n v="-83.61"/>
    <x v="10"/>
  </r>
  <r>
    <s v="TRX-101614"/>
    <x v="167"/>
    <x v="2"/>
    <x v="5"/>
    <x v="1"/>
    <n v="221"/>
    <n v="763"/>
    <x v="4"/>
    <n v="37"/>
    <n v="542"/>
    <x v="1"/>
  </r>
  <r>
    <s v="TRX-101615"/>
    <x v="789"/>
    <x v="4"/>
    <x v="6"/>
    <x v="0"/>
    <n v="204"/>
    <n v="142.55000000000001"/>
    <x v="4"/>
    <n v="58"/>
    <n v="-61.449999999999903"/>
    <x v="7"/>
  </r>
  <r>
    <s v="TRX-101616"/>
    <x v="769"/>
    <x v="3"/>
    <x v="8"/>
    <x v="0"/>
    <n v="118"/>
    <n v="87.48"/>
    <x v="3"/>
    <n v="54"/>
    <n v="-30.5199999999999"/>
    <x v="10"/>
  </r>
  <r>
    <s v="TRX-101617"/>
    <x v="378"/>
    <x v="2"/>
    <x v="6"/>
    <x v="2"/>
    <n v="219"/>
    <n v="319.52"/>
    <x v="3"/>
    <n v="14"/>
    <n v="100.519999999999"/>
    <x v="3"/>
  </r>
  <r>
    <s v="TRX-101618"/>
    <x v="411"/>
    <x v="3"/>
    <x v="2"/>
    <x v="0"/>
    <n v="113"/>
    <n v="75.099999999999994"/>
    <x v="3"/>
    <n v="60"/>
    <n v="-37.9"/>
    <x v="9"/>
  </r>
  <r>
    <s v="TRX-101619"/>
    <x v="623"/>
    <x v="1"/>
    <x v="0"/>
    <x v="0"/>
    <n v="176"/>
    <n v="103.22"/>
    <x v="4"/>
    <n v="21"/>
    <n v="-72.78"/>
    <x v="8"/>
  </r>
  <r>
    <s v="TRX-101620"/>
    <x v="790"/>
    <x v="0"/>
    <x v="1"/>
    <x v="0"/>
    <n v="227"/>
    <n v="179.82"/>
    <x v="1"/>
    <n v="13"/>
    <n v="-47.18"/>
    <x v="4"/>
  </r>
  <r>
    <s v="TRX-101621"/>
    <x v="136"/>
    <x v="2"/>
    <x v="6"/>
    <x v="1"/>
    <n v="211"/>
    <n v="519.38"/>
    <x v="2"/>
    <n v="49"/>
    <n v="308.38"/>
    <x v="6"/>
  </r>
  <r>
    <s v="TRX-101622"/>
    <x v="37"/>
    <x v="4"/>
    <x v="1"/>
    <x v="2"/>
    <n v="201"/>
    <n v="192.14"/>
    <x v="2"/>
    <n v="51"/>
    <n v="-8.8600000000000101"/>
    <x v="6"/>
  </r>
  <r>
    <s v="TRX-101623"/>
    <x v="791"/>
    <x v="1"/>
    <x v="3"/>
    <x v="2"/>
    <n v="185"/>
    <n v="261.88"/>
    <x v="0"/>
    <n v="10"/>
    <n v="76.88"/>
    <x v="4"/>
  </r>
  <r>
    <s v="TRX-101624"/>
    <x v="653"/>
    <x v="0"/>
    <x v="0"/>
    <x v="2"/>
    <n v="229"/>
    <n v="298.97000000000003"/>
    <x v="0"/>
    <n v="3"/>
    <n v="69.97"/>
    <x v="8"/>
  </r>
  <r>
    <s v="TRX-101625"/>
    <x v="792"/>
    <x v="0"/>
    <x v="5"/>
    <x v="0"/>
    <n v="225"/>
    <n v="145.55000000000001"/>
    <x v="1"/>
    <n v="2"/>
    <n v="-79.449999999999903"/>
    <x v="8"/>
  </r>
  <r>
    <s v="TRX-101626"/>
    <x v="240"/>
    <x v="0"/>
    <x v="8"/>
    <x v="2"/>
    <n v="227"/>
    <n v="254.05"/>
    <x v="0"/>
    <n v="3"/>
    <n v="27.05"/>
    <x v="4"/>
  </r>
  <r>
    <s v="TRX-101627"/>
    <x v="793"/>
    <x v="3"/>
    <x v="7"/>
    <x v="0"/>
    <n v="138"/>
    <n v="97.05"/>
    <x v="2"/>
    <n v="13"/>
    <n v="-40.950000000000003"/>
    <x v="6"/>
  </r>
  <r>
    <s v="TRX-101628"/>
    <x v="794"/>
    <x v="3"/>
    <x v="7"/>
    <x v="0"/>
    <n v="137"/>
    <n v="77.63"/>
    <x v="1"/>
    <n v="10"/>
    <n v="-59.37"/>
    <x v="4"/>
  </r>
  <r>
    <s v="TRX-101629"/>
    <x v="494"/>
    <x v="0"/>
    <x v="1"/>
    <x v="0"/>
    <n v="226"/>
    <n v="170.65"/>
    <x v="2"/>
    <n v="39"/>
    <n v="-55.349999999999902"/>
    <x v="3"/>
  </r>
  <r>
    <s v="TRX-101630"/>
    <x v="330"/>
    <x v="3"/>
    <x v="5"/>
    <x v="1"/>
    <n v="132"/>
    <n v="368.58"/>
    <x v="4"/>
    <n v="13"/>
    <n v="236.57999999999899"/>
    <x v="10"/>
  </r>
  <r>
    <s v="TRX-101631"/>
    <x v="477"/>
    <x v="2"/>
    <x v="2"/>
    <x v="0"/>
    <n v="218"/>
    <n v="169.39"/>
    <x v="2"/>
    <n v="59"/>
    <n v="-48.61"/>
    <x v="5"/>
  </r>
  <r>
    <s v="TRX-101632"/>
    <x v="451"/>
    <x v="0"/>
    <x v="7"/>
    <x v="2"/>
    <n v="229"/>
    <n v="249.51"/>
    <x v="0"/>
    <n v="5"/>
    <n v="20.509999999999899"/>
    <x v="6"/>
  </r>
  <r>
    <s v="TRX-101633"/>
    <x v="795"/>
    <x v="4"/>
    <x v="1"/>
    <x v="2"/>
    <n v="207"/>
    <n v="195.21"/>
    <x v="3"/>
    <n v="28"/>
    <n v="-11.7899999999999"/>
    <x v="10"/>
  </r>
  <r>
    <s v="TRX-101634"/>
    <x v="796"/>
    <x v="3"/>
    <x v="4"/>
    <x v="0"/>
    <n v="139"/>
    <n v="103.36"/>
    <x v="4"/>
    <n v="39"/>
    <n v="-35.64"/>
    <x v="7"/>
  </r>
  <r>
    <s v="TRX-101635"/>
    <x v="614"/>
    <x v="2"/>
    <x v="5"/>
    <x v="1"/>
    <n v="218"/>
    <n v="436.8"/>
    <x v="3"/>
    <n v="27"/>
    <n v="218.8"/>
    <x v="9"/>
  </r>
  <r>
    <s v="TRX-101636"/>
    <x v="428"/>
    <x v="1"/>
    <x v="8"/>
    <x v="2"/>
    <n v="182"/>
    <n v="185.41"/>
    <x v="3"/>
    <n v="11"/>
    <n v="3.4099999999999899"/>
    <x v="7"/>
  </r>
  <r>
    <s v="TRX-101637"/>
    <x v="122"/>
    <x v="2"/>
    <x v="7"/>
    <x v="0"/>
    <n v="222"/>
    <n v="131.12"/>
    <x v="0"/>
    <n v="2"/>
    <n v="-90.88"/>
    <x v="11"/>
  </r>
  <r>
    <s v="TRX-101638"/>
    <x v="797"/>
    <x v="2"/>
    <x v="4"/>
    <x v="2"/>
    <n v="221"/>
    <n v="257.36"/>
    <x v="0"/>
    <n v="4"/>
    <n v="36.36"/>
    <x v="9"/>
  </r>
  <r>
    <s v="TRX-101639"/>
    <x v="672"/>
    <x v="0"/>
    <x v="4"/>
    <x v="0"/>
    <n v="229"/>
    <n v="123.23"/>
    <x v="3"/>
    <n v="19"/>
    <n v="-105.77"/>
    <x v="1"/>
  </r>
  <r>
    <s v="TRX-101640"/>
    <x v="548"/>
    <x v="2"/>
    <x v="4"/>
    <x v="2"/>
    <n v="223"/>
    <n v="240.08"/>
    <x v="1"/>
    <n v="9"/>
    <n v="17.079999999999998"/>
    <x v="9"/>
  </r>
  <r>
    <s v="TRX-101641"/>
    <x v="798"/>
    <x v="2"/>
    <x v="2"/>
    <x v="2"/>
    <n v="218"/>
    <n v="237.71"/>
    <x v="4"/>
    <n v="31"/>
    <n v="19.71"/>
    <x v="7"/>
  </r>
  <r>
    <s v="TRX-101642"/>
    <x v="767"/>
    <x v="0"/>
    <x v="6"/>
    <x v="2"/>
    <n v="229"/>
    <n v="253.27"/>
    <x v="1"/>
    <n v="12"/>
    <n v="24.27"/>
    <x v="11"/>
  </r>
  <r>
    <s v="TRX-101643"/>
    <x v="760"/>
    <x v="1"/>
    <x v="6"/>
    <x v="0"/>
    <n v="189"/>
    <n v="169.42"/>
    <x v="4"/>
    <n v="40"/>
    <n v="-19.579999999999998"/>
    <x v="3"/>
  </r>
  <r>
    <s v="TRX-101644"/>
    <x v="119"/>
    <x v="3"/>
    <x v="0"/>
    <x v="2"/>
    <n v="117"/>
    <n v="122.32"/>
    <x v="2"/>
    <n v="8"/>
    <n v="5.3199999999999896"/>
    <x v="6"/>
  </r>
  <r>
    <s v="TRX-101645"/>
    <x v="251"/>
    <x v="3"/>
    <x v="1"/>
    <x v="0"/>
    <n v="113"/>
    <n v="93.8"/>
    <x v="1"/>
    <n v="3"/>
    <n v="-19.2"/>
    <x v="6"/>
  </r>
  <r>
    <s v="TRX-101646"/>
    <x v="799"/>
    <x v="0"/>
    <x v="3"/>
    <x v="0"/>
    <n v="229"/>
    <n v="169.04"/>
    <x v="0"/>
    <n v="11"/>
    <n v="-59.96"/>
    <x v="8"/>
  </r>
  <r>
    <s v="TRX-101647"/>
    <x v="626"/>
    <x v="3"/>
    <x v="8"/>
    <x v="2"/>
    <n v="120"/>
    <n v="146.69999999999999"/>
    <x v="2"/>
    <n v="48"/>
    <n v="26.6999999999999"/>
    <x v="11"/>
  </r>
  <r>
    <s v="TRX-101648"/>
    <x v="761"/>
    <x v="1"/>
    <x v="4"/>
    <x v="1"/>
    <n v="184"/>
    <n v="242.49"/>
    <x v="1"/>
    <n v="4"/>
    <n v="58.49"/>
    <x v="3"/>
  </r>
  <r>
    <s v="TRX-101649"/>
    <x v="482"/>
    <x v="2"/>
    <x v="6"/>
    <x v="2"/>
    <n v="216"/>
    <n v="231.78"/>
    <x v="0"/>
    <n v="3"/>
    <n v="15.78"/>
    <x v="1"/>
  </r>
  <r>
    <s v="TRX-101650"/>
    <x v="800"/>
    <x v="2"/>
    <x v="6"/>
    <x v="1"/>
    <n v="220"/>
    <n v="390.09"/>
    <x v="2"/>
    <n v="6"/>
    <n v="170.08999999999901"/>
    <x v="1"/>
  </r>
  <r>
    <s v="TRX-101651"/>
    <x v="507"/>
    <x v="4"/>
    <x v="7"/>
    <x v="2"/>
    <n v="207"/>
    <n v="278.29000000000002"/>
    <x v="2"/>
    <n v="5"/>
    <n v="71.290000000000006"/>
    <x v="4"/>
  </r>
  <r>
    <s v="TRX-101652"/>
    <x v="579"/>
    <x v="4"/>
    <x v="3"/>
    <x v="2"/>
    <n v="202"/>
    <n v="189.41"/>
    <x v="1"/>
    <n v="5"/>
    <n v="-12.59"/>
    <x v="5"/>
  </r>
  <r>
    <s v="TRX-101653"/>
    <x v="430"/>
    <x v="4"/>
    <x v="3"/>
    <x v="0"/>
    <n v="201"/>
    <n v="147.68"/>
    <x v="1"/>
    <n v="7"/>
    <n v="-53.319999999999901"/>
    <x v="3"/>
  </r>
  <r>
    <s v="TRX-101654"/>
    <x v="370"/>
    <x v="1"/>
    <x v="8"/>
    <x v="0"/>
    <n v="189"/>
    <n v="144.79"/>
    <x v="0"/>
    <n v="2"/>
    <n v="-44.21"/>
    <x v="11"/>
  </r>
  <r>
    <s v="TRX-101655"/>
    <x v="22"/>
    <x v="0"/>
    <x v="4"/>
    <x v="2"/>
    <n v="226"/>
    <n v="301.25"/>
    <x v="0"/>
    <n v="9"/>
    <n v="75.25"/>
    <x v="11"/>
  </r>
  <r>
    <s v="TRX-101656"/>
    <x v="193"/>
    <x v="4"/>
    <x v="1"/>
    <x v="1"/>
    <n v="200"/>
    <n v="283.94"/>
    <x v="0"/>
    <n v="13"/>
    <n v="83.94"/>
    <x v="0"/>
  </r>
  <r>
    <s v="TRX-101657"/>
    <x v="344"/>
    <x v="4"/>
    <x v="3"/>
    <x v="2"/>
    <n v="207"/>
    <n v="237.17"/>
    <x v="2"/>
    <n v="29"/>
    <n v="30.169999999999899"/>
    <x v="3"/>
  </r>
  <r>
    <s v="TRX-101658"/>
    <x v="43"/>
    <x v="4"/>
    <x v="4"/>
    <x v="1"/>
    <n v="206"/>
    <n v="572.64"/>
    <x v="2"/>
    <n v="45"/>
    <n v="366.64"/>
    <x v="8"/>
  </r>
  <r>
    <s v="TRX-101659"/>
    <x v="707"/>
    <x v="2"/>
    <x v="5"/>
    <x v="1"/>
    <n v="216"/>
    <n v="678.7"/>
    <x v="0"/>
    <n v="6"/>
    <n v="462.7"/>
    <x v="8"/>
  </r>
  <r>
    <s v="TRX-101660"/>
    <x v="257"/>
    <x v="3"/>
    <x v="6"/>
    <x v="0"/>
    <n v="133"/>
    <n v="115.33"/>
    <x v="3"/>
    <n v="39"/>
    <n v="-17.670000000000002"/>
    <x v="6"/>
  </r>
  <r>
    <s v="TRX-101661"/>
    <x v="612"/>
    <x v="4"/>
    <x v="2"/>
    <x v="2"/>
    <n v="202"/>
    <n v="275.58999999999997"/>
    <x v="1"/>
    <n v="1"/>
    <n v="73.589999999999904"/>
    <x v="11"/>
  </r>
  <r>
    <s v="TRX-101662"/>
    <x v="801"/>
    <x v="3"/>
    <x v="4"/>
    <x v="0"/>
    <n v="128"/>
    <n v="108.63"/>
    <x v="1"/>
    <n v="6"/>
    <n v="-19.37"/>
    <x v="2"/>
  </r>
  <r>
    <s v="TRX-101663"/>
    <x v="82"/>
    <x v="4"/>
    <x v="8"/>
    <x v="1"/>
    <n v="201"/>
    <n v="657.17"/>
    <x v="1"/>
    <n v="11"/>
    <n v="456.16999999999899"/>
    <x v="5"/>
  </r>
  <r>
    <s v="TRX-101664"/>
    <x v="521"/>
    <x v="0"/>
    <x v="2"/>
    <x v="1"/>
    <n v="229"/>
    <n v="738.16"/>
    <x v="0"/>
    <n v="12"/>
    <n v="509.159999999999"/>
    <x v="9"/>
  </r>
  <r>
    <s v="TRX-101665"/>
    <x v="462"/>
    <x v="4"/>
    <x v="2"/>
    <x v="2"/>
    <n v="204"/>
    <n v="257.95"/>
    <x v="1"/>
    <n v="3"/>
    <n v="53.949999999999903"/>
    <x v="11"/>
  </r>
  <r>
    <s v="TRX-101666"/>
    <x v="258"/>
    <x v="3"/>
    <x v="0"/>
    <x v="2"/>
    <n v="119"/>
    <n v="136.9"/>
    <x v="2"/>
    <n v="5"/>
    <n v="17.899999999999999"/>
    <x v="3"/>
  </r>
  <r>
    <s v="TRX-101667"/>
    <x v="362"/>
    <x v="4"/>
    <x v="3"/>
    <x v="0"/>
    <n v="200"/>
    <n v="125.63"/>
    <x v="0"/>
    <n v="7"/>
    <n v="-74.37"/>
    <x v="8"/>
  </r>
  <r>
    <s v="TRX-101668"/>
    <x v="481"/>
    <x v="4"/>
    <x v="1"/>
    <x v="2"/>
    <n v="210"/>
    <n v="223.24"/>
    <x v="3"/>
    <n v="23"/>
    <n v="13.24"/>
    <x v="8"/>
  </r>
  <r>
    <s v="TRX-101669"/>
    <x v="350"/>
    <x v="3"/>
    <x v="3"/>
    <x v="0"/>
    <n v="122"/>
    <n v="79.459999999999994"/>
    <x v="3"/>
    <n v="47"/>
    <n v="-42.54"/>
    <x v="11"/>
  </r>
  <r>
    <s v="TRX-101670"/>
    <x v="802"/>
    <x v="2"/>
    <x v="8"/>
    <x v="0"/>
    <n v="216"/>
    <n v="120.6"/>
    <x v="2"/>
    <n v="42"/>
    <n v="-95.4"/>
    <x v="10"/>
  </r>
  <r>
    <s v="TRX-101671"/>
    <x v="803"/>
    <x v="2"/>
    <x v="1"/>
    <x v="2"/>
    <n v="213"/>
    <n v="261.24"/>
    <x v="1"/>
    <n v="8"/>
    <n v="48.24"/>
    <x v="11"/>
  </r>
  <r>
    <s v="TRX-101672"/>
    <x v="85"/>
    <x v="0"/>
    <x v="4"/>
    <x v="2"/>
    <n v="225"/>
    <n v="265.51"/>
    <x v="2"/>
    <n v="17"/>
    <n v="40.509999999999899"/>
    <x v="1"/>
  </r>
  <r>
    <s v="TRX-101673"/>
    <x v="241"/>
    <x v="4"/>
    <x v="7"/>
    <x v="0"/>
    <n v="210"/>
    <n v="156.25"/>
    <x v="3"/>
    <n v="35"/>
    <n v="-53.75"/>
    <x v="2"/>
  </r>
  <r>
    <s v="TRX-101674"/>
    <x v="310"/>
    <x v="0"/>
    <x v="4"/>
    <x v="1"/>
    <n v="226"/>
    <n v="613.87"/>
    <x v="0"/>
    <n v="5"/>
    <n v="387.87"/>
    <x v="11"/>
  </r>
  <r>
    <s v="TRX-101675"/>
    <x v="28"/>
    <x v="1"/>
    <x v="1"/>
    <x v="2"/>
    <n v="177"/>
    <n v="233.83"/>
    <x v="3"/>
    <n v="53"/>
    <n v="56.83"/>
    <x v="4"/>
  </r>
  <r>
    <s v="TRX-101676"/>
    <x v="804"/>
    <x v="3"/>
    <x v="4"/>
    <x v="0"/>
    <n v="129"/>
    <n v="98.32"/>
    <x v="4"/>
    <n v="59"/>
    <n v="-30.68"/>
    <x v="3"/>
  </r>
  <r>
    <s v="TRX-101677"/>
    <x v="258"/>
    <x v="3"/>
    <x v="3"/>
    <x v="1"/>
    <n v="116"/>
    <n v="305.98"/>
    <x v="3"/>
    <n v="26"/>
    <n v="189.98"/>
    <x v="3"/>
  </r>
  <r>
    <s v="TRX-101678"/>
    <x v="805"/>
    <x v="1"/>
    <x v="8"/>
    <x v="0"/>
    <n v="188"/>
    <n v="117.32"/>
    <x v="0"/>
    <n v="11"/>
    <n v="-70.680000000000007"/>
    <x v="3"/>
  </r>
  <r>
    <s v="TRX-101679"/>
    <x v="125"/>
    <x v="3"/>
    <x v="8"/>
    <x v="1"/>
    <n v="133"/>
    <n v="319.41000000000003"/>
    <x v="2"/>
    <n v="46"/>
    <n v="186.41"/>
    <x v="4"/>
  </r>
  <r>
    <s v="TRX-101680"/>
    <x v="806"/>
    <x v="4"/>
    <x v="5"/>
    <x v="1"/>
    <n v="209"/>
    <n v="407.79"/>
    <x v="4"/>
    <n v="40"/>
    <n v="198.79"/>
    <x v="0"/>
  </r>
  <r>
    <s v="TRX-101681"/>
    <x v="807"/>
    <x v="2"/>
    <x v="3"/>
    <x v="0"/>
    <n v="214"/>
    <n v="111.75"/>
    <x v="1"/>
    <n v="13"/>
    <n v="-102.25"/>
    <x v="3"/>
  </r>
  <r>
    <s v="TRX-101682"/>
    <x v="131"/>
    <x v="0"/>
    <x v="7"/>
    <x v="1"/>
    <n v="229"/>
    <n v="599.89"/>
    <x v="2"/>
    <n v="46"/>
    <n v="370.89"/>
    <x v="10"/>
  </r>
  <r>
    <s v="TRX-101683"/>
    <x v="57"/>
    <x v="0"/>
    <x v="6"/>
    <x v="2"/>
    <n v="227"/>
    <n v="338.7"/>
    <x v="4"/>
    <n v="34"/>
    <n v="111.69999999999899"/>
    <x v="0"/>
  </r>
  <r>
    <s v="TRX-101684"/>
    <x v="808"/>
    <x v="3"/>
    <x v="0"/>
    <x v="2"/>
    <n v="111"/>
    <n v="106.07"/>
    <x v="1"/>
    <n v="6"/>
    <n v="-4.93"/>
    <x v="10"/>
  </r>
  <r>
    <s v="TRX-101685"/>
    <x v="181"/>
    <x v="0"/>
    <x v="5"/>
    <x v="1"/>
    <n v="227"/>
    <n v="539.79"/>
    <x v="3"/>
    <n v="18"/>
    <n v="312.789999999999"/>
    <x v="4"/>
  </r>
  <r>
    <s v="TRX-101686"/>
    <x v="484"/>
    <x v="3"/>
    <x v="2"/>
    <x v="1"/>
    <n v="135"/>
    <n v="414.16"/>
    <x v="0"/>
    <n v="7"/>
    <n v="279.16000000000003"/>
    <x v="4"/>
  </r>
  <r>
    <s v="TRX-101687"/>
    <x v="773"/>
    <x v="1"/>
    <x v="8"/>
    <x v="1"/>
    <n v="172"/>
    <n v="537.54999999999995"/>
    <x v="3"/>
    <n v="22"/>
    <n v="365.54999999999899"/>
    <x v="6"/>
  </r>
  <r>
    <s v="TRX-101688"/>
    <x v="447"/>
    <x v="2"/>
    <x v="5"/>
    <x v="2"/>
    <n v="215"/>
    <n v="227.1"/>
    <x v="1"/>
    <n v="1"/>
    <n v="12.0999999999999"/>
    <x v="5"/>
  </r>
  <r>
    <s v="TRX-101689"/>
    <x v="366"/>
    <x v="1"/>
    <x v="0"/>
    <x v="0"/>
    <n v="183"/>
    <n v="163.56"/>
    <x v="3"/>
    <n v="40"/>
    <n v="-19.439999999999898"/>
    <x v="6"/>
  </r>
  <r>
    <s v="TRX-101690"/>
    <x v="273"/>
    <x v="4"/>
    <x v="2"/>
    <x v="1"/>
    <n v="206"/>
    <n v="482.29"/>
    <x v="1"/>
    <n v="9"/>
    <n v="276.29000000000002"/>
    <x v="7"/>
  </r>
  <r>
    <s v="TRX-101691"/>
    <x v="809"/>
    <x v="1"/>
    <x v="2"/>
    <x v="0"/>
    <n v="184"/>
    <n v="162.02000000000001"/>
    <x v="0"/>
    <n v="11"/>
    <n v="-21.979999999999901"/>
    <x v="3"/>
  </r>
  <r>
    <s v="TRX-101692"/>
    <x v="574"/>
    <x v="3"/>
    <x v="0"/>
    <x v="2"/>
    <n v="134"/>
    <n v="191.59"/>
    <x v="4"/>
    <n v="40"/>
    <n v="57.59"/>
    <x v="6"/>
  </r>
  <r>
    <s v="TRX-101693"/>
    <x v="810"/>
    <x v="3"/>
    <x v="3"/>
    <x v="0"/>
    <n v="139"/>
    <n v="105.53"/>
    <x v="4"/>
    <n v="10"/>
    <n v="-33.47"/>
    <x v="6"/>
  </r>
  <r>
    <s v="TRX-101694"/>
    <x v="782"/>
    <x v="4"/>
    <x v="6"/>
    <x v="0"/>
    <n v="210"/>
    <n v="117"/>
    <x v="3"/>
    <n v="24"/>
    <n v="-93"/>
    <x v="2"/>
  </r>
  <r>
    <s v="TRX-101695"/>
    <x v="811"/>
    <x v="3"/>
    <x v="7"/>
    <x v="0"/>
    <n v="133"/>
    <n v="85.76"/>
    <x v="2"/>
    <n v="16"/>
    <n v="-47.239999999999903"/>
    <x v="7"/>
  </r>
  <r>
    <s v="TRX-101696"/>
    <x v="639"/>
    <x v="0"/>
    <x v="1"/>
    <x v="1"/>
    <n v="229"/>
    <n v="357.47"/>
    <x v="2"/>
    <n v="25"/>
    <n v="128.47"/>
    <x v="10"/>
  </r>
  <r>
    <s v="TRX-101697"/>
    <x v="509"/>
    <x v="1"/>
    <x v="0"/>
    <x v="1"/>
    <n v="186"/>
    <n v="344.39"/>
    <x v="0"/>
    <n v="2"/>
    <n v="158.38999999999999"/>
    <x v="6"/>
  </r>
  <r>
    <s v="TRX-101698"/>
    <x v="7"/>
    <x v="3"/>
    <x v="7"/>
    <x v="1"/>
    <n v="126"/>
    <n v="193.74"/>
    <x v="3"/>
    <n v="10"/>
    <n v="67.739999999999995"/>
    <x v="3"/>
  </r>
  <r>
    <s v="TRX-101699"/>
    <x v="523"/>
    <x v="0"/>
    <x v="4"/>
    <x v="0"/>
    <n v="228"/>
    <n v="132.09"/>
    <x v="0"/>
    <n v="12"/>
    <n v="-95.91"/>
    <x v="5"/>
  </r>
  <r>
    <s v="TRX-101700"/>
    <x v="605"/>
    <x v="4"/>
    <x v="0"/>
    <x v="0"/>
    <n v="201"/>
    <n v="120.52"/>
    <x v="2"/>
    <n v="41"/>
    <n v="-80.48"/>
    <x v="1"/>
  </r>
  <r>
    <s v="TRX-101701"/>
    <x v="812"/>
    <x v="0"/>
    <x v="7"/>
    <x v="2"/>
    <n v="229"/>
    <n v="283.44"/>
    <x v="1"/>
    <n v="11"/>
    <n v="54.44"/>
    <x v="5"/>
  </r>
  <r>
    <s v="TRX-101702"/>
    <x v="353"/>
    <x v="3"/>
    <x v="3"/>
    <x v="0"/>
    <n v="137"/>
    <n v="89.78"/>
    <x v="2"/>
    <n v="59"/>
    <n v="-47.22"/>
    <x v="1"/>
  </r>
  <r>
    <s v="TRX-101703"/>
    <x v="813"/>
    <x v="0"/>
    <x v="0"/>
    <x v="2"/>
    <n v="230"/>
    <n v="306.97000000000003"/>
    <x v="0"/>
    <n v="3"/>
    <n v="76.97"/>
    <x v="2"/>
  </r>
  <r>
    <s v="TRX-101704"/>
    <x v="814"/>
    <x v="4"/>
    <x v="8"/>
    <x v="1"/>
    <n v="205"/>
    <n v="397.37"/>
    <x v="3"/>
    <n v="55"/>
    <n v="192.37"/>
    <x v="7"/>
  </r>
  <r>
    <s v="TRX-101705"/>
    <x v="235"/>
    <x v="0"/>
    <x v="4"/>
    <x v="2"/>
    <n v="225"/>
    <n v="274.44"/>
    <x v="0"/>
    <n v="2"/>
    <n v="49.44"/>
    <x v="7"/>
  </r>
  <r>
    <s v="TRX-101706"/>
    <x v="733"/>
    <x v="2"/>
    <x v="5"/>
    <x v="2"/>
    <n v="218"/>
    <n v="240.32"/>
    <x v="2"/>
    <n v="39"/>
    <n v="22.319999999999901"/>
    <x v="9"/>
  </r>
  <r>
    <s v="TRX-101707"/>
    <x v="486"/>
    <x v="4"/>
    <x v="7"/>
    <x v="2"/>
    <n v="200"/>
    <n v="225.16"/>
    <x v="1"/>
    <n v="9"/>
    <n v="25.159999999999901"/>
    <x v="11"/>
  </r>
  <r>
    <s v="TRX-101708"/>
    <x v="614"/>
    <x v="2"/>
    <x v="0"/>
    <x v="1"/>
    <n v="221"/>
    <n v="726.44"/>
    <x v="2"/>
    <n v="18"/>
    <n v="505.44"/>
    <x v="9"/>
  </r>
  <r>
    <s v="TRX-101709"/>
    <x v="338"/>
    <x v="3"/>
    <x v="3"/>
    <x v="2"/>
    <n v="114"/>
    <n v="132.88"/>
    <x v="0"/>
    <n v="5"/>
    <n v="18.8799999999999"/>
    <x v="3"/>
  </r>
  <r>
    <s v="TRX-101710"/>
    <x v="736"/>
    <x v="1"/>
    <x v="4"/>
    <x v="1"/>
    <n v="184"/>
    <n v="381.18"/>
    <x v="1"/>
    <n v="1"/>
    <n v="197.18"/>
    <x v="8"/>
  </r>
  <r>
    <s v="TRX-101711"/>
    <x v="614"/>
    <x v="4"/>
    <x v="5"/>
    <x v="2"/>
    <n v="208"/>
    <n v="230.46"/>
    <x v="1"/>
    <n v="2"/>
    <n v="22.46"/>
    <x v="9"/>
  </r>
  <r>
    <s v="TRX-101712"/>
    <x v="181"/>
    <x v="2"/>
    <x v="2"/>
    <x v="2"/>
    <n v="211"/>
    <n v="228.18"/>
    <x v="2"/>
    <n v="23"/>
    <n v="17.18"/>
    <x v="4"/>
  </r>
  <r>
    <s v="TRX-101713"/>
    <x v="724"/>
    <x v="0"/>
    <x v="7"/>
    <x v="2"/>
    <n v="228"/>
    <n v="318.16000000000003"/>
    <x v="2"/>
    <n v="55"/>
    <n v="90.16"/>
    <x v="9"/>
  </r>
  <r>
    <s v="TRX-101714"/>
    <x v="621"/>
    <x v="0"/>
    <x v="2"/>
    <x v="1"/>
    <n v="230"/>
    <n v="586.11"/>
    <x v="0"/>
    <n v="4"/>
    <n v="356.11"/>
    <x v="9"/>
  </r>
  <r>
    <s v="TRX-101715"/>
    <x v="564"/>
    <x v="3"/>
    <x v="5"/>
    <x v="1"/>
    <n v="112"/>
    <n v="270.37"/>
    <x v="1"/>
    <n v="5"/>
    <n v="158.37"/>
    <x v="11"/>
  </r>
  <r>
    <s v="TRX-101716"/>
    <x v="698"/>
    <x v="2"/>
    <x v="6"/>
    <x v="2"/>
    <n v="216"/>
    <n v="243.69"/>
    <x v="2"/>
    <n v="21"/>
    <n v="27.689999999999898"/>
    <x v="11"/>
  </r>
  <r>
    <s v="TRX-101717"/>
    <x v="815"/>
    <x v="4"/>
    <x v="3"/>
    <x v="1"/>
    <n v="202"/>
    <n v="485.65"/>
    <x v="4"/>
    <n v="51"/>
    <n v="283.64999999999998"/>
    <x v="11"/>
  </r>
  <r>
    <s v="TRX-101718"/>
    <x v="435"/>
    <x v="2"/>
    <x v="8"/>
    <x v="0"/>
    <n v="216"/>
    <n v="149.69"/>
    <x v="0"/>
    <n v="9"/>
    <n v="-66.31"/>
    <x v="10"/>
  </r>
  <r>
    <s v="TRX-101719"/>
    <x v="798"/>
    <x v="3"/>
    <x v="4"/>
    <x v="1"/>
    <n v="117"/>
    <n v="146"/>
    <x v="4"/>
    <n v="31"/>
    <n v="29"/>
    <x v="7"/>
  </r>
  <r>
    <s v="TRX-101720"/>
    <x v="48"/>
    <x v="0"/>
    <x v="1"/>
    <x v="1"/>
    <n v="229"/>
    <n v="568.87"/>
    <x v="4"/>
    <n v="33"/>
    <n v="339.87"/>
    <x v="9"/>
  </r>
  <r>
    <s v="TRX-101721"/>
    <x v="25"/>
    <x v="4"/>
    <x v="1"/>
    <x v="0"/>
    <n v="209"/>
    <n v="152.22"/>
    <x v="0"/>
    <n v="14"/>
    <n v="-56.78"/>
    <x v="11"/>
  </r>
  <r>
    <s v="TRX-101722"/>
    <x v="62"/>
    <x v="0"/>
    <x v="3"/>
    <x v="0"/>
    <n v="226"/>
    <n v="162.54"/>
    <x v="4"/>
    <n v="24"/>
    <n v="-63.46"/>
    <x v="9"/>
  </r>
  <r>
    <s v="TRX-101723"/>
    <x v="816"/>
    <x v="1"/>
    <x v="6"/>
    <x v="0"/>
    <n v="188"/>
    <n v="139.30000000000001"/>
    <x v="3"/>
    <n v="25"/>
    <n v="-48.699999999999903"/>
    <x v="10"/>
  </r>
  <r>
    <s v="TRX-101724"/>
    <x v="817"/>
    <x v="0"/>
    <x v="4"/>
    <x v="2"/>
    <n v="225"/>
    <n v="269.64999999999998"/>
    <x v="0"/>
    <n v="7"/>
    <n v="44.649999999999899"/>
    <x v="11"/>
  </r>
  <r>
    <s v="TRX-101725"/>
    <x v="687"/>
    <x v="4"/>
    <x v="2"/>
    <x v="1"/>
    <n v="205"/>
    <n v="613.16"/>
    <x v="3"/>
    <n v="55"/>
    <n v="408.159999999999"/>
    <x v="3"/>
  </r>
  <r>
    <s v="TRX-101726"/>
    <x v="270"/>
    <x v="1"/>
    <x v="7"/>
    <x v="2"/>
    <n v="177"/>
    <n v="187.12"/>
    <x v="4"/>
    <n v="50"/>
    <n v="10.119999999999999"/>
    <x v="5"/>
  </r>
  <r>
    <s v="TRX-101727"/>
    <x v="706"/>
    <x v="1"/>
    <x v="0"/>
    <x v="1"/>
    <n v="181"/>
    <n v="449.83"/>
    <x v="2"/>
    <n v="8"/>
    <n v="268.83"/>
    <x v="4"/>
  </r>
  <r>
    <s v="TRX-101728"/>
    <x v="333"/>
    <x v="2"/>
    <x v="0"/>
    <x v="2"/>
    <n v="223"/>
    <n v="212.72"/>
    <x v="1"/>
    <n v="2"/>
    <n v="-10.28"/>
    <x v="10"/>
  </r>
  <r>
    <s v="TRX-101729"/>
    <x v="589"/>
    <x v="0"/>
    <x v="5"/>
    <x v="2"/>
    <n v="229"/>
    <n v="241.28"/>
    <x v="1"/>
    <n v="7"/>
    <n v="12.28"/>
    <x v="6"/>
  </r>
  <r>
    <s v="TRX-101730"/>
    <x v="596"/>
    <x v="4"/>
    <x v="5"/>
    <x v="2"/>
    <n v="204"/>
    <n v="265.55"/>
    <x v="3"/>
    <n v="5"/>
    <n v="61.55"/>
    <x v="1"/>
  </r>
  <r>
    <s v="TRX-101731"/>
    <x v="373"/>
    <x v="1"/>
    <x v="8"/>
    <x v="0"/>
    <n v="179"/>
    <n v="112.4"/>
    <x v="0"/>
    <n v="1"/>
    <n v="-66.599999999999994"/>
    <x v="2"/>
  </r>
  <r>
    <s v="TRX-101732"/>
    <x v="223"/>
    <x v="1"/>
    <x v="2"/>
    <x v="1"/>
    <n v="188"/>
    <n v="376.52"/>
    <x v="0"/>
    <n v="3"/>
    <n v="188.51999999999899"/>
    <x v="9"/>
  </r>
  <r>
    <s v="TRX-101733"/>
    <x v="666"/>
    <x v="3"/>
    <x v="5"/>
    <x v="0"/>
    <n v="140"/>
    <n v="86.81"/>
    <x v="1"/>
    <n v="14"/>
    <n v="-53.19"/>
    <x v="10"/>
  </r>
  <r>
    <s v="TRX-101734"/>
    <x v="224"/>
    <x v="4"/>
    <x v="2"/>
    <x v="2"/>
    <n v="202"/>
    <n v="221.06"/>
    <x v="3"/>
    <n v="44"/>
    <n v="19.059999999999999"/>
    <x v="3"/>
  </r>
  <r>
    <s v="TRX-101735"/>
    <x v="818"/>
    <x v="1"/>
    <x v="4"/>
    <x v="2"/>
    <n v="186"/>
    <n v="191.31"/>
    <x v="4"/>
    <n v="45"/>
    <n v="5.31"/>
    <x v="2"/>
  </r>
  <r>
    <s v="TRX-101736"/>
    <x v="617"/>
    <x v="4"/>
    <x v="7"/>
    <x v="0"/>
    <n v="208"/>
    <n v="142.38999999999999"/>
    <x v="2"/>
    <n v="56"/>
    <n v="-65.61"/>
    <x v="11"/>
  </r>
  <r>
    <s v="TRX-101737"/>
    <x v="159"/>
    <x v="0"/>
    <x v="1"/>
    <x v="1"/>
    <n v="227"/>
    <n v="709.32"/>
    <x v="2"/>
    <n v="31"/>
    <n v="482.32"/>
    <x v="8"/>
  </r>
  <r>
    <s v="TRX-101738"/>
    <x v="819"/>
    <x v="1"/>
    <x v="5"/>
    <x v="1"/>
    <n v="189"/>
    <n v="470.59"/>
    <x v="4"/>
    <n v="60"/>
    <n v="281.58999999999997"/>
    <x v="5"/>
  </r>
  <r>
    <s v="TRX-101739"/>
    <x v="645"/>
    <x v="0"/>
    <x v="6"/>
    <x v="1"/>
    <n v="226"/>
    <n v="740.22"/>
    <x v="2"/>
    <n v="46"/>
    <n v="514.22"/>
    <x v="5"/>
  </r>
  <r>
    <s v="TRX-101740"/>
    <x v="643"/>
    <x v="3"/>
    <x v="5"/>
    <x v="1"/>
    <n v="137"/>
    <n v="435.8"/>
    <x v="3"/>
    <n v="5"/>
    <n v="298.8"/>
    <x v="7"/>
  </r>
  <r>
    <s v="TRX-101741"/>
    <x v="820"/>
    <x v="1"/>
    <x v="7"/>
    <x v="0"/>
    <n v="183"/>
    <n v="92.54"/>
    <x v="1"/>
    <n v="6"/>
    <n v="-90.46"/>
    <x v="7"/>
  </r>
  <r>
    <s v="TRX-101742"/>
    <x v="199"/>
    <x v="0"/>
    <x v="1"/>
    <x v="2"/>
    <n v="225"/>
    <n v="276.31"/>
    <x v="1"/>
    <n v="14"/>
    <n v="51.31"/>
    <x v="8"/>
  </r>
  <r>
    <s v="TRX-101743"/>
    <x v="294"/>
    <x v="0"/>
    <x v="5"/>
    <x v="0"/>
    <n v="226"/>
    <n v="117.94"/>
    <x v="1"/>
    <n v="4"/>
    <n v="-108.06"/>
    <x v="4"/>
  </r>
  <r>
    <s v="TRX-101744"/>
    <x v="821"/>
    <x v="3"/>
    <x v="7"/>
    <x v="0"/>
    <n v="138"/>
    <n v="77.599999999999994"/>
    <x v="1"/>
    <n v="3"/>
    <n v="-60.4"/>
    <x v="1"/>
  </r>
  <r>
    <s v="TRX-101745"/>
    <x v="591"/>
    <x v="0"/>
    <x v="8"/>
    <x v="1"/>
    <n v="227"/>
    <n v="383.72"/>
    <x v="1"/>
    <n v="1"/>
    <n v="156.72"/>
    <x v="9"/>
  </r>
  <r>
    <s v="TRX-101746"/>
    <x v="540"/>
    <x v="2"/>
    <x v="0"/>
    <x v="1"/>
    <n v="216"/>
    <n v="704.11"/>
    <x v="4"/>
    <n v="8"/>
    <n v="488.11"/>
    <x v="9"/>
  </r>
  <r>
    <s v="TRX-101747"/>
    <x v="259"/>
    <x v="0"/>
    <x v="0"/>
    <x v="0"/>
    <n v="228"/>
    <n v="147.81"/>
    <x v="2"/>
    <n v="36"/>
    <n v="-80.19"/>
    <x v="2"/>
  </r>
  <r>
    <s v="TRX-101748"/>
    <x v="822"/>
    <x v="4"/>
    <x v="5"/>
    <x v="0"/>
    <n v="200"/>
    <n v="173.88"/>
    <x v="1"/>
    <n v="9"/>
    <n v="-26.12"/>
    <x v="7"/>
  </r>
  <r>
    <s v="TRX-101749"/>
    <x v="396"/>
    <x v="3"/>
    <x v="4"/>
    <x v="0"/>
    <n v="115"/>
    <n v="94.98"/>
    <x v="2"/>
    <n v="13"/>
    <n v="-20.0199999999999"/>
    <x v="8"/>
  </r>
  <r>
    <s v="TRX-101750"/>
    <x v="786"/>
    <x v="3"/>
    <x v="3"/>
    <x v="1"/>
    <n v="139"/>
    <n v="375.14"/>
    <x v="4"/>
    <n v="7"/>
    <n v="236.14"/>
    <x v="5"/>
  </r>
  <r>
    <s v="TRX-101751"/>
    <x v="823"/>
    <x v="0"/>
    <x v="5"/>
    <x v="2"/>
    <n v="229"/>
    <n v="321.68"/>
    <x v="4"/>
    <n v="17"/>
    <n v="92.68"/>
    <x v="4"/>
  </r>
  <r>
    <s v="TRX-101752"/>
    <x v="576"/>
    <x v="0"/>
    <x v="2"/>
    <x v="1"/>
    <n v="226"/>
    <n v="297.32"/>
    <x v="1"/>
    <n v="7"/>
    <n v="71.319999999999993"/>
    <x v="2"/>
  </r>
  <r>
    <s v="TRX-101753"/>
    <x v="339"/>
    <x v="4"/>
    <x v="8"/>
    <x v="1"/>
    <n v="206"/>
    <n v="395.02"/>
    <x v="4"/>
    <n v="55"/>
    <n v="189.01999999999899"/>
    <x v="3"/>
  </r>
  <r>
    <s v="TRX-101754"/>
    <x v="824"/>
    <x v="1"/>
    <x v="5"/>
    <x v="0"/>
    <n v="181"/>
    <n v="130.29"/>
    <x v="2"/>
    <n v="38"/>
    <n v="-50.71"/>
    <x v="7"/>
  </r>
  <r>
    <s v="TRX-101755"/>
    <x v="825"/>
    <x v="4"/>
    <x v="1"/>
    <x v="0"/>
    <n v="202"/>
    <n v="115.44"/>
    <x v="3"/>
    <n v="52"/>
    <n v="-86.56"/>
    <x v="6"/>
  </r>
  <r>
    <s v="TRX-101756"/>
    <x v="387"/>
    <x v="0"/>
    <x v="1"/>
    <x v="0"/>
    <n v="230"/>
    <n v="133.81"/>
    <x v="2"/>
    <n v="41"/>
    <n v="-96.19"/>
    <x v="3"/>
  </r>
  <r>
    <s v="TRX-101757"/>
    <x v="826"/>
    <x v="4"/>
    <x v="7"/>
    <x v="2"/>
    <n v="209"/>
    <n v="294.81"/>
    <x v="3"/>
    <n v="12"/>
    <n v="85.81"/>
    <x v="0"/>
  </r>
  <r>
    <s v="TRX-101758"/>
    <x v="654"/>
    <x v="0"/>
    <x v="7"/>
    <x v="2"/>
    <n v="230"/>
    <n v="315.01"/>
    <x v="0"/>
    <n v="9"/>
    <n v="85.009999999999906"/>
    <x v="4"/>
  </r>
  <r>
    <s v="TRX-101759"/>
    <x v="169"/>
    <x v="1"/>
    <x v="2"/>
    <x v="1"/>
    <n v="189"/>
    <n v="602.59"/>
    <x v="0"/>
    <n v="13"/>
    <n v="413.59"/>
    <x v="4"/>
  </r>
  <r>
    <s v="TRX-101760"/>
    <x v="681"/>
    <x v="4"/>
    <x v="1"/>
    <x v="0"/>
    <n v="209"/>
    <n v="123.91"/>
    <x v="3"/>
    <n v="12"/>
    <n v="-85.09"/>
    <x v="0"/>
  </r>
  <r>
    <s v="TRX-101761"/>
    <x v="58"/>
    <x v="4"/>
    <x v="4"/>
    <x v="2"/>
    <n v="200"/>
    <n v="221.13"/>
    <x v="4"/>
    <n v="11"/>
    <n v="21.1299999999999"/>
    <x v="4"/>
  </r>
  <r>
    <s v="TRX-101762"/>
    <x v="827"/>
    <x v="2"/>
    <x v="1"/>
    <x v="2"/>
    <n v="212"/>
    <n v="254.39"/>
    <x v="0"/>
    <n v="14"/>
    <n v="42.389999999999901"/>
    <x v="1"/>
  </r>
  <r>
    <s v="TRX-101763"/>
    <x v="828"/>
    <x v="2"/>
    <x v="6"/>
    <x v="2"/>
    <n v="214"/>
    <n v="318.36"/>
    <x v="1"/>
    <n v="5"/>
    <n v="104.36"/>
    <x v="4"/>
  </r>
  <r>
    <s v="TRX-101764"/>
    <x v="619"/>
    <x v="2"/>
    <x v="3"/>
    <x v="2"/>
    <n v="223"/>
    <n v="301.73"/>
    <x v="1"/>
    <n v="14"/>
    <n v="78.73"/>
    <x v="5"/>
  </r>
  <r>
    <s v="TRX-101765"/>
    <x v="286"/>
    <x v="3"/>
    <x v="5"/>
    <x v="2"/>
    <n v="127"/>
    <n v="114.73"/>
    <x v="2"/>
    <n v="35"/>
    <n v="-12.2699999999999"/>
    <x v="1"/>
  </r>
  <r>
    <s v="TRX-101766"/>
    <x v="73"/>
    <x v="1"/>
    <x v="5"/>
    <x v="2"/>
    <n v="170"/>
    <n v="222.37"/>
    <x v="1"/>
    <n v="14"/>
    <n v="52.37"/>
    <x v="5"/>
  </r>
  <r>
    <s v="TRX-101767"/>
    <x v="557"/>
    <x v="4"/>
    <x v="0"/>
    <x v="1"/>
    <n v="208"/>
    <n v="447.94"/>
    <x v="3"/>
    <n v="27"/>
    <n v="239.94"/>
    <x v="0"/>
  </r>
  <r>
    <s v="TRX-101768"/>
    <x v="531"/>
    <x v="3"/>
    <x v="1"/>
    <x v="2"/>
    <n v="137"/>
    <n v="162.04"/>
    <x v="3"/>
    <n v="12"/>
    <n v="25.0399999999999"/>
    <x v="2"/>
  </r>
  <r>
    <s v="TRX-101769"/>
    <x v="676"/>
    <x v="4"/>
    <x v="3"/>
    <x v="1"/>
    <n v="208"/>
    <n v="463.79"/>
    <x v="1"/>
    <n v="12"/>
    <n v="255.79"/>
    <x v="0"/>
  </r>
  <r>
    <s v="TRX-101770"/>
    <x v="694"/>
    <x v="3"/>
    <x v="5"/>
    <x v="0"/>
    <n v="121"/>
    <n v="99.73"/>
    <x v="4"/>
    <n v="52"/>
    <n v="-21.2699999999999"/>
    <x v="4"/>
  </r>
  <r>
    <s v="TRX-101771"/>
    <x v="312"/>
    <x v="3"/>
    <x v="1"/>
    <x v="2"/>
    <n v="138"/>
    <n v="201.38"/>
    <x v="0"/>
    <n v="14"/>
    <n v="63.379999999999903"/>
    <x v="11"/>
  </r>
  <r>
    <s v="TRX-101772"/>
    <x v="356"/>
    <x v="1"/>
    <x v="5"/>
    <x v="1"/>
    <n v="182"/>
    <n v="583.41"/>
    <x v="4"/>
    <n v="29"/>
    <n v="401.409999999999"/>
    <x v="8"/>
  </r>
  <r>
    <s v="TRX-101773"/>
    <x v="191"/>
    <x v="2"/>
    <x v="4"/>
    <x v="1"/>
    <n v="222"/>
    <n v="625.09"/>
    <x v="0"/>
    <n v="3"/>
    <n v="403.09"/>
    <x v="8"/>
  </r>
  <r>
    <s v="TRX-101774"/>
    <x v="739"/>
    <x v="3"/>
    <x v="5"/>
    <x v="2"/>
    <n v="134"/>
    <n v="198.85"/>
    <x v="4"/>
    <n v="17"/>
    <n v="64.849999999999994"/>
    <x v="9"/>
  </r>
  <r>
    <s v="TRX-101775"/>
    <x v="209"/>
    <x v="2"/>
    <x v="3"/>
    <x v="1"/>
    <n v="223"/>
    <n v="726.34"/>
    <x v="1"/>
    <n v="4"/>
    <n v="503.34"/>
    <x v="3"/>
  </r>
  <r>
    <s v="TRX-101776"/>
    <x v="683"/>
    <x v="2"/>
    <x v="4"/>
    <x v="0"/>
    <n v="222"/>
    <n v="113.96"/>
    <x v="1"/>
    <n v="9"/>
    <n v="-108.04"/>
    <x v="4"/>
  </r>
  <r>
    <s v="TRX-101777"/>
    <x v="250"/>
    <x v="2"/>
    <x v="1"/>
    <x v="2"/>
    <n v="220"/>
    <n v="297.08999999999997"/>
    <x v="2"/>
    <n v="50"/>
    <n v="77.089999999999904"/>
    <x v="7"/>
  </r>
  <r>
    <s v="TRX-101778"/>
    <x v="691"/>
    <x v="4"/>
    <x v="3"/>
    <x v="0"/>
    <n v="201"/>
    <n v="152.04"/>
    <x v="2"/>
    <n v="37"/>
    <n v="-48.96"/>
    <x v="8"/>
  </r>
  <r>
    <s v="TRX-101779"/>
    <x v="829"/>
    <x v="4"/>
    <x v="3"/>
    <x v="2"/>
    <n v="205"/>
    <n v="253.23"/>
    <x v="1"/>
    <n v="7"/>
    <n v="48.229999999999897"/>
    <x v="3"/>
  </r>
  <r>
    <s v="TRX-101780"/>
    <x v="118"/>
    <x v="3"/>
    <x v="4"/>
    <x v="1"/>
    <n v="111"/>
    <n v="230.34"/>
    <x v="3"/>
    <n v="49"/>
    <n v="119.34"/>
    <x v="6"/>
  </r>
  <r>
    <s v="TRX-101781"/>
    <x v="317"/>
    <x v="2"/>
    <x v="0"/>
    <x v="1"/>
    <n v="222"/>
    <n v="395.09"/>
    <x v="4"/>
    <n v="8"/>
    <n v="173.08999999999901"/>
    <x v="6"/>
  </r>
  <r>
    <s v="TRX-101782"/>
    <x v="203"/>
    <x v="1"/>
    <x v="6"/>
    <x v="1"/>
    <n v="181"/>
    <n v="375.69"/>
    <x v="2"/>
    <n v="39"/>
    <n v="194.69"/>
    <x v="0"/>
  </r>
  <r>
    <s v="TRX-101783"/>
    <x v="756"/>
    <x v="3"/>
    <x v="4"/>
    <x v="0"/>
    <n v="116"/>
    <n v="69.86"/>
    <x v="1"/>
    <n v="2"/>
    <n v="-46.14"/>
    <x v="8"/>
  </r>
  <r>
    <s v="TRX-101784"/>
    <x v="526"/>
    <x v="1"/>
    <x v="7"/>
    <x v="2"/>
    <n v="181"/>
    <n v="222.6"/>
    <x v="3"/>
    <n v="52"/>
    <n v="41.599999999999902"/>
    <x v="3"/>
  </r>
  <r>
    <s v="TRX-101785"/>
    <x v="830"/>
    <x v="0"/>
    <x v="7"/>
    <x v="2"/>
    <n v="228"/>
    <n v="220.03"/>
    <x v="2"/>
    <n v="32"/>
    <n v="-7.96999999999999"/>
    <x v="3"/>
  </r>
  <r>
    <s v="TRX-101786"/>
    <x v="726"/>
    <x v="4"/>
    <x v="1"/>
    <x v="0"/>
    <n v="206"/>
    <n v="162.75"/>
    <x v="2"/>
    <n v="52"/>
    <n v="-43.25"/>
    <x v="0"/>
  </r>
  <r>
    <s v="TRX-101787"/>
    <x v="831"/>
    <x v="4"/>
    <x v="3"/>
    <x v="0"/>
    <n v="206"/>
    <n v="133.93"/>
    <x v="0"/>
    <n v="12"/>
    <n v="-72.069999999999993"/>
    <x v="6"/>
  </r>
  <r>
    <s v="TRX-101788"/>
    <x v="605"/>
    <x v="3"/>
    <x v="5"/>
    <x v="0"/>
    <n v="114"/>
    <n v="95.55"/>
    <x v="2"/>
    <n v="31"/>
    <n v="-18.45"/>
    <x v="1"/>
  </r>
  <r>
    <s v="TRX-101789"/>
    <x v="37"/>
    <x v="1"/>
    <x v="6"/>
    <x v="1"/>
    <n v="180"/>
    <n v="343.93"/>
    <x v="0"/>
    <n v="6"/>
    <n v="163.93"/>
    <x v="6"/>
  </r>
  <r>
    <s v="TRX-101790"/>
    <x v="832"/>
    <x v="0"/>
    <x v="1"/>
    <x v="0"/>
    <n v="230"/>
    <n v="150.4"/>
    <x v="2"/>
    <n v="10"/>
    <n v="-79.599999999999994"/>
    <x v="8"/>
  </r>
  <r>
    <s v="TRX-101791"/>
    <x v="55"/>
    <x v="2"/>
    <x v="0"/>
    <x v="2"/>
    <n v="210"/>
    <n v="266.08"/>
    <x v="4"/>
    <n v="38"/>
    <n v="56.079999999999899"/>
    <x v="0"/>
  </r>
  <r>
    <s v="TRX-101792"/>
    <x v="197"/>
    <x v="3"/>
    <x v="0"/>
    <x v="1"/>
    <n v="113"/>
    <n v="391.5"/>
    <x v="0"/>
    <n v="1"/>
    <n v="278.5"/>
    <x v="4"/>
  </r>
  <r>
    <s v="TRX-101793"/>
    <x v="399"/>
    <x v="0"/>
    <x v="8"/>
    <x v="2"/>
    <n v="228"/>
    <n v="312.01"/>
    <x v="2"/>
    <n v="41"/>
    <n v="84.009999999999906"/>
    <x v="4"/>
  </r>
  <r>
    <s v="TRX-101794"/>
    <x v="354"/>
    <x v="1"/>
    <x v="2"/>
    <x v="1"/>
    <n v="189"/>
    <n v="398.62"/>
    <x v="1"/>
    <n v="6"/>
    <n v="209.62"/>
    <x v="10"/>
  </r>
  <r>
    <s v="TRX-101795"/>
    <x v="833"/>
    <x v="3"/>
    <x v="5"/>
    <x v="1"/>
    <n v="114"/>
    <n v="218.29"/>
    <x v="2"/>
    <n v="40"/>
    <n v="104.289999999999"/>
    <x v="1"/>
  </r>
  <r>
    <s v="TRX-101796"/>
    <x v="34"/>
    <x v="2"/>
    <x v="1"/>
    <x v="2"/>
    <n v="224"/>
    <n v="302.26"/>
    <x v="3"/>
    <n v="53"/>
    <n v="78.259999999999906"/>
    <x v="0"/>
  </r>
  <r>
    <s v="TRX-101797"/>
    <x v="801"/>
    <x v="3"/>
    <x v="7"/>
    <x v="1"/>
    <n v="124"/>
    <n v="263.70999999999998"/>
    <x v="4"/>
    <n v="32"/>
    <n v="139.70999999999901"/>
    <x v="2"/>
  </r>
  <r>
    <s v="TRX-101798"/>
    <x v="598"/>
    <x v="2"/>
    <x v="8"/>
    <x v="1"/>
    <n v="211"/>
    <n v="295.87"/>
    <x v="0"/>
    <n v="1"/>
    <n v="84.87"/>
    <x v="7"/>
  </r>
  <r>
    <s v="TRX-101799"/>
    <x v="362"/>
    <x v="1"/>
    <x v="3"/>
    <x v="1"/>
    <n v="181"/>
    <n v="371.01"/>
    <x v="3"/>
    <n v="43"/>
    <n v="190.01"/>
    <x v="8"/>
  </r>
  <r>
    <s v="TRX-101800"/>
    <x v="297"/>
    <x v="0"/>
    <x v="4"/>
    <x v="1"/>
    <n v="225"/>
    <n v="404.4"/>
    <x v="4"/>
    <n v="18"/>
    <n v="179.39999999999901"/>
    <x v="3"/>
  </r>
  <r>
    <s v="TRX-101801"/>
    <x v="678"/>
    <x v="1"/>
    <x v="7"/>
    <x v="1"/>
    <n v="171"/>
    <n v="512.29"/>
    <x v="1"/>
    <n v="2"/>
    <n v="341.289999999999"/>
    <x v="2"/>
  </r>
  <r>
    <s v="TRX-101802"/>
    <x v="834"/>
    <x v="0"/>
    <x v="0"/>
    <x v="1"/>
    <n v="225"/>
    <n v="379.77"/>
    <x v="1"/>
    <n v="2"/>
    <n v="154.76999999999899"/>
    <x v="0"/>
  </r>
  <r>
    <s v="TRX-101803"/>
    <x v="88"/>
    <x v="2"/>
    <x v="7"/>
    <x v="1"/>
    <n v="212"/>
    <n v="698.27"/>
    <x v="3"/>
    <n v="16"/>
    <n v="486.27"/>
    <x v="4"/>
  </r>
  <r>
    <s v="TRX-101804"/>
    <x v="706"/>
    <x v="2"/>
    <x v="5"/>
    <x v="0"/>
    <n v="217"/>
    <n v="175.93"/>
    <x v="4"/>
    <n v="6"/>
    <n v="-41.069999999999901"/>
    <x v="4"/>
  </r>
  <r>
    <s v="TRX-101805"/>
    <x v="707"/>
    <x v="1"/>
    <x v="8"/>
    <x v="1"/>
    <n v="171"/>
    <n v="521.04999999999995"/>
    <x v="4"/>
    <n v="37"/>
    <n v="350.04999999999899"/>
    <x v="8"/>
  </r>
  <r>
    <s v="TRX-101806"/>
    <x v="659"/>
    <x v="2"/>
    <x v="7"/>
    <x v="2"/>
    <n v="213"/>
    <n v="282.01"/>
    <x v="0"/>
    <n v="3"/>
    <n v="69.009999999999906"/>
    <x v="3"/>
  </r>
  <r>
    <s v="TRX-101807"/>
    <x v="821"/>
    <x v="3"/>
    <x v="1"/>
    <x v="2"/>
    <n v="113"/>
    <n v="112.62"/>
    <x v="3"/>
    <n v="60"/>
    <n v="-0.37999999999999501"/>
    <x v="1"/>
  </r>
  <r>
    <s v="TRX-101808"/>
    <x v="616"/>
    <x v="4"/>
    <x v="1"/>
    <x v="0"/>
    <n v="202"/>
    <n v="106.71"/>
    <x v="4"/>
    <n v="14"/>
    <n v="-95.29"/>
    <x v="10"/>
  </r>
  <r>
    <s v="TRX-101809"/>
    <x v="580"/>
    <x v="1"/>
    <x v="4"/>
    <x v="1"/>
    <n v="181"/>
    <n v="236.47"/>
    <x v="4"/>
    <n v="12"/>
    <n v="55.47"/>
    <x v="2"/>
  </r>
  <r>
    <s v="TRX-101810"/>
    <x v="754"/>
    <x v="4"/>
    <x v="6"/>
    <x v="2"/>
    <n v="210"/>
    <n v="212.07"/>
    <x v="2"/>
    <n v="41"/>
    <n v="2.0699999999999901"/>
    <x v="11"/>
  </r>
  <r>
    <s v="TRX-101811"/>
    <x v="284"/>
    <x v="3"/>
    <x v="8"/>
    <x v="2"/>
    <n v="119"/>
    <n v="123.22"/>
    <x v="3"/>
    <n v="40"/>
    <n v="4.21999999999999"/>
    <x v="7"/>
  </r>
  <r>
    <s v="TRX-101812"/>
    <x v="200"/>
    <x v="3"/>
    <x v="4"/>
    <x v="1"/>
    <n v="113"/>
    <n v="281.16000000000003"/>
    <x v="3"/>
    <n v="59"/>
    <n v="168.16"/>
    <x v="10"/>
  </r>
  <r>
    <s v="TRX-101813"/>
    <x v="745"/>
    <x v="1"/>
    <x v="1"/>
    <x v="2"/>
    <n v="175"/>
    <n v="164"/>
    <x v="0"/>
    <n v="1"/>
    <n v="-11"/>
    <x v="11"/>
  </r>
  <r>
    <s v="TRX-101814"/>
    <x v="832"/>
    <x v="3"/>
    <x v="5"/>
    <x v="2"/>
    <n v="124"/>
    <n v="135.86000000000001"/>
    <x v="1"/>
    <n v="4"/>
    <n v="11.86"/>
    <x v="8"/>
  </r>
  <r>
    <s v="TRX-101815"/>
    <x v="41"/>
    <x v="0"/>
    <x v="0"/>
    <x v="0"/>
    <n v="227"/>
    <n v="179.8"/>
    <x v="1"/>
    <n v="8"/>
    <n v="-47.199999999999903"/>
    <x v="5"/>
  </r>
  <r>
    <s v="TRX-101816"/>
    <x v="582"/>
    <x v="2"/>
    <x v="6"/>
    <x v="0"/>
    <n v="219"/>
    <n v="181.28"/>
    <x v="1"/>
    <n v="3"/>
    <n v="-37.72"/>
    <x v="1"/>
  </r>
  <r>
    <s v="TRX-101817"/>
    <x v="835"/>
    <x v="3"/>
    <x v="7"/>
    <x v="2"/>
    <n v="111"/>
    <n v="139.37"/>
    <x v="1"/>
    <n v="8"/>
    <n v="28.37"/>
    <x v="11"/>
  </r>
  <r>
    <s v="TRX-101818"/>
    <x v="4"/>
    <x v="1"/>
    <x v="2"/>
    <x v="2"/>
    <n v="189"/>
    <n v="235.87"/>
    <x v="0"/>
    <n v="13"/>
    <n v="46.87"/>
    <x v="3"/>
  </r>
  <r>
    <s v="TRX-101819"/>
    <x v="12"/>
    <x v="3"/>
    <x v="0"/>
    <x v="0"/>
    <n v="116"/>
    <n v="100.57"/>
    <x v="0"/>
    <n v="12"/>
    <n v="-15.43"/>
    <x v="7"/>
  </r>
  <r>
    <s v="TRX-101820"/>
    <x v="836"/>
    <x v="3"/>
    <x v="8"/>
    <x v="0"/>
    <n v="129"/>
    <n v="64.52"/>
    <x v="0"/>
    <n v="7"/>
    <n v="-64.48"/>
    <x v="3"/>
  </r>
  <r>
    <s v="TRX-101821"/>
    <x v="227"/>
    <x v="0"/>
    <x v="1"/>
    <x v="1"/>
    <n v="226"/>
    <n v="304.83"/>
    <x v="3"/>
    <n v="39"/>
    <n v="78.829999999999899"/>
    <x v="6"/>
  </r>
  <r>
    <s v="TRX-101822"/>
    <x v="432"/>
    <x v="0"/>
    <x v="1"/>
    <x v="2"/>
    <n v="230"/>
    <n v="279.63"/>
    <x v="4"/>
    <n v="42"/>
    <n v="49.629999999999903"/>
    <x v="5"/>
  </r>
  <r>
    <s v="TRX-101823"/>
    <x v="236"/>
    <x v="1"/>
    <x v="8"/>
    <x v="0"/>
    <n v="174"/>
    <n v="97.31"/>
    <x v="2"/>
    <n v="31"/>
    <n v="-76.69"/>
    <x v="8"/>
  </r>
  <r>
    <s v="TRX-101824"/>
    <x v="829"/>
    <x v="1"/>
    <x v="8"/>
    <x v="1"/>
    <n v="186"/>
    <n v="445.4"/>
    <x v="4"/>
    <n v="14"/>
    <n v="259.39999999999998"/>
    <x v="3"/>
  </r>
  <r>
    <s v="TRX-101825"/>
    <x v="206"/>
    <x v="2"/>
    <x v="1"/>
    <x v="0"/>
    <n v="213"/>
    <n v="174.9"/>
    <x v="0"/>
    <n v="13"/>
    <n v="-38.099999999999902"/>
    <x v="0"/>
  </r>
  <r>
    <s v="TRX-101826"/>
    <x v="187"/>
    <x v="3"/>
    <x v="8"/>
    <x v="0"/>
    <n v="118"/>
    <n v="82.55"/>
    <x v="4"/>
    <n v="31"/>
    <n v="-35.450000000000003"/>
    <x v="2"/>
  </r>
  <r>
    <s v="TRX-101827"/>
    <x v="439"/>
    <x v="1"/>
    <x v="3"/>
    <x v="0"/>
    <n v="190"/>
    <n v="100.68"/>
    <x v="0"/>
    <n v="5"/>
    <n v="-89.32"/>
    <x v="11"/>
  </r>
  <r>
    <s v="TRX-101828"/>
    <x v="837"/>
    <x v="4"/>
    <x v="3"/>
    <x v="2"/>
    <n v="202"/>
    <n v="212.02"/>
    <x v="4"/>
    <n v="25"/>
    <n v="10.02"/>
    <x v="5"/>
  </r>
  <r>
    <s v="TRX-101829"/>
    <x v="415"/>
    <x v="3"/>
    <x v="6"/>
    <x v="2"/>
    <n v="130"/>
    <n v="194.39"/>
    <x v="4"/>
    <n v="29"/>
    <n v="64.389999999999901"/>
    <x v="5"/>
  </r>
  <r>
    <s v="TRX-101830"/>
    <x v="68"/>
    <x v="4"/>
    <x v="4"/>
    <x v="1"/>
    <n v="208"/>
    <n v="521.94000000000005"/>
    <x v="4"/>
    <n v="51"/>
    <n v="313.94"/>
    <x v="4"/>
  </r>
  <r>
    <s v="TRX-101831"/>
    <x v="146"/>
    <x v="0"/>
    <x v="5"/>
    <x v="1"/>
    <n v="225"/>
    <n v="687.46"/>
    <x v="2"/>
    <n v="42"/>
    <n v="462.46"/>
    <x v="9"/>
  </r>
  <r>
    <s v="TRX-101832"/>
    <x v="393"/>
    <x v="4"/>
    <x v="4"/>
    <x v="1"/>
    <n v="206"/>
    <n v="407.6"/>
    <x v="0"/>
    <n v="13"/>
    <n v="201.6"/>
    <x v="10"/>
  </r>
  <r>
    <s v="TRX-101833"/>
    <x v="399"/>
    <x v="2"/>
    <x v="0"/>
    <x v="1"/>
    <n v="213"/>
    <n v="655.6"/>
    <x v="3"/>
    <n v="47"/>
    <n v="442.6"/>
    <x v="4"/>
  </r>
  <r>
    <s v="TRX-101834"/>
    <x v="168"/>
    <x v="4"/>
    <x v="5"/>
    <x v="0"/>
    <n v="207"/>
    <n v="128.24"/>
    <x v="0"/>
    <n v="8"/>
    <n v="-78.759999999999906"/>
    <x v="5"/>
  </r>
  <r>
    <s v="TRX-101835"/>
    <x v="604"/>
    <x v="1"/>
    <x v="7"/>
    <x v="2"/>
    <n v="174"/>
    <n v="157.29"/>
    <x v="0"/>
    <n v="2"/>
    <n v="-16.71"/>
    <x v="10"/>
  </r>
  <r>
    <s v="TRX-101836"/>
    <x v="517"/>
    <x v="0"/>
    <x v="6"/>
    <x v="1"/>
    <n v="228"/>
    <n v="684.22"/>
    <x v="1"/>
    <n v="8"/>
    <n v="456.22"/>
    <x v="2"/>
  </r>
  <r>
    <s v="TRX-101837"/>
    <x v="652"/>
    <x v="2"/>
    <x v="6"/>
    <x v="1"/>
    <n v="220"/>
    <n v="625.75"/>
    <x v="1"/>
    <n v="1"/>
    <n v="405.75"/>
    <x v="0"/>
  </r>
  <r>
    <s v="TRX-101838"/>
    <x v="745"/>
    <x v="2"/>
    <x v="5"/>
    <x v="2"/>
    <n v="222"/>
    <n v="246.41"/>
    <x v="2"/>
    <n v="48"/>
    <n v="24.409999999999901"/>
    <x v="11"/>
  </r>
  <r>
    <s v="TRX-101839"/>
    <x v="447"/>
    <x v="4"/>
    <x v="3"/>
    <x v="1"/>
    <n v="204"/>
    <n v="570.04999999999995"/>
    <x v="3"/>
    <n v="29"/>
    <n v="366.04999999999899"/>
    <x v="5"/>
  </r>
  <r>
    <s v="TRX-101840"/>
    <x v="303"/>
    <x v="3"/>
    <x v="6"/>
    <x v="1"/>
    <n v="138"/>
    <n v="254.44"/>
    <x v="4"/>
    <n v="7"/>
    <n v="116.44"/>
    <x v="11"/>
  </r>
  <r>
    <s v="TRX-101841"/>
    <x v="561"/>
    <x v="4"/>
    <x v="1"/>
    <x v="2"/>
    <n v="200"/>
    <n v="278.62"/>
    <x v="3"/>
    <n v="51"/>
    <n v="78.62"/>
    <x v="11"/>
  </r>
  <r>
    <s v="TRX-101842"/>
    <x v="838"/>
    <x v="4"/>
    <x v="6"/>
    <x v="0"/>
    <n v="205"/>
    <n v="146.72"/>
    <x v="3"/>
    <n v="23"/>
    <n v="-58.28"/>
    <x v="2"/>
  </r>
  <r>
    <s v="TRX-101843"/>
    <x v="809"/>
    <x v="1"/>
    <x v="3"/>
    <x v="1"/>
    <n v="185"/>
    <n v="585.32000000000005"/>
    <x v="1"/>
    <n v="13"/>
    <n v="400.32"/>
    <x v="3"/>
  </r>
  <r>
    <s v="TRX-101844"/>
    <x v="486"/>
    <x v="1"/>
    <x v="3"/>
    <x v="1"/>
    <n v="178"/>
    <n v="552.34"/>
    <x v="3"/>
    <n v="9"/>
    <n v="374.34"/>
    <x v="11"/>
  </r>
  <r>
    <s v="TRX-101845"/>
    <x v="839"/>
    <x v="0"/>
    <x v="7"/>
    <x v="1"/>
    <n v="230"/>
    <n v="556.84"/>
    <x v="0"/>
    <n v="3"/>
    <n v="326.83999999999997"/>
    <x v="11"/>
  </r>
  <r>
    <s v="TRX-101846"/>
    <x v="840"/>
    <x v="4"/>
    <x v="6"/>
    <x v="0"/>
    <n v="202"/>
    <n v="111.88"/>
    <x v="4"/>
    <n v="57"/>
    <n v="-90.12"/>
    <x v="3"/>
  </r>
  <r>
    <s v="TRX-101847"/>
    <x v="777"/>
    <x v="1"/>
    <x v="4"/>
    <x v="0"/>
    <n v="171"/>
    <n v="137.12"/>
    <x v="3"/>
    <n v="36"/>
    <n v="-33.879999999999903"/>
    <x v="2"/>
  </r>
  <r>
    <s v="TRX-101848"/>
    <x v="504"/>
    <x v="4"/>
    <x v="4"/>
    <x v="2"/>
    <n v="210"/>
    <n v="215.22"/>
    <x v="0"/>
    <n v="7"/>
    <n v="5.21999999999999"/>
    <x v="0"/>
  </r>
  <r>
    <s v="TRX-101849"/>
    <x v="39"/>
    <x v="0"/>
    <x v="6"/>
    <x v="0"/>
    <n v="227"/>
    <n v="117.41"/>
    <x v="1"/>
    <n v="12"/>
    <n v="-109.59"/>
    <x v="11"/>
  </r>
  <r>
    <s v="TRX-101850"/>
    <x v="631"/>
    <x v="1"/>
    <x v="1"/>
    <x v="2"/>
    <n v="174"/>
    <n v="201.17"/>
    <x v="3"/>
    <n v="49"/>
    <n v="27.169999999999899"/>
    <x v="6"/>
  </r>
  <r>
    <s v="TRX-101851"/>
    <x v="685"/>
    <x v="4"/>
    <x v="2"/>
    <x v="0"/>
    <n v="207"/>
    <n v="170.54"/>
    <x v="3"/>
    <n v="17"/>
    <n v="-36.46"/>
    <x v="8"/>
  </r>
  <r>
    <s v="TRX-101852"/>
    <x v="740"/>
    <x v="1"/>
    <x v="2"/>
    <x v="1"/>
    <n v="179"/>
    <n v="413.67"/>
    <x v="0"/>
    <n v="8"/>
    <n v="234.67"/>
    <x v="11"/>
  </r>
  <r>
    <s v="TRX-101853"/>
    <x v="450"/>
    <x v="2"/>
    <x v="3"/>
    <x v="2"/>
    <n v="212"/>
    <n v="207.1"/>
    <x v="2"/>
    <n v="25"/>
    <n v="-4.9000000000000004"/>
    <x v="8"/>
  </r>
  <r>
    <s v="TRX-101854"/>
    <x v="841"/>
    <x v="3"/>
    <x v="3"/>
    <x v="0"/>
    <n v="136"/>
    <n v="105.47"/>
    <x v="0"/>
    <n v="3"/>
    <n v="-30.53"/>
    <x v="2"/>
  </r>
  <r>
    <s v="TRX-101855"/>
    <x v="20"/>
    <x v="3"/>
    <x v="6"/>
    <x v="0"/>
    <n v="140"/>
    <n v="117.01"/>
    <x v="2"/>
    <n v="45"/>
    <n v="-22.989999999999899"/>
    <x v="10"/>
  </r>
  <r>
    <s v="TRX-101856"/>
    <x v="796"/>
    <x v="4"/>
    <x v="7"/>
    <x v="1"/>
    <n v="200"/>
    <n v="684.13"/>
    <x v="0"/>
    <n v="4"/>
    <n v="484.13"/>
    <x v="7"/>
  </r>
  <r>
    <s v="TRX-101857"/>
    <x v="842"/>
    <x v="0"/>
    <x v="7"/>
    <x v="0"/>
    <n v="230"/>
    <n v="136.53"/>
    <x v="3"/>
    <n v="7"/>
    <n v="-93.47"/>
    <x v="11"/>
  </r>
  <r>
    <s v="TRX-101858"/>
    <x v="706"/>
    <x v="1"/>
    <x v="6"/>
    <x v="2"/>
    <n v="182"/>
    <n v="172.74"/>
    <x v="0"/>
    <n v="1"/>
    <n v="-9.2599999999999891"/>
    <x v="4"/>
  </r>
  <r>
    <s v="TRX-101859"/>
    <x v="130"/>
    <x v="3"/>
    <x v="4"/>
    <x v="2"/>
    <n v="128"/>
    <n v="123.87"/>
    <x v="1"/>
    <n v="4"/>
    <n v="-4.1299999999999901"/>
    <x v="2"/>
  </r>
  <r>
    <s v="TRX-101860"/>
    <x v="329"/>
    <x v="4"/>
    <x v="6"/>
    <x v="0"/>
    <n v="208"/>
    <n v="132.13999999999999"/>
    <x v="0"/>
    <n v="8"/>
    <n v="-75.86"/>
    <x v="5"/>
  </r>
  <r>
    <s v="TRX-101861"/>
    <x v="161"/>
    <x v="2"/>
    <x v="2"/>
    <x v="2"/>
    <n v="217"/>
    <n v="309.32"/>
    <x v="1"/>
    <n v="5"/>
    <n v="92.32"/>
    <x v="7"/>
  </r>
  <r>
    <s v="TRX-101862"/>
    <x v="214"/>
    <x v="1"/>
    <x v="6"/>
    <x v="0"/>
    <n v="189"/>
    <n v="167.37"/>
    <x v="4"/>
    <n v="53"/>
    <n v="-21.6299999999999"/>
    <x v="1"/>
  </r>
  <r>
    <s v="TRX-101863"/>
    <x v="232"/>
    <x v="1"/>
    <x v="0"/>
    <x v="0"/>
    <n v="172"/>
    <n v="118.9"/>
    <x v="4"/>
    <n v="20"/>
    <n v="-53.099999999999902"/>
    <x v="6"/>
  </r>
  <r>
    <s v="TRX-101864"/>
    <x v="384"/>
    <x v="3"/>
    <x v="5"/>
    <x v="0"/>
    <n v="134"/>
    <n v="78.75"/>
    <x v="0"/>
    <n v="13"/>
    <n v="-55.25"/>
    <x v="4"/>
  </r>
  <r>
    <s v="TRX-101865"/>
    <x v="843"/>
    <x v="4"/>
    <x v="8"/>
    <x v="1"/>
    <n v="203"/>
    <n v="427.68"/>
    <x v="1"/>
    <n v="10"/>
    <n v="224.68"/>
    <x v="5"/>
  </r>
  <r>
    <s v="TRX-101866"/>
    <x v="844"/>
    <x v="4"/>
    <x v="4"/>
    <x v="1"/>
    <n v="207"/>
    <n v="417.08"/>
    <x v="1"/>
    <n v="8"/>
    <n v="210.07999999999899"/>
    <x v="3"/>
  </r>
  <r>
    <s v="TRX-101867"/>
    <x v="630"/>
    <x v="2"/>
    <x v="5"/>
    <x v="1"/>
    <n v="225"/>
    <n v="484.24"/>
    <x v="4"/>
    <n v="17"/>
    <n v="259.24"/>
    <x v="8"/>
  </r>
  <r>
    <s v="TRX-101868"/>
    <x v="293"/>
    <x v="1"/>
    <x v="0"/>
    <x v="0"/>
    <n v="173"/>
    <n v="146.66"/>
    <x v="2"/>
    <n v="45"/>
    <n v="-26.34"/>
    <x v="1"/>
  </r>
  <r>
    <s v="TRX-101869"/>
    <x v="603"/>
    <x v="3"/>
    <x v="1"/>
    <x v="1"/>
    <n v="138"/>
    <n v="356.98"/>
    <x v="0"/>
    <n v="4"/>
    <n v="218.98"/>
    <x v="10"/>
  </r>
  <r>
    <s v="TRX-101870"/>
    <x v="732"/>
    <x v="4"/>
    <x v="8"/>
    <x v="1"/>
    <n v="207"/>
    <n v="490.67"/>
    <x v="3"/>
    <n v="24"/>
    <n v="283.67"/>
    <x v="10"/>
  </r>
  <r>
    <s v="TRX-101871"/>
    <x v="845"/>
    <x v="3"/>
    <x v="1"/>
    <x v="0"/>
    <n v="133"/>
    <n v="118.95"/>
    <x v="1"/>
    <n v="12"/>
    <n v="-14.049999999999899"/>
    <x v="2"/>
  </r>
  <r>
    <s v="TRX-101872"/>
    <x v="822"/>
    <x v="0"/>
    <x v="3"/>
    <x v="1"/>
    <n v="226"/>
    <n v="407.62"/>
    <x v="2"/>
    <n v="44"/>
    <n v="181.62"/>
    <x v="7"/>
  </r>
  <r>
    <s v="TRX-101873"/>
    <x v="312"/>
    <x v="3"/>
    <x v="8"/>
    <x v="1"/>
    <n v="124"/>
    <n v="268.05"/>
    <x v="3"/>
    <n v="32"/>
    <n v="144.05000000000001"/>
    <x v="11"/>
  </r>
  <r>
    <s v="TRX-101874"/>
    <x v="796"/>
    <x v="2"/>
    <x v="2"/>
    <x v="0"/>
    <n v="221"/>
    <n v="122.3"/>
    <x v="3"/>
    <n v="36"/>
    <n v="-98.7"/>
    <x v="7"/>
  </r>
  <r>
    <s v="TRX-101875"/>
    <x v="178"/>
    <x v="2"/>
    <x v="1"/>
    <x v="0"/>
    <n v="210"/>
    <n v="170.51"/>
    <x v="4"/>
    <n v="42"/>
    <n v="-39.49"/>
    <x v="10"/>
  </r>
  <r>
    <s v="TRX-101876"/>
    <x v="713"/>
    <x v="0"/>
    <x v="6"/>
    <x v="1"/>
    <n v="229"/>
    <n v="282.17"/>
    <x v="1"/>
    <n v="4"/>
    <n v="53.17"/>
    <x v="4"/>
  </r>
  <r>
    <s v="TRX-101877"/>
    <x v="699"/>
    <x v="0"/>
    <x v="7"/>
    <x v="2"/>
    <n v="227"/>
    <n v="243.01"/>
    <x v="1"/>
    <n v="10"/>
    <n v="16.009999999999899"/>
    <x v="11"/>
  </r>
  <r>
    <s v="TRX-101878"/>
    <x v="140"/>
    <x v="0"/>
    <x v="8"/>
    <x v="1"/>
    <n v="225"/>
    <n v="566.44000000000005"/>
    <x v="2"/>
    <n v="37"/>
    <n v="341.44"/>
    <x v="2"/>
  </r>
  <r>
    <s v="TRX-101879"/>
    <x v="846"/>
    <x v="1"/>
    <x v="7"/>
    <x v="1"/>
    <n v="176"/>
    <n v="362.55"/>
    <x v="3"/>
    <n v="19"/>
    <n v="186.55"/>
    <x v="10"/>
  </r>
  <r>
    <s v="TRX-101880"/>
    <x v="273"/>
    <x v="1"/>
    <x v="6"/>
    <x v="0"/>
    <n v="186"/>
    <n v="131.13"/>
    <x v="3"/>
    <n v="7"/>
    <n v="-54.87"/>
    <x v="7"/>
  </r>
  <r>
    <s v="TRX-101881"/>
    <x v="847"/>
    <x v="3"/>
    <x v="0"/>
    <x v="2"/>
    <n v="110"/>
    <n v="117.51"/>
    <x v="0"/>
    <n v="4"/>
    <n v="7.51"/>
    <x v="3"/>
  </r>
  <r>
    <s v="TRX-101882"/>
    <x v="129"/>
    <x v="0"/>
    <x v="4"/>
    <x v="0"/>
    <n v="229"/>
    <n v="127.97"/>
    <x v="3"/>
    <n v="40"/>
    <n v="-101.03"/>
    <x v="4"/>
  </r>
  <r>
    <s v="TRX-101883"/>
    <x v="128"/>
    <x v="1"/>
    <x v="7"/>
    <x v="2"/>
    <n v="185"/>
    <n v="259.06"/>
    <x v="2"/>
    <n v="53"/>
    <n v="74.06"/>
    <x v="5"/>
  </r>
  <r>
    <s v="TRX-101884"/>
    <x v="542"/>
    <x v="1"/>
    <x v="3"/>
    <x v="1"/>
    <n v="182"/>
    <n v="443.85"/>
    <x v="3"/>
    <n v="16"/>
    <n v="261.85000000000002"/>
    <x v="3"/>
  </r>
  <r>
    <s v="TRX-101885"/>
    <x v="193"/>
    <x v="4"/>
    <x v="8"/>
    <x v="0"/>
    <n v="209"/>
    <n v="106.46"/>
    <x v="3"/>
    <n v="17"/>
    <n v="-102.54"/>
    <x v="0"/>
  </r>
  <r>
    <s v="TRX-101886"/>
    <x v="358"/>
    <x v="2"/>
    <x v="5"/>
    <x v="0"/>
    <n v="224"/>
    <n v="122.69"/>
    <x v="4"/>
    <n v="12"/>
    <n v="-101.31"/>
    <x v="0"/>
  </r>
  <r>
    <s v="TRX-101887"/>
    <x v="620"/>
    <x v="1"/>
    <x v="2"/>
    <x v="0"/>
    <n v="177"/>
    <n v="109.51"/>
    <x v="0"/>
    <n v="3"/>
    <n v="-67.489999999999995"/>
    <x v="9"/>
  </r>
  <r>
    <s v="TRX-101888"/>
    <x v="55"/>
    <x v="2"/>
    <x v="6"/>
    <x v="2"/>
    <n v="224"/>
    <n v="302.70999999999998"/>
    <x v="0"/>
    <n v="1"/>
    <n v="78.709999999999894"/>
    <x v="0"/>
  </r>
  <r>
    <s v="TRX-101889"/>
    <x v="848"/>
    <x v="4"/>
    <x v="1"/>
    <x v="2"/>
    <n v="208"/>
    <n v="231.37"/>
    <x v="1"/>
    <n v="10"/>
    <n v="23.37"/>
    <x v="1"/>
  </r>
  <r>
    <s v="TRX-101890"/>
    <x v="849"/>
    <x v="4"/>
    <x v="5"/>
    <x v="2"/>
    <n v="202"/>
    <n v="205.21"/>
    <x v="3"/>
    <n v="20"/>
    <n v="3.21"/>
    <x v="4"/>
  </r>
  <r>
    <s v="TRX-101891"/>
    <x v="61"/>
    <x v="1"/>
    <x v="6"/>
    <x v="1"/>
    <n v="176"/>
    <n v="509.85"/>
    <x v="4"/>
    <n v="27"/>
    <n v="333.85"/>
    <x v="6"/>
  </r>
  <r>
    <s v="TRX-101892"/>
    <x v="602"/>
    <x v="3"/>
    <x v="5"/>
    <x v="1"/>
    <n v="125"/>
    <n v="246.84"/>
    <x v="4"/>
    <n v="15"/>
    <n v="121.84"/>
    <x v="7"/>
  </r>
  <r>
    <s v="TRX-101893"/>
    <x v="850"/>
    <x v="2"/>
    <x v="8"/>
    <x v="2"/>
    <n v="218"/>
    <n v="291.39"/>
    <x v="1"/>
    <n v="6"/>
    <n v="73.389999999999901"/>
    <x v="8"/>
  </r>
  <r>
    <s v="TRX-101894"/>
    <x v="51"/>
    <x v="1"/>
    <x v="5"/>
    <x v="0"/>
    <n v="181"/>
    <n v="98.68"/>
    <x v="3"/>
    <n v="53"/>
    <n v="-82.32"/>
    <x v="3"/>
  </r>
  <r>
    <s v="TRX-101895"/>
    <x v="810"/>
    <x v="0"/>
    <x v="8"/>
    <x v="1"/>
    <n v="229"/>
    <n v="623.77"/>
    <x v="4"/>
    <n v="29"/>
    <n v="394.77"/>
    <x v="6"/>
  </r>
  <r>
    <s v="TRX-101896"/>
    <x v="687"/>
    <x v="2"/>
    <x v="0"/>
    <x v="2"/>
    <n v="223"/>
    <n v="268.52999999999997"/>
    <x v="4"/>
    <n v="6"/>
    <n v="45.529999999999902"/>
    <x v="3"/>
  </r>
  <r>
    <s v="TRX-101897"/>
    <x v="340"/>
    <x v="2"/>
    <x v="0"/>
    <x v="0"/>
    <n v="218"/>
    <n v="147.15"/>
    <x v="0"/>
    <n v="12"/>
    <n v="-70.849999999999994"/>
    <x v="11"/>
  </r>
  <r>
    <s v="TRX-101898"/>
    <x v="509"/>
    <x v="1"/>
    <x v="7"/>
    <x v="0"/>
    <n v="178"/>
    <n v="133.13"/>
    <x v="2"/>
    <n v="15"/>
    <n v="-44.87"/>
    <x v="6"/>
  </r>
  <r>
    <s v="TRX-101899"/>
    <x v="314"/>
    <x v="1"/>
    <x v="2"/>
    <x v="0"/>
    <n v="187"/>
    <n v="146.69999999999999"/>
    <x v="1"/>
    <n v="10"/>
    <n v="-40.299999999999997"/>
    <x v="8"/>
  </r>
  <r>
    <s v="TRX-101900"/>
    <x v="107"/>
    <x v="3"/>
    <x v="0"/>
    <x v="2"/>
    <n v="132"/>
    <n v="192.5"/>
    <x v="1"/>
    <n v="14"/>
    <n v="60.5"/>
    <x v="6"/>
  </r>
  <r>
    <s v="TRX-101901"/>
    <x v="851"/>
    <x v="0"/>
    <x v="0"/>
    <x v="0"/>
    <n v="226"/>
    <n v="121.81"/>
    <x v="1"/>
    <n v="3"/>
    <n v="-104.19"/>
    <x v="10"/>
  </r>
  <r>
    <s v="TRX-101902"/>
    <x v="299"/>
    <x v="0"/>
    <x v="7"/>
    <x v="0"/>
    <n v="230"/>
    <n v="183.91"/>
    <x v="3"/>
    <n v="54"/>
    <n v="-46.09"/>
    <x v="0"/>
  </r>
  <r>
    <s v="TRX-101903"/>
    <x v="852"/>
    <x v="0"/>
    <x v="5"/>
    <x v="1"/>
    <n v="226"/>
    <n v="516.55999999999995"/>
    <x v="0"/>
    <n v="13"/>
    <n v="290.55999999999898"/>
    <x v="1"/>
  </r>
  <r>
    <s v="TRX-101904"/>
    <x v="719"/>
    <x v="1"/>
    <x v="0"/>
    <x v="0"/>
    <n v="185"/>
    <n v="125.6"/>
    <x v="3"/>
    <n v="32"/>
    <n v="-59.4"/>
    <x v="2"/>
  </r>
  <r>
    <s v="TRX-101905"/>
    <x v="751"/>
    <x v="3"/>
    <x v="1"/>
    <x v="1"/>
    <n v="134"/>
    <n v="382.77"/>
    <x v="2"/>
    <n v="12"/>
    <n v="248.76999999999899"/>
    <x v="6"/>
  </r>
  <r>
    <s v="TRX-101906"/>
    <x v="749"/>
    <x v="4"/>
    <x v="2"/>
    <x v="1"/>
    <n v="210"/>
    <n v="383.9"/>
    <x v="3"/>
    <n v="44"/>
    <n v="173.89999999999901"/>
    <x v="7"/>
  </r>
  <r>
    <s v="TRX-101907"/>
    <x v="378"/>
    <x v="1"/>
    <x v="0"/>
    <x v="0"/>
    <n v="174"/>
    <n v="106.02"/>
    <x v="2"/>
    <n v="49"/>
    <n v="-67.98"/>
    <x v="3"/>
  </r>
  <r>
    <s v="TRX-101908"/>
    <x v="33"/>
    <x v="1"/>
    <x v="8"/>
    <x v="2"/>
    <n v="180"/>
    <n v="252.06"/>
    <x v="3"/>
    <n v="22"/>
    <n v="72.06"/>
    <x v="7"/>
  </r>
  <r>
    <s v="TRX-101909"/>
    <x v="173"/>
    <x v="1"/>
    <x v="5"/>
    <x v="1"/>
    <n v="173"/>
    <n v="315.8"/>
    <x v="0"/>
    <n v="12"/>
    <n v="142.80000000000001"/>
    <x v="6"/>
  </r>
  <r>
    <s v="TRX-101910"/>
    <x v="199"/>
    <x v="2"/>
    <x v="1"/>
    <x v="0"/>
    <n v="218"/>
    <n v="151.97"/>
    <x v="1"/>
    <n v="4"/>
    <n v="-66.03"/>
    <x v="8"/>
  </r>
  <r>
    <s v="TRX-101911"/>
    <x v="302"/>
    <x v="4"/>
    <x v="6"/>
    <x v="1"/>
    <n v="207"/>
    <n v="429.68"/>
    <x v="4"/>
    <n v="8"/>
    <n v="222.68"/>
    <x v="1"/>
  </r>
  <r>
    <s v="TRX-101912"/>
    <x v="851"/>
    <x v="4"/>
    <x v="4"/>
    <x v="1"/>
    <n v="206"/>
    <n v="629.79"/>
    <x v="4"/>
    <n v="10"/>
    <n v="423.789999999999"/>
    <x v="10"/>
  </r>
  <r>
    <s v="TRX-101913"/>
    <x v="303"/>
    <x v="2"/>
    <x v="4"/>
    <x v="1"/>
    <n v="218"/>
    <n v="278.89999999999998"/>
    <x v="1"/>
    <n v="10"/>
    <n v="60.899999999999899"/>
    <x v="11"/>
  </r>
  <r>
    <s v="TRX-101914"/>
    <x v="784"/>
    <x v="3"/>
    <x v="2"/>
    <x v="0"/>
    <n v="126"/>
    <n v="104.99"/>
    <x v="0"/>
    <n v="6"/>
    <n v="-21.01"/>
    <x v="11"/>
  </r>
  <r>
    <s v="TRX-101915"/>
    <x v="853"/>
    <x v="0"/>
    <x v="6"/>
    <x v="1"/>
    <n v="229"/>
    <n v="306.79000000000002"/>
    <x v="1"/>
    <n v="14"/>
    <n v="77.790000000000006"/>
    <x v="0"/>
  </r>
  <r>
    <s v="TRX-101916"/>
    <x v="660"/>
    <x v="3"/>
    <x v="2"/>
    <x v="0"/>
    <n v="114"/>
    <n v="98.22"/>
    <x v="0"/>
    <n v="4"/>
    <n v="-15.78"/>
    <x v="4"/>
  </r>
  <r>
    <s v="TRX-101917"/>
    <x v="44"/>
    <x v="0"/>
    <x v="0"/>
    <x v="1"/>
    <n v="230"/>
    <n v="531.30999999999995"/>
    <x v="3"/>
    <n v="12"/>
    <n v="301.30999999999898"/>
    <x v="5"/>
  </r>
  <r>
    <s v="TRX-101918"/>
    <x v="854"/>
    <x v="4"/>
    <x v="0"/>
    <x v="2"/>
    <n v="206"/>
    <n v="290.72000000000003"/>
    <x v="4"/>
    <n v="29"/>
    <n v="84.72"/>
    <x v="2"/>
  </r>
  <r>
    <s v="TRX-101919"/>
    <x v="454"/>
    <x v="1"/>
    <x v="6"/>
    <x v="0"/>
    <n v="188"/>
    <n v="135.63999999999999"/>
    <x v="3"/>
    <n v="56"/>
    <n v="-52.36"/>
    <x v="8"/>
  </r>
  <r>
    <s v="TRX-101920"/>
    <x v="764"/>
    <x v="4"/>
    <x v="2"/>
    <x v="0"/>
    <n v="207"/>
    <n v="181.93"/>
    <x v="0"/>
    <n v="12"/>
    <n v="-25.069999999999901"/>
    <x v="5"/>
  </r>
  <r>
    <s v="TRX-101921"/>
    <x v="619"/>
    <x v="2"/>
    <x v="5"/>
    <x v="1"/>
    <n v="214"/>
    <n v="282.82"/>
    <x v="2"/>
    <n v="11"/>
    <n v="68.819999999999993"/>
    <x v="5"/>
  </r>
  <r>
    <s v="TRX-101922"/>
    <x v="855"/>
    <x v="3"/>
    <x v="8"/>
    <x v="1"/>
    <n v="130"/>
    <n v="377.13"/>
    <x v="4"/>
    <n v="20"/>
    <n v="247.13"/>
    <x v="2"/>
  </r>
  <r>
    <s v="TRX-101923"/>
    <x v="678"/>
    <x v="0"/>
    <x v="2"/>
    <x v="0"/>
    <n v="230"/>
    <n v="173.67"/>
    <x v="3"/>
    <n v="29"/>
    <n v="-56.33"/>
    <x v="2"/>
  </r>
  <r>
    <s v="TRX-101924"/>
    <x v="696"/>
    <x v="4"/>
    <x v="1"/>
    <x v="1"/>
    <n v="202"/>
    <n v="336.12"/>
    <x v="0"/>
    <n v="3"/>
    <n v="134.12"/>
    <x v="11"/>
  </r>
  <r>
    <s v="TRX-101925"/>
    <x v="466"/>
    <x v="1"/>
    <x v="3"/>
    <x v="0"/>
    <n v="184"/>
    <n v="124.66"/>
    <x v="0"/>
    <n v="2"/>
    <n v="-59.34"/>
    <x v="5"/>
  </r>
  <r>
    <s v="TRX-101926"/>
    <x v="634"/>
    <x v="4"/>
    <x v="7"/>
    <x v="0"/>
    <n v="208"/>
    <n v="120.7"/>
    <x v="2"/>
    <n v="33"/>
    <n v="-87.3"/>
    <x v="7"/>
  </r>
  <r>
    <s v="TRX-101927"/>
    <x v="161"/>
    <x v="0"/>
    <x v="3"/>
    <x v="0"/>
    <n v="225"/>
    <n v="186.23"/>
    <x v="3"/>
    <n v="18"/>
    <n v="-38.770000000000003"/>
    <x v="7"/>
  </r>
  <r>
    <s v="TRX-101928"/>
    <x v="856"/>
    <x v="0"/>
    <x v="3"/>
    <x v="1"/>
    <n v="226"/>
    <n v="737.98"/>
    <x v="4"/>
    <n v="20"/>
    <n v="511.98"/>
    <x v="8"/>
  </r>
  <r>
    <s v="TRX-101929"/>
    <x v="850"/>
    <x v="1"/>
    <x v="3"/>
    <x v="2"/>
    <n v="179"/>
    <n v="224.72"/>
    <x v="2"/>
    <n v="47"/>
    <n v="45.72"/>
    <x v="8"/>
  </r>
  <r>
    <s v="TRX-101930"/>
    <x v="2"/>
    <x v="1"/>
    <x v="3"/>
    <x v="0"/>
    <n v="184"/>
    <n v="136.47999999999999"/>
    <x v="2"/>
    <n v="24"/>
    <n v="-47.52"/>
    <x v="1"/>
  </r>
  <r>
    <s v="TRX-101931"/>
    <x v="116"/>
    <x v="1"/>
    <x v="5"/>
    <x v="1"/>
    <n v="183"/>
    <n v="291.42"/>
    <x v="1"/>
    <n v="6"/>
    <n v="108.42"/>
    <x v="8"/>
  </r>
  <r>
    <s v="TRX-101932"/>
    <x v="43"/>
    <x v="0"/>
    <x v="0"/>
    <x v="1"/>
    <n v="226"/>
    <n v="739"/>
    <x v="1"/>
    <n v="11"/>
    <n v="513"/>
    <x v="8"/>
  </r>
  <r>
    <s v="TRX-101933"/>
    <x v="472"/>
    <x v="0"/>
    <x v="0"/>
    <x v="0"/>
    <n v="230"/>
    <n v="173.53"/>
    <x v="0"/>
    <n v="8"/>
    <n v="-56.47"/>
    <x v="11"/>
  </r>
  <r>
    <s v="TRX-101934"/>
    <x v="606"/>
    <x v="0"/>
    <x v="7"/>
    <x v="1"/>
    <n v="227"/>
    <n v="450.8"/>
    <x v="0"/>
    <n v="12"/>
    <n v="223.8"/>
    <x v="7"/>
  </r>
  <r>
    <s v="TRX-101935"/>
    <x v="157"/>
    <x v="3"/>
    <x v="6"/>
    <x v="2"/>
    <n v="129"/>
    <n v="155.6"/>
    <x v="2"/>
    <n v="10"/>
    <n v="26.599999999999898"/>
    <x v="2"/>
  </r>
  <r>
    <s v="TRX-101936"/>
    <x v="485"/>
    <x v="0"/>
    <x v="3"/>
    <x v="0"/>
    <n v="228"/>
    <n v="136.69999999999999"/>
    <x v="2"/>
    <n v="30"/>
    <n v="-91.3"/>
    <x v="1"/>
  </r>
  <r>
    <s v="TRX-101937"/>
    <x v="377"/>
    <x v="2"/>
    <x v="0"/>
    <x v="0"/>
    <n v="220"/>
    <n v="127.99"/>
    <x v="2"/>
    <n v="11"/>
    <n v="-92.01"/>
    <x v="11"/>
  </r>
  <r>
    <s v="TRX-101938"/>
    <x v="29"/>
    <x v="4"/>
    <x v="8"/>
    <x v="1"/>
    <n v="208"/>
    <n v="548.04"/>
    <x v="4"/>
    <n v="43"/>
    <n v="340.039999999999"/>
    <x v="3"/>
  </r>
  <r>
    <s v="TRX-101939"/>
    <x v="462"/>
    <x v="1"/>
    <x v="1"/>
    <x v="0"/>
    <n v="190"/>
    <n v="128.36000000000001"/>
    <x v="1"/>
    <n v="11"/>
    <n v="-61.639999999999901"/>
    <x v="11"/>
  </r>
  <r>
    <s v="TRX-101940"/>
    <x v="34"/>
    <x v="1"/>
    <x v="0"/>
    <x v="2"/>
    <n v="174"/>
    <n v="253.76"/>
    <x v="0"/>
    <n v="1"/>
    <n v="79.759999999999906"/>
    <x v="0"/>
  </r>
  <r>
    <s v="TRX-101941"/>
    <x v="857"/>
    <x v="4"/>
    <x v="7"/>
    <x v="1"/>
    <n v="210"/>
    <n v="260.33"/>
    <x v="4"/>
    <n v="29"/>
    <n v="50.329999999999899"/>
    <x v="2"/>
  </r>
  <r>
    <s v="TRX-101942"/>
    <x v="730"/>
    <x v="3"/>
    <x v="6"/>
    <x v="0"/>
    <n v="113"/>
    <n v="58.13"/>
    <x v="0"/>
    <n v="12"/>
    <n v="-54.87"/>
    <x v="2"/>
  </r>
  <r>
    <s v="TRX-101943"/>
    <x v="607"/>
    <x v="4"/>
    <x v="5"/>
    <x v="0"/>
    <n v="205"/>
    <n v="107.46"/>
    <x v="4"/>
    <n v="11"/>
    <n v="-97.54"/>
    <x v="9"/>
  </r>
  <r>
    <s v="TRX-101944"/>
    <x v="556"/>
    <x v="1"/>
    <x v="5"/>
    <x v="0"/>
    <n v="184"/>
    <n v="141.41"/>
    <x v="3"/>
    <n v="50"/>
    <n v="-42.59"/>
    <x v="3"/>
  </r>
  <r>
    <s v="TRX-101945"/>
    <x v="366"/>
    <x v="4"/>
    <x v="7"/>
    <x v="1"/>
    <n v="204"/>
    <n v="575.16"/>
    <x v="0"/>
    <n v="6"/>
    <n v="371.159999999999"/>
    <x v="6"/>
  </r>
  <r>
    <s v="TRX-101946"/>
    <x v="336"/>
    <x v="2"/>
    <x v="2"/>
    <x v="2"/>
    <n v="225"/>
    <n v="289.39999999999998"/>
    <x v="3"/>
    <n v="17"/>
    <n v="64.399999999999906"/>
    <x v="6"/>
  </r>
  <r>
    <s v="TRX-101947"/>
    <x v="858"/>
    <x v="1"/>
    <x v="6"/>
    <x v="2"/>
    <n v="187"/>
    <n v="238.29"/>
    <x v="2"/>
    <n v="5"/>
    <n v="51.2899999999999"/>
    <x v="2"/>
  </r>
  <r>
    <s v="TRX-101948"/>
    <x v="356"/>
    <x v="2"/>
    <x v="8"/>
    <x v="1"/>
    <n v="222"/>
    <n v="395.4"/>
    <x v="1"/>
    <n v="7"/>
    <n v="173.39999999999901"/>
    <x v="8"/>
  </r>
  <r>
    <s v="TRX-101949"/>
    <x v="859"/>
    <x v="3"/>
    <x v="4"/>
    <x v="2"/>
    <n v="126"/>
    <n v="178.99"/>
    <x v="0"/>
    <n v="12"/>
    <n v="52.99"/>
    <x v="10"/>
  </r>
  <r>
    <s v="TRX-101950"/>
    <x v="303"/>
    <x v="0"/>
    <x v="4"/>
    <x v="1"/>
    <n v="228"/>
    <n v="321.17"/>
    <x v="0"/>
    <n v="7"/>
    <n v="93.17"/>
    <x v="11"/>
  </r>
  <r>
    <s v="TRX-101951"/>
    <x v="447"/>
    <x v="3"/>
    <x v="4"/>
    <x v="1"/>
    <n v="124"/>
    <n v="351.72"/>
    <x v="3"/>
    <n v="55"/>
    <n v="227.72"/>
    <x v="5"/>
  </r>
  <r>
    <s v="TRX-101952"/>
    <x v="483"/>
    <x v="2"/>
    <x v="2"/>
    <x v="2"/>
    <n v="215"/>
    <n v="193.84"/>
    <x v="1"/>
    <n v="10"/>
    <n v="-21.159999999999901"/>
    <x v="0"/>
  </r>
  <r>
    <s v="TRX-101953"/>
    <x v="263"/>
    <x v="1"/>
    <x v="3"/>
    <x v="1"/>
    <n v="172"/>
    <n v="417.51"/>
    <x v="4"/>
    <n v="52"/>
    <n v="245.51"/>
    <x v="10"/>
  </r>
  <r>
    <s v="TRX-101954"/>
    <x v="465"/>
    <x v="0"/>
    <x v="5"/>
    <x v="0"/>
    <n v="226"/>
    <n v="115.81"/>
    <x v="2"/>
    <n v="59"/>
    <n v="-110.19"/>
    <x v="7"/>
  </r>
  <r>
    <s v="TRX-101955"/>
    <x v="804"/>
    <x v="3"/>
    <x v="4"/>
    <x v="0"/>
    <n v="132"/>
    <n v="103.63"/>
    <x v="4"/>
    <n v="29"/>
    <n v="-28.37"/>
    <x v="3"/>
  </r>
  <r>
    <s v="TRX-101956"/>
    <x v="328"/>
    <x v="1"/>
    <x v="3"/>
    <x v="1"/>
    <n v="188"/>
    <n v="379.43"/>
    <x v="4"/>
    <n v="46"/>
    <n v="191.43"/>
    <x v="10"/>
  </r>
  <r>
    <s v="TRX-101957"/>
    <x v="714"/>
    <x v="2"/>
    <x v="5"/>
    <x v="1"/>
    <n v="218"/>
    <n v="319.18"/>
    <x v="3"/>
    <n v="27"/>
    <n v="101.18"/>
    <x v="10"/>
  </r>
  <r>
    <s v="TRX-101958"/>
    <x v="129"/>
    <x v="1"/>
    <x v="0"/>
    <x v="1"/>
    <n v="180"/>
    <n v="619.28"/>
    <x v="0"/>
    <n v="8"/>
    <n v="439.28"/>
    <x v="4"/>
  </r>
  <r>
    <s v="TRX-101959"/>
    <x v="723"/>
    <x v="2"/>
    <x v="4"/>
    <x v="2"/>
    <n v="222"/>
    <n v="254.33"/>
    <x v="1"/>
    <n v="4"/>
    <n v="32.33"/>
    <x v="8"/>
  </r>
  <r>
    <s v="TRX-101960"/>
    <x v="171"/>
    <x v="4"/>
    <x v="4"/>
    <x v="1"/>
    <n v="200"/>
    <n v="684.62"/>
    <x v="0"/>
    <n v="4"/>
    <n v="484.62"/>
    <x v="11"/>
  </r>
  <r>
    <s v="TRX-101961"/>
    <x v="847"/>
    <x v="4"/>
    <x v="0"/>
    <x v="1"/>
    <n v="202"/>
    <n v="523.71"/>
    <x v="3"/>
    <n v="39"/>
    <n v="321.70999999999998"/>
    <x v="3"/>
  </r>
  <r>
    <s v="TRX-101962"/>
    <x v="701"/>
    <x v="1"/>
    <x v="2"/>
    <x v="1"/>
    <n v="176"/>
    <n v="462.52"/>
    <x v="4"/>
    <n v="9"/>
    <n v="286.52"/>
    <x v="10"/>
  </r>
  <r>
    <s v="TRX-101963"/>
    <x v="859"/>
    <x v="1"/>
    <x v="1"/>
    <x v="2"/>
    <n v="181"/>
    <n v="261.37"/>
    <x v="2"/>
    <n v="48"/>
    <n v="80.37"/>
    <x v="10"/>
  </r>
  <r>
    <s v="TRX-101964"/>
    <x v="171"/>
    <x v="2"/>
    <x v="5"/>
    <x v="0"/>
    <n v="213"/>
    <n v="107.62"/>
    <x v="2"/>
    <n v="23"/>
    <n v="-105.38"/>
    <x v="11"/>
  </r>
  <r>
    <s v="TRX-101965"/>
    <x v="153"/>
    <x v="0"/>
    <x v="3"/>
    <x v="1"/>
    <n v="228"/>
    <n v="605.16"/>
    <x v="3"/>
    <n v="23"/>
    <n v="377.159999999999"/>
    <x v="2"/>
  </r>
  <r>
    <s v="TRX-101966"/>
    <x v="860"/>
    <x v="1"/>
    <x v="4"/>
    <x v="0"/>
    <n v="172"/>
    <n v="112.26"/>
    <x v="3"/>
    <n v="20"/>
    <n v="-59.739999999999903"/>
    <x v="5"/>
  </r>
  <r>
    <s v="TRX-101967"/>
    <x v="49"/>
    <x v="3"/>
    <x v="2"/>
    <x v="0"/>
    <n v="120"/>
    <n v="89.58"/>
    <x v="3"/>
    <n v="59"/>
    <n v="-30.42"/>
    <x v="3"/>
  </r>
  <r>
    <s v="TRX-101968"/>
    <x v="861"/>
    <x v="1"/>
    <x v="8"/>
    <x v="2"/>
    <n v="189"/>
    <n v="242.57"/>
    <x v="4"/>
    <n v="7"/>
    <n v="53.569999999999901"/>
    <x v="7"/>
  </r>
  <r>
    <s v="TRX-101969"/>
    <x v="286"/>
    <x v="2"/>
    <x v="4"/>
    <x v="0"/>
    <n v="225"/>
    <n v="159.54"/>
    <x v="0"/>
    <n v="12"/>
    <n v="-65.459999999999994"/>
    <x v="1"/>
  </r>
  <r>
    <s v="TRX-101970"/>
    <x v="634"/>
    <x v="1"/>
    <x v="2"/>
    <x v="1"/>
    <n v="178"/>
    <n v="413.57"/>
    <x v="3"/>
    <n v="58"/>
    <n v="235.57"/>
    <x v="7"/>
  </r>
  <r>
    <s v="TRX-101971"/>
    <x v="862"/>
    <x v="2"/>
    <x v="0"/>
    <x v="0"/>
    <n v="215"/>
    <n v="119.64"/>
    <x v="1"/>
    <n v="10"/>
    <n v="-95.36"/>
    <x v="2"/>
  </r>
  <r>
    <s v="TRX-101972"/>
    <x v="456"/>
    <x v="2"/>
    <x v="1"/>
    <x v="2"/>
    <n v="212"/>
    <n v="286.20999999999998"/>
    <x v="0"/>
    <n v="14"/>
    <n v="74.209999999999894"/>
    <x v="1"/>
  </r>
  <r>
    <s v="TRX-101973"/>
    <x v="707"/>
    <x v="3"/>
    <x v="6"/>
    <x v="2"/>
    <n v="140"/>
    <n v="197.35"/>
    <x v="2"/>
    <n v="10"/>
    <n v="57.349999999999902"/>
    <x v="8"/>
  </r>
  <r>
    <s v="TRX-101974"/>
    <x v="235"/>
    <x v="1"/>
    <x v="1"/>
    <x v="0"/>
    <n v="177"/>
    <n v="132.43"/>
    <x v="4"/>
    <n v="8"/>
    <n v="-44.569999999999901"/>
    <x v="7"/>
  </r>
  <r>
    <s v="TRX-101975"/>
    <x v="863"/>
    <x v="4"/>
    <x v="1"/>
    <x v="1"/>
    <n v="206"/>
    <n v="695.91"/>
    <x v="0"/>
    <n v="11"/>
    <n v="489.909999999999"/>
    <x v="3"/>
  </r>
  <r>
    <s v="TRX-101976"/>
    <x v="499"/>
    <x v="1"/>
    <x v="5"/>
    <x v="1"/>
    <n v="183"/>
    <n v="558.97"/>
    <x v="2"/>
    <n v="36"/>
    <n v="375.97"/>
    <x v="9"/>
  </r>
  <r>
    <s v="TRX-101977"/>
    <x v="864"/>
    <x v="4"/>
    <x v="2"/>
    <x v="2"/>
    <n v="205"/>
    <n v="233.2"/>
    <x v="4"/>
    <n v="35"/>
    <n v="28.1999999999999"/>
    <x v="11"/>
  </r>
  <r>
    <s v="TRX-101978"/>
    <x v="848"/>
    <x v="1"/>
    <x v="0"/>
    <x v="0"/>
    <n v="177"/>
    <n v="126.59"/>
    <x v="2"/>
    <n v="24"/>
    <n v="-50.41"/>
    <x v="1"/>
  </r>
  <r>
    <s v="TRX-101979"/>
    <x v="204"/>
    <x v="3"/>
    <x v="2"/>
    <x v="0"/>
    <n v="128"/>
    <n v="88.91"/>
    <x v="1"/>
    <n v="8"/>
    <n v="-39.090000000000003"/>
    <x v="4"/>
  </r>
  <r>
    <s v="TRX-101980"/>
    <x v="508"/>
    <x v="2"/>
    <x v="1"/>
    <x v="1"/>
    <n v="215"/>
    <n v="408.28"/>
    <x v="1"/>
    <n v="9"/>
    <n v="193.27999999999901"/>
    <x v="4"/>
  </r>
  <r>
    <s v="TRX-101981"/>
    <x v="812"/>
    <x v="1"/>
    <x v="0"/>
    <x v="1"/>
    <n v="187"/>
    <n v="365.57"/>
    <x v="1"/>
    <n v="9"/>
    <n v="178.57"/>
    <x v="5"/>
  </r>
  <r>
    <s v="TRX-101982"/>
    <x v="503"/>
    <x v="2"/>
    <x v="0"/>
    <x v="1"/>
    <n v="213"/>
    <n v="479.48"/>
    <x v="4"/>
    <n v="19"/>
    <n v="266.48"/>
    <x v="8"/>
  </r>
  <r>
    <s v="TRX-101983"/>
    <x v="865"/>
    <x v="4"/>
    <x v="5"/>
    <x v="0"/>
    <n v="205"/>
    <n v="167.44"/>
    <x v="2"/>
    <n v="59"/>
    <n v="-37.56"/>
    <x v="6"/>
  </r>
  <r>
    <s v="TRX-101984"/>
    <x v="614"/>
    <x v="2"/>
    <x v="4"/>
    <x v="1"/>
    <n v="216"/>
    <n v="421"/>
    <x v="1"/>
    <n v="7"/>
    <n v="205"/>
    <x v="9"/>
  </r>
  <r>
    <s v="TRX-101985"/>
    <x v="111"/>
    <x v="3"/>
    <x v="3"/>
    <x v="0"/>
    <n v="129"/>
    <n v="112.79"/>
    <x v="3"/>
    <n v="13"/>
    <n v="-16.209999999999901"/>
    <x v="2"/>
  </r>
  <r>
    <s v="TRX-101986"/>
    <x v="570"/>
    <x v="2"/>
    <x v="3"/>
    <x v="0"/>
    <n v="215"/>
    <n v="189.35"/>
    <x v="0"/>
    <n v="1"/>
    <n v="-25.65"/>
    <x v="2"/>
  </r>
  <r>
    <s v="TRX-101987"/>
    <x v="46"/>
    <x v="4"/>
    <x v="8"/>
    <x v="1"/>
    <n v="204"/>
    <n v="636.14"/>
    <x v="2"/>
    <n v="30"/>
    <n v="432.14"/>
    <x v="0"/>
  </r>
  <r>
    <s v="TRX-101988"/>
    <x v="567"/>
    <x v="1"/>
    <x v="3"/>
    <x v="1"/>
    <n v="181"/>
    <n v="593.70000000000005"/>
    <x v="2"/>
    <n v="53"/>
    <n v="412.7"/>
    <x v="5"/>
  </r>
  <r>
    <s v="TRX-101989"/>
    <x v="866"/>
    <x v="0"/>
    <x v="7"/>
    <x v="1"/>
    <n v="227"/>
    <n v="303.5"/>
    <x v="3"/>
    <n v="60"/>
    <n v="76.5"/>
    <x v="2"/>
  </r>
  <r>
    <s v="TRX-101990"/>
    <x v="148"/>
    <x v="1"/>
    <x v="6"/>
    <x v="0"/>
    <n v="176"/>
    <n v="152.96"/>
    <x v="0"/>
    <n v="14"/>
    <n v="-23.0399999999999"/>
    <x v="0"/>
  </r>
  <r>
    <s v="TRX-101991"/>
    <x v="48"/>
    <x v="3"/>
    <x v="8"/>
    <x v="1"/>
    <n v="114"/>
    <n v="237.28"/>
    <x v="3"/>
    <n v="50"/>
    <n v="123.28"/>
    <x v="9"/>
  </r>
  <r>
    <s v="TRX-101992"/>
    <x v="41"/>
    <x v="3"/>
    <x v="7"/>
    <x v="0"/>
    <n v="135"/>
    <n v="82.5"/>
    <x v="3"/>
    <n v="32"/>
    <n v="-52.5"/>
    <x v="5"/>
  </r>
  <r>
    <s v="TRX-101993"/>
    <x v="45"/>
    <x v="0"/>
    <x v="0"/>
    <x v="2"/>
    <n v="226"/>
    <n v="236.12"/>
    <x v="1"/>
    <n v="4"/>
    <n v="10.119999999999999"/>
    <x v="6"/>
  </r>
  <r>
    <s v="TRX-101994"/>
    <x v="51"/>
    <x v="1"/>
    <x v="0"/>
    <x v="1"/>
    <n v="179"/>
    <n v="372.75"/>
    <x v="4"/>
    <n v="17"/>
    <n v="193.75"/>
    <x v="3"/>
  </r>
  <r>
    <s v="TRX-101995"/>
    <x v="867"/>
    <x v="2"/>
    <x v="2"/>
    <x v="2"/>
    <n v="214"/>
    <n v="254.5"/>
    <x v="4"/>
    <n v="45"/>
    <n v="40.5"/>
    <x v="6"/>
  </r>
  <r>
    <s v="TRX-101996"/>
    <x v="315"/>
    <x v="2"/>
    <x v="3"/>
    <x v="2"/>
    <n v="219"/>
    <n v="257.77999999999997"/>
    <x v="1"/>
    <n v="8"/>
    <n v="38.779999999999902"/>
    <x v="3"/>
  </r>
  <r>
    <s v="TRX-101997"/>
    <x v="688"/>
    <x v="4"/>
    <x v="1"/>
    <x v="1"/>
    <n v="210"/>
    <n v="274.8"/>
    <x v="4"/>
    <n v="47"/>
    <n v="64.8"/>
    <x v="2"/>
  </r>
  <r>
    <s v="TRX-101998"/>
    <x v="372"/>
    <x v="0"/>
    <x v="1"/>
    <x v="0"/>
    <n v="230"/>
    <n v="137.63999999999999"/>
    <x v="1"/>
    <n v="7"/>
    <n v="-92.36"/>
    <x v="10"/>
  </r>
  <r>
    <s v="TRX-101999"/>
    <x v="338"/>
    <x v="2"/>
    <x v="5"/>
    <x v="1"/>
    <n v="212"/>
    <n v="614.67999999999995"/>
    <x v="4"/>
    <n v="40"/>
    <n v="402.67999999999898"/>
    <x v="3"/>
  </r>
  <r>
    <s v="TRX-102000"/>
    <x v="797"/>
    <x v="3"/>
    <x v="6"/>
    <x v="2"/>
    <n v="113"/>
    <n v="111.71"/>
    <x v="1"/>
    <n v="1"/>
    <n v="-1.29"/>
    <x v="9"/>
  </r>
  <r>
    <s v="TRX-102001"/>
    <x v="707"/>
    <x v="0"/>
    <x v="4"/>
    <x v="0"/>
    <n v="226"/>
    <n v="154.29"/>
    <x v="3"/>
    <n v="30"/>
    <n v="-71.709999999999994"/>
    <x v="8"/>
  </r>
  <r>
    <s v="TRX-102002"/>
    <x v="249"/>
    <x v="1"/>
    <x v="1"/>
    <x v="1"/>
    <n v="184"/>
    <n v="307.26"/>
    <x v="2"/>
    <n v="46"/>
    <n v="123.259999999999"/>
    <x v="2"/>
  </r>
  <r>
    <s v="TRX-102003"/>
    <x v="313"/>
    <x v="2"/>
    <x v="7"/>
    <x v="1"/>
    <n v="221"/>
    <n v="387"/>
    <x v="2"/>
    <n v="12"/>
    <n v="166"/>
    <x v="0"/>
  </r>
  <r>
    <s v="TRX-102004"/>
    <x v="588"/>
    <x v="3"/>
    <x v="4"/>
    <x v="2"/>
    <n v="130"/>
    <n v="190.02"/>
    <x v="0"/>
    <n v="8"/>
    <n v="60.02"/>
    <x v="6"/>
  </r>
  <r>
    <s v="TRX-102005"/>
    <x v="868"/>
    <x v="2"/>
    <x v="8"/>
    <x v="2"/>
    <n v="212"/>
    <n v="223.21"/>
    <x v="0"/>
    <n v="13"/>
    <n v="11.21"/>
    <x v="8"/>
  </r>
  <r>
    <s v="TRX-102006"/>
    <x v="226"/>
    <x v="1"/>
    <x v="5"/>
    <x v="2"/>
    <n v="178"/>
    <n v="186.04"/>
    <x v="1"/>
    <n v="2"/>
    <n v="8.0399999999999903"/>
    <x v="10"/>
  </r>
  <r>
    <s v="TRX-102007"/>
    <x v="869"/>
    <x v="3"/>
    <x v="0"/>
    <x v="1"/>
    <n v="136"/>
    <n v="471.18"/>
    <x v="4"/>
    <n v="32"/>
    <n v="335.18"/>
    <x v="1"/>
  </r>
  <r>
    <s v="TRX-102008"/>
    <x v="257"/>
    <x v="2"/>
    <x v="2"/>
    <x v="0"/>
    <n v="212"/>
    <n v="190.17"/>
    <x v="1"/>
    <n v="8"/>
    <n v="-21.83"/>
    <x v="6"/>
  </r>
  <r>
    <s v="TRX-102009"/>
    <x v="137"/>
    <x v="3"/>
    <x v="6"/>
    <x v="2"/>
    <n v="130"/>
    <n v="173.58"/>
    <x v="1"/>
    <n v="14"/>
    <n v="43.58"/>
    <x v="6"/>
  </r>
  <r>
    <s v="TRX-102010"/>
    <x v="56"/>
    <x v="0"/>
    <x v="7"/>
    <x v="2"/>
    <n v="227"/>
    <n v="305.3"/>
    <x v="4"/>
    <n v="51"/>
    <n v="78.3"/>
    <x v="3"/>
  </r>
  <r>
    <s v="TRX-102011"/>
    <x v="752"/>
    <x v="1"/>
    <x v="5"/>
    <x v="0"/>
    <n v="190"/>
    <n v="125.46"/>
    <x v="1"/>
    <n v="4"/>
    <n v="-64.540000000000006"/>
    <x v="6"/>
  </r>
  <r>
    <s v="TRX-102012"/>
    <x v="686"/>
    <x v="2"/>
    <x v="0"/>
    <x v="2"/>
    <n v="220"/>
    <n v="289.43"/>
    <x v="3"/>
    <n v="53"/>
    <n v="69.430000000000007"/>
    <x v="0"/>
  </r>
  <r>
    <s v="TRX-102013"/>
    <x v="795"/>
    <x v="1"/>
    <x v="7"/>
    <x v="1"/>
    <n v="174"/>
    <n v="469.66"/>
    <x v="4"/>
    <n v="49"/>
    <n v="295.66000000000003"/>
    <x v="10"/>
  </r>
  <r>
    <s v="TRX-102014"/>
    <x v="149"/>
    <x v="1"/>
    <x v="0"/>
    <x v="1"/>
    <n v="182"/>
    <n v="526.24"/>
    <x v="2"/>
    <n v="45"/>
    <n v="344.24"/>
    <x v="10"/>
  </r>
  <r>
    <s v="TRX-102015"/>
    <x v="503"/>
    <x v="2"/>
    <x v="0"/>
    <x v="1"/>
    <n v="219"/>
    <n v="446.39"/>
    <x v="4"/>
    <n v="24"/>
    <n v="227.39"/>
    <x v="8"/>
  </r>
  <r>
    <s v="TRX-102016"/>
    <x v="810"/>
    <x v="0"/>
    <x v="0"/>
    <x v="0"/>
    <n v="227"/>
    <n v="168"/>
    <x v="4"/>
    <n v="40"/>
    <n v="-59"/>
    <x v="6"/>
  </r>
  <r>
    <s v="TRX-102017"/>
    <x v="663"/>
    <x v="4"/>
    <x v="6"/>
    <x v="2"/>
    <n v="210"/>
    <n v="306.27999999999997"/>
    <x v="3"/>
    <n v="29"/>
    <n v="96.279999999999902"/>
    <x v="10"/>
  </r>
  <r>
    <s v="TRX-102018"/>
    <x v="779"/>
    <x v="4"/>
    <x v="2"/>
    <x v="2"/>
    <n v="200"/>
    <n v="265.08999999999997"/>
    <x v="1"/>
    <n v="12"/>
    <n v="65.089999999999904"/>
    <x v="10"/>
  </r>
  <r>
    <s v="TRX-102019"/>
    <x v="28"/>
    <x v="4"/>
    <x v="4"/>
    <x v="0"/>
    <n v="203"/>
    <n v="161.72999999999999"/>
    <x v="1"/>
    <n v="13"/>
    <n v="-41.27"/>
    <x v="4"/>
  </r>
  <r>
    <s v="TRX-102020"/>
    <x v="701"/>
    <x v="4"/>
    <x v="6"/>
    <x v="1"/>
    <n v="210"/>
    <n v="698.57"/>
    <x v="3"/>
    <n v="48"/>
    <n v="488.57"/>
    <x v="10"/>
  </r>
  <r>
    <s v="TRX-102021"/>
    <x v="381"/>
    <x v="0"/>
    <x v="7"/>
    <x v="2"/>
    <n v="225"/>
    <n v="250.03"/>
    <x v="3"/>
    <n v="5"/>
    <n v="25.03"/>
    <x v="1"/>
  </r>
  <r>
    <s v="TRX-102022"/>
    <x v="300"/>
    <x v="1"/>
    <x v="4"/>
    <x v="1"/>
    <n v="187"/>
    <n v="500.12"/>
    <x v="2"/>
    <n v="28"/>
    <n v="313.12"/>
    <x v="1"/>
  </r>
  <r>
    <s v="TRX-102023"/>
    <x v="296"/>
    <x v="0"/>
    <x v="0"/>
    <x v="1"/>
    <n v="228"/>
    <n v="770.79"/>
    <x v="4"/>
    <n v="8"/>
    <n v="542.79"/>
    <x v="8"/>
  </r>
  <r>
    <s v="TRX-102024"/>
    <x v="566"/>
    <x v="0"/>
    <x v="3"/>
    <x v="0"/>
    <n v="229"/>
    <n v="122.28"/>
    <x v="3"/>
    <n v="51"/>
    <n v="-106.72"/>
    <x v="8"/>
  </r>
  <r>
    <s v="TRX-102025"/>
    <x v="808"/>
    <x v="3"/>
    <x v="0"/>
    <x v="0"/>
    <n v="113"/>
    <n v="75.02"/>
    <x v="3"/>
    <n v="19"/>
    <n v="-37.979999999999997"/>
    <x v="10"/>
  </r>
  <r>
    <s v="TRX-102026"/>
    <x v="809"/>
    <x v="2"/>
    <x v="7"/>
    <x v="1"/>
    <n v="217"/>
    <n v="731.57"/>
    <x v="3"/>
    <n v="50"/>
    <n v="514.57000000000005"/>
    <x v="3"/>
  </r>
  <r>
    <s v="TRX-102027"/>
    <x v="870"/>
    <x v="4"/>
    <x v="0"/>
    <x v="0"/>
    <n v="208"/>
    <n v="181.31"/>
    <x v="4"/>
    <n v="25"/>
    <n v="-26.689999999999898"/>
    <x v="5"/>
  </r>
  <r>
    <s v="TRX-102028"/>
    <x v="330"/>
    <x v="3"/>
    <x v="6"/>
    <x v="1"/>
    <n v="132"/>
    <n v="326.13"/>
    <x v="0"/>
    <n v="8"/>
    <n v="194.13"/>
    <x v="10"/>
  </r>
  <r>
    <s v="TRX-102029"/>
    <x v="575"/>
    <x v="1"/>
    <x v="2"/>
    <x v="0"/>
    <n v="175"/>
    <n v="131.74"/>
    <x v="1"/>
    <n v="10"/>
    <n v="-43.259999999999899"/>
    <x v="8"/>
  </r>
  <r>
    <s v="TRX-102030"/>
    <x v="21"/>
    <x v="1"/>
    <x v="2"/>
    <x v="0"/>
    <n v="183"/>
    <n v="125.96"/>
    <x v="1"/>
    <n v="6"/>
    <n v="-57.04"/>
    <x v="4"/>
  </r>
  <r>
    <s v="TRX-102031"/>
    <x v="807"/>
    <x v="4"/>
    <x v="1"/>
    <x v="0"/>
    <n v="201"/>
    <n v="126.28"/>
    <x v="3"/>
    <n v="54"/>
    <n v="-74.72"/>
    <x v="3"/>
  </r>
  <r>
    <s v="TRX-102032"/>
    <x v="729"/>
    <x v="3"/>
    <x v="1"/>
    <x v="1"/>
    <n v="119"/>
    <n v="303.25"/>
    <x v="3"/>
    <n v="5"/>
    <n v="184.25"/>
    <x v="8"/>
  </r>
  <r>
    <s v="TRX-102033"/>
    <x v="674"/>
    <x v="2"/>
    <x v="3"/>
    <x v="2"/>
    <n v="224"/>
    <n v="283.08999999999997"/>
    <x v="4"/>
    <n v="59"/>
    <n v="59.089999999999897"/>
    <x v="9"/>
  </r>
  <r>
    <s v="TRX-102034"/>
    <x v="706"/>
    <x v="1"/>
    <x v="0"/>
    <x v="1"/>
    <n v="180"/>
    <n v="433.11"/>
    <x v="4"/>
    <n v="29"/>
    <n v="253.11"/>
    <x v="4"/>
  </r>
  <r>
    <s v="TRX-102035"/>
    <x v="385"/>
    <x v="0"/>
    <x v="1"/>
    <x v="1"/>
    <n v="226"/>
    <n v="654.44000000000005"/>
    <x v="2"/>
    <n v="25"/>
    <n v="428.44"/>
    <x v="4"/>
  </r>
  <r>
    <s v="TRX-102036"/>
    <x v="390"/>
    <x v="0"/>
    <x v="6"/>
    <x v="1"/>
    <n v="230"/>
    <n v="726.43"/>
    <x v="2"/>
    <n v="44"/>
    <n v="496.42999999999898"/>
    <x v="10"/>
  </r>
  <r>
    <s v="TRX-102037"/>
    <x v="174"/>
    <x v="4"/>
    <x v="0"/>
    <x v="2"/>
    <n v="209"/>
    <n v="305.7"/>
    <x v="0"/>
    <n v="4"/>
    <n v="96.699999999999903"/>
    <x v="0"/>
  </r>
  <r>
    <s v="TRX-102038"/>
    <x v="217"/>
    <x v="4"/>
    <x v="0"/>
    <x v="2"/>
    <n v="208"/>
    <n v="197.34"/>
    <x v="0"/>
    <n v="14"/>
    <n v="-10.659999999999901"/>
    <x v="8"/>
  </r>
  <r>
    <s v="TRX-102039"/>
    <x v="74"/>
    <x v="4"/>
    <x v="1"/>
    <x v="0"/>
    <n v="206"/>
    <n v="174.62"/>
    <x v="0"/>
    <n v="6"/>
    <n v="-31.3799999999999"/>
    <x v="10"/>
  </r>
  <r>
    <s v="TRX-102040"/>
    <x v="871"/>
    <x v="1"/>
    <x v="8"/>
    <x v="2"/>
    <n v="184"/>
    <n v="194.75"/>
    <x v="0"/>
    <n v="10"/>
    <n v="10.75"/>
    <x v="9"/>
  </r>
  <r>
    <s v="TRX-102041"/>
    <x v="872"/>
    <x v="2"/>
    <x v="3"/>
    <x v="2"/>
    <n v="217"/>
    <n v="228.38"/>
    <x v="0"/>
    <n v="3"/>
    <n v="11.3799999999999"/>
    <x v="6"/>
  </r>
  <r>
    <s v="TRX-102042"/>
    <x v="873"/>
    <x v="3"/>
    <x v="0"/>
    <x v="1"/>
    <n v="127"/>
    <n v="407.16"/>
    <x v="1"/>
    <n v="4"/>
    <n v="280.16000000000003"/>
    <x v="11"/>
  </r>
  <r>
    <s v="TRX-102043"/>
    <x v="15"/>
    <x v="3"/>
    <x v="5"/>
    <x v="0"/>
    <n v="116"/>
    <n v="76.180000000000007"/>
    <x v="0"/>
    <n v="3"/>
    <n v="-39.819999999999901"/>
    <x v="8"/>
  </r>
  <r>
    <s v="TRX-102044"/>
    <x v="874"/>
    <x v="1"/>
    <x v="6"/>
    <x v="2"/>
    <n v="190"/>
    <n v="205.47"/>
    <x v="0"/>
    <n v="2"/>
    <n v="15.469999999999899"/>
    <x v="3"/>
  </r>
  <r>
    <s v="TRX-102045"/>
    <x v="127"/>
    <x v="2"/>
    <x v="3"/>
    <x v="2"/>
    <n v="220"/>
    <n v="257.62"/>
    <x v="1"/>
    <n v="2"/>
    <n v="37.619999999999997"/>
    <x v="1"/>
  </r>
  <r>
    <s v="TRX-102046"/>
    <x v="489"/>
    <x v="4"/>
    <x v="0"/>
    <x v="0"/>
    <n v="207"/>
    <n v="169.89"/>
    <x v="4"/>
    <n v="42"/>
    <n v="-37.11"/>
    <x v="4"/>
  </r>
  <r>
    <s v="TRX-102047"/>
    <x v="875"/>
    <x v="0"/>
    <x v="5"/>
    <x v="1"/>
    <n v="229"/>
    <n v="289.66000000000003"/>
    <x v="1"/>
    <n v="8"/>
    <n v="60.66"/>
    <x v="8"/>
  </r>
  <r>
    <s v="TRX-102048"/>
    <x v="216"/>
    <x v="1"/>
    <x v="7"/>
    <x v="1"/>
    <n v="180"/>
    <n v="319.29000000000002"/>
    <x v="0"/>
    <n v="1"/>
    <n v="139.29"/>
    <x v="8"/>
  </r>
  <r>
    <s v="TRX-102049"/>
    <x v="803"/>
    <x v="4"/>
    <x v="3"/>
    <x v="1"/>
    <n v="201"/>
    <n v="381.79"/>
    <x v="4"/>
    <n v="16"/>
    <n v="180.79"/>
    <x v="11"/>
  </r>
  <r>
    <s v="TRX-102050"/>
    <x v="750"/>
    <x v="4"/>
    <x v="8"/>
    <x v="2"/>
    <n v="207"/>
    <n v="229.17"/>
    <x v="2"/>
    <n v="23"/>
    <n v="22.169999999999899"/>
    <x v="6"/>
  </r>
  <r>
    <s v="TRX-102051"/>
    <x v="625"/>
    <x v="2"/>
    <x v="6"/>
    <x v="2"/>
    <n v="212"/>
    <n v="205.31"/>
    <x v="3"/>
    <n v="30"/>
    <n v="-6.6899999999999897"/>
    <x v="2"/>
  </r>
  <r>
    <s v="TRX-102052"/>
    <x v="735"/>
    <x v="2"/>
    <x v="3"/>
    <x v="1"/>
    <n v="219"/>
    <n v="577.36"/>
    <x v="0"/>
    <n v="6"/>
    <n v="358.36"/>
    <x v="11"/>
  </r>
  <r>
    <s v="TRX-102053"/>
    <x v="232"/>
    <x v="2"/>
    <x v="7"/>
    <x v="2"/>
    <n v="222"/>
    <n v="322"/>
    <x v="4"/>
    <n v="48"/>
    <n v="100"/>
    <x v="6"/>
  </r>
  <r>
    <s v="TRX-102054"/>
    <x v="800"/>
    <x v="2"/>
    <x v="8"/>
    <x v="1"/>
    <n v="213"/>
    <n v="656.17"/>
    <x v="0"/>
    <n v="5"/>
    <n v="443.16999999999899"/>
    <x v="1"/>
  </r>
  <r>
    <s v="TRX-102055"/>
    <x v="449"/>
    <x v="4"/>
    <x v="3"/>
    <x v="2"/>
    <n v="202"/>
    <n v="270.70999999999998"/>
    <x v="0"/>
    <n v="10"/>
    <n v="68.709999999999894"/>
    <x v="5"/>
  </r>
  <r>
    <s v="TRX-102056"/>
    <x v="876"/>
    <x v="3"/>
    <x v="4"/>
    <x v="0"/>
    <n v="128"/>
    <n v="76.099999999999994"/>
    <x v="1"/>
    <n v="4"/>
    <n v="-51.9"/>
    <x v="7"/>
  </r>
  <r>
    <s v="TRX-102057"/>
    <x v="564"/>
    <x v="1"/>
    <x v="2"/>
    <x v="2"/>
    <n v="171"/>
    <n v="193.4"/>
    <x v="1"/>
    <n v="5"/>
    <n v="22.4"/>
    <x v="11"/>
  </r>
  <r>
    <s v="TRX-102058"/>
    <x v="769"/>
    <x v="0"/>
    <x v="5"/>
    <x v="2"/>
    <n v="230"/>
    <n v="269.02999999999997"/>
    <x v="1"/>
    <n v="10"/>
    <n v="39.029999999999902"/>
    <x v="10"/>
  </r>
  <r>
    <s v="TRX-102059"/>
    <x v="678"/>
    <x v="4"/>
    <x v="2"/>
    <x v="1"/>
    <n v="205"/>
    <n v="413.18"/>
    <x v="3"/>
    <n v="13"/>
    <n v="208.18"/>
    <x v="2"/>
  </r>
  <r>
    <s v="TRX-102060"/>
    <x v="243"/>
    <x v="2"/>
    <x v="2"/>
    <x v="1"/>
    <n v="221"/>
    <n v="722.2"/>
    <x v="1"/>
    <n v="13"/>
    <n v="501.2"/>
    <x v="8"/>
  </r>
  <r>
    <s v="TRX-102061"/>
    <x v="723"/>
    <x v="2"/>
    <x v="8"/>
    <x v="1"/>
    <n v="218"/>
    <n v="658.36"/>
    <x v="1"/>
    <n v="6"/>
    <n v="440.36"/>
    <x v="8"/>
  </r>
  <r>
    <s v="TRX-102062"/>
    <x v="677"/>
    <x v="4"/>
    <x v="6"/>
    <x v="0"/>
    <n v="209"/>
    <n v="163.15"/>
    <x v="0"/>
    <n v="1"/>
    <n v="-45.849999999999902"/>
    <x v="1"/>
  </r>
  <r>
    <s v="TRX-102063"/>
    <x v="623"/>
    <x v="2"/>
    <x v="3"/>
    <x v="0"/>
    <n v="225"/>
    <n v="176.71"/>
    <x v="2"/>
    <n v="18"/>
    <n v="-48.2899999999999"/>
    <x v="8"/>
  </r>
  <r>
    <s v="TRX-102064"/>
    <x v="161"/>
    <x v="1"/>
    <x v="7"/>
    <x v="2"/>
    <n v="184"/>
    <n v="184.43"/>
    <x v="1"/>
    <n v="8"/>
    <n v="0.43000000000000599"/>
    <x v="7"/>
  </r>
  <r>
    <s v="TRX-102065"/>
    <x v="460"/>
    <x v="0"/>
    <x v="2"/>
    <x v="2"/>
    <n v="229"/>
    <n v="272.77999999999997"/>
    <x v="0"/>
    <n v="2"/>
    <n v="43.779999999999902"/>
    <x v="0"/>
  </r>
  <r>
    <s v="TRX-102066"/>
    <x v="647"/>
    <x v="1"/>
    <x v="7"/>
    <x v="2"/>
    <n v="180"/>
    <n v="227.1"/>
    <x v="1"/>
    <n v="3"/>
    <n v="47.099999999999902"/>
    <x v="4"/>
  </r>
  <r>
    <s v="TRX-102067"/>
    <x v="97"/>
    <x v="1"/>
    <x v="1"/>
    <x v="2"/>
    <n v="189"/>
    <n v="184.92"/>
    <x v="0"/>
    <n v="14"/>
    <n v="-4.0800000000000098"/>
    <x v="4"/>
  </r>
  <r>
    <s v="TRX-102068"/>
    <x v="213"/>
    <x v="1"/>
    <x v="5"/>
    <x v="1"/>
    <n v="186"/>
    <n v="622.70000000000005"/>
    <x v="3"/>
    <n v="48"/>
    <n v="436.7"/>
    <x v="2"/>
  </r>
  <r>
    <s v="TRX-102069"/>
    <x v="199"/>
    <x v="1"/>
    <x v="8"/>
    <x v="1"/>
    <n v="176"/>
    <n v="443.8"/>
    <x v="2"/>
    <n v="8"/>
    <n v="267.8"/>
    <x v="8"/>
  </r>
  <r>
    <s v="TRX-102070"/>
    <x v="6"/>
    <x v="0"/>
    <x v="6"/>
    <x v="2"/>
    <n v="230"/>
    <n v="292.43"/>
    <x v="2"/>
    <n v="9"/>
    <n v="62.43"/>
    <x v="4"/>
  </r>
  <r>
    <s v="TRX-102071"/>
    <x v="655"/>
    <x v="2"/>
    <x v="2"/>
    <x v="2"/>
    <n v="219"/>
    <n v="230.18"/>
    <x v="0"/>
    <n v="12"/>
    <n v="11.18"/>
    <x v="8"/>
  </r>
  <r>
    <s v="TRX-102072"/>
    <x v="877"/>
    <x v="3"/>
    <x v="1"/>
    <x v="0"/>
    <n v="123"/>
    <n v="76.47"/>
    <x v="0"/>
    <n v="13"/>
    <n v="-46.53"/>
    <x v="10"/>
  </r>
  <r>
    <s v="TRX-102073"/>
    <x v="849"/>
    <x v="2"/>
    <x v="6"/>
    <x v="2"/>
    <n v="213"/>
    <n v="299.42"/>
    <x v="4"/>
    <n v="54"/>
    <n v="86.42"/>
    <x v="4"/>
  </r>
  <r>
    <s v="TRX-102074"/>
    <x v="19"/>
    <x v="1"/>
    <x v="2"/>
    <x v="0"/>
    <n v="177"/>
    <n v="153.29"/>
    <x v="0"/>
    <n v="14"/>
    <n v="-23.71"/>
    <x v="0"/>
  </r>
  <r>
    <s v="TRX-102075"/>
    <x v="302"/>
    <x v="1"/>
    <x v="0"/>
    <x v="1"/>
    <n v="173"/>
    <n v="387.16"/>
    <x v="1"/>
    <n v="12"/>
    <n v="214.16"/>
    <x v="1"/>
  </r>
  <r>
    <s v="TRX-102076"/>
    <x v="160"/>
    <x v="0"/>
    <x v="3"/>
    <x v="1"/>
    <n v="225"/>
    <n v="355.87"/>
    <x v="4"/>
    <n v="27"/>
    <n v="130.87"/>
    <x v="10"/>
  </r>
  <r>
    <s v="TRX-102077"/>
    <x v="777"/>
    <x v="3"/>
    <x v="5"/>
    <x v="0"/>
    <n v="130"/>
    <n v="76.12"/>
    <x v="4"/>
    <n v="22"/>
    <n v="-53.879999999999903"/>
    <x v="2"/>
  </r>
  <r>
    <s v="TRX-102078"/>
    <x v="720"/>
    <x v="2"/>
    <x v="2"/>
    <x v="1"/>
    <n v="213"/>
    <n v="325.04000000000002"/>
    <x v="0"/>
    <n v="10"/>
    <n v="112.04"/>
    <x v="9"/>
  </r>
  <r>
    <s v="TRX-102079"/>
    <x v="554"/>
    <x v="4"/>
    <x v="8"/>
    <x v="2"/>
    <n v="208"/>
    <n v="200.31"/>
    <x v="3"/>
    <n v="59"/>
    <n v="-7.6899999999999897"/>
    <x v="6"/>
  </r>
  <r>
    <s v="TRX-102080"/>
    <x v="389"/>
    <x v="0"/>
    <x v="5"/>
    <x v="2"/>
    <n v="225"/>
    <n v="320.55"/>
    <x v="0"/>
    <n v="9"/>
    <n v="95.55"/>
    <x v="4"/>
  </r>
  <r>
    <s v="TRX-102081"/>
    <x v="2"/>
    <x v="2"/>
    <x v="4"/>
    <x v="1"/>
    <n v="213"/>
    <n v="494.56"/>
    <x v="1"/>
    <n v="1"/>
    <n v="281.56"/>
    <x v="1"/>
  </r>
  <r>
    <s v="TRX-102082"/>
    <x v="878"/>
    <x v="4"/>
    <x v="7"/>
    <x v="0"/>
    <n v="205"/>
    <n v="172.08"/>
    <x v="2"/>
    <n v="34"/>
    <n v="-32.919999999999902"/>
    <x v="10"/>
  </r>
  <r>
    <s v="TRX-102083"/>
    <x v="29"/>
    <x v="2"/>
    <x v="8"/>
    <x v="1"/>
    <n v="214"/>
    <n v="501.62"/>
    <x v="1"/>
    <n v="3"/>
    <n v="287.62"/>
    <x v="3"/>
  </r>
  <r>
    <s v="TRX-102084"/>
    <x v="879"/>
    <x v="3"/>
    <x v="6"/>
    <x v="0"/>
    <n v="138"/>
    <n v="110.95"/>
    <x v="2"/>
    <n v="38"/>
    <n v="-27.049999999999901"/>
    <x v="5"/>
  </r>
  <r>
    <s v="TRX-102085"/>
    <x v="868"/>
    <x v="3"/>
    <x v="0"/>
    <x v="1"/>
    <n v="126"/>
    <n v="242.12"/>
    <x v="3"/>
    <n v="56"/>
    <n v="116.12"/>
    <x v="8"/>
  </r>
  <r>
    <s v="TRX-102086"/>
    <x v="122"/>
    <x v="2"/>
    <x v="1"/>
    <x v="0"/>
    <n v="211"/>
    <n v="163.19"/>
    <x v="1"/>
    <n v="13"/>
    <n v="-47.81"/>
    <x v="11"/>
  </r>
  <r>
    <s v="TRX-102087"/>
    <x v="841"/>
    <x v="3"/>
    <x v="5"/>
    <x v="1"/>
    <n v="140"/>
    <n v="311.92"/>
    <x v="2"/>
    <n v="44"/>
    <n v="171.92"/>
    <x v="2"/>
  </r>
  <r>
    <s v="TRX-102088"/>
    <x v="272"/>
    <x v="2"/>
    <x v="2"/>
    <x v="1"/>
    <n v="222"/>
    <n v="438.71"/>
    <x v="4"/>
    <n v="54"/>
    <n v="216.70999999999901"/>
    <x v="3"/>
  </r>
  <r>
    <s v="TRX-102089"/>
    <x v="880"/>
    <x v="3"/>
    <x v="7"/>
    <x v="2"/>
    <n v="131"/>
    <n v="148.49"/>
    <x v="3"/>
    <n v="17"/>
    <n v="17.489999999999998"/>
    <x v="5"/>
  </r>
  <r>
    <s v="TRX-102090"/>
    <x v="256"/>
    <x v="0"/>
    <x v="7"/>
    <x v="1"/>
    <n v="230"/>
    <n v="586.46"/>
    <x v="0"/>
    <n v="11"/>
    <n v="356.46"/>
    <x v="3"/>
  </r>
  <r>
    <s v="TRX-102091"/>
    <x v="862"/>
    <x v="0"/>
    <x v="3"/>
    <x v="1"/>
    <n v="226"/>
    <n v="582.29999999999995"/>
    <x v="3"/>
    <n v="57"/>
    <n v="356.29999999999899"/>
    <x v="2"/>
  </r>
  <r>
    <s v="TRX-102092"/>
    <x v="626"/>
    <x v="0"/>
    <x v="4"/>
    <x v="2"/>
    <n v="227"/>
    <n v="250.22"/>
    <x v="3"/>
    <n v="49"/>
    <n v="23.22"/>
    <x v="11"/>
  </r>
  <r>
    <s v="TRX-102093"/>
    <x v="865"/>
    <x v="0"/>
    <x v="3"/>
    <x v="2"/>
    <n v="225"/>
    <n v="279.61"/>
    <x v="4"/>
    <n v="17"/>
    <n v="54.61"/>
    <x v="6"/>
  </r>
  <r>
    <s v="TRX-102094"/>
    <x v="430"/>
    <x v="0"/>
    <x v="2"/>
    <x v="0"/>
    <n v="229"/>
    <n v="203.62"/>
    <x v="3"/>
    <n v="17"/>
    <n v="-25.3799999999999"/>
    <x v="3"/>
  </r>
  <r>
    <s v="TRX-102095"/>
    <x v="544"/>
    <x v="3"/>
    <x v="8"/>
    <x v="2"/>
    <n v="132"/>
    <n v="180.26"/>
    <x v="4"/>
    <n v="8"/>
    <n v="48.259999999999899"/>
    <x v="5"/>
  </r>
  <r>
    <s v="TRX-102096"/>
    <x v="624"/>
    <x v="3"/>
    <x v="4"/>
    <x v="2"/>
    <n v="110"/>
    <n v="108.22"/>
    <x v="1"/>
    <n v="3"/>
    <n v="-1.78"/>
    <x v="3"/>
  </r>
  <r>
    <s v="TRX-102097"/>
    <x v="881"/>
    <x v="1"/>
    <x v="2"/>
    <x v="0"/>
    <n v="180"/>
    <n v="116.84"/>
    <x v="1"/>
    <n v="12"/>
    <n v="-63.16"/>
    <x v="5"/>
  </r>
  <r>
    <s v="TRX-102098"/>
    <x v="728"/>
    <x v="3"/>
    <x v="0"/>
    <x v="1"/>
    <n v="138"/>
    <n v="311.57"/>
    <x v="4"/>
    <n v="27"/>
    <n v="173.57"/>
    <x v="2"/>
  </r>
  <r>
    <s v="TRX-102099"/>
    <x v="737"/>
    <x v="3"/>
    <x v="5"/>
    <x v="0"/>
    <n v="136"/>
    <n v="121.5"/>
    <x v="3"/>
    <n v="54"/>
    <n v="-14.5"/>
    <x v="7"/>
  </r>
  <r>
    <s v="TRX-102100"/>
    <x v="570"/>
    <x v="0"/>
    <x v="4"/>
    <x v="1"/>
    <n v="227"/>
    <n v="358.61"/>
    <x v="3"/>
    <n v="23"/>
    <n v="131.61000000000001"/>
    <x v="2"/>
  </r>
  <r>
    <s v="TRX-102101"/>
    <x v="837"/>
    <x v="0"/>
    <x v="6"/>
    <x v="2"/>
    <n v="225"/>
    <n v="231.17"/>
    <x v="3"/>
    <n v="28"/>
    <n v="6.1699999999999804"/>
    <x v="5"/>
  </r>
  <r>
    <s v="TRX-102102"/>
    <x v="386"/>
    <x v="1"/>
    <x v="2"/>
    <x v="1"/>
    <n v="189"/>
    <n v="431.69"/>
    <x v="3"/>
    <n v="48"/>
    <n v="242.69"/>
    <x v="8"/>
  </r>
  <r>
    <s v="TRX-102103"/>
    <x v="711"/>
    <x v="4"/>
    <x v="3"/>
    <x v="1"/>
    <n v="205"/>
    <n v="268.64"/>
    <x v="2"/>
    <n v="22"/>
    <n v="63.639999999999901"/>
    <x v="0"/>
  </r>
  <r>
    <s v="TRX-102104"/>
    <x v="111"/>
    <x v="0"/>
    <x v="8"/>
    <x v="1"/>
    <n v="230"/>
    <n v="706.52"/>
    <x v="0"/>
    <n v="6"/>
    <n v="476.52"/>
    <x v="2"/>
  </r>
  <r>
    <s v="TRX-102105"/>
    <x v="683"/>
    <x v="0"/>
    <x v="1"/>
    <x v="2"/>
    <n v="226"/>
    <n v="216.43"/>
    <x v="3"/>
    <n v="36"/>
    <n v="-9.5699999999999896"/>
    <x v="4"/>
  </r>
  <r>
    <s v="TRX-102106"/>
    <x v="13"/>
    <x v="1"/>
    <x v="8"/>
    <x v="2"/>
    <n v="180"/>
    <n v="185.82"/>
    <x v="0"/>
    <n v="11"/>
    <n v="5.8199999999999896"/>
    <x v="5"/>
  </r>
  <r>
    <s v="TRX-102107"/>
    <x v="718"/>
    <x v="3"/>
    <x v="8"/>
    <x v="1"/>
    <n v="123"/>
    <n v="200.35"/>
    <x v="0"/>
    <n v="8"/>
    <n v="77.349999999999994"/>
    <x v="8"/>
  </r>
  <r>
    <s v="TRX-102108"/>
    <x v="609"/>
    <x v="0"/>
    <x v="4"/>
    <x v="2"/>
    <n v="229"/>
    <n v="314.14"/>
    <x v="1"/>
    <n v="8"/>
    <n v="85.139999999999901"/>
    <x v="8"/>
  </r>
  <r>
    <s v="TRX-102109"/>
    <x v="32"/>
    <x v="0"/>
    <x v="7"/>
    <x v="0"/>
    <n v="225"/>
    <n v="176.35"/>
    <x v="1"/>
    <n v="3"/>
    <n v="-48.65"/>
    <x v="6"/>
  </r>
  <r>
    <s v="TRX-102110"/>
    <x v="24"/>
    <x v="3"/>
    <x v="5"/>
    <x v="1"/>
    <n v="134"/>
    <n v="388.29"/>
    <x v="0"/>
    <n v="14"/>
    <n v="254.29"/>
    <x v="4"/>
  </r>
  <r>
    <s v="TRX-102111"/>
    <x v="128"/>
    <x v="1"/>
    <x v="7"/>
    <x v="2"/>
    <n v="170"/>
    <n v="196.34"/>
    <x v="4"/>
    <n v="47"/>
    <n v="26.34"/>
    <x v="5"/>
  </r>
  <r>
    <s v="TRX-102112"/>
    <x v="493"/>
    <x v="2"/>
    <x v="8"/>
    <x v="0"/>
    <n v="220"/>
    <n v="122.1"/>
    <x v="3"/>
    <n v="43"/>
    <n v="-97.9"/>
    <x v="9"/>
  </r>
  <r>
    <s v="TRX-102113"/>
    <x v="542"/>
    <x v="0"/>
    <x v="3"/>
    <x v="2"/>
    <n v="229"/>
    <n v="305.89"/>
    <x v="0"/>
    <n v="13"/>
    <n v="76.889999999999901"/>
    <x v="3"/>
  </r>
  <r>
    <s v="TRX-102114"/>
    <x v="882"/>
    <x v="4"/>
    <x v="7"/>
    <x v="1"/>
    <n v="204"/>
    <n v="645.92999999999995"/>
    <x v="0"/>
    <n v="2"/>
    <n v="441.92999999999898"/>
    <x v="1"/>
  </r>
  <r>
    <s v="TRX-102115"/>
    <x v="239"/>
    <x v="3"/>
    <x v="6"/>
    <x v="0"/>
    <n v="130"/>
    <n v="87.25"/>
    <x v="1"/>
    <n v="5"/>
    <n v="-42.75"/>
    <x v="7"/>
  </r>
  <r>
    <s v="TRX-102116"/>
    <x v="64"/>
    <x v="3"/>
    <x v="1"/>
    <x v="2"/>
    <n v="113"/>
    <n v="150.61000000000001"/>
    <x v="2"/>
    <n v="46"/>
    <n v="37.61"/>
    <x v="2"/>
  </r>
  <r>
    <s v="TRX-102117"/>
    <x v="366"/>
    <x v="3"/>
    <x v="3"/>
    <x v="0"/>
    <n v="134"/>
    <n v="78.489999999999995"/>
    <x v="1"/>
    <n v="6"/>
    <n v="-55.51"/>
    <x v="6"/>
  </r>
  <r>
    <s v="TRX-102118"/>
    <x v="328"/>
    <x v="2"/>
    <x v="1"/>
    <x v="1"/>
    <n v="223"/>
    <n v="415.16"/>
    <x v="0"/>
    <n v="7"/>
    <n v="192.16"/>
    <x v="10"/>
  </r>
  <r>
    <s v="TRX-102119"/>
    <x v="214"/>
    <x v="4"/>
    <x v="4"/>
    <x v="1"/>
    <n v="204"/>
    <n v="454.87"/>
    <x v="1"/>
    <n v="11"/>
    <n v="250.87"/>
    <x v="1"/>
  </r>
  <r>
    <s v="TRX-102120"/>
    <x v="853"/>
    <x v="4"/>
    <x v="2"/>
    <x v="0"/>
    <n v="206"/>
    <n v="121.41"/>
    <x v="1"/>
    <n v="14"/>
    <n v="-84.59"/>
    <x v="0"/>
  </r>
  <r>
    <s v="TRX-102121"/>
    <x v="79"/>
    <x v="3"/>
    <x v="3"/>
    <x v="2"/>
    <n v="111"/>
    <n v="120.23"/>
    <x v="3"/>
    <n v="6"/>
    <n v="9.23"/>
    <x v="4"/>
  </r>
  <r>
    <s v="TRX-102122"/>
    <x v="743"/>
    <x v="4"/>
    <x v="5"/>
    <x v="1"/>
    <n v="206"/>
    <n v="609.05999999999995"/>
    <x v="0"/>
    <n v="14"/>
    <n v="403.05999999999898"/>
    <x v="1"/>
  </r>
  <r>
    <s v="TRX-102123"/>
    <x v="672"/>
    <x v="4"/>
    <x v="0"/>
    <x v="2"/>
    <n v="208"/>
    <n v="270.04000000000002"/>
    <x v="0"/>
    <n v="5"/>
    <n v="62.04"/>
    <x v="1"/>
  </r>
  <r>
    <s v="TRX-102124"/>
    <x v="394"/>
    <x v="4"/>
    <x v="1"/>
    <x v="2"/>
    <n v="201"/>
    <n v="234.33"/>
    <x v="4"/>
    <n v="19"/>
    <n v="33.33"/>
    <x v="2"/>
  </r>
  <r>
    <s v="TRX-102125"/>
    <x v="883"/>
    <x v="3"/>
    <x v="4"/>
    <x v="0"/>
    <n v="131"/>
    <n v="89.42"/>
    <x v="4"/>
    <n v="49"/>
    <n v="-41.58"/>
    <x v="9"/>
  </r>
  <r>
    <s v="TRX-102126"/>
    <x v="884"/>
    <x v="3"/>
    <x v="2"/>
    <x v="1"/>
    <n v="111"/>
    <n v="252.33"/>
    <x v="1"/>
    <n v="7"/>
    <n v="141.33000000000001"/>
    <x v="10"/>
  </r>
  <r>
    <s v="TRX-102127"/>
    <x v="585"/>
    <x v="0"/>
    <x v="7"/>
    <x v="1"/>
    <n v="229"/>
    <n v="338.37"/>
    <x v="3"/>
    <n v="5"/>
    <n v="109.37"/>
    <x v="7"/>
  </r>
  <r>
    <s v="TRX-102128"/>
    <x v="303"/>
    <x v="3"/>
    <x v="2"/>
    <x v="1"/>
    <n v="135"/>
    <n v="419.94"/>
    <x v="4"/>
    <n v="13"/>
    <n v="284.94"/>
    <x v="11"/>
  </r>
  <r>
    <s v="TRX-102129"/>
    <x v="176"/>
    <x v="1"/>
    <x v="7"/>
    <x v="2"/>
    <n v="184"/>
    <n v="223.87"/>
    <x v="2"/>
    <n v="31"/>
    <n v="39.869999999999997"/>
    <x v="7"/>
  </r>
  <r>
    <s v="TRX-102130"/>
    <x v="819"/>
    <x v="2"/>
    <x v="5"/>
    <x v="2"/>
    <n v="215"/>
    <n v="228.83"/>
    <x v="4"/>
    <n v="39"/>
    <n v="13.83"/>
    <x v="5"/>
  </r>
  <r>
    <s v="TRX-102131"/>
    <x v="33"/>
    <x v="4"/>
    <x v="4"/>
    <x v="1"/>
    <n v="210"/>
    <n v="317.86"/>
    <x v="3"/>
    <n v="45"/>
    <n v="107.86"/>
    <x v="7"/>
  </r>
  <r>
    <s v="TRX-102132"/>
    <x v="35"/>
    <x v="0"/>
    <x v="6"/>
    <x v="1"/>
    <n v="228"/>
    <n v="350.14"/>
    <x v="0"/>
    <n v="13"/>
    <n v="122.13999999999901"/>
    <x v="11"/>
  </r>
  <r>
    <s v="TRX-102133"/>
    <x v="353"/>
    <x v="2"/>
    <x v="2"/>
    <x v="0"/>
    <n v="216"/>
    <n v="124.45"/>
    <x v="0"/>
    <n v="1"/>
    <n v="-91.55"/>
    <x v="1"/>
  </r>
  <r>
    <s v="TRX-102134"/>
    <x v="410"/>
    <x v="1"/>
    <x v="8"/>
    <x v="1"/>
    <n v="182"/>
    <n v="575.29999999999995"/>
    <x v="0"/>
    <n v="9"/>
    <n v="393.29999999999899"/>
    <x v="2"/>
  </r>
  <r>
    <s v="TRX-102135"/>
    <x v="63"/>
    <x v="2"/>
    <x v="6"/>
    <x v="2"/>
    <n v="216"/>
    <n v="209.3"/>
    <x v="2"/>
    <n v="42"/>
    <n v="-6.6999999999999797"/>
    <x v="11"/>
  </r>
  <r>
    <s v="TRX-102136"/>
    <x v="213"/>
    <x v="1"/>
    <x v="4"/>
    <x v="2"/>
    <n v="187"/>
    <n v="276.10000000000002"/>
    <x v="1"/>
    <n v="10"/>
    <n v="89.1"/>
    <x v="2"/>
  </r>
  <r>
    <s v="TRX-102137"/>
    <x v="601"/>
    <x v="1"/>
    <x v="1"/>
    <x v="2"/>
    <n v="190"/>
    <n v="228.85"/>
    <x v="1"/>
    <n v="7"/>
    <n v="38.849999999999902"/>
    <x v="6"/>
  </r>
  <r>
    <s v="TRX-102138"/>
    <x v="868"/>
    <x v="2"/>
    <x v="1"/>
    <x v="0"/>
    <n v="225"/>
    <n v="146.22999999999999"/>
    <x v="1"/>
    <n v="7"/>
    <n v="-78.77"/>
    <x v="8"/>
  </r>
  <r>
    <s v="TRX-102139"/>
    <x v="234"/>
    <x v="4"/>
    <x v="6"/>
    <x v="0"/>
    <n v="203"/>
    <n v="102.15"/>
    <x v="4"/>
    <n v="26"/>
    <n v="-100.85"/>
    <x v="6"/>
  </r>
  <r>
    <s v="TRX-102140"/>
    <x v="658"/>
    <x v="3"/>
    <x v="3"/>
    <x v="0"/>
    <n v="116"/>
    <n v="69.34"/>
    <x v="1"/>
    <n v="9"/>
    <n v="-46.66"/>
    <x v="5"/>
  </r>
  <r>
    <s v="TRX-102141"/>
    <x v="674"/>
    <x v="1"/>
    <x v="1"/>
    <x v="0"/>
    <n v="188"/>
    <n v="162.13999999999999"/>
    <x v="4"/>
    <n v="32"/>
    <n v="-25.86"/>
    <x v="9"/>
  </r>
  <r>
    <s v="TRX-102142"/>
    <x v="679"/>
    <x v="0"/>
    <x v="5"/>
    <x v="0"/>
    <n v="230"/>
    <n v="139.36000000000001"/>
    <x v="1"/>
    <n v="1"/>
    <n v="-90.639999999999901"/>
    <x v="11"/>
  </r>
  <r>
    <s v="TRX-102143"/>
    <x v="169"/>
    <x v="4"/>
    <x v="6"/>
    <x v="1"/>
    <n v="209"/>
    <n v="634.35"/>
    <x v="2"/>
    <n v="19"/>
    <n v="425.35"/>
    <x v="4"/>
  </r>
  <r>
    <s v="TRX-102144"/>
    <x v="744"/>
    <x v="4"/>
    <x v="1"/>
    <x v="1"/>
    <n v="201"/>
    <n v="382.35"/>
    <x v="1"/>
    <n v="10"/>
    <n v="181.35"/>
    <x v="4"/>
  </r>
  <r>
    <s v="TRX-102145"/>
    <x v="395"/>
    <x v="0"/>
    <x v="0"/>
    <x v="1"/>
    <n v="226"/>
    <n v="689.4"/>
    <x v="2"/>
    <n v="17"/>
    <n v="463.4"/>
    <x v="6"/>
  </r>
  <r>
    <s v="TRX-102146"/>
    <x v="48"/>
    <x v="0"/>
    <x v="4"/>
    <x v="0"/>
    <n v="226"/>
    <n v="168.8"/>
    <x v="2"/>
    <n v="19"/>
    <n v="-57.199999999999903"/>
    <x v="9"/>
  </r>
  <r>
    <s v="TRX-102147"/>
    <x v="371"/>
    <x v="0"/>
    <x v="8"/>
    <x v="1"/>
    <n v="229"/>
    <n v="795.26"/>
    <x v="0"/>
    <n v="9"/>
    <n v="566.26"/>
    <x v="5"/>
  </r>
  <r>
    <s v="TRX-102148"/>
    <x v="598"/>
    <x v="2"/>
    <x v="8"/>
    <x v="2"/>
    <n v="218"/>
    <n v="206.22"/>
    <x v="4"/>
    <n v="5"/>
    <n v="-11.78"/>
    <x v="7"/>
  </r>
  <r>
    <s v="TRX-102149"/>
    <x v="82"/>
    <x v="0"/>
    <x v="8"/>
    <x v="2"/>
    <n v="230"/>
    <n v="212.8"/>
    <x v="3"/>
    <n v="58"/>
    <n v="-17.1999999999999"/>
    <x v="5"/>
  </r>
  <r>
    <s v="TRX-102150"/>
    <x v="782"/>
    <x v="3"/>
    <x v="0"/>
    <x v="1"/>
    <n v="116"/>
    <n v="231.73"/>
    <x v="4"/>
    <n v="48"/>
    <n v="115.729999999999"/>
    <x v="2"/>
  </r>
  <r>
    <s v="TRX-102151"/>
    <x v="133"/>
    <x v="4"/>
    <x v="5"/>
    <x v="1"/>
    <n v="206"/>
    <n v="277.02999999999997"/>
    <x v="1"/>
    <n v="13"/>
    <n v="71.029999999999902"/>
    <x v="3"/>
  </r>
  <r>
    <s v="TRX-102152"/>
    <x v="807"/>
    <x v="3"/>
    <x v="1"/>
    <x v="2"/>
    <n v="138"/>
    <n v="141.46"/>
    <x v="4"/>
    <n v="44"/>
    <n v="3.46"/>
    <x v="3"/>
  </r>
  <r>
    <s v="TRX-102153"/>
    <x v="183"/>
    <x v="1"/>
    <x v="0"/>
    <x v="0"/>
    <n v="173"/>
    <n v="154.87"/>
    <x v="0"/>
    <n v="5"/>
    <n v="-18.1299999999999"/>
    <x v="1"/>
  </r>
  <r>
    <s v="TRX-102154"/>
    <x v="659"/>
    <x v="0"/>
    <x v="7"/>
    <x v="1"/>
    <n v="229"/>
    <n v="695.07"/>
    <x v="2"/>
    <n v="58"/>
    <n v="466.07"/>
    <x v="3"/>
  </r>
  <r>
    <s v="TRX-102155"/>
    <x v="347"/>
    <x v="2"/>
    <x v="4"/>
    <x v="1"/>
    <n v="221"/>
    <n v="317.75"/>
    <x v="4"/>
    <n v="13"/>
    <n v="96.75"/>
    <x v="11"/>
  </r>
  <r>
    <s v="TRX-102156"/>
    <x v="885"/>
    <x v="2"/>
    <x v="3"/>
    <x v="2"/>
    <n v="218"/>
    <n v="242.32"/>
    <x v="3"/>
    <n v="14"/>
    <n v="24.319999999999901"/>
    <x v="7"/>
  </r>
  <r>
    <s v="TRX-102157"/>
    <x v="575"/>
    <x v="3"/>
    <x v="3"/>
    <x v="2"/>
    <n v="111"/>
    <n v="109.43"/>
    <x v="2"/>
    <n v="29"/>
    <n v="-1.5699999999999901"/>
    <x v="8"/>
  </r>
  <r>
    <s v="TRX-102158"/>
    <x v="65"/>
    <x v="3"/>
    <x v="5"/>
    <x v="0"/>
    <n v="134"/>
    <n v="107.47"/>
    <x v="0"/>
    <n v="10"/>
    <n v="-26.53"/>
    <x v="7"/>
  </r>
  <r>
    <s v="TRX-102159"/>
    <x v="454"/>
    <x v="3"/>
    <x v="4"/>
    <x v="0"/>
    <n v="110"/>
    <n v="90.08"/>
    <x v="1"/>
    <n v="6"/>
    <n v="-19.920000000000002"/>
    <x v="8"/>
  </r>
  <r>
    <s v="TRX-102160"/>
    <x v="403"/>
    <x v="1"/>
    <x v="8"/>
    <x v="0"/>
    <n v="184"/>
    <n v="106.88"/>
    <x v="3"/>
    <n v="56"/>
    <n v="-77.12"/>
    <x v="11"/>
  </r>
  <r>
    <s v="TRX-102161"/>
    <x v="303"/>
    <x v="4"/>
    <x v="3"/>
    <x v="2"/>
    <n v="210"/>
    <n v="299.98"/>
    <x v="3"/>
    <n v="60"/>
    <n v="89.98"/>
    <x v="11"/>
  </r>
  <r>
    <s v="TRX-102162"/>
    <x v="289"/>
    <x v="2"/>
    <x v="0"/>
    <x v="1"/>
    <n v="210"/>
    <n v="283.42"/>
    <x v="1"/>
    <n v="10"/>
    <n v="73.42"/>
    <x v="1"/>
  </r>
  <r>
    <s v="TRX-102163"/>
    <x v="698"/>
    <x v="4"/>
    <x v="6"/>
    <x v="1"/>
    <n v="210"/>
    <n v="400.89"/>
    <x v="2"/>
    <n v="24"/>
    <n v="190.89"/>
    <x v="11"/>
  </r>
  <r>
    <s v="TRX-102164"/>
    <x v="814"/>
    <x v="0"/>
    <x v="7"/>
    <x v="2"/>
    <n v="226"/>
    <n v="243.84"/>
    <x v="1"/>
    <n v="3"/>
    <n v="17.84"/>
    <x v="7"/>
  </r>
  <r>
    <s v="TRX-102165"/>
    <x v="886"/>
    <x v="0"/>
    <x v="5"/>
    <x v="1"/>
    <n v="229"/>
    <n v="550.6"/>
    <x v="4"/>
    <n v="54"/>
    <n v="321.60000000000002"/>
    <x v="11"/>
  </r>
  <r>
    <s v="TRX-102166"/>
    <x v="329"/>
    <x v="0"/>
    <x v="4"/>
    <x v="1"/>
    <n v="230"/>
    <n v="399.75"/>
    <x v="0"/>
    <n v="4"/>
    <n v="169.75"/>
    <x v="5"/>
  </r>
  <r>
    <s v="TRX-102167"/>
    <x v="181"/>
    <x v="4"/>
    <x v="8"/>
    <x v="2"/>
    <n v="205"/>
    <n v="185.47"/>
    <x v="4"/>
    <n v="7"/>
    <n v="-19.53"/>
    <x v="4"/>
  </r>
  <r>
    <s v="TRX-102168"/>
    <x v="608"/>
    <x v="1"/>
    <x v="5"/>
    <x v="2"/>
    <n v="189"/>
    <n v="247.56"/>
    <x v="0"/>
    <n v="3"/>
    <n v="58.56"/>
    <x v="11"/>
  </r>
  <r>
    <s v="TRX-102169"/>
    <x v="268"/>
    <x v="3"/>
    <x v="5"/>
    <x v="0"/>
    <n v="128"/>
    <n v="96.43"/>
    <x v="2"/>
    <n v="50"/>
    <n v="-31.569999999999901"/>
    <x v="8"/>
  </r>
  <r>
    <s v="TRX-102170"/>
    <x v="887"/>
    <x v="1"/>
    <x v="3"/>
    <x v="2"/>
    <n v="181"/>
    <n v="190.41"/>
    <x v="2"/>
    <n v="18"/>
    <n v="9.4099999999999895"/>
    <x v="11"/>
  </r>
  <r>
    <s v="TRX-102171"/>
    <x v="84"/>
    <x v="4"/>
    <x v="6"/>
    <x v="0"/>
    <n v="208"/>
    <n v="177.22"/>
    <x v="3"/>
    <n v="18"/>
    <n v="-30.78"/>
    <x v="7"/>
  </r>
  <r>
    <s v="TRX-102172"/>
    <x v="675"/>
    <x v="3"/>
    <x v="4"/>
    <x v="2"/>
    <n v="126"/>
    <n v="182.5"/>
    <x v="1"/>
    <n v="6"/>
    <n v="56.5"/>
    <x v="8"/>
  </r>
  <r>
    <s v="TRX-102173"/>
    <x v="736"/>
    <x v="0"/>
    <x v="8"/>
    <x v="1"/>
    <n v="227"/>
    <n v="466.24"/>
    <x v="4"/>
    <n v="8"/>
    <n v="239.24"/>
    <x v="8"/>
  </r>
  <r>
    <s v="TRX-102174"/>
    <x v="888"/>
    <x v="0"/>
    <x v="1"/>
    <x v="2"/>
    <n v="229"/>
    <n v="337.91"/>
    <x v="0"/>
    <n v="2"/>
    <n v="108.91"/>
    <x v="5"/>
  </r>
  <r>
    <s v="TRX-102175"/>
    <x v="117"/>
    <x v="1"/>
    <x v="0"/>
    <x v="0"/>
    <n v="176"/>
    <n v="147.29"/>
    <x v="2"/>
    <n v="54"/>
    <n v="-28.71"/>
    <x v="6"/>
  </r>
  <r>
    <s v="TRX-102176"/>
    <x v="20"/>
    <x v="3"/>
    <x v="0"/>
    <x v="2"/>
    <n v="133"/>
    <n v="133.24"/>
    <x v="0"/>
    <n v="12"/>
    <n v="0.24000000000000901"/>
    <x v="10"/>
  </r>
  <r>
    <s v="TRX-102177"/>
    <x v="747"/>
    <x v="1"/>
    <x v="2"/>
    <x v="0"/>
    <n v="175"/>
    <n v="138.46"/>
    <x v="4"/>
    <n v="19"/>
    <n v="-36.5399999999999"/>
    <x v="7"/>
  </r>
  <r>
    <s v="TRX-102178"/>
    <x v="614"/>
    <x v="4"/>
    <x v="6"/>
    <x v="0"/>
    <n v="200"/>
    <n v="156.4"/>
    <x v="0"/>
    <n v="3"/>
    <n v="-43.599999999999902"/>
    <x v="9"/>
  </r>
  <r>
    <s v="TRX-102179"/>
    <x v="866"/>
    <x v="1"/>
    <x v="8"/>
    <x v="2"/>
    <n v="170"/>
    <n v="203.25"/>
    <x v="2"/>
    <n v="43"/>
    <n v="33.25"/>
    <x v="2"/>
  </r>
  <r>
    <s v="TRX-102180"/>
    <x v="117"/>
    <x v="0"/>
    <x v="8"/>
    <x v="1"/>
    <n v="230"/>
    <n v="462.79"/>
    <x v="4"/>
    <n v="45"/>
    <n v="232.79"/>
    <x v="6"/>
  </r>
  <r>
    <s v="TRX-102181"/>
    <x v="211"/>
    <x v="4"/>
    <x v="4"/>
    <x v="1"/>
    <n v="209"/>
    <n v="313.68"/>
    <x v="3"/>
    <n v="49"/>
    <n v="104.68"/>
    <x v="7"/>
  </r>
  <r>
    <s v="TRX-102182"/>
    <x v="237"/>
    <x v="3"/>
    <x v="1"/>
    <x v="2"/>
    <n v="140"/>
    <n v="135.18"/>
    <x v="3"/>
    <n v="53"/>
    <n v="-4.8199999999999896"/>
    <x v="0"/>
  </r>
  <r>
    <s v="TRX-102183"/>
    <x v="878"/>
    <x v="3"/>
    <x v="0"/>
    <x v="1"/>
    <n v="124"/>
    <n v="424.44"/>
    <x v="4"/>
    <n v="30"/>
    <n v="300.44"/>
    <x v="10"/>
  </r>
  <r>
    <s v="TRX-102184"/>
    <x v="763"/>
    <x v="0"/>
    <x v="4"/>
    <x v="0"/>
    <n v="226"/>
    <n v="160.21"/>
    <x v="0"/>
    <n v="11"/>
    <n v="-65.789999999999907"/>
    <x v="4"/>
  </r>
  <r>
    <s v="TRX-102185"/>
    <x v="24"/>
    <x v="4"/>
    <x v="5"/>
    <x v="1"/>
    <n v="204"/>
    <n v="466.57"/>
    <x v="2"/>
    <n v="12"/>
    <n v="262.57"/>
    <x v="4"/>
  </r>
  <r>
    <s v="TRX-102186"/>
    <x v="801"/>
    <x v="1"/>
    <x v="0"/>
    <x v="1"/>
    <n v="173"/>
    <n v="349.83"/>
    <x v="3"/>
    <n v="16"/>
    <n v="176.82999999999899"/>
    <x v="2"/>
  </r>
  <r>
    <s v="TRX-102187"/>
    <x v="39"/>
    <x v="1"/>
    <x v="4"/>
    <x v="0"/>
    <n v="173"/>
    <n v="116.12"/>
    <x v="4"/>
    <n v="6"/>
    <n v="-56.879999999999903"/>
    <x v="11"/>
  </r>
  <r>
    <s v="TRX-102188"/>
    <x v="879"/>
    <x v="4"/>
    <x v="2"/>
    <x v="0"/>
    <n v="210"/>
    <n v="169.36"/>
    <x v="0"/>
    <n v="2"/>
    <n v="-40.639999999999901"/>
    <x v="5"/>
  </r>
  <r>
    <s v="TRX-102189"/>
    <x v="889"/>
    <x v="0"/>
    <x v="0"/>
    <x v="1"/>
    <n v="225"/>
    <n v="435.79"/>
    <x v="3"/>
    <n v="10"/>
    <n v="210.79"/>
    <x v="7"/>
  </r>
  <r>
    <s v="TRX-102190"/>
    <x v="358"/>
    <x v="1"/>
    <x v="4"/>
    <x v="0"/>
    <n v="184"/>
    <n v="94.63"/>
    <x v="3"/>
    <n v="34"/>
    <n v="-89.37"/>
    <x v="0"/>
  </r>
  <r>
    <s v="TRX-102191"/>
    <x v="624"/>
    <x v="4"/>
    <x v="2"/>
    <x v="2"/>
    <n v="210"/>
    <n v="299.79000000000002"/>
    <x v="0"/>
    <n v="14"/>
    <n v="89.79"/>
    <x v="3"/>
  </r>
  <r>
    <s v="TRX-102192"/>
    <x v="75"/>
    <x v="4"/>
    <x v="2"/>
    <x v="2"/>
    <n v="202"/>
    <n v="243.18"/>
    <x v="0"/>
    <n v="12"/>
    <n v="41.18"/>
    <x v="4"/>
  </r>
  <r>
    <s v="TRX-102193"/>
    <x v="299"/>
    <x v="4"/>
    <x v="2"/>
    <x v="1"/>
    <n v="201"/>
    <n v="664.93"/>
    <x v="1"/>
    <n v="9"/>
    <n v="463.92999999999898"/>
    <x v="0"/>
  </r>
  <r>
    <s v="TRX-102194"/>
    <x v="781"/>
    <x v="4"/>
    <x v="1"/>
    <x v="1"/>
    <n v="203"/>
    <n v="696.45"/>
    <x v="4"/>
    <n v="23"/>
    <n v="493.45"/>
    <x v="3"/>
  </r>
  <r>
    <s v="TRX-102195"/>
    <x v="5"/>
    <x v="0"/>
    <x v="4"/>
    <x v="1"/>
    <n v="225"/>
    <n v="417.08"/>
    <x v="1"/>
    <n v="11"/>
    <n v="192.07999999999899"/>
    <x v="3"/>
  </r>
  <r>
    <s v="TRX-102196"/>
    <x v="890"/>
    <x v="3"/>
    <x v="6"/>
    <x v="2"/>
    <n v="123"/>
    <n v="163.34"/>
    <x v="0"/>
    <n v="11"/>
    <n v="40.340000000000003"/>
    <x v="8"/>
  </r>
  <r>
    <s v="TRX-102197"/>
    <x v="552"/>
    <x v="2"/>
    <x v="3"/>
    <x v="2"/>
    <n v="211"/>
    <n v="292.99"/>
    <x v="1"/>
    <n v="10"/>
    <n v="81.99"/>
    <x v="11"/>
  </r>
  <r>
    <s v="TRX-102198"/>
    <x v="891"/>
    <x v="3"/>
    <x v="5"/>
    <x v="1"/>
    <n v="122"/>
    <n v="346.67"/>
    <x v="4"/>
    <n v="9"/>
    <n v="224.67"/>
    <x v="3"/>
  </r>
  <r>
    <s v="TRX-102199"/>
    <x v="249"/>
    <x v="0"/>
    <x v="6"/>
    <x v="0"/>
    <n v="227"/>
    <n v="122.45"/>
    <x v="3"/>
    <n v="37"/>
    <n v="-104.55"/>
    <x v="2"/>
  </r>
  <r>
    <s v="TRX-102200"/>
    <x v="131"/>
    <x v="0"/>
    <x v="8"/>
    <x v="0"/>
    <n v="228"/>
    <n v="158.15"/>
    <x v="2"/>
    <n v="8"/>
    <n v="-69.849999999999994"/>
    <x v="10"/>
  </r>
  <r>
    <s v="TRX-102201"/>
    <x v="762"/>
    <x v="0"/>
    <x v="0"/>
    <x v="0"/>
    <n v="229"/>
    <n v="129.11000000000001"/>
    <x v="2"/>
    <n v="53"/>
    <n v="-99.889999999999901"/>
    <x v="4"/>
  </r>
  <r>
    <s v="TRX-102202"/>
    <x v="302"/>
    <x v="2"/>
    <x v="6"/>
    <x v="1"/>
    <n v="214"/>
    <n v="613.01"/>
    <x v="3"/>
    <n v="32"/>
    <n v="399.01"/>
    <x v="1"/>
  </r>
  <r>
    <s v="TRX-102203"/>
    <x v="728"/>
    <x v="0"/>
    <x v="5"/>
    <x v="1"/>
    <n v="229"/>
    <n v="701.5"/>
    <x v="2"/>
    <n v="47"/>
    <n v="472.5"/>
    <x v="2"/>
  </r>
  <r>
    <s v="TRX-102204"/>
    <x v="315"/>
    <x v="1"/>
    <x v="5"/>
    <x v="0"/>
    <n v="176"/>
    <n v="135.4"/>
    <x v="4"/>
    <n v="46"/>
    <n v="-40.599999999999902"/>
    <x v="3"/>
  </r>
  <r>
    <s v="TRX-102205"/>
    <x v="198"/>
    <x v="2"/>
    <x v="7"/>
    <x v="1"/>
    <n v="222"/>
    <n v="341.13"/>
    <x v="2"/>
    <n v="6"/>
    <n v="119.13"/>
    <x v="11"/>
  </r>
  <r>
    <s v="TRX-102206"/>
    <x v="88"/>
    <x v="3"/>
    <x v="8"/>
    <x v="1"/>
    <n v="112"/>
    <n v="301.58"/>
    <x v="4"/>
    <n v="56"/>
    <n v="189.57999999999899"/>
    <x v="4"/>
  </r>
  <r>
    <s v="TRX-102207"/>
    <x v="597"/>
    <x v="1"/>
    <x v="0"/>
    <x v="1"/>
    <n v="187"/>
    <n v="485.54"/>
    <x v="4"/>
    <n v="35"/>
    <n v="298.54000000000002"/>
    <x v="9"/>
  </r>
  <r>
    <s v="TRX-102208"/>
    <x v="189"/>
    <x v="1"/>
    <x v="6"/>
    <x v="2"/>
    <n v="173"/>
    <n v="199.97"/>
    <x v="1"/>
    <n v="4"/>
    <n v="26.97"/>
    <x v="0"/>
  </r>
  <r>
    <s v="TRX-102209"/>
    <x v="402"/>
    <x v="2"/>
    <x v="4"/>
    <x v="1"/>
    <n v="223"/>
    <n v="402.33"/>
    <x v="4"/>
    <n v="27"/>
    <n v="179.32999999999899"/>
    <x v="8"/>
  </r>
  <r>
    <s v="TRX-102210"/>
    <x v="892"/>
    <x v="0"/>
    <x v="8"/>
    <x v="1"/>
    <n v="226"/>
    <n v="535.22"/>
    <x v="3"/>
    <n v="12"/>
    <n v="309.22000000000003"/>
    <x v="4"/>
  </r>
  <r>
    <s v="TRX-102211"/>
    <x v="766"/>
    <x v="2"/>
    <x v="3"/>
    <x v="0"/>
    <n v="215"/>
    <n v="148.15"/>
    <x v="4"/>
    <n v="39"/>
    <n v="-66.849999999999994"/>
    <x v="5"/>
  </r>
  <r>
    <s v="TRX-102212"/>
    <x v="97"/>
    <x v="2"/>
    <x v="6"/>
    <x v="1"/>
    <n v="223"/>
    <n v="466.6"/>
    <x v="4"/>
    <n v="48"/>
    <n v="243.6"/>
    <x v="4"/>
  </r>
  <r>
    <s v="TRX-102213"/>
    <x v="24"/>
    <x v="2"/>
    <x v="3"/>
    <x v="2"/>
    <n v="216"/>
    <n v="218.96"/>
    <x v="2"/>
    <n v="34"/>
    <n v="2.96"/>
    <x v="4"/>
  </r>
  <r>
    <s v="TRX-102214"/>
    <x v="347"/>
    <x v="0"/>
    <x v="5"/>
    <x v="0"/>
    <n v="229"/>
    <n v="168.72"/>
    <x v="3"/>
    <n v="49"/>
    <n v="-60.28"/>
    <x v="11"/>
  </r>
  <r>
    <s v="TRX-102215"/>
    <x v="875"/>
    <x v="2"/>
    <x v="8"/>
    <x v="2"/>
    <n v="221"/>
    <n v="227.56"/>
    <x v="4"/>
    <n v="29"/>
    <n v="6.56"/>
    <x v="8"/>
  </r>
  <r>
    <s v="TRX-102216"/>
    <x v="893"/>
    <x v="0"/>
    <x v="6"/>
    <x v="1"/>
    <n v="226"/>
    <n v="614.97"/>
    <x v="4"/>
    <n v="28"/>
    <n v="388.97"/>
    <x v="4"/>
  </r>
  <r>
    <s v="TRX-102217"/>
    <x v="234"/>
    <x v="4"/>
    <x v="2"/>
    <x v="1"/>
    <n v="207"/>
    <n v="702.15"/>
    <x v="0"/>
    <n v="12"/>
    <n v="495.15"/>
    <x v="6"/>
  </r>
  <r>
    <s v="TRX-102218"/>
    <x v="237"/>
    <x v="3"/>
    <x v="2"/>
    <x v="2"/>
    <n v="122"/>
    <n v="143.91999999999999"/>
    <x v="1"/>
    <n v="9"/>
    <n v="21.919999999999899"/>
    <x v="0"/>
  </r>
  <r>
    <s v="TRX-102219"/>
    <x v="751"/>
    <x v="0"/>
    <x v="3"/>
    <x v="2"/>
    <n v="227"/>
    <n v="304.39999999999998"/>
    <x v="2"/>
    <n v="56"/>
    <n v="77.399999999999906"/>
    <x v="6"/>
  </r>
  <r>
    <s v="TRX-102220"/>
    <x v="894"/>
    <x v="2"/>
    <x v="0"/>
    <x v="0"/>
    <n v="221"/>
    <n v="178.13"/>
    <x v="0"/>
    <n v="7"/>
    <n v="-42.87"/>
    <x v="9"/>
  </r>
  <r>
    <s v="TRX-102221"/>
    <x v="895"/>
    <x v="3"/>
    <x v="0"/>
    <x v="2"/>
    <n v="119"/>
    <n v="160.06"/>
    <x v="3"/>
    <n v="24"/>
    <n v="41.06"/>
    <x v="4"/>
  </r>
  <r>
    <s v="TRX-102222"/>
    <x v="743"/>
    <x v="4"/>
    <x v="0"/>
    <x v="0"/>
    <n v="201"/>
    <n v="127.45"/>
    <x v="4"/>
    <n v="60"/>
    <n v="-73.55"/>
    <x v="1"/>
  </r>
  <r>
    <s v="TRX-102223"/>
    <x v="880"/>
    <x v="4"/>
    <x v="3"/>
    <x v="1"/>
    <n v="210"/>
    <n v="729.34"/>
    <x v="0"/>
    <n v="6"/>
    <n v="519.34"/>
    <x v="5"/>
  </r>
  <r>
    <s v="TRX-102224"/>
    <x v="459"/>
    <x v="3"/>
    <x v="7"/>
    <x v="2"/>
    <n v="136"/>
    <n v="155.18"/>
    <x v="0"/>
    <n v="7"/>
    <n v="19.18"/>
    <x v="11"/>
  </r>
  <r>
    <s v="TRX-102225"/>
    <x v="577"/>
    <x v="0"/>
    <x v="3"/>
    <x v="0"/>
    <n v="228"/>
    <n v="161.82"/>
    <x v="4"/>
    <n v="51"/>
    <n v="-66.180000000000007"/>
    <x v="11"/>
  </r>
  <r>
    <s v="TRX-102226"/>
    <x v="817"/>
    <x v="4"/>
    <x v="3"/>
    <x v="1"/>
    <n v="201"/>
    <n v="424.6"/>
    <x v="1"/>
    <n v="2"/>
    <n v="223.6"/>
    <x v="11"/>
  </r>
  <r>
    <s v="TRX-102227"/>
    <x v="10"/>
    <x v="1"/>
    <x v="2"/>
    <x v="1"/>
    <n v="178"/>
    <n v="601.28"/>
    <x v="2"/>
    <n v="39"/>
    <n v="423.28"/>
    <x v="5"/>
  </r>
  <r>
    <s v="TRX-102228"/>
    <x v="410"/>
    <x v="4"/>
    <x v="7"/>
    <x v="0"/>
    <n v="204"/>
    <n v="134.86000000000001"/>
    <x v="4"/>
    <n v="16"/>
    <n v="-69.139999999999901"/>
    <x v="2"/>
  </r>
  <r>
    <s v="TRX-102229"/>
    <x v="484"/>
    <x v="4"/>
    <x v="3"/>
    <x v="2"/>
    <n v="202"/>
    <n v="279.13"/>
    <x v="4"/>
    <n v="12"/>
    <n v="77.13"/>
    <x v="4"/>
  </r>
  <r>
    <s v="TRX-102230"/>
    <x v="179"/>
    <x v="4"/>
    <x v="2"/>
    <x v="0"/>
    <n v="203"/>
    <n v="143.72999999999999"/>
    <x v="4"/>
    <n v="53"/>
    <n v="-59.27"/>
    <x v="7"/>
  </r>
  <r>
    <s v="TRX-102231"/>
    <x v="48"/>
    <x v="2"/>
    <x v="2"/>
    <x v="2"/>
    <n v="214"/>
    <n v="282.24"/>
    <x v="2"/>
    <n v="53"/>
    <n v="68.239999999999995"/>
    <x v="9"/>
  </r>
  <r>
    <s v="TRX-102232"/>
    <x v="333"/>
    <x v="3"/>
    <x v="3"/>
    <x v="2"/>
    <n v="138"/>
    <n v="138.44"/>
    <x v="1"/>
    <n v="3"/>
    <n v="0.439999999999997"/>
    <x v="10"/>
  </r>
  <r>
    <s v="TRX-102233"/>
    <x v="896"/>
    <x v="2"/>
    <x v="2"/>
    <x v="2"/>
    <n v="217"/>
    <n v="256.75"/>
    <x v="4"/>
    <n v="54"/>
    <n v="39.75"/>
    <x v="8"/>
  </r>
  <r>
    <s v="TRX-102234"/>
    <x v="521"/>
    <x v="3"/>
    <x v="0"/>
    <x v="1"/>
    <n v="126"/>
    <n v="412.88"/>
    <x v="4"/>
    <n v="29"/>
    <n v="286.88"/>
    <x v="9"/>
  </r>
  <r>
    <s v="TRX-102235"/>
    <x v="552"/>
    <x v="3"/>
    <x v="8"/>
    <x v="1"/>
    <n v="140"/>
    <n v="253.3"/>
    <x v="0"/>
    <n v="2"/>
    <n v="113.3"/>
    <x v="11"/>
  </r>
  <r>
    <s v="TRX-102236"/>
    <x v="247"/>
    <x v="4"/>
    <x v="3"/>
    <x v="0"/>
    <n v="202"/>
    <n v="117.82"/>
    <x v="2"/>
    <n v="56"/>
    <n v="-84.18"/>
    <x v="6"/>
  </r>
  <r>
    <s v="TRX-102237"/>
    <x v="58"/>
    <x v="4"/>
    <x v="6"/>
    <x v="2"/>
    <n v="204"/>
    <n v="201.36"/>
    <x v="4"/>
    <n v="41"/>
    <n v="-2.6399999999999801"/>
    <x v="4"/>
  </r>
  <r>
    <s v="TRX-102238"/>
    <x v="28"/>
    <x v="4"/>
    <x v="0"/>
    <x v="0"/>
    <n v="204"/>
    <n v="130.76"/>
    <x v="4"/>
    <n v="26"/>
    <n v="-73.239999999999995"/>
    <x v="4"/>
  </r>
  <r>
    <s v="TRX-102239"/>
    <x v="620"/>
    <x v="4"/>
    <x v="2"/>
    <x v="1"/>
    <n v="204"/>
    <n v="548.09"/>
    <x v="0"/>
    <n v="14"/>
    <n v="344.09"/>
    <x v="9"/>
  </r>
  <r>
    <s v="TRX-102240"/>
    <x v="875"/>
    <x v="4"/>
    <x v="6"/>
    <x v="2"/>
    <n v="200"/>
    <n v="224.05"/>
    <x v="2"/>
    <n v="46"/>
    <n v="24.05"/>
    <x v="8"/>
  </r>
  <r>
    <s v="TRX-102241"/>
    <x v="897"/>
    <x v="4"/>
    <x v="4"/>
    <x v="0"/>
    <n v="201"/>
    <n v="112.21"/>
    <x v="0"/>
    <n v="8"/>
    <n v="-88.79"/>
    <x v="7"/>
  </r>
  <r>
    <s v="TRX-102242"/>
    <x v="248"/>
    <x v="0"/>
    <x v="4"/>
    <x v="0"/>
    <n v="230"/>
    <n v="151.34"/>
    <x v="4"/>
    <n v="43"/>
    <n v="-78.66"/>
    <x v="2"/>
  </r>
  <r>
    <s v="TRX-102243"/>
    <x v="38"/>
    <x v="1"/>
    <x v="7"/>
    <x v="1"/>
    <n v="183"/>
    <n v="434.78"/>
    <x v="4"/>
    <n v="8"/>
    <n v="251.77999999999901"/>
    <x v="5"/>
  </r>
  <r>
    <s v="TRX-102244"/>
    <x v="432"/>
    <x v="4"/>
    <x v="4"/>
    <x v="1"/>
    <n v="206"/>
    <n v="698.83"/>
    <x v="3"/>
    <n v="8"/>
    <n v="492.83"/>
    <x v="5"/>
  </r>
  <r>
    <s v="TRX-102245"/>
    <x v="848"/>
    <x v="2"/>
    <x v="2"/>
    <x v="0"/>
    <n v="223"/>
    <n v="121.47"/>
    <x v="2"/>
    <n v="25"/>
    <n v="-101.53"/>
    <x v="1"/>
  </r>
  <r>
    <s v="TRX-102246"/>
    <x v="864"/>
    <x v="0"/>
    <x v="2"/>
    <x v="1"/>
    <n v="228"/>
    <n v="675.13"/>
    <x v="0"/>
    <n v="8"/>
    <n v="447.13"/>
    <x v="11"/>
  </r>
  <r>
    <s v="TRX-102247"/>
    <x v="179"/>
    <x v="4"/>
    <x v="0"/>
    <x v="2"/>
    <n v="208"/>
    <n v="264.70999999999998"/>
    <x v="1"/>
    <n v="1"/>
    <n v="56.709999999999901"/>
    <x v="7"/>
  </r>
  <r>
    <s v="TRX-102248"/>
    <x v="479"/>
    <x v="1"/>
    <x v="1"/>
    <x v="0"/>
    <n v="173"/>
    <n v="109.74"/>
    <x v="0"/>
    <n v="9"/>
    <n v="-63.26"/>
    <x v="4"/>
  </r>
  <r>
    <s v="TRX-102249"/>
    <x v="898"/>
    <x v="4"/>
    <x v="0"/>
    <x v="1"/>
    <n v="210"/>
    <n v="279.7"/>
    <x v="3"/>
    <n v="26"/>
    <n v="69.699999999999903"/>
    <x v="10"/>
  </r>
  <r>
    <s v="TRX-102250"/>
    <x v="744"/>
    <x v="1"/>
    <x v="1"/>
    <x v="1"/>
    <n v="172"/>
    <n v="550.82000000000005"/>
    <x v="1"/>
    <n v="3"/>
    <n v="378.82"/>
    <x v="4"/>
  </r>
  <r>
    <s v="TRX-102251"/>
    <x v="413"/>
    <x v="0"/>
    <x v="1"/>
    <x v="1"/>
    <n v="228"/>
    <n v="715.66"/>
    <x v="3"/>
    <n v="40"/>
    <n v="487.659999999999"/>
    <x v="0"/>
  </r>
  <r>
    <s v="TRX-102252"/>
    <x v="478"/>
    <x v="4"/>
    <x v="8"/>
    <x v="0"/>
    <n v="200"/>
    <n v="116.63"/>
    <x v="3"/>
    <n v="7"/>
    <n v="-83.37"/>
    <x v="11"/>
  </r>
  <r>
    <s v="TRX-102253"/>
    <x v="243"/>
    <x v="3"/>
    <x v="5"/>
    <x v="1"/>
    <n v="127"/>
    <n v="254.14"/>
    <x v="1"/>
    <n v="6"/>
    <n v="127.13999999999901"/>
    <x v="8"/>
  </r>
  <r>
    <s v="TRX-102254"/>
    <x v="592"/>
    <x v="3"/>
    <x v="4"/>
    <x v="1"/>
    <n v="116"/>
    <n v="376.92"/>
    <x v="4"/>
    <n v="37"/>
    <n v="260.92"/>
    <x v="10"/>
  </r>
  <r>
    <s v="TRX-102255"/>
    <x v="60"/>
    <x v="0"/>
    <x v="3"/>
    <x v="0"/>
    <n v="227"/>
    <n v="188.87"/>
    <x v="3"/>
    <n v="13"/>
    <n v="-38.129999999999903"/>
    <x v="11"/>
  </r>
  <r>
    <s v="TRX-102256"/>
    <x v="860"/>
    <x v="3"/>
    <x v="8"/>
    <x v="1"/>
    <n v="117"/>
    <n v="286.25"/>
    <x v="0"/>
    <n v="9"/>
    <n v="169.25"/>
    <x v="5"/>
  </r>
  <r>
    <s v="TRX-102257"/>
    <x v="899"/>
    <x v="3"/>
    <x v="4"/>
    <x v="2"/>
    <n v="112"/>
    <n v="133.4"/>
    <x v="0"/>
    <n v="13"/>
    <n v="21.4"/>
    <x v="8"/>
  </r>
  <r>
    <s v="TRX-102258"/>
    <x v="900"/>
    <x v="0"/>
    <x v="7"/>
    <x v="2"/>
    <n v="226"/>
    <n v="216.58"/>
    <x v="2"/>
    <n v="50"/>
    <n v="-9.4199999999999804"/>
    <x v="7"/>
  </r>
  <r>
    <s v="TRX-102259"/>
    <x v="55"/>
    <x v="2"/>
    <x v="1"/>
    <x v="1"/>
    <n v="216"/>
    <n v="467.89"/>
    <x v="0"/>
    <n v="13"/>
    <n v="251.89"/>
    <x v="0"/>
  </r>
  <r>
    <s v="TRX-102260"/>
    <x v="901"/>
    <x v="1"/>
    <x v="2"/>
    <x v="1"/>
    <n v="179"/>
    <n v="502.9"/>
    <x v="0"/>
    <n v="11"/>
    <n v="323.89999999999998"/>
    <x v="4"/>
  </r>
  <r>
    <s v="TRX-102261"/>
    <x v="60"/>
    <x v="3"/>
    <x v="6"/>
    <x v="1"/>
    <n v="126"/>
    <n v="343.48"/>
    <x v="3"/>
    <n v="41"/>
    <n v="217.48"/>
    <x v="11"/>
  </r>
  <r>
    <s v="TRX-102262"/>
    <x v="751"/>
    <x v="1"/>
    <x v="7"/>
    <x v="2"/>
    <n v="184"/>
    <n v="176.35"/>
    <x v="3"/>
    <n v="5"/>
    <n v="-7.65"/>
    <x v="6"/>
  </r>
  <r>
    <s v="TRX-102263"/>
    <x v="548"/>
    <x v="4"/>
    <x v="1"/>
    <x v="1"/>
    <n v="203"/>
    <n v="282.42"/>
    <x v="2"/>
    <n v="19"/>
    <n v="79.42"/>
    <x v="9"/>
  </r>
  <r>
    <s v="TRX-102264"/>
    <x v="329"/>
    <x v="1"/>
    <x v="4"/>
    <x v="2"/>
    <n v="170"/>
    <n v="153.03"/>
    <x v="4"/>
    <n v="22"/>
    <n v="-16.97"/>
    <x v="5"/>
  </r>
  <r>
    <s v="TRX-102265"/>
    <x v="761"/>
    <x v="0"/>
    <x v="7"/>
    <x v="1"/>
    <n v="229"/>
    <n v="359.54"/>
    <x v="2"/>
    <n v="21"/>
    <n v="130.54"/>
    <x v="3"/>
  </r>
  <r>
    <s v="TRX-102266"/>
    <x v="493"/>
    <x v="4"/>
    <x v="4"/>
    <x v="2"/>
    <n v="202"/>
    <n v="276.51"/>
    <x v="3"/>
    <n v="24"/>
    <n v="74.509999999999906"/>
    <x v="9"/>
  </r>
  <r>
    <s v="TRX-102267"/>
    <x v="722"/>
    <x v="4"/>
    <x v="2"/>
    <x v="2"/>
    <n v="205"/>
    <n v="259.35000000000002"/>
    <x v="2"/>
    <n v="11"/>
    <n v="54.35"/>
    <x v="0"/>
  </r>
  <r>
    <s v="TRX-102268"/>
    <x v="625"/>
    <x v="0"/>
    <x v="4"/>
    <x v="0"/>
    <n v="230"/>
    <n v="162.11000000000001"/>
    <x v="0"/>
    <n v="3"/>
    <n v="-67.889999999999901"/>
    <x v="2"/>
  </r>
  <r>
    <s v="TRX-102269"/>
    <x v="37"/>
    <x v="2"/>
    <x v="3"/>
    <x v="2"/>
    <n v="224"/>
    <n v="305.99"/>
    <x v="4"/>
    <n v="18"/>
    <n v="81.99"/>
    <x v="6"/>
  </r>
  <r>
    <s v="TRX-102270"/>
    <x v="360"/>
    <x v="0"/>
    <x v="1"/>
    <x v="0"/>
    <n v="229"/>
    <n v="125.16"/>
    <x v="4"/>
    <n v="60"/>
    <n v="-103.84"/>
    <x v="1"/>
  </r>
  <r>
    <s v="TRX-102271"/>
    <x v="902"/>
    <x v="4"/>
    <x v="6"/>
    <x v="2"/>
    <n v="206"/>
    <n v="274.45"/>
    <x v="1"/>
    <n v="9"/>
    <n v="68.449999999999903"/>
    <x v="9"/>
  </r>
  <r>
    <s v="TRX-102272"/>
    <x v="462"/>
    <x v="3"/>
    <x v="2"/>
    <x v="0"/>
    <n v="136"/>
    <n v="107.66"/>
    <x v="1"/>
    <n v="11"/>
    <n v="-28.34"/>
    <x v="11"/>
  </r>
  <r>
    <s v="TRX-102273"/>
    <x v="903"/>
    <x v="0"/>
    <x v="7"/>
    <x v="2"/>
    <n v="226"/>
    <n v="295.58999999999997"/>
    <x v="0"/>
    <n v="9"/>
    <n v="69.589999999999904"/>
    <x v="4"/>
  </r>
  <r>
    <s v="TRX-102274"/>
    <x v="175"/>
    <x v="2"/>
    <x v="1"/>
    <x v="2"/>
    <n v="225"/>
    <n v="246.04"/>
    <x v="3"/>
    <n v="11"/>
    <n v="21.0399999999999"/>
    <x v="10"/>
  </r>
  <r>
    <s v="TRX-102275"/>
    <x v="170"/>
    <x v="0"/>
    <x v="1"/>
    <x v="2"/>
    <n v="227"/>
    <n v="261.23"/>
    <x v="0"/>
    <n v="1"/>
    <n v="34.229999999999997"/>
    <x v="3"/>
  </r>
  <r>
    <s v="TRX-102276"/>
    <x v="242"/>
    <x v="0"/>
    <x v="6"/>
    <x v="1"/>
    <n v="229"/>
    <n v="478.85"/>
    <x v="1"/>
    <n v="14"/>
    <n v="249.85"/>
    <x v="9"/>
  </r>
  <r>
    <s v="TRX-102277"/>
    <x v="554"/>
    <x v="0"/>
    <x v="4"/>
    <x v="1"/>
    <n v="227"/>
    <n v="672.19"/>
    <x v="0"/>
    <n v="7"/>
    <n v="445.19"/>
    <x v="6"/>
  </r>
  <r>
    <s v="TRX-102278"/>
    <x v="766"/>
    <x v="0"/>
    <x v="1"/>
    <x v="2"/>
    <n v="225"/>
    <n v="293.39"/>
    <x v="3"/>
    <n v="16"/>
    <n v="68.389999999999901"/>
    <x v="5"/>
  </r>
  <r>
    <s v="TRX-102279"/>
    <x v="269"/>
    <x v="0"/>
    <x v="1"/>
    <x v="0"/>
    <n v="225"/>
    <n v="141.99"/>
    <x v="3"/>
    <n v="6"/>
    <n v="-83.009999999999906"/>
    <x v="6"/>
  </r>
  <r>
    <s v="TRX-102280"/>
    <x v="591"/>
    <x v="2"/>
    <x v="7"/>
    <x v="2"/>
    <n v="220"/>
    <n v="200.15"/>
    <x v="1"/>
    <n v="11"/>
    <n v="-19.849999999999898"/>
    <x v="9"/>
  </r>
  <r>
    <s v="TRX-102281"/>
    <x v="670"/>
    <x v="2"/>
    <x v="6"/>
    <x v="1"/>
    <n v="225"/>
    <n v="653.07000000000005"/>
    <x v="3"/>
    <n v="29"/>
    <n v="428.07"/>
    <x v="9"/>
  </r>
  <r>
    <s v="TRX-102282"/>
    <x v="495"/>
    <x v="2"/>
    <x v="4"/>
    <x v="0"/>
    <n v="218"/>
    <n v="162.77000000000001"/>
    <x v="4"/>
    <n v="29"/>
    <n v="-55.229999999999897"/>
    <x v="10"/>
  </r>
  <r>
    <s v="TRX-102283"/>
    <x v="169"/>
    <x v="1"/>
    <x v="7"/>
    <x v="1"/>
    <n v="177"/>
    <n v="495.71"/>
    <x v="4"/>
    <n v="53"/>
    <n v="318.70999999999998"/>
    <x v="4"/>
  </r>
  <r>
    <s v="TRX-102284"/>
    <x v="717"/>
    <x v="0"/>
    <x v="7"/>
    <x v="1"/>
    <n v="229"/>
    <n v="316.60000000000002"/>
    <x v="4"/>
    <n v="43"/>
    <n v="87.6"/>
    <x v="11"/>
  </r>
  <r>
    <s v="TRX-102285"/>
    <x v="367"/>
    <x v="0"/>
    <x v="6"/>
    <x v="2"/>
    <n v="225"/>
    <n v="302.95999999999998"/>
    <x v="1"/>
    <n v="9"/>
    <n v="77.959999999999894"/>
    <x v="8"/>
  </r>
  <r>
    <s v="TRX-102286"/>
    <x v="506"/>
    <x v="0"/>
    <x v="7"/>
    <x v="0"/>
    <n v="228"/>
    <n v="150.13"/>
    <x v="1"/>
    <n v="11"/>
    <n v="-77.87"/>
    <x v="1"/>
  </r>
  <r>
    <s v="TRX-102287"/>
    <x v="527"/>
    <x v="1"/>
    <x v="1"/>
    <x v="0"/>
    <n v="176"/>
    <n v="121.61"/>
    <x v="1"/>
    <n v="3"/>
    <n v="-54.39"/>
    <x v="4"/>
  </r>
  <r>
    <s v="TRX-102288"/>
    <x v="290"/>
    <x v="4"/>
    <x v="8"/>
    <x v="0"/>
    <n v="208"/>
    <n v="113.16"/>
    <x v="1"/>
    <n v="4"/>
    <n v="-94.84"/>
    <x v="7"/>
  </r>
  <r>
    <s v="TRX-102289"/>
    <x v="25"/>
    <x v="4"/>
    <x v="6"/>
    <x v="2"/>
    <n v="207"/>
    <n v="215.14"/>
    <x v="4"/>
    <n v="23"/>
    <n v="8.1399999999999793"/>
    <x v="11"/>
  </r>
  <r>
    <s v="TRX-102290"/>
    <x v="638"/>
    <x v="3"/>
    <x v="2"/>
    <x v="0"/>
    <n v="115"/>
    <n v="65.16"/>
    <x v="1"/>
    <n v="8"/>
    <n v="-49.84"/>
    <x v="3"/>
  </r>
  <r>
    <s v="TRX-102291"/>
    <x v="762"/>
    <x v="1"/>
    <x v="8"/>
    <x v="1"/>
    <n v="184"/>
    <n v="412.71"/>
    <x v="0"/>
    <n v="7"/>
    <n v="228.70999999999901"/>
    <x v="4"/>
  </r>
  <r>
    <s v="TRX-102292"/>
    <x v="227"/>
    <x v="4"/>
    <x v="4"/>
    <x v="0"/>
    <n v="209"/>
    <n v="180.41"/>
    <x v="3"/>
    <n v="26"/>
    <n v="-28.59"/>
    <x v="6"/>
  </r>
  <r>
    <s v="TRX-102293"/>
    <x v="687"/>
    <x v="0"/>
    <x v="8"/>
    <x v="1"/>
    <n v="226"/>
    <n v="377.38"/>
    <x v="3"/>
    <n v="47"/>
    <n v="151.38"/>
    <x v="3"/>
  </r>
  <r>
    <s v="TRX-102294"/>
    <x v="904"/>
    <x v="1"/>
    <x v="4"/>
    <x v="0"/>
    <n v="188"/>
    <n v="154.41"/>
    <x v="4"/>
    <n v="12"/>
    <n v="-33.590000000000003"/>
    <x v="10"/>
  </r>
  <r>
    <s v="TRX-102295"/>
    <x v="728"/>
    <x v="1"/>
    <x v="4"/>
    <x v="2"/>
    <n v="173"/>
    <n v="156.63"/>
    <x v="1"/>
    <n v="4"/>
    <n v="-16.37"/>
    <x v="2"/>
  </r>
  <r>
    <s v="TRX-102296"/>
    <x v="905"/>
    <x v="3"/>
    <x v="6"/>
    <x v="2"/>
    <n v="139"/>
    <n v="198.21"/>
    <x v="1"/>
    <n v="10"/>
    <n v="59.21"/>
    <x v="8"/>
  </r>
  <r>
    <s v="TRX-102297"/>
    <x v="906"/>
    <x v="4"/>
    <x v="0"/>
    <x v="0"/>
    <n v="203"/>
    <n v="141.63"/>
    <x v="0"/>
    <n v="2"/>
    <n v="-61.37"/>
    <x v="10"/>
  </r>
  <r>
    <s v="TRX-102298"/>
    <x v="799"/>
    <x v="0"/>
    <x v="3"/>
    <x v="0"/>
    <n v="225"/>
    <n v="126.86"/>
    <x v="0"/>
    <n v="9"/>
    <n v="-98.14"/>
    <x v="8"/>
  </r>
  <r>
    <s v="TRX-102299"/>
    <x v="1"/>
    <x v="4"/>
    <x v="5"/>
    <x v="1"/>
    <n v="207"/>
    <n v="248.66"/>
    <x v="0"/>
    <n v="6"/>
    <n v="41.66"/>
    <x v="0"/>
  </r>
  <r>
    <s v="TRX-102300"/>
    <x v="295"/>
    <x v="3"/>
    <x v="5"/>
    <x v="2"/>
    <n v="135"/>
    <n v="161.19"/>
    <x v="0"/>
    <n v="9"/>
    <n v="26.189999999999898"/>
    <x v="5"/>
  </r>
  <r>
    <s v="TRX-102301"/>
    <x v="697"/>
    <x v="0"/>
    <x v="5"/>
    <x v="2"/>
    <n v="229"/>
    <n v="310.82"/>
    <x v="1"/>
    <n v="4"/>
    <n v="81.819999999999993"/>
    <x v="1"/>
  </r>
  <r>
    <s v="TRX-102302"/>
    <x v="144"/>
    <x v="1"/>
    <x v="7"/>
    <x v="0"/>
    <n v="189"/>
    <n v="121.2"/>
    <x v="0"/>
    <n v="14"/>
    <n v="-67.8"/>
    <x v="4"/>
  </r>
  <r>
    <s v="TRX-102303"/>
    <x v="870"/>
    <x v="2"/>
    <x v="4"/>
    <x v="0"/>
    <n v="212"/>
    <n v="167.2"/>
    <x v="1"/>
    <n v="7"/>
    <n v="-44.8"/>
    <x v="5"/>
  </r>
  <r>
    <s v="TRX-102304"/>
    <x v="285"/>
    <x v="1"/>
    <x v="4"/>
    <x v="2"/>
    <n v="180"/>
    <n v="171.98"/>
    <x v="4"/>
    <n v="19"/>
    <n v="-8.0200000000000102"/>
    <x v="6"/>
  </r>
  <r>
    <s v="TRX-102305"/>
    <x v="67"/>
    <x v="3"/>
    <x v="3"/>
    <x v="0"/>
    <n v="114"/>
    <n v="66.56"/>
    <x v="1"/>
    <n v="12"/>
    <n v="-47.44"/>
    <x v="10"/>
  </r>
  <r>
    <s v="TRX-102306"/>
    <x v="21"/>
    <x v="4"/>
    <x v="0"/>
    <x v="0"/>
    <n v="204"/>
    <n v="143.36000000000001"/>
    <x v="0"/>
    <n v="2"/>
    <n v="-60.639999999999901"/>
    <x v="4"/>
  </r>
  <r>
    <s v="TRX-102307"/>
    <x v="907"/>
    <x v="0"/>
    <x v="4"/>
    <x v="0"/>
    <n v="228"/>
    <n v="121.11"/>
    <x v="1"/>
    <n v="5"/>
    <n v="-106.89"/>
    <x v="4"/>
  </r>
  <r>
    <s v="TRX-102308"/>
    <x v="438"/>
    <x v="4"/>
    <x v="6"/>
    <x v="0"/>
    <n v="202"/>
    <n v="154.25"/>
    <x v="1"/>
    <n v="5"/>
    <n v="-47.75"/>
    <x v="11"/>
  </r>
  <r>
    <s v="TRX-102309"/>
    <x v="7"/>
    <x v="4"/>
    <x v="3"/>
    <x v="2"/>
    <n v="200"/>
    <n v="274.42"/>
    <x v="2"/>
    <n v="6"/>
    <n v="74.42"/>
    <x v="3"/>
  </r>
  <r>
    <s v="TRX-102310"/>
    <x v="299"/>
    <x v="1"/>
    <x v="6"/>
    <x v="2"/>
    <n v="170"/>
    <n v="208.77"/>
    <x v="3"/>
    <n v="34"/>
    <n v="38.770000000000003"/>
    <x v="0"/>
  </r>
  <r>
    <s v="TRX-102311"/>
    <x v="377"/>
    <x v="4"/>
    <x v="0"/>
    <x v="1"/>
    <n v="203"/>
    <n v="533.51"/>
    <x v="1"/>
    <n v="6"/>
    <n v="330.51"/>
    <x v="11"/>
  </r>
  <r>
    <s v="TRX-102312"/>
    <x v="125"/>
    <x v="0"/>
    <x v="8"/>
    <x v="2"/>
    <n v="225"/>
    <n v="282.27999999999997"/>
    <x v="1"/>
    <n v="13"/>
    <n v="57.279999999999902"/>
    <x v="4"/>
  </r>
  <r>
    <s v="TRX-102313"/>
    <x v="401"/>
    <x v="4"/>
    <x v="8"/>
    <x v="1"/>
    <n v="200"/>
    <n v="480.85"/>
    <x v="3"/>
    <n v="40"/>
    <n v="280.85000000000002"/>
    <x v="6"/>
  </r>
  <r>
    <s v="TRX-102314"/>
    <x v="340"/>
    <x v="1"/>
    <x v="8"/>
    <x v="1"/>
    <n v="170"/>
    <n v="317.12"/>
    <x v="0"/>
    <n v="11"/>
    <n v="147.12"/>
    <x v="11"/>
  </r>
  <r>
    <s v="TRX-102315"/>
    <x v="732"/>
    <x v="0"/>
    <x v="4"/>
    <x v="1"/>
    <n v="229"/>
    <n v="537.87"/>
    <x v="4"/>
    <n v="40"/>
    <n v="308.87"/>
    <x v="10"/>
  </r>
  <r>
    <s v="TRX-102316"/>
    <x v="711"/>
    <x v="1"/>
    <x v="7"/>
    <x v="2"/>
    <n v="185"/>
    <n v="275.19"/>
    <x v="0"/>
    <n v="7"/>
    <n v="90.19"/>
    <x v="0"/>
  </r>
  <r>
    <s v="TRX-102317"/>
    <x v="306"/>
    <x v="0"/>
    <x v="4"/>
    <x v="0"/>
    <n v="226"/>
    <n v="147.86000000000001"/>
    <x v="3"/>
    <n v="35"/>
    <n v="-78.139999999999901"/>
    <x v="7"/>
  </r>
  <r>
    <s v="TRX-102318"/>
    <x v="185"/>
    <x v="4"/>
    <x v="0"/>
    <x v="2"/>
    <n v="206"/>
    <n v="226.41"/>
    <x v="1"/>
    <n v="9"/>
    <n v="20.409999999999901"/>
    <x v="6"/>
  </r>
  <r>
    <s v="TRX-102319"/>
    <x v="787"/>
    <x v="3"/>
    <x v="8"/>
    <x v="1"/>
    <n v="121"/>
    <n v="241.57"/>
    <x v="0"/>
    <n v="6"/>
    <n v="120.57"/>
    <x v="2"/>
  </r>
  <r>
    <s v="TRX-102320"/>
    <x v="604"/>
    <x v="2"/>
    <x v="0"/>
    <x v="1"/>
    <n v="219"/>
    <n v="496.66"/>
    <x v="1"/>
    <n v="8"/>
    <n v="277.66000000000003"/>
    <x v="10"/>
  </r>
  <r>
    <s v="TRX-102321"/>
    <x v="277"/>
    <x v="4"/>
    <x v="2"/>
    <x v="0"/>
    <n v="205"/>
    <n v="104.16"/>
    <x v="1"/>
    <n v="5"/>
    <n v="-100.84"/>
    <x v="9"/>
  </r>
  <r>
    <s v="TRX-102322"/>
    <x v="908"/>
    <x v="0"/>
    <x v="5"/>
    <x v="0"/>
    <n v="227"/>
    <n v="148.57"/>
    <x v="4"/>
    <n v="44"/>
    <n v="-78.430000000000007"/>
    <x v="5"/>
  </r>
  <r>
    <s v="TRX-102323"/>
    <x v="55"/>
    <x v="0"/>
    <x v="1"/>
    <x v="0"/>
    <n v="229"/>
    <n v="149.01"/>
    <x v="0"/>
    <n v="5"/>
    <n v="-79.989999999999995"/>
    <x v="0"/>
  </r>
  <r>
    <s v="TRX-102324"/>
    <x v="225"/>
    <x v="2"/>
    <x v="3"/>
    <x v="0"/>
    <n v="215"/>
    <n v="111.87"/>
    <x v="3"/>
    <n v="10"/>
    <n v="-103.13"/>
    <x v="10"/>
  </r>
  <r>
    <s v="TRX-102325"/>
    <x v="909"/>
    <x v="2"/>
    <x v="3"/>
    <x v="0"/>
    <n v="217"/>
    <n v="151.85"/>
    <x v="4"/>
    <n v="36"/>
    <n v="-65.150000000000006"/>
    <x v="8"/>
  </r>
  <r>
    <s v="TRX-102326"/>
    <x v="76"/>
    <x v="4"/>
    <x v="5"/>
    <x v="2"/>
    <n v="209"/>
    <n v="253.8"/>
    <x v="1"/>
    <n v="14"/>
    <n v="44.8"/>
    <x v="10"/>
  </r>
  <r>
    <s v="TRX-102327"/>
    <x v="610"/>
    <x v="1"/>
    <x v="4"/>
    <x v="1"/>
    <n v="174"/>
    <n v="367.64"/>
    <x v="1"/>
    <n v="10"/>
    <n v="193.64"/>
    <x v="5"/>
  </r>
  <r>
    <s v="TRX-102328"/>
    <x v="759"/>
    <x v="4"/>
    <x v="0"/>
    <x v="2"/>
    <n v="207"/>
    <n v="281.93"/>
    <x v="0"/>
    <n v="6"/>
    <n v="74.930000000000007"/>
    <x v="7"/>
  </r>
  <r>
    <s v="TRX-102329"/>
    <x v="742"/>
    <x v="1"/>
    <x v="3"/>
    <x v="2"/>
    <n v="186"/>
    <n v="179.52"/>
    <x v="0"/>
    <n v="3"/>
    <n v="-6.4799999999999898"/>
    <x v="1"/>
  </r>
  <r>
    <s v="TRX-102330"/>
    <x v="810"/>
    <x v="3"/>
    <x v="4"/>
    <x v="2"/>
    <n v="131"/>
    <n v="123.01"/>
    <x v="3"/>
    <n v="47"/>
    <n v="-7.9899999999999904"/>
    <x v="6"/>
  </r>
  <r>
    <s v="TRX-102331"/>
    <x v="888"/>
    <x v="1"/>
    <x v="3"/>
    <x v="0"/>
    <n v="171"/>
    <n v="91.44"/>
    <x v="0"/>
    <n v="3"/>
    <n v="-79.56"/>
    <x v="5"/>
  </r>
  <r>
    <s v="TRX-102332"/>
    <x v="755"/>
    <x v="0"/>
    <x v="0"/>
    <x v="1"/>
    <n v="228"/>
    <n v="748.96"/>
    <x v="0"/>
    <n v="6"/>
    <n v="520.96"/>
    <x v="9"/>
  </r>
  <r>
    <s v="TRX-102333"/>
    <x v="910"/>
    <x v="3"/>
    <x v="5"/>
    <x v="1"/>
    <n v="112"/>
    <n v="180.84"/>
    <x v="0"/>
    <n v="9"/>
    <n v="68.84"/>
    <x v="4"/>
  </r>
  <r>
    <s v="TRX-102334"/>
    <x v="680"/>
    <x v="3"/>
    <x v="1"/>
    <x v="1"/>
    <n v="117"/>
    <n v="225.91"/>
    <x v="3"/>
    <n v="55"/>
    <n v="108.91"/>
    <x v="4"/>
  </r>
  <r>
    <s v="TRX-102335"/>
    <x v="204"/>
    <x v="0"/>
    <x v="4"/>
    <x v="0"/>
    <n v="229"/>
    <n v="129.5"/>
    <x v="2"/>
    <n v="58"/>
    <n v="-99.5"/>
    <x v="4"/>
  </r>
  <r>
    <s v="TRX-102336"/>
    <x v="103"/>
    <x v="3"/>
    <x v="8"/>
    <x v="1"/>
    <n v="125"/>
    <n v="412.12"/>
    <x v="1"/>
    <n v="8"/>
    <n v="287.12"/>
    <x v="3"/>
  </r>
  <r>
    <s v="TRX-102337"/>
    <x v="404"/>
    <x v="3"/>
    <x v="0"/>
    <x v="1"/>
    <n v="116"/>
    <n v="367.32"/>
    <x v="3"/>
    <n v="11"/>
    <n v="251.32"/>
    <x v="7"/>
  </r>
  <r>
    <s v="TRX-102338"/>
    <x v="270"/>
    <x v="4"/>
    <x v="0"/>
    <x v="0"/>
    <n v="205"/>
    <n v="123.82"/>
    <x v="1"/>
    <n v="13"/>
    <n v="-81.180000000000007"/>
    <x v="5"/>
  </r>
  <r>
    <s v="TRX-102339"/>
    <x v="434"/>
    <x v="0"/>
    <x v="6"/>
    <x v="0"/>
    <n v="226"/>
    <n v="131.07"/>
    <x v="0"/>
    <n v="14"/>
    <n v="-94.93"/>
    <x v="4"/>
  </r>
  <r>
    <s v="TRX-102340"/>
    <x v="911"/>
    <x v="3"/>
    <x v="0"/>
    <x v="2"/>
    <n v="118"/>
    <n v="120.17"/>
    <x v="0"/>
    <n v="5"/>
    <n v="2.17"/>
    <x v="0"/>
  </r>
  <r>
    <s v="TRX-102341"/>
    <x v="500"/>
    <x v="3"/>
    <x v="3"/>
    <x v="1"/>
    <n v="119"/>
    <n v="205.94"/>
    <x v="4"/>
    <n v="51"/>
    <n v="86.94"/>
    <x v="2"/>
  </r>
  <r>
    <s v="TRX-102342"/>
    <x v="593"/>
    <x v="1"/>
    <x v="8"/>
    <x v="0"/>
    <n v="170"/>
    <n v="93.91"/>
    <x v="3"/>
    <n v="33"/>
    <n v="-76.09"/>
    <x v="4"/>
  </r>
  <r>
    <s v="TRX-102343"/>
    <x v="689"/>
    <x v="4"/>
    <x v="7"/>
    <x v="1"/>
    <n v="203"/>
    <n v="710.17"/>
    <x v="4"/>
    <n v="48"/>
    <n v="507.16999999999899"/>
    <x v="10"/>
  </r>
  <r>
    <s v="TRX-102344"/>
    <x v="136"/>
    <x v="2"/>
    <x v="7"/>
    <x v="0"/>
    <n v="224"/>
    <n v="170.59"/>
    <x v="1"/>
    <n v="4"/>
    <n v="-53.41"/>
    <x v="6"/>
  </r>
  <r>
    <s v="TRX-102345"/>
    <x v="883"/>
    <x v="2"/>
    <x v="1"/>
    <x v="0"/>
    <n v="211"/>
    <n v="137.94999999999999"/>
    <x v="3"/>
    <n v="8"/>
    <n v="-73.05"/>
    <x v="9"/>
  </r>
  <r>
    <s v="TRX-102346"/>
    <x v="380"/>
    <x v="3"/>
    <x v="1"/>
    <x v="2"/>
    <n v="129"/>
    <n v="140.6"/>
    <x v="4"/>
    <n v="8"/>
    <n v="11.5999999999999"/>
    <x v="11"/>
  </r>
  <r>
    <s v="TRX-102347"/>
    <x v="593"/>
    <x v="1"/>
    <x v="7"/>
    <x v="2"/>
    <n v="190"/>
    <n v="191.14"/>
    <x v="2"/>
    <n v="14"/>
    <n v="1.1399999999999799"/>
    <x v="4"/>
  </r>
  <r>
    <s v="TRX-102348"/>
    <x v="522"/>
    <x v="0"/>
    <x v="2"/>
    <x v="0"/>
    <n v="226"/>
    <n v="199.42"/>
    <x v="1"/>
    <n v="7"/>
    <n v="-26.58"/>
    <x v="2"/>
  </r>
  <r>
    <s v="TRX-102349"/>
    <x v="90"/>
    <x v="2"/>
    <x v="4"/>
    <x v="2"/>
    <n v="211"/>
    <n v="303.02"/>
    <x v="0"/>
    <n v="9"/>
    <n v="92.019999999999897"/>
    <x v="4"/>
  </r>
  <r>
    <s v="TRX-102350"/>
    <x v="629"/>
    <x v="2"/>
    <x v="3"/>
    <x v="0"/>
    <n v="218"/>
    <n v="125.84"/>
    <x v="0"/>
    <n v="12"/>
    <n v="-92.16"/>
    <x v="9"/>
  </r>
  <r>
    <s v="TRX-102351"/>
    <x v="186"/>
    <x v="4"/>
    <x v="0"/>
    <x v="2"/>
    <n v="207"/>
    <n v="254.66"/>
    <x v="4"/>
    <n v="27"/>
    <n v="47.66"/>
    <x v="1"/>
  </r>
  <r>
    <s v="TRX-102352"/>
    <x v="550"/>
    <x v="1"/>
    <x v="7"/>
    <x v="0"/>
    <n v="179"/>
    <n v="139.5"/>
    <x v="1"/>
    <n v="10"/>
    <n v="-39.5"/>
    <x v="2"/>
  </r>
  <r>
    <s v="TRX-102353"/>
    <x v="912"/>
    <x v="2"/>
    <x v="5"/>
    <x v="2"/>
    <n v="218"/>
    <n v="234.46"/>
    <x v="0"/>
    <n v="10"/>
    <n v="16.46"/>
    <x v="1"/>
  </r>
  <r>
    <s v="TRX-102354"/>
    <x v="368"/>
    <x v="2"/>
    <x v="4"/>
    <x v="0"/>
    <n v="210"/>
    <n v="134.32"/>
    <x v="3"/>
    <n v="8"/>
    <n v="-75.680000000000007"/>
    <x v="5"/>
  </r>
  <r>
    <s v="TRX-102355"/>
    <x v="913"/>
    <x v="1"/>
    <x v="5"/>
    <x v="2"/>
    <n v="180"/>
    <n v="259.47000000000003"/>
    <x v="4"/>
    <n v="25"/>
    <n v="79.47"/>
    <x v="8"/>
  </r>
  <r>
    <s v="TRX-102356"/>
    <x v="834"/>
    <x v="4"/>
    <x v="0"/>
    <x v="2"/>
    <n v="205"/>
    <n v="209.89"/>
    <x v="3"/>
    <n v="38"/>
    <n v="4.8899999999999801"/>
    <x v="0"/>
  </r>
  <r>
    <s v="TRX-102357"/>
    <x v="299"/>
    <x v="3"/>
    <x v="7"/>
    <x v="2"/>
    <n v="110"/>
    <n v="154.74"/>
    <x v="2"/>
    <n v="8"/>
    <n v="44.74"/>
    <x v="0"/>
  </r>
  <r>
    <s v="TRX-102358"/>
    <x v="299"/>
    <x v="3"/>
    <x v="5"/>
    <x v="0"/>
    <n v="120"/>
    <n v="92.11"/>
    <x v="4"/>
    <n v="46"/>
    <n v="-27.89"/>
    <x v="0"/>
  </r>
  <r>
    <s v="TRX-102359"/>
    <x v="55"/>
    <x v="2"/>
    <x v="4"/>
    <x v="1"/>
    <n v="217"/>
    <n v="302.33999999999997"/>
    <x v="2"/>
    <n v="50"/>
    <n v="85.339999999999904"/>
    <x v="0"/>
  </r>
  <r>
    <s v="TRX-102360"/>
    <x v="206"/>
    <x v="0"/>
    <x v="0"/>
    <x v="0"/>
    <n v="230"/>
    <n v="134.86000000000001"/>
    <x v="4"/>
    <n v="43"/>
    <n v="-95.139999999999901"/>
    <x v="0"/>
  </r>
  <r>
    <s v="TRX-102361"/>
    <x v="784"/>
    <x v="0"/>
    <x v="0"/>
    <x v="1"/>
    <n v="229"/>
    <n v="632.1"/>
    <x v="0"/>
    <n v="1"/>
    <n v="403.1"/>
    <x v="11"/>
  </r>
  <r>
    <s v="TRX-102362"/>
    <x v="914"/>
    <x v="0"/>
    <x v="1"/>
    <x v="1"/>
    <n v="229"/>
    <n v="391.65"/>
    <x v="0"/>
    <n v="1"/>
    <n v="162.64999999999901"/>
    <x v="8"/>
  </r>
  <r>
    <s v="TRX-102363"/>
    <x v="708"/>
    <x v="0"/>
    <x v="8"/>
    <x v="2"/>
    <n v="230"/>
    <n v="238.43"/>
    <x v="2"/>
    <n v="40"/>
    <n v="8.43"/>
    <x v="9"/>
  </r>
  <r>
    <s v="TRX-102364"/>
    <x v="549"/>
    <x v="0"/>
    <x v="1"/>
    <x v="0"/>
    <n v="227"/>
    <n v="148.47"/>
    <x v="3"/>
    <n v="28"/>
    <n v="-78.53"/>
    <x v="9"/>
  </r>
  <r>
    <s v="TRX-102365"/>
    <x v="419"/>
    <x v="0"/>
    <x v="6"/>
    <x v="0"/>
    <n v="226"/>
    <n v="185.11"/>
    <x v="0"/>
    <n v="9"/>
    <n v="-40.889999999999901"/>
    <x v="2"/>
  </r>
  <r>
    <s v="TRX-102366"/>
    <x v="471"/>
    <x v="0"/>
    <x v="4"/>
    <x v="2"/>
    <n v="230"/>
    <n v="237.34"/>
    <x v="4"/>
    <n v="43"/>
    <n v="7.34"/>
    <x v="10"/>
  </r>
  <r>
    <s v="TRX-102367"/>
    <x v="915"/>
    <x v="4"/>
    <x v="0"/>
    <x v="1"/>
    <n v="203"/>
    <n v="685.47"/>
    <x v="4"/>
    <n v="58"/>
    <n v="482.47"/>
    <x v="2"/>
  </r>
  <r>
    <s v="TRX-102368"/>
    <x v="94"/>
    <x v="0"/>
    <x v="8"/>
    <x v="2"/>
    <n v="229"/>
    <n v="288.72000000000003"/>
    <x v="3"/>
    <n v="48"/>
    <n v="59.72"/>
    <x v="2"/>
  </r>
  <r>
    <s v="TRX-102369"/>
    <x v="657"/>
    <x v="2"/>
    <x v="8"/>
    <x v="2"/>
    <n v="220"/>
    <n v="265.5"/>
    <x v="2"/>
    <n v="16"/>
    <n v="45.5"/>
    <x v="9"/>
  </r>
  <r>
    <s v="TRX-102370"/>
    <x v="903"/>
    <x v="0"/>
    <x v="1"/>
    <x v="1"/>
    <n v="226"/>
    <n v="759.77"/>
    <x v="0"/>
    <n v="9"/>
    <n v="533.77"/>
    <x v="4"/>
  </r>
  <r>
    <s v="TRX-102371"/>
    <x v="888"/>
    <x v="3"/>
    <x v="0"/>
    <x v="0"/>
    <n v="124"/>
    <n v="108.44"/>
    <x v="2"/>
    <n v="57"/>
    <n v="-15.56"/>
    <x v="5"/>
  </r>
  <r>
    <s v="TRX-102372"/>
    <x v="166"/>
    <x v="4"/>
    <x v="4"/>
    <x v="2"/>
    <n v="204"/>
    <n v="244.9"/>
    <x v="4"/>
    <n v="48"/>
    <n v="40.9"/>
    <x v="5"/>
  </r>
  <r>
    <s v="TRX-102373"/>
    <x v="385"/>
    <x v="3"/>
    <x v="7"/>
    <x v="2"/>
    <n v="114"/>
    <n v="114"/>
    <x v="1"/>
    <n v="14"/>
    <n v="0"/>
    <x v="4"/>
  </r>
  <r>
    <s v="TRX-102374"/>
    <x v="766"/>
    <x v="0"/>
    <x v="0"/>
    <x v="1"/>
    <n v="225"/>
    <n v="385.77"/>
    <x v="0"/>
    <n v="12"/>
    <n v="160.76999999999899"/>
    <x v="5"/>
  </r>
  <r>
    <s v="TRX-102375"/>
    <x v="899"/>
    <x v="1"/>
    <x v="3"/>
    <x v="1"/>
    <n v="182"/>
    <n v="613.53"/>
    <x v="0"/>
    <n v="7"/>
    <n v="431.53"/>
    <x v="8"/>
  </r>
  <r>
    <s v="TRX-102376"/>
    <x v="604"/>
    <x v="0"/>
    <x v="5"/>
    <x v="2"/>
    <n v="226"/>
    <n v="225.57"/>
    <x v="2"/>
    <n v="5"/>
    <n v="-0.43000000000000599"/>
    <x v="10"/>
  </r>
  <r>
    <s v="TRX-102377"/>
    <x v="916"/>
    <x v="3"/>
    <x v="5"/>
    <x v="1"/>
    <n v="110"/>
    <n v="155.08000000000001"/>
    <x v="3"/>
    <n v="48"/>
    <n v="45.08"/>
    <x v="1"/>
  </r>
  <r>
    <s v="TRX-102378"/>
    <x v="34"/>
    <x v="3"/>
    <x v="0"/>
    <x v="1"/>
    <n v="139"/>
    <n v="263.8"/>
    <x v="2"/>
    <n v="25"/>
    <n v="124.8"/>
    <x v="0"/>
  </r>
  <r>
    <s v="TRX-102379"/>
    <x v="0"/>
    <x v="1"/>
    <x v="7"/>
    <x v="2"/>
    <n v="185"/>
    <n v="223.85"/>
    <x v="4"/>
    <n v="20"/>
    <n v="38.849999999999902"/>
    <x v="0"/>
  </r>
  <r>
    <s v="TRX-102380"/>
    <x v="803"/>
    <x v="4"/>
    <x v="2"/>
    <x v="0"/>
    <n v="205"/>
    <n v="144.97"/>
    <x v="4"/>
    <n v="36"/>
    <n v="-60.03"/>
    <x v="11"/>
  </r>
  <r>
    <s v="TRX-102381"/>
    <x v="347"/>
    <x v="4"/>
    <x v="6"/>
    <x v="1"/>
    <n v="200"/>
    <n v="345.43"/>
    <x v="4"/>
    <n v="55"/>
    <n v="145.43"/>
    <x v="11"/>
  </r>
  <r>
    <s v="TRX-102382"/>
    <x v="116"/>
    <x v="2"/>
    <x v="4"/>
    <x v="1"/>
    <n v="218"/>
    <n v="604.37"/>
    <x v="1"/>
    <n v="6"/>
    <n v="386.37"/>
    <x v="8"/>
  </r>
  <r>
    <s v="TRX-102383"/>
    <x v="917"/>
    <x v="0"/>
    <x v="3"/>
    <x v="1"/>
    <n v="227"/>
    <n v="560.85"/>
    <x v="1"/>
    <n v="2"/>
    <n v="333.85"/>
    <x v="11"/>
  </r>
  <r>
    <s v="TRX-102384"/>
    <x v="902"/>
    <x v="2"/>
    <x v="3"/>
    <x v="0"/>
    <n v="214"/>
    <n v="183.38"/>
    <x v="4"/>
    <n v="16"/>
    <n v="-30.62"/>
    <x v="9"/>
  </r>
  <r>
    <s v="TRX-102385"/>
    <x v="918"/>
    <x v="3"/>
    <x v="8"/>
    <x v="0"/>
    <n v="129"/>
    <n v="88.72"/>
    <x v="2"/>
    <n v="27"/>
    <n v="-40.28"/>
    <x v="1"/>
  </r>
  <r>
    <s v="TRX-102386"/>
    <x v="676"/>
    <x v="4"/>
    <x v="8"/>
    <x v="2"/>
    <n v="203"/>
    <n v="199.89"/>
    <x v="1"/>
    <n v="5"/>
    <n v="-3.1100000000000101"/>
    <x v="0"/>
  </r>
  <r>
    <s v="TRX-102387"/>
    <x v="895"/>
    <x v="0"/>
    <x v="4"/>
    <x v="2"/>
    <n v="225"/>
    <n v="320"/>
    <x v="4"/>
    <n v="10"/>
    <n v="95"/>
    <x v="4"/>
  </r>
  <r>
    <s v="TRX-102388"/>
    <x v="860"/>
    <x v="4"/>
    <x v="5"/>
    <x v="1"/>
    <n v="207"/>
    <n v="427.54"/>
    <x v="1"/>
    <n v="10"/>
    <n v="220.54"/>
    <x v="5"/>
  </r>
  <r>
    <s v="TRX-102389"/>
    <x v="919"/>
    <x v="0"/>
    <x v="2"/>
    <x v="1"/>
    <n v="225"/>
    <n v="546.66"/>
    <x v="2"/>
    <n v="58"/>
    <n v="321.659999999999"/>
    <x v="6"/>
  </r>
  <r>
    <s v="TRX-102390"/>
    <x v="611"/>
    <x v="0"/>
    <x v="7"/>
    <x v="0"/>
    <n v="226"/>
    <n v="127.87"/>
    <x v="4"/>
    <n v="18"/>
    <n v="-98.13"/>
    <x v="4"/>
  </r>
  <r>
    <s v="TRX-102391"/>
    <x v="8"/>
    <x v="3"/>
    <x v="3"/>
    <x v="0"/>
    <n v="115"/>
    <n v="83.88"/>
    <x v="2"/>
    <n v="31"/>
    <n v="-31.12"/>
    <x v="3"/>
  </r>
  <r>
    <s v="TRX-102392"/>
    <x v="662"/>
    <x v="3"/>
    <x v="2"/>
    <x v="1"/>
    <n v="118"/>
    <n v="157.94"/>
    <x v="1"/>
    <n v="12"/>
    <n v="39.94"/>
    <x v="7"/>
  </r>
  <r>
    <s v="TRX-102393"/>
    <x v="780"/>
    <x v="2"/>
    <x v="1"/>
    <x v="0"/>
    <n v="220"/>
    <n v="146.86000000000001"/>
    <x v="2"/>
    <n v="52"/>
    <n v="-73.139999999999901"/>
    <x v="2"/>
  </r>
  <r>
    <s v="TRX-102394"/>
    <x v="606"/>
    <x v="3"/>
    <x v="0"/>
    <x v="0"/>
    <n v="116"/>
    <n v="88.33"/>
    <x v="4"/>
    <n v="30"/>
    <n v="-27.67"/>
    <x v="7"/>
  </r>
  <r>
    <s v="TRX-102395"/>
    <x v="28"/>
    <x v="2"/>
    <x v="2"/>
    <x v="0"/>
    <n v="214"/>
    <n v="120.68"/>
    <x v="3"/>
    <n v="19"/>
    <n v="-93.32"/>
    <x v="4"/>
  </r>
  <r>
    <s v="TRX-102396"/>
    <x v="435"/>
    <x v="4"/>
    <x v="1"/>
    <x v="0"/>
    <n v="206"/>
    <n v="143.58000000000001"/>
    <x v="2"/>
    <n v="37"/>
    <n v="-62.419999999999902"/>
    <x v="10"/>
  </r>
  <r>
    <s v="TRX-102397"/>
    <x v="713"/>
    <x v="2"/>
    <x v="0"/>
    <x v="2"/>
    <n v="221"/>
    <n v="236.87"/>
    <x v="1"/>
    <n v="10"/>
    <n v="15.87"/>
    <x v="4"/>
  </r>
  <r>
    <s v="TRX-102398"/>
    <x v="474"/>
    <x v="0"/>
    <x v="6"/>
    <x v="2"/>
    <n v="225"/>
    <n v="204.87"/>
    <x v="2"/>
    <n v="27"/>
    <n v="-20.1299999999999"/>
    <x v="5"/>
  </r>
  <r>
    <s v="TRX-102399"/>
    <x v="109"/>
    <x v="0"/>
    <x v="3"/>
    <x v="0"/>
    <n v="225"/>
    <n v="183.59"/>
    <x v="1"/>
    <n v="12"/>
    <n v="-41.41"/>
    <x v="0"/>
  </r>
  <r>
    <s v="TRX-102400"/>
    <x v="426"/>
    <x v="1"/>
    <x v="6"/>
    <x v="2"/>
    <n v="190"/>
    <n v="175.12"/>
    <x v="4"/>
    <n v="23"/>
    <n v="-14.8799999999999"/>
    <x v="3"/>
  </r>
  <r>
    <s v="TRX-102401"/>
    <x v="319"/>
    <x v="2"/>
    <x v="4"/>
    <x v="0"/>
    <n v="223"/>
    <n v="151.49"/>
    <x v="3"/>
    <n v="26"/>
    <n v="-71.509999999999906"/>
    <x v="6"/>
  </r>
  <r>
    <s v="TRX-102402"/>
    <x v="180"/>
    <x v="2"/>
    <x v="4"/>
    <x v="0"/>
    <n v="214"/>
    <n v="185.74"/>
    <x v="2"/>
    <n v="52"/>
    <n v="-28.259999999999899"/>
    <x v="1"/>
  </r>
  <r>
    <s v="TRX-102403"/>
    <x v="230"/>
    <x v="4"/>
    <x v="8"/>
    <x v="1"/>
    <n v="204"/>
    <n v="710.57"/>
    <x v="4"/>
    <n v="51"/>
    <n v="506.57"/>
    <x v="4"/>
  </r>
  <r>
    <s v="TRX-102404"/>
    <x v="648"/>
    <x v="0"/>
    <x v="4"/>
    <x v="2"/>
    <n v="228"/>
    <n v="257.85000000000002"/>
    <x v="4"/>
    <n v="30"/>
    <n v="29.85"/>
    <x v="6"/>
  </r>
  <r>
    <s v="TRX-102405"/>
    <x v="275"/>
    <x v="0"/>
    <x v="3"/>
    <x v="0"/>
    <n v="227"/>
    <n v="115.57"/>
    <x v="0"/>
    <n v="12"/>
    <n v="-111.43"/>
    <x v="2"/>
  </r>
  <r>
    <s v="TRX-102406"/>
    <x v="433"/>
    <x v="2"/>
    <x v="1"/>
    <x v="2"/>
    <n v="214"/>
    <n v="317.97000000000003"/>
    <x v="4"/>
    <n v="21"/>
    <n v="103.97"/>
    <x v="10"/>
  </r>
  <r>
    <s v="TRX-102407"/>
    <x v="775"/>
    <x v="4"/>
    <x v="1"/>
    <x v="1"/>
    <n v="210"/>
    <n v="408.82"/>
    <x v="0"/>
    <n v="14"/>
    <n v="198.82"/>
    <x v="6"/>
  </r>
  <r>
    <s v="TRX-102408"/>
    <x v="242"/>
    <x v="0"/>
    <x v="2"/>
    <x v="2"/>
    <n v="226"/>
    <n v="332.53"/>
    <x v="1"/>
    <n v="7"/>
    <n v="106.52999999999901"/>
    <x v="9"/>
  </r>
  <r>
    <s v="TRX-102409"/>
    <x v="920"/>
    <x v="2"/>
    <x v="4"/>
    <x v="0"/>
    <n v="215"/>
    <n v="166.6"/>
    <x v="4"/>
    <n v="19"/>
    <n v="-48.4"/>
    <x v="4"/>
  </r>
  <r>
    <s v="TRX-102410"/>
    <x v="688"/>
    <x v="0"/>
    <x v="3"/>
    <x v="0"/>
    <n v="226"/>
    <n v="140.03"/>
    <x v="2"/>
    <n v="52"/>
    <n v="-85.97"/>
    <x v="2"/>
  </r>
  <r>
    <s v="TRX-102411"/>
    <x v="11"/>
    <x v="4"/>
    <x v="5"/>
    <x v="0"/>
    <n v="200"/>
    <n v="179.36"/>
    <x v="3"/>
    <n v="49"/>
    <n v="-20.639999999999901"/>
    <x v="6"/>
  </r>
  <r>
    <s v="TRX-102412"/>
    <x v="782"/>
    <x v="4"/>
    <x v="3"/>
    <x v="0"/>
    <n v="201"/>
    <n v="111.71"/>
    <x v="4"/>
    <n v="9"/>
    <n v="-89.29"/>
    <x v="2"/>
  </r>
  <r>
    <s v="TRX-102413"/>
    <x v="340"/>
    <x v="2"/>
    <x v="6"/>
    <x v="0"/>
    <n v="224"/>
    <n v="171.07"/>
    <x v="1"/>
    <n v="8"/>
    <n v="-52.93"/>
    <x v="11"/>
  </r>
  <r>
    <s v="TRX-102414"/>
    <x v="892"/>
    <x v="4"/>
    <x v="4"/>
    <x v="0"/>
    <n v="200"/>
    <n v="144.47"/>
    <x v="3"/>
    <n v="28"/>
    <n v="-55.53"/>
    <x v="4"/>
  </r>
  <r>
    <s v="TRX-102415"/>
    <x v="216"/>
    <x v="3"/>
    <x v="8"/>
    <x v="0"/>
    <n v="138"/>
    <n v="109.58"/>
    <x v="3"/>
    <n v="37"/>
    <n v="-28.42"/>
    <x v="8"/>
  </r>
  <r>
    <s v="TRX-102416"/>
    <x v="160"/>
    <x v="4"/>
    <x v="2"/>
    <x v="1"/>
    <n v="204"/>
    <n v="687.15"/>
    <x v="3"/>
    <n v="33"/>
    <n v="483.15"/>
    <x v="10"/>
  </r>
  <r>
    <s v="TRX-102417"/>
    <x v="642"/>
    <x v="0"/>
    <x v="8"/>
    <x v="1"/>
    <n v="228"/>
    <n v="355.93"/>
    <x v="0"/>
    <n v="4"/>
    <n v="127.93"/>
    <x v="11"/>
  </r>
  <r>
    <s v="TRX-102418"/>
    <x v="451"/>
    <x v="0"/>
    <x v="0"/>
    <x v="0"/>
    <n v="230"/>
    <n v="169.63"/>
    <x v="2"/>
    <n v="25"/>
    <n v="-60.37"/>
    <x v="6"/>
  </r>
  <r>
    <s v="TRX-102419"/>
    <x v="165"/>
    <x v="2"/>
    <x v="7"/>
    <x v="1"/>
    <n v="213"/>
    <n v="607.76"/>
    <x v="1"/>
    <n v="3"/>
    <n v="394.76"/>
    <x v="11"/>
  </r>
  <r>
    <s v="TRX-102420"/>
    <x v="780"/>
    <x v="3"/>
    <x v="8"/>
    <x v="1"/>
    <n v="129"/>
    <n v="398.99"/>
    <x v="1"/>
    <n v="10"/>
    <n v="269.99"/>
    <x v="2"/>
  </r>
  <r>
    <s v="TRX-102421"/>
    <x v="50"/>
    <x v="0"/>
    <x v="3"/>
    <x v="0"/>
    <n v="229"/>
    <n v="174.55"/>
    <x v="1"/>
    <n v="14"/>
    <n v="-54.449999999999903"/>
    <x v="0"/>
  </r>
  <r>
    <s v="TRX-102422"/>
    <x v="777"/>
    <x v="2"/>
    <x v="6"/>
    <x v="0"/>
    <n v="216"/>
    <n v="178.74"/>
    <x v="3"/>
    <n v="23"/>
    <n v="-37.259999999999899"/>
    <x v="2"/>
  </r>
  <r>
    <s v="TRX-102423"/>
    <x v="739"/>
    <x v="3"/>
    <x v="3"/>
    <x v="2"/>
    <n v="112"/>
    <n v="110.07"/>
    <x v="1"/>
    <n v="13"/>
    <n v="-1.93"/>
    <x v="9"/>
  </r>
  <r>
    <s v="TRX-102424"/>
    <x v="325"/>
    <x v="2"/>
    <x v="2"/>
    <x v="2"/>
    <n v="225"/>
    <n v="296.04000000000002"/>
    <x v="2"/>
    <n v="20"/>
    <n v="71.040000000000006"/>
    <x v="3"/>
  </r>
  <r>
    <s v="TRX-102425"/>
    <x v="903"/>
    <x v="2"/>
    <x v="2"/>
    <x v="2"/>
    <n v="221"/>
    <n v="331.1"/>
    <x v="0"/>
    <n v="10"/>
    <n v="110.1"/>
    <x v="4"/>
  </r>
  <r>
    <s v="TRX-102426"/>
    <x v="524"/>
    <x v="4"/>
    <x v="0"/>
    <x v="0"/>
    <n v="204"/>
    <n v="167.94"/>
    <x v="0"/>
    <n v="11"/>
    <n v="-36.06"/>
    <x v="8"/>
  </r>
  <r>
    <s v="TRX-102427"/>
    <x v="921"/>
    <x v="0"/>
    <x v="2"/>
    <x v="1"/>
    <n v="228"/>
    <n v="535.02"/>
    <x v="0"/>
    <n v="1"/>
    <n v="307.02"/>
    <x v="0"/>
  </r>
  <r>
    <s v="TRX-102428"/>
    <x v="722"/>
    <x v="3"/>
    <x v="8"/>
    <x v="1"/>
    <n v="122"/>
    <n v="261.88"/>
    <x v="3"/>
    <n v="28"/>
    <n v="139.88"/>
    <x v="0"/>
  </r>
  <r>
    <s v="TRX-102429"/>
    <x v="587"/>
    <x v="1"/>
    <x v="6"/>
    <x v="0"/>
    <n v="174"/>
    <n v="92.24"/>
    <x v="3"/>
    <n v="20"/>
    <n v="-81.760000000000005"/>
    <x v="5"/>
  </r>
  <r>
    <s v="TRX-102430"/>
    <x v="62"/>
    <x v="3"/>
    <x v="8"/>
    <x v="0"/>
    <n v="123"/>
    <n v="66.540000000000006"/>
    <x v="4"/>
    <n v="15"/>
    <n v="-56.459999999999901"/>
    <x v="9"/>
  </r>
  <r>
    <s v="TRX-102431"/>
    <x v="104"/>
    <x v="1"/>
    <x v="4"/>
    <x v="0"/>
    <n v="177"/>
    <n v="117.64"/>
    <x v="2"/>
    <n v="21"/>
    <n v="-59.36"/>
    <x v="5"/>
  </r>
  <r>
    <s v="TRX-102432"/>
    <x v="284"/>
    <x v="2"/>
    <x v="1"/>
    <x v="1"/>
    <n v="221"/>
    <n v="550.45000000000005"/>
    <x v="3"/>
    <n v="40"/>
    <n v="329.45"/>
    <x v="7"/>
  </r>
  <r>
    <s v="TRX-102433"/>
    <x v="108"/>
    <x v="3"/>
    <x v="0"/>
    <x v="0"/>
    <n v="118"/>
    <n v="67.290000000000006"/>
    <x v="2"/>
    <n v="34"/>
    <n v="-50.709999999999901"/>
    <x v="10"/>
  </r>
  <r>
    <s v="TRX-102434"/>
    <x v="901"/>
    <x v="3"/>
    <x v="5"/>
    <x v="1"/>
    <n v="131"/>
    <n v="308.20999999999998"/>
    <x v="1"/>
    <n v="9"/>
    <n v="177.20999999999901"/>
    <x v="4"/>
  </r>
  <r>
    <s v="TRX-102435"/>
    <x v="470"/>
    <x v="4"/>
    <x v="0"/>
    <x v="1"/>
    <n v="207"/>
    <n v="336.5"/>
    <x v="1"/>
    <n v="3"/>
    <n v="129.5"/>
    <x v="4"/>
  </r>
  <r>
    <s v="TRX-102436"/>
    <x v="316"/>
    <x v="1"/>
    <x v="0"/>
    <x v="0"/>
    <n v="190"/>
    <n v="156.01"/>
    <x v="3"/>
    <n v="8"/>
    <n v="-33.99"/>
    <x v="8"/>
  </r>
  <r>
    <s v="TRX-102437"/>
    <x v="828"/>
    <x v="0"/>
    <x v="2"/>
    <x v="1"/>
    <n v="226"/>
    <n v="445.84"/>
    <x v="0"/>
    <n v="5"/>
    <n v="219.83999999999901"/>
    <x v="4"/>
  </r>
  <r>
    <s v="TRX-102438"/>
    <x v="200"/>
    <x v="0"/>
    <x v="1"/>
    <x v="0"/>
    <n v="227"/>
    <n v="187.81"/>
    <x v="2"/>
    <n v="57"/>
    <n v="-39.19"/>
    <x v="10"/>
  </r>
  <r>
    <s v="TRX-102439"/>
    <x v="795"/>
    <x v="2"/>
    <x v="6"/>
    <x v="1"/>
    <n v="223"/>
    <n v="690.82"/>
    <x v="3"/>
    <n v="21"/>
    <n v="467.82"/>
    <x v="10"/>
  </r>
  <r>
    <s v="TRX-102440"/>
    <x v="481"/>
    <x v="4"/>
    <x v="5"/>
    <x v="2"/>
    <n v="210"/>
    <n v="299.19"/>
    <x v="4"/>
    <n v="54"/>
    <n v="89.19"/>
    <x v="8"/>
  </r>
  <r>
    <s v="TRX-102441"/>
    <x v="827"/>
    <x v="4"/>
    <x v="5"/>
    <x v="2"/>
    <n v="208"/>
    <n v="271.68"/>
    <x v="4"/>
    <n v="31"/>
    <n v="63.68"/>
    <x v="1"/>
  </r>
  <r>
    <s v="TRX-102442"/>
    <x v="788"/>
    <x v="0"/>
    <x v="5"/>
    <x v="2"/>
    <n v="225"/>
    <n v="239.22"/>
    <x v="3"/>
    <n v="51"/>
    <n v="14.219999999999899"/>
    <x v="0"/>
  </r>
  <r>
    <s v="TRX-102443"/>
    <x v="268"/>
    <x v="0"/>
    <x v="7"/>
    <x v="0"/>
    <n v="227"/>
    <n v="133.9"/>
    <x v="4"/>
    <n v="22"/>
    <n v="-93.1"/>
    <x v="8"/>
  </r>
  <r>
    <s v="TRX-102444"/>
    <x v="826"/>
    <x v="2"/>
    <x v="6"/>
    <x v="2"/>
    <n v="218"/>
    <n v="305.83"/>
    <x v="0"/>
    <n v="5"/>
    <n v="87.829999999999899"/>
    <x v="0"/>
  </r>
  <r>
    <s v="TRX-102445"/>
    <x v="922"/>
    <x v="3"/>
    <x v="4"/>
    <x v="1"/>
    <n v="139"/>
    <n v="433.69"/>
    <x v="4"/>
    <n v="27"/>
    <n v="294.69"/>
    <x v="5"/>
  </r>
  <r>
    <s v="TRX-102446"/>
    <x v="686"/>
    <x v="1"/>
    <x v="2"/>
    <x v="0"/>
    <n v="185"/>
    <n v="163.75"/>
    <x v="1"/>
    <n v="5"/>
    <n v="-21.25"/>
    <x v="0"/>
  </r>
  <r>
    <s v="TRX-102447"/>
    <x v="923"/>
    <x v="3"/>
    <x v="0"/>
    <x v="1"/>
    <n v="128"/>
    <n v="368.08"/>
    <x v="2"/>
    <n v="29"/>
    <n v="240.07999999999899"/>
    <x v="5"/>
  </r>
  <r>
    <s v="TRX-102448"/>
    <x v="87"/>
    <x v="3"/>
    <x v="7"/>
    <x v="1"/>
    <n v="135"/>
    <n v="439.74"/>
    <x v="0"/>
    <n v="2"/>
    <n v="304.74"/>
    <x v="3"/>
  </r>
  <r>
    <s v="TRX-102449"/>
    <x v="349"/>
    <x v="3"/>
    <x v="7"/>
    <x v="0"/>
    <n v="133"/>
    <n v="90.59"/>
    <x v="4"/>
    <n v="46"/>
    <n v="-42.41"/>
    <x v="5"/>
  </r>
  <r>
    <s v="TRX-102450"/>
    <x v="157"/>
    <x v="2"/>
    <x v="1"/>
    <x v="0"/>
    <n v="212"/>
    <n v="114.74"/>
    <x v="4"/>
    <n v="9"/>
    <n v="-97.26"/>
    <x v="2"/>
  </r>
  <r>
    <s v="TRX-102451"/>
    <x v="503"/>
    <x v="3"/>
    <x v="5"/>
    <x v="2"/>
    <n v="125"/>
    <n v="122.45"/>
    <x v="4"/>
    <n v="51"/>
    <n v="-2.5499999999999901"/>
    <x v="8"/>
  </r>
  <r>
    <s v="TRX-102452"/>
    <x v="124"/>
    <x v="2"/>
    <x v="6"/>
    <x v="1"/>
    <n v="219"/>
    <n v="617.24"/>
    <x v="2"/>
    <n v="10"/>
    <n v="398.24"/>
    <x v="4"/>
  </r>
  <r>
    <s v="TRX-102453"/>
    <x v="101"/>
    <x v="1"/>
    <x v="0"/>
    <x v="2"/>
    <n v="187"/>
    <n v="249.37"/>
    <x v="0"/>
    <n v="10"/>
    <n v="62.37"/>
    <x v="4"/>
  </r>
  <r>
    <s v="TRX-102454"/>
    <x v="498"/>
    <x v="0"/>
    <x v="5"/>
    <x v="1"/>
    <n v="226"/>
    <n v="571.64"/>
    <x v="4"/>
    <n v="19"/>
    <n v="345.64"/>
    <x v="10"/>
  </r>
  <r>
    <s v="TRX-102455"/>
    <x v="814"/>
    <x v="3"/>
    <x v="6"/>
    <x v="2"/>
    <n v="114"/>
    <n v="165.33"/>
    <x v="1"/>
    <n v="4"/>
    <n v="51.33"/>
    <x v="7"/>
  </r>
  <r>
    <s v="TRX-102456"/>
    <x v="611"/>
    <x v="0"/>
    <x v="2"/>
    <x v="0"/>
    <n v="230"/>
    <n v="123.86"/>
    <x v="1"/>
    <n v="6"/>
    <n v="-106.14"/>
    <x v="4"/>
  </r>
  <r>
    <s v="TRX-102457"/>
    <x v="406"/>
    <x v="0"/>
    <x v="6"/>
    <x v="2"/>
    <n v="225"/>
    <n v="305.22000000000003"/>
    <x v="0"/>
    <n v="13"/>
    <n v="80.22"/>
    <x v="3"/>
  </r>
  <r>
    <s v="TRX-102458"/>
    <x v="33"/>
    <x v="4"/>
    <x v="5"/>
    <x v="2"/>
    <n v="204"/>
    <n v="215.06"/>
    <x v="3"/>
    <n v="18"/>
    <n v="11.06"/>
    <x v="7"/>
  </r>
  <r>
    <s v="TRX-102459"/>
    <x v="578"/>
    <x v="1"/>
    <x v="8"/>
    <x v="0"/>
    <n v="184"/>
    <n v="105.34"/>
    <x v="4"/>
    <n v="25"/>
    <n v="-78.66"/>
    <x v="8"/>
  </r>
  <r>
    <s v="TRX-102460"/>
    <x v="903"/>
    <x v="3"/>
    <x v="8"/>
    <x v="0"/>
    <n v="133"/>
    <n v="90.82"/>
    <x v="3"/>
    <n v="15"/>
    <n v="-42.18"/>
    <x v="4"/>
  </r>
  <r>
    <s v="TRX-102461"/>
    <x v="627"/>
    <x v="4"/>
    <x v="0"/>
    <x v="1"/>
    <n v="205"/>
    <n v="603.89"/>
    <x v="3"/>
    <n v="11"/>
    <n v="398.89"/>
    <x v="5"/>
  </r>
  <r>
    <s v="TRX-102462"/>
    <x v="905"/>
    <x v="4"/>
    <x v="7"/>
    <x v="1"/>
    <n v="202"/>
    <n v="482.68"/>
    <x v="0"/>
    <n v="4"/>
    <n v="280.68"/>
    <x v="8"/>
  </r>
  <r>
    <s v="TRX-102463"/>
    <x v="410"/>
    <x v="1"/>
    <x v="3"/>
    <x v="1"/>
    <n v="177"/>
    <n v="368.03"/>
    <x v="3"/>
    <n v="11"/>
    <n v="191.02999999999901"/>
    <x v="2"/>
  </r>
  <r>
    <s v="TRX-102464"/>
    <x v="924"/>
    <x v="3"/>
    <x v="3"/>
    <x v="1"/>
    <n v="138"/>
    <n v="298.51"/>
    <x v="3"/>
    <n v="5"/>
    <n v="160.51"/>
    <x v="7"/>
  </r>
  <r>
    <s v="TRX-102465"/>
    <x v="654"/>
    <x v="0"/>
    <x v="7"/>
    <x v="2"/>
    <n v="228"/>
    <n v="311.25"/>
    <x v="2"/>
    <n v="55"/>
    <n v="83.25"/>
    <x v="4"/>
  </r>
  <r>
    <s v="TRX-102466"/>
    <x v="59"/>
    <x v="1"/>
    <x v="5"/>
    <x v="0"/>
    <n v="182"/>
    <n v="92.51"/>
    <x v="2"/>
    <n v="54"/>
    <n v="-89.49"/>
    <x v="9"/>
  </r>
  <r>
    <s v="TRX-102467"/>
    <x v="87"/>
    <x v="2"/>
    <x v="5"/>
    <x v="1"/>
    <n v="213"/>
    <n v="348.18"/>
    <x v="3"/>
    <n v="41"/>
    <n v="135.18"/>
    <x v="3"/>
  </r>
  <r>
    <s v="TRX-102468"/>
    <x v="863"/>
    <x v="1"/>
    <x v="2"/>
    <x v="2"/>
    <n v="173"/>
    <n v="213.46"/>
    <x v="1"/>
    <n v="4"/>
    <n v="40.46"/>
    <x v="3"/>
  </r>
  <r>
    <s v="TRX-102469"/>
    <x v="132"/>
    <x v="2"/>
    <x v="5"/>
    <x v="2"/>
    <n v="210"/>
    <n v="306.97000000000003"/>
    <x v="0"/>
    <n v="8"/>
    <n v="96.97"/>
    <x v="3"/>
  </r>
  <r>
    <s v="TRX-102470"/>
    <x v="590"/>
    <x v="0"/>
    <x v="5"/>
    <x v="0"/>
    <n v="227"/>
    <n v="155.18"/>
    <x v="2"/>
    <n v="57"/>
    <n v="-71.819999999999993"/>
    <x v="6"/>
  </r>
  <r>
    <s v="TRX-102471"/>
    <x v="368"/>
    <x v="1"/>
    <x v="0"/>
    <x v="2"/>
    <n v="175"/>
    <n v="179.48"/>
    <x v="3"/>
    <n v="52"/>
    <n v="4.4799999999999898"/>
    <x v="5"/>
  </r>
  <r>
    <s v="TRX-102472"/>
    <x v="205"/>
    <x v="4"/>
    <x v="5"/>
    <x v="2"/>
    <n v="200"/>
    <n v="210.09"/>
    <x v="0"/>
    <n v="12"/>
    <n v="10.09"/>
    <x v="1"/>
  </r>
  <r>
    <s v="TRX-102473"/>
    <x v="120"/>
    <x v="0"/>
    <x v="1"/>
    <x v="2"/>
    <n v="228"/>
    <n v="307.52999999999997"/>
    <x v="4"/>
    <n v="51"/>
    <n v="79.529999999999902"/>
    <x v="4"/>
  </r>
  <r>
    <s v="TRX-102474"/>
    <x v="440"/>
    <x v="1"/>
    <x v="5"/>
    <x v="1"/>
    <n v="179"/>
    <n v="527.03"/>
    <x v="0"/>
    <n v="8"/>
    <n v="348.03"/>
    <x v="3"/>
  </r>
  <r>
    <s v="TRX-102475"/>
    <x v="110"/>
    <x v="1"/>
    <x v="5"/>
    <x v="2"/>
    <n v="171"/>
    <n v="205.72"/>
    <x v="0"/>
    <n v="3"/>
    <n v="34.72"/>
    <x v="1"/>
  </r>
  <r>
    <s v="TRX-102476"/>
    <x v="760"/>
    <x v="3"/>
    <x v="4"/>
    <x v="1"/>
    <n v="111"/>
    <n v="191"/>
    <x v="1"/>
    <n v="13"/>
    <n v="80"/>
    <x v="3"/>
  </r>
  <r>
    <s v="TRX-102477"/>
    <x v="262"/>
    <x v="3"/>
    <x v="5"/>
    <x v="1"/>
    <n v="137"/>
    <n v="278.3"/>
    <x v="3"/>
    <n v="23"/>
    <n v="141.30000000000001"/>
    <x v="10"/>
  </r>
  <r>
    <s v="TRX-102478"/>
    <x v="496"/>
    <x v="1"/>
    <x v="0"/>
    <x v="1"/>
    <n v="170"/>
    <n v="471.85"/>
    <x v="4"/>
    <n v="13"/>
    <n v="301.85000000000002"/>
    <x v="9"/>
  </r>
  <r>
    <s v="TRX-102479"/>
    <x v="53"/>
    <x v="2"/>
    <x v="8"/>
    <x v="1"/>
    <n v="221"/>
    <n v="500.96"/>
    <x v="4"/>
    <n v="45"/>
    <n v="279.95999999999998"/>
    <x v="7"/>
  </r>
  <r>
    <s v="TRX-102480"/>
    <x v="87"/>
    <x v="0"/>
    <x v="8"/>
    <x v="1"/>
    <n v="229"/>
    <n v="351.91"/>
    <x v="4"/>
    <n v="30"/>
    <n v="122.91"/>
    <x v="3"/>
  </r>
  <r>
    <s v="TRX-102481"/>
    <x v="303"/>
    <x v="1"/>
    <x v="1"/>
    <x v="0"/>
    <n v="188"/>
    <n v="160.05000000000001"/>
    <x v="2"/>
    <n v="27"/>
    <n v="-27.9499999999999"/>
    <x v="11"/>
  </r>
  <r>
    <s v="TRX-102482"/>
    <x v="498"/>
    <x v="3"/>
    <x v="0"/>
    <x v="0"/>
    <n v="124"/>
    <n v="106.22"/>
    <x v="1"/>
    <n v="12"/>
    <n v="-17.78"/>
    <x v="10"/>
  </r>
  <r>
    <s v="TRX-102483"/>
    <x v="523"/>
    <x v="0"/>
    <x v="7"/>
    <x v="2"/>
    <n v="227"/>
    <n v="297.92"/>
    <x v="3"/>
    <n v="57"/>
    <n v="70.92"/>
    <x v="5"/>
  </r>
  <r>
    <s v="TRX-102484"/>
    <x v="782"/>
    <x v="4"/>
    <x v="7"/>
    <x v="0"/>
    <n v="208"/>
    <n v="105.43"/>
    <x v="0"/>
    <n v="1"/>
    <n v="-102.57"/>
    <x v="2"/>
  </r>
  <r>
    <s v="TRX-102485"/>
    <x v="418"/>
    <x v="2"/>
    <x v="0"/>
    <x v="0"/>
    <n v="212"/>
    <n v="144.79"/>
    <x v="4"/>
    <n v="27"/>
    <n v="-67.209999999999994"/>
    <x v="11"/>
  </r>
  <r>
    <s v="TRX-102486"/>
    <x v="279"/>
    <x v="0"/>
    <x v="8"/>
    <x v="1"/>
    <n v="228"/>
    <n v="532.98"/>
    <x v="1"/>
    <n v="4"/>
    <n v="304.98"/>
    <x v="10"/>
  </r>
  <r>
    <s v="TRX-102487"/>
    <x v="452"/>
    <x v="3"/>
    <x v="4"/>
    <x v="0"/>
    <n v="127"/>
    <n v="90.57"/>
    <x v="1"/>
    <n v="1"/>
    <n v="-36.43"/>
    <x v="6"/>
  </r>
  <r>
    <s v="TRX-102488"/>
    <x v="27"/>
    <x v="2"/>
    <x v="5"/>
    <x v="1"/>
    <n v="215"/>
    <n v="421.04"/>
    <x v="1"/>
    <n v="12"/>
    <n v="206.04"/>
    <x v="9"/>
  </r>
  <r>
    <s v="TRX-102489"/>
    <x v="136"/>
    <x v="0"/>
    <x v="2"/>
    <x v="1"/>
    <n v="227"/>
    <n v="454.52"/>
    <x v="3"/>
    <n v="36"/>
    <n v="227.51999999999899"/>
    <x v="6"/>
  </r>
  <r>
    <s v="TRX-102490"/>
    <x v="604"/>
    <x v="2"/>
    <x v="3"/>
    <x v="2"/>
    <n v="219"/>
    <n v="243.05"/>
    <x v="3"/>
    <n v="55"/>
    <n v="24.05"/>
    <x v="10"/>
  </r>
  <r>
    <s v="TRX-102491"/>
    <x v="647"/>
    <x v="1"/>
    <x v="8"/>
    <x v="0"/>
    <n v="189"/>
    <n v="165.99"/>
    <x v="4"/>
    <n v="22"/>
    <n v="-23.009999999999899"/>
    <x v="4"/>
  </r>
  <r>
    <s v="TRX-102492"/>
    <x v="166"/>
    <x v="1"/>
    <x v="5"/>
    <x v="2"/>
    <n v="190"/>
    <n v="182.88"/>
    <x v="1"/>
    <n v="11"/>
    <n v="-7.12"/>
    <x v="5"/>
  </r>
  <r>
    <s v="TRX-102493"/>
    <x v="219"/>
    <x v="0"/>
    <x v="7"/>
    <x v="2"/>
    <n v="227"/>
    <n v="216.49"/>
    <x v="4"/>
    <n v="16"/>
    <n v="-10.5099999999999"/>
    <x v="6"/>
  </r>
  <r>
    <s v="TRX-102494"/>
    <x v="804"/>
    <x v="2"/>
    <x v="8"/>
    <x v="1"/>
    <n v="219"/>
    <n v="765.88"/>
    <x v="4"/>
    <n v="58"/>
    <n v="546.88"/>
    <x v="3"/>
  </r>
  <r>
    <s v="TRX-102495"/>
    <x v="925"/>
    <x v="1"/>
    <x v="2"/>
    <x v="1"/>
    <n v="172"/>
    <n v="380.22"/>
    <x v="3"/>
    <n v="24"/>
    <n v="208.22"/>
    <x v="7"/>
  </r>
  <r>
    <s v="TRX-102496"/>
    <x v="176"/>
    <x v="2"/>
    <x v="6"/>
    <x v="2"/>
    <n v="218"/>
    <n v="325.29000000000002"/>
    <x v="0"/>
    <n v="2"/>
    <n v="107.29"/>
    <x v="7"/>
  </r>
  <r>
    <s v="TRX-102497"/>
    <x v="610"/>
    <x v="2"/>
    <x v="2"/>
    <x v="0"/>
    <n v="221"/>
    <n v="174.52"/>
    <x v="2"/>
    <n v="41"/>
    <n v="-46.479999999999897"/>
    <x v="5"/>
  </r>
  <r>
    <s v="TRX-102498"/>
    <x v="805"/>
    <x v="4"/>
    <x v="5"/>
    <x v="0"/>
    <n v="210"/>
    <n v="175.09"/>
    <x v="2"/>
    <n v="29"/>
    <n v="-34.909999999999997"/>
    <x v="3"/>
  </r>
  <r>
    <s v="TRX-102499"/>
    <x v="491"/>
    <x v="2"/>
    <x v="4"/>
    <x v="2"/>
    <n v="215"/>
    <n v="299.98"/>
    <x v="4"/>
    <n v="35"/>
    <n v="84.98"/>
    <x v="6"/>
  </r>
  <r>
    <s v="TRX-102500"/>
    <x v="412"/>
    <x v="3"/>
    <x v="2"/>
    <x v="1"/>
    <n v="110"/>
    <n v="173.23"/>
    <x v="4"/>
    <n v="35"/>
    <n v="63.229999999999897"/>
    <x v="6"/>
  </r>
  <r>
    <s v="TRX-102501"/>
    <x v="312"/>
    <x v="2"/>
    <x v="2"/>
    <x v="2"/>
    <n v="216"/>
    <n v="303.25"/>
    <x v="0"/>
    <n v="5"/>
    <n v="87.25"/>
    <x v="11"/>
  </r>
  <r>
    <s v="TRX-102502"/>
    <x v="926"/>
    <x v="3"/>
    <x v="0"/>
    <x v="1"/>
    <n v="138"/>
    <n v="419.22"/>
    <x v="0"/>
    <n v="12"/>
    <n v="281.22000000000003"/>
    <x v="4"/>
  </r>
  <r>
    <s v="TRX-102503"/>
    <x v="733"/>
    <x v="3"/>
    <x v="1"/>
    <x v="1"/>
    <n v="126"/>
    <n v="303"/>
    <x v="0"/>
    <n v="8"/>
    <n v="177"/>
    <x v="9"/>
  </r>
  <r>
    <s v="TRX-102504"/>
    <x v="431"/>
    <x v="3"/>
    <x v="0"/>
    <x v="2"/>
    <n v="129"/>
    <n v="131.35"/>
    <x v="4"/>
    <n v="37"/>
    <n v="2.3499999999999899"/>
    <x v="5"/>
  </r>
  <r>
    <s v="TRX-102505"/>
    <x v="480"/>
    <x v="3"/>
    <x v="4"/>
    <x v="0"/>
    <n v="121"/>
    <n v="76.180000000000007"/>
    <x v="4"/>
    <n v="40"/>
    <n v="-44.819999999999901"/>
    <x v="2"/>
  </r>
  <r>
    <s v="TRX-102506"/>
    <x v="328"/>
    <x v="0"/>
    <x v="4"/>
    <x v="2"/>
    <n v="229"/>
    <n v="288.37"/>
    <x v="0"/>
    <n v="10"/>
    <n v="59.37"/>
    <x v="10"/>
  </r>
  <r>
    <s v="TRX-102507"/>
    <x v="359"/>
    <x v="3"/>
    <x v="3"/>
    <x v="1"/>
    <n v="125"/>
    <n v="166.91"/>
    <x v="2"/>
    <n v="33"/>
    <n v="41.91"/>
    <x v="7"/>
  </r>
  <r>
    <s v="TRX-102508"/>
    <x v="76"/>
    <x v="4"/>
    <x v="2"/>
    <x v="1"/>
    <n v="206"/>
    <n v="526.62"/>
    <x v="0"/>
    <n v="1"/>
    <n v="320.62"/>
    <x v="10"/>
  </r>
  <r>
    <s v="TRX-102509"/>
    <x v="20"/>
    <x v="2"/>
    <x v="5"/>
    <x v="1"/>
    <n v="211"/>
    <n v="383.55"/>
    <x v="2"/>
    <n v="42"/>
    <n v="172.55"/>
    <x v="10"/>
  </r>
  <r>
    <s v="TRX-102510"/>
    <x v="916"/>
    <x v="4"/>
    <x v="8"/>
    <x v="2"/>
    <n v="208"/>
    <n v="269.95999999999998"/>
    <x v="3"/>
    <n v="8"/>
    <n v="61.959999999999901"/>
    <x v="1"/>
  </r>
  <r>
    <s v="TRX-102511"/>
    <x v="45"/>
    <x v="3"/>
    <x v="4"/>
    <x v="1"/>
    <n v="114"/>
    <n v="390.6"/>
    <x v="3"/>
    <n v="46"/>
    <n v="276.60000000000002"/>
    <x v="6"/>
  </r>
  <r>
    <s v="TRX-102512"/>
    <x v="627"/>
    <x v="2"/>
    <x v="1"/>
    <x v="0"/>
    <n v="221"/>
    <n v="135.86000000000001"/>
    <x v="1"/>
    <n v="1"/>
    <n v="-85.139999999999901"/>
    <x v="5"/>
  </r>
  <r>
    <s v="TRX-102513"/>
    <x v="372"/>
    <x v="0"/>
    <x v="5"/>
    <x v="2"/>
    <n v="230"/>
    <n v="250.97"/>
    <x v="0"/>
    <n v="13"/>
    <n v="20.97"/>
    <x v="10"/>
  </r>
  <r>
    <s v="TRX-102514"/>
    <x v="532"/>
    <x v="1"/>
    <x v="8"/>
    <x v="2"/>
    <n v="173"/>
    <n v="170.26"/>
    <x v="2"/>
    <n v="21"/>
    <n v="-2.74"/>
    <x v="8"/>
  </r>
  <r>
    <s v="TRX-102515"/>
    <x v="570"/>
    <x v="1"/>
    <x v="6"/>
    <x v="1"/>
    <n v="189"/>
    <n v="256.66000000000003"/>
    <x v="1"/>
    <n v="6"/>
    <n v="67.66"/>
    <x v="2"/>
  </r>
  <r>
    <s v="TRX-102516"/>
    <x v="621"/>
    <x v="0"/>
    <x v="2"/>
    <x v="0"/>
    <n v="225"/>
    <n v="200.31"/>
    <x v="3"/>
    <n v="27"/>
    <n v="-24.689999999999898"/>
    <x v="9"/>
  </r>
  <r>
    <s v="TRX-102517"/>
    <x v="318"/>
    <x v="1"/>
    <x v="0"/>
    <x v="2"/>
    <n v="175"/>
    <n v="251.25"/>
    <x v="2"/>
    <n v="7"/>
    <n v="76.25"/>
    <x v="6"/>
  </r>
  <r>
    <s v="TRX-102518"/>
    <x v="927"/>
    <x v="0"/>
    <x v="5"/>
    <x v="2"/>
    <n v="225"/>
    <n v="312.36"/>
    <x v="1"/>
    <n v="3"/>
    <n v="87.36"/>
    <x v="1"/>
  </r>
  <r>
    <s v="TRX-102519"/>
    <x v="265"/>
    <x v="2"/>
    <x v="1"/>
    <x v="1"/>
    <n v="214"/>
    <n v="550.37"/>
    <x v="3"/>
    <n v="20"/>
    <n v="336.37"/>
    <x v="1"/>
  </r>
  <r>
    <s v="TRX-102520"/>
    <x v="557"/>
    <x v="3"/>
    <x v="5"/>
    <x v="0"/>
    <n v="137"/>
    <n v="106.62"/>
    <x v="0"/>
    <n v="12"/>
    <n v="-30.3799999999999"/>
    <x v="0"/>
  </r>
  <r>
    <s v="TRX-102521"/>
    <x v="362"/>
    <x v="4"/>
    <x v="0"/>
    <x v="0"/>
    <n v="200"/>
    <n v="171.59"/>
    <x v="3"/>
    <n v="39"/>
    <n v="-28.409999999999901"/>
    <x v="8"/>
  </r>
  <r>
    <s v="TRX-102522"/>
    <x v="626"/>
    <x v="1"/>
    <x v="2"/>
    <x v="1"/>
    <n v="180"/>
    <n v="259.97000000000003"/>
    <x v="4"/>
    <n v="28"/>
    <n v="79.97"/>
    <x v="11"/>
  </r>
  <r>
    <s v="TRX-102523"/>
    <x v="559"/>
    <x v="0"/>
    <x v="4"/>
    <x v="2"/>
    <n v="225"/>
    <n v="278.08999999999997"/>
    <x v="4"/>
    <n v="20"/>
    <n v="53.089999999999897"/>
    <x v="8"/>
  </r>
  <r>
    <s v="TRX-102524"/>
    <x v="239"/>
    <x v="4"/>
    <x v="5"/>
    <x v="1"/>
    <n v="207"/>
    <n v="547.67999999999995"/>
    <x v="3"/>
    <n v="24"/>
    <n v="340.67999999999898"/>
    <x v="7"/>
  </r>
  <r>
    <s v="TRX-102525"/>
    <x v="298"/>
    <x v="2"/>
    <x v="8"/>
    <x v="2"/>
    <n v="223"/>
    <n v="248.42"/>
    <x v="0"/>
    <n v="10"/>
    <n v="25.419999999999899"/>
    <x v="6"/>
  </r>
  <r>
    <s v="TRX-102526"/>
    <x v="879"/>
    <x v="3"/>
    <x v="7"/>
    <x v="0"/>
    <n v="120"/>
    <n v="101.14"/>
    <x v="2"/>
    <n v="44"/>
    <n v="-18.86"/>
    <x v="5"/>
  </r>
  <r>
    <s v="TRX-102527"/>
    <x v="883"/>
    <x v="4"/>
    <x v="0"/>
    <x v="0"/>
    <n v="201"/>
    <n v="165.91"/>
    <x v="1"/>
    <n v="13"/>
    <n v="-35.090000000000003"/>
    <x v="9"/>
  </r>
  <r>
    <s v="TRX-102528"/>
    <x v="875"/>
    <x v="4"/>
    <x v="1"/>
    <x v="0"/>
    <n v="203"/>
    <n v="170.07"/>
    <x v="2"/>
    <n v="40"/>
    <n v="-32.93"/>
    <x v="8"/>
  </r>
  <r>
    <s v="TRX-102529"/>
    <x v="545"/>
    <x v="3"/>
    <x v="7"/>
    <x v="2"/>
    <n v="133"/>
    <n v="163.04"/>
    <x v="3"/>
    <n v="35"/>
    <n v="30.0399999999999"/>
    <x v="3"/>
  </r>
  <r>
    <s v="TRX-102530"/>
    <x v="551"/>
    <x v="1"/>
    <x v="3"/>
    <x v="2"/>
    <n v="175"/>
    <n v="177.43"/>
    <x v="1"/>
    <n v="11"/>
    <n v="2.4300000000000002"/>
    <x v="8"/>
  </r>
  <r>
    <s v="TRX-102531"/>
    <x v="752"/>
    <x v="2"/>
    <x v="8"/>
    <x v="0"/>
    <n v="219"/>
    <n v="188.09"/>
    <x v="0"/>
    <n v="5"/>
    <n v="-30.909999999999901"/>
    <x v="6"/>
  </r>
  <r>
    <s v="TRX-102532"/>
    <x v="928"/>
    <x v="2"/>
    <x v="5"/>
    <x v="1"/>
    <n v="223"/>
    <n v="662.14"/>
    <x v="3"/>
    <n v="13"/>
    <n v="439.14"/>
    <x v="10"/>
  </r>
  <r>
    <s v="TRX-102533"/>
    <x v="2"/>
    <x v="1"/>
    <x v="7"/>
    <x v="0"/>
    <n v="173"/>
    <n v="99.34"/>
    <x v="2"/>
    <n v="39"/>
    <n v="-73.66"/>
    <x v="1"/>
  </r>
  <r>
    <s v="TRX-102534"/>
    <x v="580"/>
    <x v="0"/>
    <x v="1"/>
    <x v="2"/>
    <n v="225"/>
    <n v="305.04000000000002"/>
    <x v="0"/>
    <n v="7"/>
    <n v="80.040000000000006"/>
    <x v="2"/>
  </r>
  <r>
    <s v="TRX-102535"/>
    <x v="735"/>
    <x v="3"/>
    <x v="4"/>
    <x v="0"/>
    <n v="126"/>
    <n v="109.47"/>
    <x v="4"/>
    <n v="36"/>
    <n v="-16.53"/>
    <x v="11"/>
  </r>
  <r>
    <s v="TRX-102536"/>
    <x v="631"/>
    <x v="0"/>
    <x v="8"/>
    <x v="0"/>
    <n v="229"/>
    <n v="191.71"/>
    <x v="4"/>
    <n v="12"/>
    <n v="-37.2899999999999"/>
    <x v="6"/>
  </r>
  <r>
    <s v="TRX-102537"/>
    <x v="654"/>
    <x v="0"/>
    <x v="5"/>
    <x v="2"/>
    <n v="226"/>
    <n v="239.85"/>
    <x v="3"/>
    <n v="56"/>
    <n v="13.8499999999999"/>
    <x v="4"/>
  </r>
  <r>
    <s v="TRX-102538"/>
    <x v="248"/>
    <x v="3"/>
    <x v="4"/>
    <x v="1"/>
    <n v="113"/>
    <n v="292.01"/>
    <x v="4"/>
    <n v="50"/>
    <n v="179.01"/>
    <x v="2"/>
  </r>
  <r>
    <s v="TRX-102539"/>
    <x v="355"/>
    <x v="1"/>
    <x v="3"/>
    <x v="2"/>
    <n v="179"/>
    <n v="226.81"/>
    <x v="3"/>
    <n v="55"/>
    <n v="47.81"/>
    <x v="11"/>
  </r>
  <r>
    <s v="TRX-102540"/>
    <x v="758"/>
    <x v="4"/>
    <x v="1"/>
    <x v="0"/>
    <n v="206"/>
    <n v="183.01"/>
    <x v="0"/>
    <n v="9"/>
    <n v="-22.99"/>
    <x v="3"/>
  </r>
  <r>
    <s v="TRX-102541"/>
    <x v="2"/>
    <x v="4"/>
    <x v="8"/>
    <x v="2"/>
    <n v="202"/>
    <n v="284.55"/>
    <x v="0"/>
    <n v="13"/>
    <n v="82.55"/>
    <x v="1"/>
  </r>
  <r>
    <s v="TRX-102542"/>
    <x v="72"/>
    <x v="4"/>
    <x v="8"/>
    <x v="2"/>
    <n v="206"/>
    <n v="269.13"/>
    <x v="1"/>
    <n v="1"/>
    <n v="63.129999999999903"/>
    <x v="0"/>
  </r>
  <r>
    <s v="TRX-102543"/>
    <x v="356"/>
    <x v="2"/>
    <x v="2"/>
    <x v="2"/>
    <n v="216"/>
    <n v="289.12"/>
    <x v="4"/>
    <n v="29"/>
    <n v="73.12"/>
    <x v="8"/>
  </r>
  <r>
    <s v="TRX-102544"/>
    <x v="746"/>
    <x v="0"/>
    <x v="6"/>
    <x v="0"/>
    <n v="230"/>
    <n v="149.55000000000001"/>
    <x v="4"/>
    <n v="30"/>
    <n v="-80.449999999999903"/>
    <x v="2"/>
  </r>
  <r>
    <s v="TRX-102545"/>
    <x v="184"/>
    <x v="1"/>
    <x v="4"/>
    <x v="0"/>
    <n v="172"/>
    <n v="91.64"/>
    <x v="1"/>
    <n v="2"/>
    <n v="-80.36"/>
    <x v="8"/>
  </r>
  <r>
    <s v="TRX-102546"/>
    <x v="415"/>
    <x v="1"/>
    <x v="5"/>
    <x v="0"/>
    <n v="175"/>
    <n v="137.9"/>
    <x v="2"/>
    <n v="44"/>
    <n v="-37.099999999999902"/>
    <x v="5"/>
  </r>
  <r>
    <s v="TRX-102547"/>
    <x v="542"/>
    <x v="3"/>
    <x v="5"/>
    <x v="1"/>
    <n v="127"/>
    <n v="279.12"/>
    <x v="1"/>
    <n v="9"/>
    <n v="152.12"/>
    <x v="3"/>
  </r>
  <r>
    <s v="TRX-102548"/>
    <x v="248"/>
    <x v="4"/>
    <x v="3"/>
    <x v="2"/>
    <n v="202"/>
    <n v="225.24"/>
    <x v="4"/>
    <n v="27"/>
    <n v="23.24"/>
    <x v="2"/>
  </r>
  <r>
    <s v="TRX-102549"/>
    <x v="173"/>
    <x v="1"/>
    <x v="6"/>
    <x v="2"/>
    <n v="178"/>
    <n v="180.64"/>
    <x v="2"/>
    <n v="6"/>
    <n v="2.6399999999999801"/>
    <x v="6"/>
  </r>
  <r>
    <s v="TRX-102550"/>
    <x v="405"/>
    <x v="0"/>
    <x v="5"/>
    <x v="0"/>
    <n v="227"/>
    <n v="137.71"/>
    <x v="3"/>
    <n v="50"/>
    <n v="-89.289999999999907"/>
    <x v="0"/>
  </r>
  <r>
    <s v="TRX-102551"/>
    <x v="845"/>
    <x v="1"/>
    <x v="6"/>
    <x v="2"/>
    <n v="173"/>
    <n v="237.26"/>
    <x v="0"/>
    <n v="11"/>
    <n v="64.259999999999906"/>
    <x v="2"/>
  </r>
  <r>
    <s v="TRX-102552"/>
    <x v="637"/>
    <x v="3"/>
    <x v="2"/>
    <x v="1"/>
    <n v="130"/>
    <n v="278.81"/>
    <x v="2"/>
    <n v="33"/>
    <n v="148.81"/>
    <x v="5"/>
  </r>
  <r>
    <s v="TRX-102553"/>
    <x v="777"/>
    <x v="4"/>
    <x v="1"/>
    <x v="2"/>
    <n v="208"/>
    <n v="209.19"/>
    <x v="2"/>
    <n v="39"/>
    <n v="1.18999999999999"/>
    <x v="2"/>
  </r>
  <r>
    <s v="TRX-102554"/>
    <x v="344"/>
    <x v="1"/>
    <x v="0"/>
    <x v="1"/>
    <n v="178"/>
    <n v="480.38"/>
    <x v="4"/>
    <n v="16"/>
    <n v="302.38"/>
    <x v="3"/>
  </r>
  <r>
    <s v="TRX-102555"/>
    <x v="806"/>
    <x v="1"/>
    <x v="6"/>
    <x v="0"/>
    <n v="184"/>
    <n v="115.81"/>
    <x v="0"/>
    <n v="6"/>
    <n v="-68.19"/>
    <x v="0"/>
  </r>
  <r>
    <s v="TRX-102556"/>
    <x v="403"/>
    <x v="4"/>
    <x v="0"/>
    <x v="0"/>
    <n v="200"/>
    <n v="110.1"/>
    <x v="2"/>
    <n v="56"/>
    <n v="-89.9"/>
    <x v="11"/>
  </r>
  <r>
    <s v="TRX-102557"/>
    <x v="911"/>
    <x v="1"/>
    <x v="4"/>
    <x v="0"/>
    <n v="179"/>
    <n v="127.41"/>
    <x v="1"/>
    <n v="1"/>
    <n v="-51.59"/>
    <x v="0"/>
  </r>
  <r>
    <s v="TRX-102558"/>
    <x v="929"/>
    <x v="4"/>
    <x v="6"/>
    <x v="0"/>
    <n v="200"/>
    <n v="114.38"/>
    <x v="1"/>
    <n v="3"/>
    <n v="-85.62"/>
    <x v="0"/>
  </r>
  <r>
    <s v="TRX-102559"/>
    <x v="99"/>
    <x v="2"/>
    <x v="7"/>
    <x v="1"/>
    <n v="218"/>
    <n v="333.87"/>
    <x v="4"/>
    <n v="41"/>
    <n v="115.87"/>
    <x v="7"/>
  </r>
  <r>
    <s v="TRX-102560"/>
    <x v="223"/>
    <x v="0"/>
    <x v="6"/>
    <x v="2"/>
    <n v="226"/>
    <n v="220.1"/>
    <x v="4"/>
    <n v="26"/>
    <n v="-5.9"/>
    <x v="9"/>
  </r>
  <r>
    <s v="TRX-102561"/>
    <x v="672"/>
    <x v="3"/>
    <x v="7"/>
    <x v="0"/>
    <n v="111"/>
    <n v="99.83"/>
    <x v="3"/>
    <n v="8"/>
    <n v="-11.17"/>
    <x v="1"/>
  </r>
  <r>
    <s v="TRX-102562"/>
    <x v="27"/>
    <x v="0"/>
    <x v="3"/>
    <x v="0"/>
    <n v="229"/>
    <n v="117.29"/>
    <x v="3"/>
    <n v="24"/>
    <n v="-111.71"/>
    <x v="9"/>
  </r>
  <r>
    <s v="TRX-102563"/>
    <x v="540"/>
    <x v="0"/>
    <x v="4"/>
    <x v="2"/>
    <n v="228"/>
    <n v="260.63"/>
    <x v="0"/>
    <n v="14"/>
    <n v="32.629999999999903"/>
    <x v="9"/>
  </r>
  <r>
    <s v="TRX-102564"/>
    <x v="821"/>
    <x v="4"/>
    <x v="2"/>
    <x v="2"/>
    <n v="203"/>
    <n v="195.02"/>
    <x v="1"/>
    <n v="4"/>
    <n v="-7.9799999999999898"/>
    <x v="1"/>
  </r>
  <r>
    <s v="TRX-102565"/>
    <x v="319"/>
    <x v="0"/>
    <x v="7"/>
    <x v="0"/>
    <n v="229"/>
    <n v="120.17"/>
    <x v="3"/>
    <n v="23"/>
    <n v="-108.83"/>
    <x v="6"/>
  </r>
  <r>
    <s v="TRX-102566"/>
    <x v="286"/>
    <x v="4"/>
    <x v="2"/>
    <x v="0"/>
    <n v="207"/>
    <n v="117.85"/>
    <x v="0"/>
    <n v="3"/>
    <n v="-89.15"/>
    <x v="1"/>
  </r>
  <r>
    <s v="TRX-102567"/>
    <x v="112"/>
    <x v="4"/>
    <x v="0"/>
    <x v="1"/>
    <n v="201"/>
    <n v="259.58999999999997"/>
    <x v="2"/>
    <n v="51"/>
    <n v="58.589999999999897"/>
    <x v="7"/>
  </r>
  <r>
    <s v="TRX-102568"/>
    <x v="298"/>
    <x v="1"/>
    <x v="4"/>
    <x v="2"/>
    <n v="184"/>
    <n v="168.23"/>
    <x v="0"/>
    <n v="11"/>
    <n v="-15.77"/>
    <x v="6"/>
  </r>
  <r>
    <s v="TRX-102569"/>
    <x v="583"/>
    <x v="3"/>
    <x v="7"/>
    <x v="0"/>
    <n v="139"/>
    <n v="102.11"/>
    <x v="4"/>
    <n v="17"/>
    <n v="-36.89"/>
    <x v="8"/>
  </r>
  <r>
    <s v="TRX-102570"/>
    <x v="662"/>
    <x v="1"/>
    <x v="6"/>
    <x v="1"/>
    <n v="177"/>
    <n v="597.14"/>
    <x v="0"/>
    <n v="3"/>
    <n v="420.14"/>
    <x v="7"/>
  </r>
  <r>
    <s v="TRX-102571"/>
    <x v="324"/>
    <x v="0"/>
    <x v="5"/>
    <x v="1"/>
    <n v="226"/>
    <n v="662.4"/>
    <x v="2"/>
    <n v="17"/>
    <n v="436.4"/>
    <x v="8"/>
  </r>
  <r>
    <s v="TRX-102572"/>
    <x v="844"/>
    <x v="2"/>
    <x v="7"/>
    <x v="0"/>
    <n v="220"/>
    <n v="181.34"/>
    <x v="4"/>
    <n v="45"/>
    <n v="-38.659999999999997"/>
    <x v="3"/>
  </r>
  <r>
    <s v="TRX-102573"/>
    <x v="49"/>
    <x v="2"/>
    <x v="7"/>
    <x v="1"/>
    <n v="220"/>
    <n v="706.57"/>
    <x v="0"/>
    <n v="6"/>
    <n v="486.57"/>
    <x v="3"/>
  </r>
  <r>
    <s v="TRX-102574"/>
    <x v="297"/>
    <x v="2"/>
    <x v="5"/>
    <x v="1"/>
    <n v="213"/>
    <n v="683.78"/>
    <x v="2"/>
    <n v="54"/>
    <n v="470.78"/>
    <x v="3"/>
  </r>
  <r>
    <s v="TRX-102575"/>
    <x v="450"/>
    <x v="3"/>
    <x v="6"/>
    <x v="2"/>
    <n v="127"/>
    <n v="140.84"/>
    <x v="3"/>
    <n v="46"/>
    <n v="13.84"/>
    <x v="8"/>
  </r>
  <r>
    <s v="TRX-102576"/>
    <x v="20"/>
    <x v="3"/>
    <x v="5"/>
    <x v="0"/>
    <n v="136"/>
    <n v="100.24"/>
    <x v="0"/>
    <n v="6"/>
    <n v="-35.76"/>
    <x v="10"/>
  </r>
  <r>
    <s v="TRX-102577"/>
    <x v="910"/>
    <x v="2"/>
    <x v="5"/>
    <x v="2"/>
    <n v="220"/>
    <n v="261.97000000000003"/>
    <x v="3"/>
    <n v="33"/>
    <n v="41.97"/>
    <x v="4"/>
  </r>
  <r>
    <s v="TRX-102578"/>
    <x v="208"/>
    <x v="2"/>
    <x v="5"/>
    <x v="1"/>
    <n v="225"/>
    <n v="783.44"/>
    <x v="0"/>
    <n v="3"/>
    <n v="558.44000000000005"/>
    <x v="9"/>
  </r>
  <r>
    <s v="TRX-102579"/>
    <x v="820"/>
    <x v="4"/>
    <x v="3"/>
    <x v="0"/>
    <n v="208"/>
    <n v="160.91"/>
    <x v="3"/>
    <n v="21"/>
    <n v="-47.09"/>
    <x v="7"/>
  </r>
  <r>
    <s v="TRX-102580"/>
    <x v="145"/>
    <x v="4"/>
    <x v="2"/>
    <x v="2"/>
    <n v="201"/>
    <n v="263.23"/>
    <x v="2"/>
    <n v="45"/>
    <n v="62.23"/>
    <x v="8"/>
  </r>
  <r>
    <s v="TRX-102581"/>
    <x v="378"/>
    <x v="1"/>
    <x v="8"/>
    <x v="2"/>
    <n v="179"/>
    <n v="249.24"/>
    <x v="0"/>
    <n v="11"/>
    <n v="70.239999999999995"/>
    <x v="3"/>
  </r>
  <r>
    <s v="TRX-102582"/>
    <x v="510"/>
    <x v="3"/>
    <x v="1"/>
    <x v="2"/>
    <n v="124"/>
    <n v="150.24"/>
    <x v="1"/>
    <n v="2"/>
    <n v="26.24"/>
    <x v="2"/>
  </r>
  <r>
    <s v="TRX-102583"/>
    <x v="444"/>
    <x v="0"/>
    <x v="5"/>
    <x v="1"/>
    <n v="227"/>
    <n v="485.29"/>
    <x v="4"/>
    <n v="6"/>
    <n v="258.29000000000002"/>
    <x v="2"/>
  </r>
  <r>
    <s v="TRX-102584"/>
    <x v="269"/>
    <x v="3"/>
    <x v="6"/>
    <x v="0"/>
    <n v="127"/>
    <n v="90.73"/>
    <x v="2"/>
    <n v="30"/>
    <n v="-36.269999999999897"/>
    <x v="6"/>
  </r>
  <r>
    <s v="TRX-102585"/>
    <x v="3"/>
    <x v="3"/>
    <x v="0"/>
    <x v="2"/>
    <n v="133"/>
    <n v="133.72"/>
    <x v="0"/>
    <n v="9"/>
    <n v="0.71999999999999797"/>
    <x v="2"/>
  </r>
  <r>
    <s v="TRX-102586"/>
    <x v="625"/>
    <x v="1"/>
    <x v="8"/>
    <x v="1"/>
    <n v="175"/>
    <n v="414.04"/>
    <x v="3"/>
    <n v="35"/>
    <n v="239.04"/>
    <x v="2"/>
  </r>
  <r>
    <s v="TRX-102587"/>
    <x v="906"/>
    <x v="4"/>
    <x v="6"/>
    <x v="2"/>
    <n v="201"/>
    <n v="186.92"/>
    <x v="1"/>
    <n v="12"/>
    <n v="-14.08"/>
    <x v="10"/>
  </r>
  <r>
    <s v="TRX-102588"/>
    <x v="770"/>
    <x v="2"/>
    <x v="2"/>
    <x v="0"/>
    <n v="212"/>
    <n v="157.87"/>
    <x v="1"/>
    <n v="4"/>
    <n v="-54.129999999999903"/>
    <x v="0"/>
  </r>
  <r>
    <s v="TRX-102589"/>
    <x v="182"/>
    <x v="3"/>
    <x v="8"/>
    <x v="2"/>
    <n v="132"/>
    <n v="184.56"/>
    <x v="0"/>
    <n v="4"/>
    <n v="52.56"/>
    <x v="7"/>
  </r>
  <r>
    <s v="TRX-102590"/>
    <x v="393"/>
    <x v="0"/>
    <x v="7"/>
    <x v="0"/>
    <n v="229"/>
    <n v="121.18"/>
    <x v="3"/>
    <n v="56"/>
    <n v="-107.82"/>
    <x v="10"/>
  </r>
  <r>
    <s v="TRX-102591"/>
    <x v="176"/>
    <x v="3"/>
    <x v="0"/>
    <x v="1"/>
    <n v="132"/>
    <n v="171.66"/>
    <x v="1"/>
    <n v="2"/>
    <n v="39.659999999999997"/>
    <x v="7"/>
  </r>
  <r>
    <s v="TRX-102592"/>
    <x v="873"/>
    <x v="0"/>
    <x v="5"/>
    <x v="0"/>
    <n v="226"/>
    <n v="195.26"/>
    <x v="1"/>
    <n v="1"/>
    <n v="-30.74"/>
    <x v="11"/>
  </r>
  <r>
    <s v="TRX-102593"/>
    <x v="140"/>
    <x v="2"/>
    <x v="5"/>
    <x v="1"/>
    <n v="220"/>
    <n v="499.98"/>
    <x v="0"/>
    <n v="2"/>
    <n v="279.98"/>
    <x v="2"/>
  </r>
  <r>
    <s v="TRX-102594"/>
    <x v="274"/>
    <x v="3"/>
    <x v="2"/>
    <x v="1"/>
    <n v="120"/>
    <n v="162.78"/>
    <x v="2"/>
    <n v="58"/>
    <n v="42.78"/>
    <x v="5"/>
  </r>
  <r>
    <s v="TRX-102595"/>
    <x v="273"/>
    <x v="2"/>
    <x v="7"/>
    <x v="1"/>
    <n v="219"/>
    <n v="710.32"/>
    <x v="0"/>
    <n v="12"/>
    <n v="491.32"/>
    <x v="7"/>
  </r>
  <r>
    <s v="TRX-102596"/>
    <x v="586"/>
    <x v="4"/>
    <x v="6"/>
    <x v="1"/>
    <n v="200"/>
    <n v="423.83"/>
    <x v="1"/>
    <n v="1"/>
    <n v="223.82999999999899"/>
    <x v="11"/>
  </r>
  <r>
    <s v="TRX-102597"/>
    <x v="652"/>
    <x v="4"/>
    <x v="7"/>
    <x v="2"/>
    <n v="202"/>
    <n v="198.7"/>
    <x v="2"/>
    <n v="13"/>
    <n v="-3.30000000000001"/>
    <x v="0"/>
  </r>
  <r>
    <s v="TRX-102598"/>
    <x v="622"/>
    <x v="0"/>
    <x v="8"/>
    <x v="2"/>
    <n v="226"/>
    <n v="232.47"/>
    <x v="2"/>
    <n v="26"/>
    <n v="6.46999999999999"/>
    <x v="10"/>
  </r>
  <r>
    <s v="TRX-102599"/>
    <x v="720"/>
    <x v="2"/>
    <x v="3"/>
    <x v="0"/>
    <n v="212"/>
    <n v="172.24"/>
    <x v="0"/>
    <n v="13"/>
    <n v="-39.759999999999899"/>
    <x v="9"/>
  </r>
  <r>
    <s v="TRX-102600"/>
    <x v="457"/>
    <x v="0"/>
    <x v="1"/>
    <x v="0"/>
    <n v="228"/>
    <n v="166.13"/>
    <x v="4"/>
    <n v="7"/>
    <n v="-61.87"/>
    <x v="7"/>
  </r>
  <r>
    <s v="TRX-102601"/>
    <x v="575"/>
    <x v="2"/>
    <x v="1"/>
    <x v="0"/>
    <n v="217"/>
    <n v="130.07"/>
    <x v="2"/>
    <n v="49"/>
    <n v="-86.93"/>
    <x v="8"/>
  </r>
  <r>
    <s v="TRX-102602"/>
    <x v="733"/>
    <x v="2"/>
    <x v="6"/>
    <x v="2"/>
    <n v="213"/>
    <n v="297.88"/>
    <x v="3"/>
    <n v="28"/>
    <n v="84.88"/>
    <x v="9"/>
  </r>
  <r>
    <s v="TRX-102603"/>
    <x v="188"/>
    <x v="0"/>
    <x v="1"/>
    <x v="0"/>
    <n v="228"/>
    <n v="116.28"/>
    <x v="2"/>
    <n v="28"/>
    <n v="-111.72"/>
    <x v="9"/>
  </r>
  <r>
    <s v="TRX-102604"/>
    <x v="456"/>
    <x v="1"/>
    <x v="2"/>
    <x v="1"/>
    <n v="185"/>
    <n v="332.7"/>
    <x v="1"/>
    <n v="7"/>
    <n v="147.69999999999999"/>
    <x v="1"/>
  </r>
  <r>
    <s v="TRX-102605"/>
    <x v="782"/>
    <x v="4"/>
    <x v="8"/>
    <x v="1"/>
    <n v="204"/>
    <n v="430.32"/>
    <x v="2"/>
    <n v="6"/>
    <n v="226.32"/>
    <x v="2"/>
  </r>
  <r>
    <s v="TRX-102606"/>
    <x v="5"/>
    <x v="1"/>
    <x v="4"/>
    <x v="2"/>
    <n v="175"/>
    <n v="245.18"/>
    <x v="0"/>
    <n v="10"/>
    <n v="70.180000000000007"/>
    <x v="3"/>
  </r>
  <r>
    <s v="TRX-102607"/>
    <x v="41"/>
    <x v="2"/>
    <x v="6"/>
    <x v="1"/>
    <n v="213"/>
    <n v="385.46"/>
    <x v="4"/>
    <n v="59"/>
    <n v="172.45999999999901"/>
    <x v="5"/>
  </r>
  <r>
    <s v="TRX-102608"/>
    <x v="245"/>
    <x v="4"/>
    <x v="3"/>
    <x v="0"/>
    <n v="210"/>
    <n v="133.36000000000001"/>
    <x v="4"/>
    <n v="59"/>
    <n v="-76.639999999999901"/>
    <x v="0"/>
  </r>
  <r>
    <s v="TRX-102609"/>
    <x v="605"/>
    <x v="0"/>
    <x v="8"/>
    <x v="2"/>
    <n v="227"/>
    <n v="251.99"/>
    <x v="4"/>
    <n v="27"/>
    <n v="24.99"/>
    <x v="1"/>
  </r>
  <r>
    <s v="TRX-102610"/>
    <x v="200"/>
    <x v="4"/>
    <x v="6"/>
    <x v="1"/>
    <n v="209"/>
    <n v="706.77"/>
    <x v="2"/>
    <n v="21"/>
    <n v="497.77"/>
    <x v="10"/>
  </r>
  <r>
    <s v="TRX-102611"/>
    <x v="56"/>
    <x v="1"/>
    <x v="2"/>
    <x v="1"/>
    <n v="190"/>
    <n v="557.74"/>
    <x v="4"/>
    <n v="45"/>
    <n v="367.74"/>
    <x v="3"/>
  </r>
  <r>
    <s v="TRX-102612"/>
    <x v="717"/>
    <x v="0"/>
    <x v="1"/>
    <x v="2"/>
    <n v="229"/>
    <n v="257.64999999999998"/>
    <x v="4"/>
    <n v="43"/>
    <n v="28.649999999999899"/>
    <x v="11"/>
  </r>
  <r>
    <s v="TRX-102613"/>
    <x v="574"/>
    <x v="4"/>
    <x v="8"/>
    <x v="0"/>
    <n v="208"/>
    <n v="117.23"/>
    <x v="4"/>
    <n v="17"/>
    <n v="-90.77"/>
    <x v="6"/>
  </r>
  <r>
    <s v="TRX-102614"/>
    <x v="181"/>
    <x v="3"/>
    <x v="1"/>
    <x v="0"/>
    <n v="123"/>
    <n v="107.04"/>
    <x v="2"/>
    <n v="28"/>
    <n v="-15.9599999999999"/>
    <x v="4"/>
  </r>
  <r>
    <s v="TRX-102615"/>
    <x v="12"/>
    <x v="1"/>
    <x v="7"/>
    <x v="2"/>
    <n v="179"/>
    <n v="178.48"/>
    <x v="4"/>
    <n v="21"/>
    <n v="-0.52000000000001001"/>
    <x v="7"/>
  </r>
  <r>
    <s v="TRX-102616"/>
    <x v="225"/>
    <x v="0"/>
    <x v="8"/>
    <x v="0"/>
    <n v="229"/>
    <n v="201.05"/>
    <x v="1"/>
    <n v="9"/>
    <n v="-27.9499999999999"/>
    <x v="10"/>
  </r>
  <r>
    <s v="TRX-102617"/>
    <x v="784"/>
    <x v="0"/>
    <x v="6"/>
    <x v="2"/>
    <n v="227"/>
    <n v="216.75"/>
    <x v="4"/>
    <n v="54"/>
    <n v="-10.25"/>
    <x v="11"/>
  </r>
  <r>
    <s v="TRX-102618"/>
    <x v="897"/>
    <x v="3"/>
    <x v="0"/>
    <x v="0"/>
    <n v="115"/>
    <n v="91.62"/>
    <x v="0"/>
    <n v="2"/>
    <n v="-23.3799999999999"/>
    <x v="7"/>
  </r>
  <r>
    <s v="TRX-102619"/>
    <x v="737"/>
    <x v="3"/>
    <x v="5"/>
    <x v="2"/>
    <n v="131"/>
    <n v="142.07"/>
    <x v="2"/>
    <n v="8"/>
    <n v="11.069999999999901"/>
    <x v="7"/>
  </r>
  <r>
    <s v="TRX-102620"/>
    <x v="250"/>
    <x v="1"/>
    <x v="4"/>
    <x v="1"/>
    <n v="173"/>
    <n v="265.64999999999998"/>
    <x v="4"/>
    <n v="45"/>
    <n v="92.649999999999906"/>
    <x v="7"/>
  </r>
  <r>
    <s v="TRX-102621"/>
    <x v="374"/>
    <x v="1"/>
    <x v="4"/>
    <x v="0"/>
    <n v="187"/>
    <n v="149.62"/>
    <x v="0"/>
    <n v="4"/>
    <n v="-37.379999999999903"/>
    <x v="0"/>
  </r>
  <r>
    <s v="TRX-102622"/>
    <x v="563"/>
    <x v="3"/>
    <x v="6"/>
    <x v="2"/>
    <n v="124"/>
    <n v="129.22"/>
    <x v="3"/>
    <n v="29"/>
    <n v="5.21999999999999"/>
    <x v="6"/>
  </r>
  <r>
    <s v="TRX-102623"/>
    <x v="915"/>
    <x v="0"/>
    <x v="4"/>
    <x v="1"/>
    <n v="225"/>
    <n v="407.17"/>
    <x v="0"/>
    <n v="14"/>
    <n v="182.17"/>
    <x v="2"/>
  </r>
  <r>
    <s v="TRX-102624"/>
    <x v="919"/>
    <x v="3"/>
    <x v="1"/>
    <x v="1"/>
    <n v="112"/>
    <n v="386.04"/>
    <x v="2"/>
    <n v="41"/>
    <n v="274.04000000000002"/>
    <x v="6"/>
  </r>
  <r>
    <s v="TRX-102625"/>
    <x v="930"/>
    <x v="0"/>
    <x v="5"/>
    <x v="1"/>
    <n v="230"/>
    <n v="658.66"/>
    <x v="0"/>
    <n v="11"/>
    <n v="428.659999999999"/>
    <x v="9"/>
  </r>
  <r>
    <s v="TRX-102626"/>
    <x v="0"/>
    <x v="0"/>
    <x v="5"/>
    <x v="1"/>
    <n v="226"/>
    <n v="487.33"/>
    <x v="2"/>
    <n v="23"/>
    <n v="261.33"/>
    <x v="0"/>
  </r>
  <r>
    <s v="TRX-102627"/>
    <x v="712"/>
    <x v="2"/>
    <x v="2"/>
    <x v="0"/>
    <n v="212"/>
    <n v="150.38"/>
    <x v="4"/>
    <n v="24"/>
    <n v="-61.62"/>
    <x v="11"/>
  </r>
  <r>
    <s v="TRX-102628"/>
    <x v="47"/>
    <x v="1"/>
    <x v="3"/>
    <x v="0"/>
    <n v="189"/>
    <n v="167.82"/>
    <x v="4"/>
    <n v="36"/>
    <n v="-21.18"/>
    <x v="10"/>
  </r>
  <r>
    <s v="TRX-102629"/>
    <x v="802"/>
    <x v="3"/>
    <x v="2"/>
    <x v="1"/>
    <n v="131"/>
    <n v="253.78"/>
    <x v="4"/>
    <n v="35"/>
    <n v="122.78"/>
    <x v="10"/>
  </r>
  <r>
    <s v="TRX-102630"/>
    <x v="113"/>
    <x v="1"/>
    <x v="5"/>
    <x v="2"/>
    <n v="174"/>
    <n v="213.33"/>
    <x v="2"/>
    <n v="50"/>
    <n v="39.33"/>
    <x v="10"/>
  </r>
  <r>
    <s v="TRX-102631"/>
    <x v="931"/>
    <x v="1"/>
    <x v="5"/>
    <x v="1"/>
    <n v="181"/>
    <n v="259.62"/>
    <x v="1"/>
    <n v="14"/>
    <n v="78.62"/>
    <x v="11"/>
  </r>
  <r>
    <s v="TRX-102632"/>
    <x v="644"/>
    <x v="0"/>
    <x v="5"/>
    <x v="2"/>
    <n v="230"/>
    <n v="328.77"/>
    <x v="3"/>
    <n v="57"/>
    <n v="98.769999999999897"/>
    <x v="4"/>
  </r>
  <r>
    <s v="TRX-102633"/>
    <x v="521"/>
    <x v="2"/>
    <x v="6"/>
    <x v="0"/>
    <n v="213"/>
    <n v="183.08"/>
    <x v="0"/>
    <n v="2"/>
    <n v="-29.919999999999899"/>
    <x v="9"/>
  </r>
  <r>
    <s v="TRX-102634"/>
    <x v="754"/>
    <x v="3"/>
    <x v="4"/>
    <x v="0"/>
    <n v="126"/>
    <n v="65.95"/>
    <x v="0"/>
    <n v="7"/>
    <n v="-60.05"/>
    <x v="11"/>
  </r>
  <r>
    <s v="TRX-102635"/>
    <x v="321"/>
    <x v="4"/>
    <x v="0"/>
    <x v="2"/>
    <n v="200"/>
    <n v="232.14"/>
    <x v="2"/>
    <n v="14"/>
    <n v="32.139999999999901"/>
    <x v="6"/>
  </r>
  <r>
    <s v="TRX-102636"/>
    <x v="701"/>
    <x v="1"/>
    <x v="1"/>
    <x v="0"/>
    <n v="180"/>
    <n v="155.75"/>
    <x v="4"/>
    <n v="45"/>
    <n v="-24.25"/>
    <x v="10"/>
  </r>
  <r>
    <s v="TRX-102637"/>
    <x v="912"/>
    <x v="1"/>
    <x v="2"/>
    <x v="1"/>
    <n v="188"/>
    <n v="623.83000000000004"/>
    <x v="4"/>
    <n v="32"/>
    <n v="435.83"/>
    <x v="1"/>
  </r>
  <r>
    <s v="TRX-102638"/>
    <x v="849"/>
    <x v="4"/>
    <x v="7"/>
    <x v="0"/>
    <n v="206"/>
    <n v="116.35"/>
    <x v="1"/>
    <n v="8"/>
    <n v="-89.65"/>
    <x v="4"/>
  </r>
  <r>
    <s v="TRX-102639"/>
    <x v="613"/>
    <x v="4"/>
    <x v="3"/>
    <x v="0"/>
    <n v="202"/>
    <n v="140.02000000000001"/>
    <x v="1"/>
    <n v="8"/>
    <n v="-61.979999999999897"/>
    <x v="10"/>
  </r>
  <r>
    <s v="TRX-102640"/>
    <x v="634"/>
    <x v="3"/>
    <x v="2"/>
    <x v="2"/>
    <n v="134"/>
    <n v="143.54"/>
    <x v="4"/>
    <n v="8"/>
    <n v="9.5399999999999903"/>
    <x v="7"/>
  </r>
  <r>
    <s v="TRX-102641"/>
    <x v="324"/>
    <x v="0"/>
    <x v="3"/>
    <x v="2"/>
    <n v="228"/>
    <n v="223.63"/>
    <x v="3"/>
    <n v="36"/>
    <n v="-4.37"/>
    <x v="8"/>
  </r>
  <r>
    <s v="TRX-102642"/>
    <x v="868"/>
    <x v="1"/>
    <x v="7"/>
    <x v="1"/>
    <n v="189"/>
    <n v="570.17999999999995"/>
    <x v="2"/>
    <n v="50"/>
    <n v="381.17999999999898"/>
    <x v="8"/>
  </r>
  <r>
    <s v="TRX-102643"/>
    <x v="463"/>
    <x v="0"/>
    <x v="5"/>
    <x v="2"/>
    <n v="229"/>
    <n v="252.5"/>
    <x v="1"/>
    <n v="14"/>
    <n v="23.5"/>
    <x v="10"/>
  </r>
  <r>
    <s v="TRX-102644"/>
    <x v="583"/>
    <x v="3"/>
    <x v="3"/>
    <x v="0"/>
    <n v="124"/>
    <n v="103.38"/>
    <x v="2"/>
    <n v="10"/>
    <n v="-20.62"/>
    <x v="8"/>
  </r>
  <r>
    <s v="TRX-102645"/>
    <x v="50"/>
    <x v="2"/>
    <x v="7"/>
    <x v="2"/>
    <n v="216"/>
    <n v="259"/>
    <x v="0"/>
    <n v="9"/>
    <n v="43"/>
    <x v="0"/>
  </r>
  <r>
    <s v="TRX-102646"/>
    <x v="886"/>
    <x v="4"/>
    <x v="6"/>
    <x v="1"/>
    <n v="208"/>
    <n v="400.92"/>
    <x v="0"/>
    <n v="12"/>
    <n v="192.92"/>
    <x v="11"/>
  </r>
  <r>
    <s v="TRX-102647"/>
    <x v="640"/>
    <x v="1"/>
    <x v="0"/>
    <x v="0"/>
    <n v="190"/>
    <n v="138.63"/>
    <x v="1"/>
    <n v="13"/>
    <n v="-51.37"/>
    <x v="10"/>
  </r>
  <r>
    <s v="TRX-102648"/>
    <x v="4"/>
    <x v="4"/>
    <x v="7"/>
    <x v="0"/>
    <n v="202"/>
    <n v="130.75"/>
    <x v="1"/>
    <n v="10"/>
    <n v="-71.25"/>
    <x v="3"/>
  </r>
  <r>
    <s v="TRX-102649"/>
    <x v="377"/>
    <x v="4"/>
    <x v="0"/>
    <x v="2"/>
    <n v="201"/>
    <n v="234.81"/>
    <x v="2"/>
    <n v="21"/>
    <n v="33.81"/>
    <x v="11"/>
  </r>
  <r>
    <s v="TRX-102650"/>
    <x v="489"/>
    <x v="2"/>
    <x v="7"/>
    <x v="0"/>
    <n v="225"/>
    <n v="193.6"/>
    <x v="4"/>
    <n v="20"/>
    <n v="-31.4"/>
    <x v="4"/>
  </r>
  <r>
    <s v="TRX-102651"/>
    <x v="564"/>
    <x v="2"/>
    <x v="8"/>
    <x v="0"/>
    <n v="216"/>
    <n v="191.46"/>
    <x v="0"/>
    <n v="7"/>
    <n v="-24.5399999999999"/>
    <x v="11"/>
  </r>
  <r>
    <s v="TRX-102652"/>
    <x v="213"/>
    <x v="0"/>
    <x v="8"/>
    <x v="1"/>
    <n v="226"/>
    <n v="297.89"/>
    <x v="2"/>
    <n v="52"/>
    <n v="71.889999999999901"/>
    <x v="2"/>
  </r>
  <r>
    <s v="TRX-102653"/>
    <x v="855"/>
    <x v="3"/>
    <x v="6"/>
    <x v="1"/>
    <n v="116"/>
    <n v="366.98"/>
    <x v="0"/>
    <n v="7"/>
    <n v="250.98"/>
    <x v="2"/>
  </r>
  <r>
    <s v="TRX-102654"/>
    <x v="705"/>
    <x v="0"/>
    <x v="7"/>
    <x v="0"/>
    <n v="225"/>
    <n v="170.96"/>
    <x v="3"/>
    <n v="17"/>
    <n v="-54.0399999999999"/>
    <x v="3"/>
  </r>
  <r>
    <s v="TRX-102655"/>
    <x v="431"/>
    <x v="3"/>
    <x v="3"/>
    <x v="2"/>
    <n v="115"/>
    <n v="171.62"/>
    <x v="0"/>
    <n v="4"/>
    <n v="56.62"/>
    <x v="5"/>
  </r>
  <r>
    <s v="TRX-102656"/>
    <x v="2"/>
    <x v="1"/>
    <x v="6"/>
    <x v="1"/>
    <n v="189"/>
    <n v="469.5"/>
    <x v="0"/>
    <n v="2"/>
    <n v="280.5"/>
    <x v="1"/>
  </r>
  <r>
    <s v="TRX-102657"/>
    <x v="924"/>
    <x v="3"/>
    <x v="5"/>
    <x v="0"/>
    <n v="110"/>
    <n v="70.36"/>
    <x v="3"/>
    <n v="34"/>
    <n v="-39.64"/>
    <x v="7"/>
  </r>
  <r>
    <s v="TRX-102658"/>
    <x v="826"/>
    <x v="4"/>
    <x v="7"/>
    <x v="0"/>
    <n v="210"/>
    <n v="120.08"/>
    <x v="1"/>
    <n v="2"/>
    <n v="-89.92"/>
    <x v="0"/>
  </r>
  <r>
    <s v="TRX-102659"/>
    <x v="932"/>
    <x v="0"/>
    <x v="1"/>
    <x v="0"/>
    <n v="227"/>
    <n v="145.07"/>
    <x v="1"/>
    <n v="4"/>
    <n v="-81.93"/>
    <x v="9"/>
  </r>
  <r>
    <s v="TRX-102660"/>
    <x v="209"/>
    <x v="2"/>
    <x v="7"/>
    <x v="0"/>
    <n v="222"/>
    <n v="143.51"/>
    <x v="4"/>
    <n v="41"/>
    <n v="-78.489999999999995"/>
    <x v="3"/>
  </r>
  <r>
    <s v="TRX-102661"/>
    <x v="591"/>
    <x v="2"/>
    <x v="8"/>
    <x v="0"/>
    <n v="224"/>
    <n v="185.54"/>
    <x v="3"/>
    <n v="48"/>
    <n v="-38.46"/>
    <x v="9"/>
  </r>
  <r>
    <s v="TRX-102662"/>
    <x v="643"/>
    <x v="4"/>
    <x v="3"/>
    <x v="0"/>
    <n v="204"/>
    <n v="183.36"/>
    <x v="4"/>
    <n v="44"/>
    <n v="-20.639999999999901"/>
    <x v="7"/>
  </r>
  <r>
    <s v="TRX-102663"/>
    <x v="875"/>
    <x v="1"/>
    <x v="5"/>
    <x v="2"/>
    <n v="177"/>
    <n v="230.74"/>
    <x v="2"/>
    <n v="39"/>
    <n v="53.74"/>
    <x v="8"/>
  </r>
  <r>
    <s v="TRX-102664"/>
    <x v="266"/>
    <x v="3"/>
    <x v="3"/>
    <x v="1"/>
    <n v="120"/>
    <n v="378.23"/>
    <x v="4"/>
    <n v="30"/>
    <n v="258.23"/>
    <x v="0"/>
  </r>
  <r>
    <s v="TRX-102665"/>
    <x v="487"/>
    <x v="0"/>
    <x v="6"/>
    <x v="2"/>
    <n v="228"/>
    <n v="320.14"/>
    <x v="4"/>
    <n v="6"/>
    <n v="92.139999999999901"/>
    <x v="5"/>
  </r>
  <r>
    <s v="TRX-102666"/>
    <x v="537"/>
    <x v="3"/>
    <x v="3"/>
    <x v="0"/>
    <n v="114"/>
    <n v="89.37"/>
    <x v="4"/>
    <n v="12"/>
    <n v="-24.6299999999999"/>
    <x v="8"/>
  </r>
  <r>
    <s v="TRX-102667"/>
    <x v="839"/>
    <x v="1"/>
    <x v="6"/>
    <x v="0"/>
    <n v="182"/>
    <n v="139.94"/>
    <x v="1"/>
    <n v="9"/>
    <n v="-42.06"/>
    <x v="11"/>
  </r>
  <r>
    <s v="TRX-102668"/>
    <x v="168"/>
    <x v="2"/>
    <x v="7"/>
    <x v="1"/>
    <n v="218"/>
    <n v="688.9"/>
    <x v="2"/>
    <n v="45"/>
    <n v="470.9"/>
    <x v="5"/>
  </r>
  <r>
    <s v="TRX-102669"/>
    <x v="403"/>
    <x v="2"/>
    <x v="7"/>
    <x v="0"/>
    <n v="224"/>
    <n v="140.85"/>
    <x v="4"/>
    <n v="10"/>
    <n v="-83.15"/>
    <x v="11"/>
  </r>
  <r>
    <s v="TRX-102670"/>
    <x v="734"/>
    <x v="2"/>
    <x v="1"/>
    <x v="2"/>
    <n v="222"/>
    <n v="268.47000000000003"/>
    <x v="0"/>
    <n v="8"/>
    <n v="46.47"/>
    <x v="11"/>
  </r>
  <r>
    <s v="TRX-102671"/>
    <x v="383"/>
    <x v="2"/>
    <x v="2"/>
    <x v="1"/>
    <n v="222"/>
    <n v="534.84"/>
    <x v="2"/>
    <n v="8"/>
    <n v="312.83999999999997"/>
    <x v="3"/>
  </r>
  <r>
    <s v="TRX-102672"/>
    <x v="574"/>
    <x v="3"/>
    <x v="8"/>
    <x v="2"/>
    <n v="135"/>
    <n v="138.54"/>
    <x v="4"/>
    <n v="52"/>
    <n v="3.5399999999999898"/>
    <x v="6"/>
  </r>
  <r>
    <s v="TRX-102673"/>
    <x v="317"/>
    <x v="0"/>
    <x v="0"/>
    <x v="1"/>
    <n v="228"/>
    <n v="707.94"/>
    <x v="0"/>
    <n v="2"/>
    <n v="479.94"/>
    <x v="6"/>
  </r>
  <r>
    <s v="TRX-102674"/>
    <x v="370"/>
    <x v="3"/>
    <x v="6"/>
    <x v="1"/>
    <n v="115"/>
    <n v="330.56"/>
    <x v="4"/>
    <n v="47"/>
    <n v="215.56"/>
    <x v="11"/>
  </r>
  <r>
    <s v="TRX-102675"/>
    <x v="833"/>
    <x v="3"/>
    <x v="7"/>
    <x v="1"/>
    <n v="119"/>
    <n v="356.94"/>
    <x v="2"/>
    <n v="59"/>
    <n v="237.94"/>
    <x v="1"/>
  </r>
  <r>
    <s v="TRX-102676"/>
    <x v="933"/>
    <x v="3"/>
    <x v="1"/>
    <x v="1"/>
    <n v="123"/>
    <n v="337.92"/>
    <x v="2"/>
    <n v="7"/>
    <n v="214.92"/>
    <x v="6"/>
  </r>
  <r>
    <s v="TRX-102677"/>
    <x v="934"/>
    <x v="4"/>
    <x v="8"/>
    <x v="1"/>
    <n v="206"/>
    <n v="472.75"/>
    <x v="0"/>
    <n v="3"/>
    <n v="266.75"/>
    <x v="0"/>
  </r>
  <r>
    <s v="TRX-102678"/>
    <x v="289"/>
    <x v="1"/>
    <x v="8"/>
    <x v="1"/>
    <n v="173"/>
    <n v="353.58"/>
    <x v="3"/>
    <n v="54"/>
    <n v="180.57999999999899"/>
    <x v="1"/>
  </r>
  <r>
    <s v="TRX-102679"/>
    <x v="242"/>
    <x v="2"/>
    <x v="1"/>
    <x v="2"/>
    <n v="221"/>
    <n v="328.54"/>
    <x v="4"/>
    <n v="25"/>
    <n v="107.54"/>
    <x v="9"/>
  </r>
  <r>
    <s v="TRX-102680"/>
    <x v="935"/>
    <x v="2"/>
    <x v="0"/>
    <x v="2"/>
    <n v="215"/>
    <n v="290.88"/>
    <x v="3"/>
    <n v="49"/>
    <n v="75.88"/>
    <x v="3"/>
  </r>
  <r>
    <s v="TRX-102681"/>
    <x v="577"/>
    <x v="4"/>
    <x v="0"/>
    <x v="1"/>
    <n v="210"/>
    <n v="324.02999999999997"/>
    <x v="1"/>
    <n v="8"/>
    <n v="114.02999999999901"/>
    <x v="11"/>
  </r>
  <r>
    <s v="TRX-102682"/>
    <x v="936"/>
    <x v="1"/>
    <x v="4"/>
    <x v="1"/>
    <n v="179"/>
    <n v="561.29"/>
    <x v="0"/>
    <n v="2"/>
    <n v="382.289999999999"/>
    <x v="11"/>
  </r>
  <r>
    <s v="TRX-102683"/>
    <x v="238"/>
    <x v="1"/>
    <x v="1"/>
    <x v="0"/>
    <n v="183"/>
    <n v="145.47999999999999"/>
    <x v="0"/>
    <n v="14"/>
    <n v="-37.520000000000003"/>
    <x v="3"/>
  </r>
  <r>
    <s v="TRX-102684"/>
    <x v="430"/>
    <x v="4"/>
    <x v="2"/>
    <x v="2"/>
    <n v="204"/>
    <n v="184.03"/>
    <x v="4"/>
    <n v="39"/>
    <n v="-19.97"/>
    <x v="3"/>
  </r>
  <r>
    <s v="TRX-102685"/>
    <x v="937"/>
    <x v="1"/>
    <x v="7"/>
    <x v="1"/>
    <n v="184"/>
    <n v="275.13"/>
    <x v="3"/>
    <n v="60"/>
    <n v="91.13"/>
    <x v="3"/>
  </r>
  <r>
    <s v="TRX-102686"/>
    <x v="156"/>
    <x v="1"/>
    <x v="8"/>
    <x v="1"/>
    <n v="190"/>
    <n v="624.03"/>
    <x v="0"/>
    <n v="7"/>
    <n v="434.03"/>
    <x v="10"/>
  </r>
  <r>
    <s v="TRX-102687"/>
    <x v="800"/>
    <x v="4"/>
    <x v="7"/>
    <x v="2"/>
    <n v="201"/>
    <n v="190.4"/>
    <x v="0"/>
    <n v="3"/>
    <n v="-10.5999999999999"/>
    <x v="1"/>
  </r>
  <r>
    <s v="TRX-102688"/>
    <x v="607"/>
    <x v="1"/>
    <x v="7"/>
    <x v="2"/>
    <n v="171"/>
    <n v="162.80000000000001"/>
    <x v="4"/>
    <n v="5"/>
    <n v="-8.1999999999999797"/>
    <x v="9"/>
  </r>
  <r>
    <s v="TRX-102689"/>
    <x v="938"/>
    <x v="3"/>
    <x v="5"/>
    <x v="2"/>
    <n v="134"/>
    <n v="127.35"/>
    <x v="3"/>
    <n v="17"/>
    <n v="-6.65"/>
    <x v="10"/>
  </r>
  <r>
    <s v="TRX-102690"/>
    <x v="604"/>
    <x v="1"/>
    <x v="5"/>
    <x v="1"/>
    <n v="184"/>
    <n v="311"/>
    <x v="2"/>
    <n v="37"/>
    <n v="127"/>
    <x v="10"/>
  </r>
  <r>
    <s v="TRX-102691"/>
    <x v="779"/>
    <x v="3"/>
    <x v="2"/>
    <x v="1"/>
    <n v="131"/>
    <n v="288.81"/>
    <x v="4"/>
    <n v="10"/>
    <n v="157.81"/>
    <x v="10"/>
  </r>
  <r>
    <s v="TRX-102692"/>
    <x v="525"/>
    <x v="0"/>
    <x v="2"/>
    <x v="2"/>
    <n v="227"/>
    <n v="260.25"/>
    <x v="2"/>
    <n v="13"/>
    <n v="33.25"/>
    <x v="3"/>
  </r>
  <r>
    <s v="TRX-102693"/>
    <x v="759"/>
    <x v="4"/>
    <x v="8"/>
    <x v="1"/>
    <n v="207"/>
    <n v="612.83000000000004"/>
    <x v="3"/>
    <n v="29"/>
    <n v="405.83"/>
    <x v="7"/>
  </r>
  <r>
    <s v="TRX-102694"/>
    <x v="917"/>
    <x v="0"/>
    <x v="8"/>
    <x v="1"/>
    <n v="229"/>
    <n v="579.91999999999996"/>
    <x v="3"/>
    <n v="40"/>
    <n v="350.91999999999899"/>
    <x v="11"/>
  </r>
  <r>
    <s v="TRX-102695"/>
    <x v="193"/>
    <x v="1"/>
    <x v="5"/>
    <x v="0"/>
    <n v="170"/>
    <n v="101.21"/>
    <x v="0"/>
    <n v="5"/>
    <n v="-68.790000000000006"/>
    <x v="0"/>
  </r>
  <r>
    <s v="TRX-102696"/>
    <x v="319"/>
    <x v="3"/>
    <x v="1"/>
    <x v="2"/>
    <n v="121"/>
    <n v="130.5"/>
    <x v="0"/>
    <n v="11"/>
    <n v="9.5"/>
    <x v="6"/>
  </r>
  <r>
    <s v="TRX-102697"/>
    <x v="24"/>
    <x v="4"/>
    <x v="3"/>
    <x v="2"/>
    <n v="209"/>
    <n v="250.07"/>
    <x v="1"/>
    <n v="14"/>
    <n v="41.069999999999901"/>
    <x v="4"/>
  </r>
  <r>
    <s v="TRX-102698"/>
    <x v="165"/>
    <x v="2"/>
    <x v="1"/>
    <x v="2"/>
    <n v="224"/>
    <n v="242.8"/>
    <x v="2"/>
    <n v="45"/>
    <n v="18.8"/>
    <x v="11"/>
  </r>
  <r>
    <s v="TRX-102699"/>
    <x v="10"/>
    <x v="4"/>
    <x v="1"/>
    <x v="0"/>
    <n v="202"/>
    <n v="110.04"/>
    <x v="1"/>
    <n v="1"/>
    <n v="-91.96"/>
    <x v="5"/>
  </r>
  <r>
    <s v="TRX-102700"/>
    <x v="356"/>
    <x v="4"/>
    <x v="7"/>
    <x v="0"/>
    <n v="202"/>
    <n v="125.04"/>
    <x v="3"/>
    <n v="59"/>
    <n v="-76.959999999999994"/>
    <x v="8"/>
  </r>
  <r>
    <s v="TRX-102701"/>
    <x v="585"/>
    <x v="3"/>
    <x v="6"/>
    <x v="2"/>
    <n v="131"/>
    <n v="125.45"/>
    <x v="0"/>
    <n v="10"/>
    <n v="-5.5499999999999901"/>
    <x v="7"/>
  </r>
  <r>
    <s v="TRX-102702"/>
    <x v="59"/>
    <x v="3"/>
    <x v="2"/>
    <x v="0"/>
    <n v="132"/>
    <n v="105.22"/>
    <x v="1"/>
    <n v="2"/>
    <n v="-26.78"/>
    <x v="9"/>
  </r>
  <r>
    <s v="TRX-102703"/>
    <x v="692"/>
    <x v="3"/>
    <x v="0"/>
    <x v="2"/>
    <n v="131"/>
    <n v="139.11000000000001"/>
    <x v="0"/>
    <n v="3"/>
    <n v="8.1100000000000101"/>
    <x v="3"/>
  </r>
  <r>
    <s v="TRX-102704"/>
    <x v="618"/>
    <x v="4"/>
    <x v="7"/>
    <x v="0"/>
    <n v="210"/>
    <n v="176.46"/>
    <x v="3"/>
    <n v="23"/>
    <n v="-33.5399999999999"/>
    <x v="11"/>
  </r>
  <r>
    <s v="TRX-102705"/>
    <x v="886"/>
    <x v="1"/>
    <x v="1"/>
    <x v="1"/>
    <n v="173"/>
    <n v="400.73"/>
    <x v="3"/>
    <n v="32"/>
    <n v="227.73"/>
    <x v="11"/>
  </r>
  <r>
    <s v="TRX-102706"/>
    <x v="137"/>
    <x v="4"/>
    <x v="4"/>
    <x v="0"/>
    <n v="205"/>
    <n v="142"/>
    <x v="3"/>
    <n v="28"/>
    <n v="-63"/>
    <x v="6"/>
  </r>
  <r>
    <s v="TRX-102707"/>
    <x v="746"/>
    <x v="1"/>
    <x v="6"/>
    <x v="0"/>
    <n v="172"/>
    <n v="110.31"/>
    <x v="0"/>
    <n v="7"/>
    <n v="-61.69"/>
    <x v="2"/>
  </r>
  <r>
    <s v="TRX-102708"/>
    <x v="456"/>
    <x v="1"/>
    <x v="4"/>
    <x v="1"/>
    <n v="186"/>
    <n v="402.69"/>
    <x v="1"/>
    <n v="1"/>
    <n v="216.69"/>
    <x v="1"/>
  </r>
  <r>
    <s v="TRX-102709"/>
    <x v="376"/>
    <x v="4"/>
    <x v="2"/>
    <x v="0"/>
    <n v="210"/>
    <n v="175.88"/>
    <x v="4"/>
    <n v="22"/>
    <n v="-34.119999999999997"/>
    <x v="6"/>
  </r>
  <r>
    <s v="TRX-102710"/>
    <x v="219"/>
    <x v="3"/>
    <x v="2"/>
    <x v="2"/>
    <n v="133"/>
    <n v="194.25"/>
    <x v="4"/>
    <n v="54"/>
    <n v="61.25"/>
    <x v="6"/>
  </r>
  <r>
    <s v="TRX-102711"/>
    <x v="651"/>
    <x v="3"/>
    <x v="0"/>
    <x v="0"/>
    <n v="122"/>
    <n v="76.739999999999995"/>
    <x v="2"/>
    <n v="26"/>
    <n v="-45.26"/>
    <x v="7"/>
  </r>
  <r>
    <s v="TRX-102712"/>
    <x v="374"/>
    <x v="4"/>
    <x v="7"/>
    <x v="1"/>
    <n v="208"/>
    <n v="526.64"/>
    <x v="0"/>
    <n v="8"/>
    <n v="318.64"/>
    <x v="0"/>
  </r>
  <r>
    <s v="TRX-102713"/>
    <x v="555"/>
    <x v="2"/>
    <x v="3"/>
    <x v="1"/>
    <n v="223"/>
    <n v="274.67"/>
    <x v="0"/>
    <n v="5"/>
    <n v="51.67"/>
    <x v="2"/>
  </r>
  <r>
    <s v="TRX-102714"/>
    <x v="143"/>
    <x v="4"/>
    <x v="4"/>
    <x v="1"/>
    <n v="208"/>
    <n v="503.2"/>
    <x v="0"/>
    <n v="2"/>
    <n v="295.2"/>
    <x v="7"/>
  </r>
  <r>
    <s v="TRX-102715"/>
    <x v="652"/>
    <x v="0"/>
    <x v="4"/>
    <x v="2"/>
    <n v="230"/>
    <n v="294.44"/>
    <x v="4"/>
    <n v="53"/>
    <n v="64.44"/>
    <x v="0"/>
  </r>
  <r>
    <s v="TRX-102716"/>
    <x v="739"/>
    <x v="0"/>
    <x v="0"/>
    <x v="1"/>
    <n v="228"/>
    <n v="430.17"/>
    <x v="0"/>
    <n v="6"/>
    <n v="202.17"/>
    <x v="9"/>
  </r>
  <r>
    <s v="TRX-102717"/>
    <x v="691"/>
    <x v="3"/>
    <x v="6"/>
    <x v="2"/>
    <n v="127"/>
    <n v="132.97999999999999"/>
    <x v="2"/>
    <n v="42"/>
    <n v="5.9799999999999898"/>
    <x v="8"/>
  </r>
  <r>
    <s v="TRX-102718"/>
    <x v="298"/>
    <x v="0"/>
    <x v="2"/>
    <x v="0"/>
    <n v="228"/>
    <n v="161.84"/>
    <x v="4"/>
    <n v="32"/>
    <n v="-66.16"/>
    <x v="6"/>
  </r>
  <r>
    <s v="TRX-102719"/>
    <x v="939"/>
    <x v="0"/>
    <x v="6"/>
    <x v="1"/>
    <n v="225"/>
    <n v="682.21"/>
    <x v="4"/>
    <n v="48"/>
    <n v="457.21"/>
    <x v="10"/>
  </r>
  <r>
    <s v="TRX-102720"/>
    <x v="702"/>
    <x v="0"/>
    <x v="4"/>
    <x v="0"/>
    <n v="229"/>
    <n v="145.77000000000001"/>
    <x v="1"/>
    <n v="13"/>
    <n v="-83.229999999999905"/>
    <x v="7"/>
  </r>
  <r>
    <s v="TRX-102721"/>
    <x v="862"/>
    <x v="1"/>
    <x v="0"/>
    <x v="1"/>
    <n v="179"/>
    <n v="581.07000000000005"/>
    <x v="4"/>
    <n v="23"/>
    <n v="402.07"/>
    <x v="2"/>
  </r>
  <r>
    <s v="TRX-102722"/>
    <x v="85"/>
    <x v="2"/>
    <x v="6"/>
    <x v="1"/>
    <n v="213"/>
    <n v="334.49"/>
    <x v="0"/>
    <n v="12"/>
    <n v="121.49"/>
    <x v="1"/>
  </r>
  <r>
    <s v="TRX-102723"/>
    <x v="803"/>
    <x v="0"/>
    <x v="4"/>
    <x v="1"/>
    <n v="226"/>
    <n v="407.97"/>
    <x v="3"/>
    <n v="38"/>
    <n v="181.97"/>
    <x v="11"/>
  </r>
  <r>
    <s v="TRX-102724"/>
    <x v="940"/>
    <x v="4"/>
    <x v="8"/>
    <x v="0"/>
    <n v="204"/>
    <n v="155.08000000000001"/>
    <x v="0"/>
    <n v="5"/>
    <n v="-48.919999999999902"/>
    <x v="2"/>
  </r>
  <r>
    <s v="TRX-102725"/>
    <x v="403"/>
    <x v="3"/>
    <x v="2"/>
    <x v="1"/>
    <n v="115"/>
    <n v="352.87"/>
    <x v="4"/>
    <n v="44"/>
    <n v="237.87"/>
    <x v="11"/>
  </r>
  <r>
    <s v="TRX-102726"/>
    <x v="616"/>
    <x v="1"/>
    <x v="1"/>
    <x v="0"/>
    <n v="178"/>
    <n v="101.47"/>
    <x v="2"/>
    <n v="44"/>
    <n v="-76.53"/>
    <x v="10"/>
  </r>
  <r>
    <s v="TRX-102727"/>
    <x v="147"/>
    <x v="0"/>
    <x v="7"/>
    <x v="2"/>
    <n v="229"/>
    <n v="289.87"/>
    <x v="3"/>
    <n v="44"/>
    <n v="60.87"/>
    <x v="4"/>
  </r>
  <r>
    <s v="TRX-102728"/>
    <x v="137"/>
    <x v="3"/>
    <x v="6"/>
    <x v="2"/>
    <n v="127"/>
    <n v="182.87"/>
    <x v="4"/>
    <n v="15"/>
    <n v="55.87"/>
    <x v="6"/>
  </r>
  <r>
    <s v="TRX-102729"/>
    <x v="784"/>
    <x v="2"/>
    <x v="6"/>
    <x v="0"/>
    <n v="212"/>
    <n v="179.45"/>
    <x v="2"/>
    <n v="26"/>
    <n v="-32.549999999999997"/>
    <x v="11"/>
  </r>
  <r>
    <s v="TRX-102730"/>
    <x v="941"/>
    <x v="2"/>
    <x v="5"/>
    <x v="0"/>
    <n v="223"/>
    <n v="171.87"/>
    <x v="3"/>
    <n v="60"/>
    <n v="-51.129999999999903"/>
    <x v="3"/>
  </r>
  <r>
    <s v="TRX-102731"/>
    <x v="710"/>
    <x v="3"/>
    <x v="2"/>
    <x v="0"/>
    <n v="126"/>
    <n v="71.7"/>
    <x v="2"/>
    <n v="36"/>
    <n v="-54.3"/>
    <x v="7"/>
  </r>
  <r>
    <s v="TRX-102732"/>
    <x v="452"/>
    <x v="0"/>
    <x v="4"/>
    <x v="2"/>
    <n v="226"/>
    <n v="336.86"/>
    <x v="1"/>
    <n v="8"/>
    <n v="110.86"/>
    <x v="6"/>
  </r>
  <r>
    <s v="TRX-102733"/>
    <x v="942"/>
    <x v="4"/>
    <x v="7"/>
    <x v="0"/>
    <n v="201"/>
    <n v="172.11"/>
    <x v="4"/>
    <n v="26"/>
    <n v="-28.889999999999901"/>
    <x v="7"/>
  </r>
  <r>
    <s v="TRX-102734"/>
    <x v="41"/>
    <x v="4"/>
    <x v="4"/>
    <x v="0"/>
    <n v="208"/>
    <n v="168.54"/>
    <x v="2"/>
    <n v="29"/>
    <n v="-39.46"/>
    <x v="5"/>
  </r>
  <r>
    <s v="TRX-102735"/>
    <x v="506"/>
    <x v="0"/>
    <x v="5"/>
    <x v="2"/>
    <n v="227"/>
    <n v="247.98"/>
    <x v="3"/>
    <n v="5"/>
    <n v="20.979999999999901"/>
    <x v="1"/>
  </r>
  <r>
    <s v="TRX-102736"/>
    <x v="943"/>
    <x v="3"/>
    <x v="1"/>
    <x v="0"/>
    <n v="115"/>
    <n v="82.43"/>
    <x v="2"/>
    <n v="56"/>
    <n v="-32.569999999999901"/>
    <x v="7"/>
  </r>
  <r>
    <s v="TRX-102737"/>
    <x v="400"/>
    <x v="1"/>
    <x v="0"/>
    <x v="1"/>
    <n v="180"/>
    <n v="274.58999999999997"/>
    <x v="0"/>
    <n v="1"/>
    <n v="94.589999999999904"/>
    <x v="3"/>
  </r>
  <r>
    <s v="TRX-102738"/>
    <x v="154"/>
    <x v="4"/>
    <x v="6"/>
    <x v="0"/>
    <n v="205"/>
    <n v="173.24"/>
    <x v="0"/>
    <n v="10"/>
    <n v="-31.759999999999899"/>
    <x v="2"/>
  </r>
  <r>
    <s v="TRX-102739"/>
    <x v="264"/>
    <x v="4"/>
    <x v="5"/>
    <x v="0"/>
    <n v="210"/>
    <n v="138.96"/>
    <x v="4"/>
    <n v="38"/>
    <n v="-71.039999999999907"/>
    <x v="6"/>
  </r>
  <r>
    <s v="TRX-102740"/>
    <x v="920"/>
    <x v="2"/>
    <x v="7"/>
    <x v="1"/>
    <n v="220"/>
    <n v="761.34"/>
    <x v="2"/>
    <n v="49"/>
    <n v="541.34"/>
    <x v="4"/>
  </r>
  <r>
    <s v="TRX-102741"/>
    <x v="117"/>
    <x v="0"/>
    <x v="0"/>
    <x v="0"/>
    <n v="225"/>
    <n v="127.44"/>
    <x v="3"/>
    <n v="22"/>
    <n v="-97.56"/>
    <x v="6"/>
  </r>
  <r>
    <s v="TRX-102742"/>
    <x v="642"/>
    <x v="2"/>
    <x v="5"/>
    <x v="2"/>
    <n v="213"/>
    <n v="295.87"/>
    <x v="1"/>
    <n v="5"/>
    <n v="82.87"/>
    <x v="11"/>
  </r>
  <r>
    <s v="TRX-102743"/>
    <x v="365"/>
    <x v="3"/>
    <x v="2"/>
    <x v="1"/>
    <n v="126"/>
    <n v="359.17"/>
    <x v="3"/>
    <n v="41"/>
    <n v="233.17"/>
    <x v="10"/>
  </r>
  <r>
    <s v="TRX-102744"/>
    <x v="270"/>
    <x v="2"/>
    <x v="5"/>
    <x v="0"/>
    <n v="213"/>
    <n v="182.45"/>
    <x v="2"/>
    <n v="42"/>
    <n v="-30.55"/>
    <x v="5"/>
  </r>
  <r>
    <s v="TRX-102745"/>
    <x v="6"/>
    <x v="4"/>
    <x v="0"/>
    <x v="1"/>
    <n v="200"/>
    <n v="641.94000000000005"/>
    <x v="1"/>
    <n v="5"/>
    <n v="441.94"/>
    <x v="4"/>
  </r>
  <r>
    <s v="TRX-102746"/>
    <x v="448"/>
    <x v="1"/>
    <x v="6"/>
    <x v="1"/>
    <n v="177"/>
    <n v="286.12"/>
    <x v="1"/>
    <n v="9"/>
    <n v="109.12"/>
    <x v="4"/>
  </r>
  <r>
    <s v="TRX-102747"/>
    <x v="86"/>
    <x v="4"/>
    <x v="6"/>
    <x v="1"/>
    <n v="200"/>
    <n v="366.11"/>
    <x v="2"/>
    <n v="48"/>
    <n v="166.11"/>
    <x v="6"/>
  </r>
  <r>
    <s v="TRX-102748"/>
    <x v="841"/>
    <x v="1"/>
    <x v="6"/>
    <x v="0"/>
    <n v="176"/>
    <n v="117.66"/>
    <x v="4"/>
    <n v="52"/>
    <n v="-58.34"/>
    <x v="2"/>
  </r>
  <r>
    <s v="TRX-102749"/>
    <x v="617"/>
    <x v="0"/>
    <x v="1"/>
    <x v="2"/>
    <n v="228"/>
    <n v="290.93"/>
    <x v="4"/>
    <n v="22"/>
    <n v="62.93"/>
    <x v="11"/>
  </r>
  <r>
    <s v="TRX-102750"/>
    <x v="334"/>
    <x v="4"/>
    <x v="7"/>
    <x v="1"/>
    <n v="210"/>
    <n v="525.27"/>
    <x v="0"/>
    <n v="1"/>
    <n v="315.27"/>
    <x v="9"/>
  </r>
  <r>
    <s v="TRX-102751"/>
    <x v="397"/>
    <x v="2"/>
    <x v="2"/>
    <x v="0"/>
    <n v="224"/>
    <n v="168.75"/>
    <x v="0"/>
    <n v="4"/>
    <n v="-55.25"/>
    <x v="3"/>
  </r>
  <r>
    <s v="TRX-102752"/>
    <x v="146"/>
    <x v="2"/>
    <x v="6"/>
    <x v="2"/>
    <n v="216"/>
    <n v="210.99"/>
    <x v="4"/>
    <n v="58"/>
    <n v="-5.00999999999999"/>
    <x v="9"/>
  </r>
  <r>
    <s v="TRX-102753"/>
    <x v="399"/>
    <x v="2"/>
    <x v="0"/>
    <x v="1"/>
    <n v="220"/>
    <n v="322.95"/>
    <x v="4"/>
    <n v="51"/>
    <n v="102.94999999999899"/>
    <x v="4"/>
  </r>
  <r>
    <s v="TRX-102754"/>
    <x v="357"/>
    <x v="1"/>
    <x v="2"/>
    <x v="2"/>
    <n v="183"/>
    <n v="270.64"/>
    <x v="4"/>
    <n v="36"/>
    <n v="87.639999999999901"/>
    <x v="8"/>
  </r>
  <r>
    <s v="TRX-102755"/>
    <x v="2"/>
    <x v="1"/>
    <x v="4"/>
    <x v="1"/>
    <n v="175"/>
    <n v="422.92"/>
    <x v="0"/>
    <n v="11"/>
    <n v="247.92"/>
    <x v="1"/>
  </r>
  <r>
    <s v="TRX-102756"/>
    <x v="656"/>
    <x v="3"/>
    <x v="4"/>
    <x v="2"/>
    <n v="136"/>
    <n v="126.21"/>
    <x v="3"/>
    <n v="44"/>
    <n v="-9.7899999999999991"/>
    <x v="8"/>
  </r>
  <r>
    <s v="TRX-102757"/>
    <x v="356"/>
    <x v="2"/>
    <x v="3"/>
    <x v="1"/>
    <n v="216"/>
    <n v="561.88"/>
    <x v="3"/>
    <n v="60"/>
    <n v="345.88"/>
    <x v="8"/>
  </r>
  <r>
    <s v="TRX-102758"/>
    <x v="376"/>
    <x v="2"/>
    <x v="6"/>
    <x v="1"/>
    <n v="217"/>
    <n v="498.82"/>
    <x v="1"/>
    <n v="8"/>
    <n v="281.82"/>
    <x v="6"/>
  </r>
  <r>
    <s v="TRX-102759"/>
    <x v="802"/>
    <x v="3"/>
    <x v="8"/>
    <x v="2"/>
    <n v="133"/>
    <n v="184.37"/>
    <x v="4"/>
    <n v="13"/>
    <n v="51.37"/>
    <x v="10"/>
  </r>
  <r>
    <s v="TRX-102760"/>
    <x v="796"/>
    <x v="0"/>
    <x v="1"/>
    <x v="0"/>
    <n v="227"/>
    <n v="160.75"/>
    <x v="0"/>
    <n v="6"/>
    <n v="-66.25"/>
    <x v="7"/>
  </r>
  <r>
    <s v="TRX-102761"/>
    <x v="172"/>
    <x v="3"/>
    <x v="2"/>
    <x v="0"/>
    <n v="135"/>
    <n v="87.27"/>
    <x v="4"/>
    <n v="43"/>
    <n v="-47.73"/>
    <x v="0"/>
  </r>
  <r>
    <s v="TRX-102762"/>
    <x v="882"/>
    <x v="2"/>
    <x v="0"/>
    <x v="2"/>
    <n v="213"/>
    <n v="308.14999999999998"/>
    <x v="3"/>
    <n v="14"/>
    <n v="95.149999999999906"/>
    <x v="1"/>
  </r>
  <r>
    <s v="TRX-102763"/>
    <x v="16"/>
    <x v="2"/>
    <x v="4"/>
    <x v="0"/>
    <n v="224"/>
    <n v="116.96"/>
    <x v="1"/>
    <n v="3"/>
    <n v="-107.04"/>
    <x v="3"/>
  </r>
  <r>
    <s v="TRX-102764"/>
    <x v="195"/>
    <x v="3"/>
    <x v="5"/>
    <x v="2"/>
    <n v="122"/>
    <n v="122.19"/>
    <x v="3"/>
    <n v="56"/>
    <n v="0.189999999999997"/>
    <x v="5"/>
  </r>
  <r>
    <s v="TRX-102765"/>
    <x v="638"/>
    <x v="2"/>
    <x v="3"/>
    <x v="1"/>
    <n v="220"/>
    <n v="722.05"/>
    <x v="2"/>
    <n v="50"/>
    <n v="502.04999999999899"/>
    <x v="3"/>
  </r>
  <r>
    <s v="TRX-102766"/>
    <x v="144"/>
    <x v="0"/>
    <x v="8"/>
    <x v="1"/>
    <n v="227"/>
    <n v="474.96"/>
    <x v="4"/>
    <n v="7"/>
    <n v="247.95999999999901"/>
    <x v="4"/>
  </r>
  <r>
    <s v="TRX-102767"/>
    <x v="278"/>
    <x v="1"/>
    <x v="6"/>
    <x v="0"/>
    <n v="182"/>
    <n v="94.5"/>
    <x v="1"/>
    <n v="11"/>
    <n v="-87.5"/>
    <x v="4"/>
  </r>
  <r>
    <s v="TRX-102768"/>
    <x v="277"/>
    <x v="3"/>
    <x v="5"/>
    <x v="2"/>
    <n v="134"/>
    <n v="140.69"/>
    <x v="4"/>
    <n v="43"/>
    <n v="6.6899999999999897"/>
    <x v="9"/>
  </r>
  <r>
    <s v="TRX-102769"/>
    <x v="178"/>
    <x v="2"/>
    <x v="8"/>
    <x v="0"/>
    <n v="223"/>
    <n v="159.01"/>
    <x v="2"/>
    <n v="49"/>
    <n v="-63.99"/>
    <x v="10"/>
  </r>
  <r>
    <s v="TRX-102770"/>
    <x v="240"/>
    <x v="0"/>
    <x v="7"/>
    <x v="0"/>
    <n v="228"/>
    <n v="165.88"/>
    <x v="2"/>
    <n v="44"/>
    <n v="-62.12"/>
    <x v="4"/>
  </r>
  <r>
    <s v="TRX-102771"/>
    <x v="44"/>
    <x v="1"/>
    <x v="2"/>
    <x v="1"/>
    <n v="181"/>
    <n v="411.96"/>
    <x v="4"/>
    <n v="45"/>
    <n v="230.95999999999901"/>
    <x v="5"/>
  </r>
  <r>
    <s v="TRX-102772"/>
    <x v="895"/>
    <x v="2"/>
    <x v="3"/>
    <x v="1"/>
    <n v="218"/>
    <n v="518.6"/>
    <x v="1"/>
    <n v="6"/>
    <n v="300.60000000000002"/>
    <x v="4"/>
  </r>
  <r>
    <s v="TRX-102773"/>
    <x v="548"/>
    <x v="4"/>
    <x v="8"/>
    <x v="0"/>
    <n v="202"/>
    <n v="105.99"/>
    <x v="3"/>
    <n v="49"/>
    <n v="-96.01"/>
    <x v="9"/>
  </r>
  <r>
    <s v="TRX-102774"/>
    <x v="635"/>
    <x v="0"/>
    <x v="4"/>
    <x v="2"/>
    <n v="229"/>
    <n v="254.65"/>
    <x v="1"/>
    <n v="7"/>
    <n v="25.65"/>
    <x v="6"/>
  </r>
  <r>
    <s v="TRX-102775"/>
    <x v="381"/>
    <x v="0"/>
    <x v="3"/>
    <x v="1"/>
    <n v="229"/>
    <n v="281.11"/>
    <x v="1"/>
    <n v="5"/>
    <n v="52.11"/>
    <x v="1"/>
  </r>
  <r>
    <s v="TRX-102776"/>
    <x v="199"/>
    <x v="2"/>
    <x v="7"/>
    <x v="2"/>
    <n v="216"/>
    <n v="258.8"/>
    <x v="3"/>
    <n v="52"/>
    <n v="42.8"/>
    <x v="8"/>
  </r>
  <r>
    <s v="TRX-102777"/>
    <x v="318"/>
    <x v="3"/>
    <x v="4"/>
    <x v="2"/>
    <n v="124"/>
    <n v="157.09"/>
    <x v="2"/>
    <n v="10"/>
    <n v="33.090000000000003"/>
    <x v="6"/>
  </r>
  <r>
    <s v="TRX-102778"/>
    <x v="145"/>
    <x v="2"/>
    <x v="2"/>
    <x v="0"/>
    <n v="213"/>
    <n v="170.07"/>
    <x v="0"/>
    <n v="4"/>
    <n v="-42.93"/>
    <x v="8"/>
  </r>
  <r>
    <s v="TRX-102779"/>
    <x v="764"/>
    <x v="3"/>
    <x v="4"/>
    <x v="0"/>
    <n v="137"/>
    <n v="78.06"/>
    <x v="1"/>
    <n v="8"/>
    <n v="-58.94"/>
    <x v="5"/>
  </r>
  <r>
    <s v="TRX-102780"/>
    <x v="514"/>
    <x v="0"/>
    <x v="0"/>
    <x v="0"/>
    <n v="225"/>
    <n v="130.84"/>
    <x v="3"/>
    <n v="38"/>
    <n v="-94.16"/>
    <x v="5"/>
  </r>
  <r>
    <s v="TRX-102781"/>
    <x v="911"/>
    <x v="0"/>
    <x v="4"/>
    <x v="2"/>
    <n v="225"/>
    <n v="306.25"/>
    <x v="0"/>
    <n v="8"/>
    <n v="81.25"/>
    <x v="0"/>
  </r>
  <r>
    <s v="TRX-102782"/>
    <x v="496"/>
    <x v="2"/>
    <x v="8"/>
    <x v="2"/>
    <n v="221"/>
    <n v="264.97000000000003"/>
    <x v="0"/>
    <n v="8"/>
    <n v="43.97"/>
    <x v="9"/>
  </r>
  <r>
    <s v="TRX-102783"/>
    <x v="45"/>
    <x v="3"/>
    <x v="5"/>
    <x v="1"/>
    <n v="140"/>
    <n v="471.06"/>
    <x v="4"/>
    <n v="57"/>
    <n v="331.06"/>
    <x v="6"/>
  </r>
  <r>
    <s v="TRX-102784"/>
    <x v="725"/>
    <x v="2"/>
    <x v="1"/>
    <x v="0"/>
    <n v="220"/>
    <n v="129.94"/>
    <x v="3"/>
    <n v="34"/>
    <n v="-90.06"/>
    <x v="0"/>
  </r>
  <r>
    <s v="TRX-102785"/>
    <x v="152"/>
    <x v="2"/>
    <x v="4"/>
    <x v="0"/>
    <n v="224"/>
    <n v="133.24"/>
    <x v="3"/>
    <n v="29"/>
    <n v="-90.759999999999906"/>
    <x v="11"/>
  </r>
  <r>
    <s v="TRX-102786"/>
    <x v="434"/>
    <x v="3"/>
    <x v="2"/>
    <x v="0"/>
    <n v="124"/>
    <n v="94.65"/>
    <x v="0"/>
    <n v="7"/>
    <n v="-29.349999999999898"/>
    <x v="4"/>
  </r>
  <r>
    <s v="TRX-102787"/>
    <x v="636"/>
    <x v="1"/>
    <x v="5"/>
    <x v="0"/>
    <n v="178"/>
    <n v="118.75"/>
    <x v="1"/>
    <n v="7"/>
    <n v="-59.25"/>
    <x v="4"/>
  </r>
  <r>
    <s v="TRX-102788"/>
    <x v="328"/>
    <x v="0"/>
    <x v="0"/>
    <x v="2"/>
    <n v="225"/>
    <n v="215.42"/>
    <x v="3"/>
    <n v="8"/>
    <n v="-9.5800000000000107"/>
    <x v="10"/>
  </r>
  <r>
    <s v="TRX-102789"/>
    <x v="786"/>
    <x v="2"/>
    <x v="7"/>
    <x v="0"/>
    <n v="221"/>
    <n v="171.56"/>
    <x v="4"/>
    <n v="14"/>
    <n v="-49.44"/>
    <x v="5"/>
  </r>
  <r>
    <s v="TRX-102790"/>
    <x v="231"/>
    <x v="2"/>
    <x v="1"/>
    <x v="1"/>
    <n v="219"/>
    <n v="473.5"/>
    <x v="4"/>
    <n v="56"/>
    <n v="254.5"/>
    <x v="8"/>
  </r>
  <r>
    <s v="TRX-102791"/>
    <x v="711"/>
    <x v="4"/>
    <x v="0"/>
    <x v="2"/>
    <n v="200"/>
    <n v="221.25"/>
    <x v="2"/>
    <n v="5"/>
    <n v="21.25"/>
    <x v="0"/>
  </r>
  <r>
    <s v="TRX-102792"/>
    <x v="294"/>
    <x v="3"/>
    <x v="2"/>
    <x v="1"/>
    <n v="126"/>
    <n v="417.81"/>
    <x v="2"/>
    <n v="34"/>
    <n v="291.81"/>
    <x v="4"/>
  </r>
  <r>
    <s v="TRX-102793"/>
    <x v="21"/>
    <x v="2"/>
    <x v="2"/>
    <x v="0"/>
    <n v="211"/>
    <n v="165.66"/>
    <x v="1"/>
    <n v="9"/>
    <n v="-45.34"/>
    <x v="4"/>
  </r>
  <r>
    <s v="TRX-102794"/>
    <x v="681"/>
    <x v="4"/>
    <x v="1"/>
    <x v="2"/>
    <n v="205"/>
    <n v="281.05"/>
    <x v="0"/>
    <n v="12"/>
    <n v="76.05"/>
    <x v="0"/>
  </r>
  <r>
    <s v="TRX-102795"/>
    <x v="631"/>
    <x v="4"/>
    <x v="8"/>
    <x v="0"/>
    <n v="210"/>
    <n v="136.82"/>
    <x v="3"/>
    <n v="57"/>
    <n v="-73.180000000000007"/>
    <x v="6"/>
  </r>
  <r>
    <s v="TRX-102796"/>
    <x v="759"/>
    <x v="1"/>
    <x v="6"/>
    <x v="0"/>
    <n v="174"/>
    <n v="122.27"/>
    <x v="3"/>
    <n v="35"/>
    <n v="-51.73"/>
    <x v="7"/>
  </r>
  <r>
    <s v="TRX-102797"/>
    <x v="119"/>
    <x v="3"/>
    <x v="4"/>
    <x v="1"/>
    <n v="121"/>
    <n v="258.12"/>
    <x v="0"/>
    <n v="4"/>
    <n v="137.12"/>
    <x v="6"/>
  </r>
  <r>
    <s v="TRX-102798"/>
    <x v="330"/>
    <x v="2"/>
    <x v="7"/>
    <x v="1"/>
    <n v="212"/>
    <n v="585.28"/>
    <x v="4"/>
    <n v="5"/>
    <n v="373.28"/>
    <x v="10"/>
  </r>
  <r>
    <s v="TRX-102799"/>
    <x v="659"/>
    <x v="3"/>
    <x v="2"/>
    <x v="1"/>
    <n v="112"/>
    <n v="290.58"/>
    <x v="4"/>
    <n v="14"/>
    <n v="178.57999999999899"/>
    <x v="3"/>
  </r>
  <r>
    <s v="TRX-102800"/>
    <x v="129"/>
    <x v="1"/>
    <x v="8"/>
    <x v="0"/>
    <n v="170"/>
    <n v="133.22999999999999"/>
    <x v="2"/>
    <n v="54"/>
    <n v="-36.770000000000003"/>
    <x v="4"/>
  </r>
  <r>
    <s v="TRX-102801"/>
    <x v="421"/>
    <x v="1"/>
    <x v="2"/>
    <x v="0"/>
    <n v="173"/>
    <n v="152.26"/>
    <x v="1"/>
    <n v="1"/>
    <n v="-20.74"/>
    <x v="10"/>
  </r>
  <r>
    <s v="TRX-102802"/>
    <x v="274"/>
    <x v="2"/>
    <x v="6"/>
    <x v="1"/>
    <n v="224"/>
    <n v="272.83999999999997"/>
    <x v="0"/>
    <n v="5"/>
    <n v="48.839999999999897"/>
    <x v="5"/>
  </r>
  <r>
    <s v="TRX-102803"/>
    <x v="377"/>
    <x v="4"/>
    <x v="0"/>
    <x v="2"/>
    <n v="201"/>
    <n v="279.60000000000002"/>
    <x v="4"/>
    <n v="21"/>
    <n v="78.599999999999994"/>
    <x v="11"/>
  </r>
  <r>
    <s v="TRX-102804"/>
    <x v="257"/>
    <x v="1"/>
    <x v="7"/>
    <x v="1"/>
    <n v="183"/>
    <n v="535.52"/>
    <x v="3"/>
    <n v="35"/>
    <n v="352.52"/>
    <x v="6"/>
  </r>
  <r>
    <s v="TRX-102805"/>
    <x v="890"/>
    <x v="3"/>
    <x v="3"/>
    <x v="0"/>
    <n v="124"/>
    <n v="87.22"/>
    <x v="4"/>
    <n v="56"/>
    <n v="-36.78"/>
    <x v="8"/>
  </r>
  <r>
    <s v="TRX-102806"/>
    <x v="126"/>
    <x v="3"/>
    <x v="2"/>
    <x v="2"/>
    <n v="138"/>
    <n v="143.21"/>
    <x v="1"/>
    <n v="2"/>
    <n v="5.21"/>
    <x v="9"/>
  </r>
  <r>
    <s v="TRX-102807"/>
    <x v="303"/>
    <x v="1"/>
    <x v="0"/>
    <x v="2"/>
    <n v="172"/>
    <n v="168.23"/>
    <x v="0"/>
    <n v="5"/>
    <n v="-3.7700000000000098"/>
    <x v="11"/>
  </r>
  <r>
    <s v="TRX-102808"/>
    <x v="146"/>
    <x v="4"/>
    <x v="1"/>
    <x v="0"/>
    <n v="210"/>
    <n v="125.31"/>
    <x v="1"/>
    <n v="7"/>
    <n v="-84.69"/>
    <x v="9"/>
  </r>
  <r>
    <s v="TRX-102809"/>
    <x v="135"/>
    <x v="1"/>
    <x v="8"/>
    <x v="0"/>
    <n v="174"/>
    <n v="130.4"/>
    <x v="2"/>
    <n v="35"/>
    <n v="-43.599999999999902"/>
    <x v="11"/>
  </r>
  <r>
    <s v="TRX-102810"/>
    <x v="821"/>
    <x v="2"/>
    <x v="5"/>
    <x v="2"/>
    <n v="213"/>
    <n v="264.85000000000002"/>
    <x v="0"/>
    <n v="11"/>
    <n v="51.85"/>
    <x v="1"/>
  </r>
  <r>
    <s v="TRX-102811"/>
    <x v="653"/>
    <x v="4"/>
    <x v="7"/>
    <x v="2"/>
    <n v="207"/>
    <n v="306.05"/>
    <x v="1"/>
    <n v="10"/>
    <n v="99.05"/>
    <x v="8"/>
  </r>
  <r>
    <s v="TRX-102812"/>
    <x v="18"/>
    <x v="3"/>
    <x v="1"/>
    <x v="2"/>
    <n v="117"/>
    <n v="142.22999999999999"/>
    <x v="0"/>
    <n v="2"/>
    <n v="25.229999999999901"/>
    <x v="6"/>
  </r>
  <r>
    <s v="TRX-102813"/>
    <x v="399"/>
    <x v="2"/>
    <x v="2"/>
    <x v="0"/>
    <n v="219"/>
    <n v="153.52000000000001"/>
    <x v="2"/>
    <n v="22"/>
    <n v="-65.479999999999905"/>
    <x v="4"/>
  </r>
  <r>
    <s v="TRX-102814"/>
    <x v="937"/>
    <x v="2"/>
    <x v="7"/>
    <x v="1"/>
    <n v="222"/>
    <n v="468.57"/>
    <x v="3"/>
    <n v="58"/>
    <n v="246.57"/>
    <x v="3"/>
  </r>
  <r>
    <s v="TRX-102815"/>
    <x v="444"/>
    <x v="0"/>
    <x v="5"/>
    <x v="1"/>
    <n v="227"/>
    <n v="345.74"/>
    <x v="4"/>
    <n v="39"/>
    <n v="118.74"/>
    <x v="2"/>
  </r>
  <r>
    <s v="TRX-102816"/>
    <x v="270"/>
    <x v="3"/>
    <x v="2"/>
    <x v="0"/>
    <n v="134"/>
    <n v="85.8"/>
    <x v="3"/>
    <n v="30"/>
    <n v="-48.2"/>
    <x v="5"/>
  </r>
  <r>
    <s v="TRX-102817"/>
    <x v="819"/>
    <x v="2"/>
    <x v="4"/>
    <x v="1"/>
    <n v="221"/>
    <n v="657.33"/>
    <x v="0"/>
    <n v="12"/>
    <n v="436.33"/>
    <x v="5"/>
  </r>
  <r>
    <s v="TRX-102818"/>
    <x v="547"/>
    <x v="0"/>
    <x v="7"/>
    <x v="1"/>
    <n v="229"/>
    <n v="319.91000000000003"/>
    <x v="3"/>
    <n v="8"/>
    <n v="90.91"/>
    <x v="7"/>
  </r>
  <r>
    <s v="TRX-102819"/>
    <x v="605"/>
    <x v="3"/>
    <x v="8"/>
    <x v="1"/>
    <n v="135"/>
    <n v="317.72000000000003"/>
    <x v="2"/>
    <n v="36"/>
    <n v="182.72"/>
    <x v="1"/>
  </r>
  <r>
    <s v="TRX-102820"/>
    <x v="927"/>
    <x v="2"/>
    <x v="3"/>
    <x v="1"/>
    <n v="212"/>
    <n v="636.72"/>
    <x v="4"/>
    <n v="58"/>
    <n v="424.72"/>
    <x v="1"/>
  </r>
  <r>
    <s v="TRX-102821"/>
    <x v="334"/>
    <x v="3"/>
    <x v="3"/>
    <x v="1"/>
    <n v="124"/>
    <n v="298.3"/>
    <x v="0"/>
    <n v="6"/>
    <n v="174.3"/>
    <x v="9"/>
  </r>
  <r>
    <s v="TRX-102822"/>
    <x v="239"/>
    <x v="4"/>
    <x v="5"/>
    <x v="2"/>
    <n v="203"/>
    <n v="207.81"/>
    <x v="0"/>
    <n v="12"/>
    <n v="4.8099999999999996"/>
    <x v="7"/>
  </r>
  <r>
    <s v="TRX-102823"/>
    <x v="270"/>
    <x v="0"/>
    <x v="0"/>
    <x v="1"/>
    <n v="225"/>
    <n v="450.31"/>
    <x v="4"/>
    <n v="46"/>
    <n v="225.31"/>
    <x v="5"/>
  </r>
  <r>
    <s v="TRX-102824"/>
    <x v="499"/>
    <x v="2"/>
    <x v="6"/>
    <x v="0"/>
    <n v="224"/>
    <n v="131.37"/>
    <x v="1"/>
    <n v="8"/>
    <n v="-92.63"/>
    <x v="9"/>
  </r>
  <r>
    <s v="TRX-102825"/>
    <x v="47"/>
    <x v="3"/>
    <x v="2"/>
    <x v="0"/>
    <n v="124"/>
    <n v="94.72"/>
    <x v="3"/>
    <n v="10"/>
    <n v="-29.28"/>
    <x v="10"/>
  </r>
  <r>
    <s v="TRX-102826"/>
    <x v="805"/>
    <x v="4"/>
    <x v="8"/>
    <x v="2"/>
    <n v="200"/>
    <n v="252.29"/>
    <x v="0"/>
    <n v="6"/>
    <n v="52.2899999999999"/>
    <x v="3"/>
  </r>
  <r>
    <s v="TRX-102827"/>
    <x v="278"/>
    <x v="3"/>
    <x v="2"/>
    <x v="0"/>
    <n v="115"/>
    <n v="71.33"/>
    <x v="4"/>
    <n v="38"/>
    <n v="-43.67"/>
    <x v="4"/>
  </r>
  <r>
    <s v="TRX-102828"/>
    <x v="772"/>
    <x v="3"/>
    <x v="4"/>
    <x v="2"/>
    <n v="138"/>
    <n v="181.71"/>
    <x v="2"/>
    <n v="28"/>
    <n v="43.71"/>
    <x v="11"/>
  </r>
  <r>
    <s v="TRX-102829"/>
    <x v="795"/>
    <x v="4"/>
    <x v="8"/>
    <x v="1"/>
    <n v="205"/>
    <n v="533.26"/>
    <x v="3"/>
    <n v="50"/>
    <n v="328.26"/>
    <x v="10"/>
  </r>
  <r>
    <s v="TRX-102830"/>
    <x v="409"/>
    <x v="3"/>
    <x v="2"/>
    <x v="1"/>
    <n v="120"/>
    <n v="247.47"/>
    <x v="0"/>
    <n v="12"/>
    <n v="127.47"/>
    <x v="11"/>
  </r>
  <r>
    <s v="TRX-102831"/>
    <x v="88"/>
    <x v="1"/>
    <x v="7"/>
    <x v="1"/>
    <n v="186"/>
    <n v="619.16999999999996"/>
    <x v="3"/>
    <n v="55"/>
    <n v="433.16999999999899"/>
    <x v="4"/>
  </r>
  <r>
    <s v="TRX-102832"/>
    <x v="561"/>
    <x v="4"/>
    <x v="6"/>
    <x v="2"/>
    <n v="205"/>
    <n v="239.95"/>
    <x v="0"/>
    <n v="6"/>
    <n v="34.949999999999903"/>
    <x v="11"/>
  </r>
  <r>
    <s v="TRX-102833"/>
    <x v="877"/>
    <x v="4"/>
    <x v="0"/>
    <x v="1"/>
    <n v="207"/>
    <n v="286.55"/>
    <x v="4"/>
    <n v="51"/>
    <n v="79.55"/>
    <x v="10"/>
  </r>
  <r>
    <s v="TRX-102834"/>
    <x v="341"/>
    <x v="3"/>
    <x v="2"/>
    <x v="1"/>
    <n v="132"/>
    <n v="279.27999999999997"/>
    <x v="2"/>
    <n v="37"/>
    <n v="147.27999999999901"/>
    <x v="6"/>
  </r>
  <r>
    <s v="TRX-102835"/>
    <x v="187"/>
    <x v="0"/>
    <x v="1"/>
    <x v="2"/>
    <n v="228"/>
    <n v="245.72"/>
    <x v="2"/>
    <n v="20"/>
    <n v="17.72"/>
    <x v="2"/>
  </r>
  <r>
    <s v="TRX-102836"/>
    <x v="283"/>
    <x v="2"/>
    <x v="3"/>
    <x v="1"/>
    <n v="219"/>
    <n v="462.45"/>
    <x v="4"/>
    <n v="60"/>
    <n v="243.45"/>
    <x v="10"/>
  </r>
  <r>
    <s v="TRX-102837"/>
    <x v="237"/>
    <x v="4"/>
    <x v="4"/>
    <x v="1"/>
    <n v="203"/>
    <n v="265.18"/>
    <x v="1"/>
    <n v="6"/>
    <n v="62.18"/>
    <x v="0"/>
  </r>
  <r>
    <s v="TRX-102838"/>
    <x v="2"/>
    <x v="4"/>
    <x v="1"/>
    <x v="1"/>
    <n v="209"/>
    <n v="492.69"/>
    <x v="4"/>
    <n v="14"/>
    <n v="283.69"/>
    <x v="1"/>
  </r>
  <r>
    <s v="TRX-102839"/>
    <x v="544"/>
    <x v="1"/>
    <x v="8"/>
    <x v="2"/>
    <n v="187"/>
    <n v="186.64"/>
    <x v="2"/>
    <n v="24"/>
    <n v="-0.36000000000001298"/>
    <x v="5"/>
  </r>
  <r>
    <s v="TRX-102840"/>
    <x v="172"/>
    <x v="3"/>
    <x v="1"/>
    <x v="2"/>
    <n v="117"/>
    <n v="132.69999999999999"/>
    <x v="2"/>
    <n v="32"/>
    <n v="15.6999999999999"/>
    <x v="0"/>
  </r>
  <r>
    <s v="TRX-102841"/>
    <x v="95"/>
    <x v="2"/>
    <x v="5"/>
    <x v="2"/>
    <n v="212"/>
    <n v="244.48"/>
    <x v="4"/>
    <n v="13"/>
    <n v="32.479999999999897"/>
    <x v="8"/>
  </r>
  <r>
    <s v="TRX-102842"/>
    <x v="385"/>
    <x v="3"/>
    <x v="3"/>
    <x v="2"/>
    <n v="131"/>
    <n v="186.02"/>
    <x v="1"/>
    <n v="3"/>
    <n v="55.02"/>
    <x v="4"/>
  </r>
  <r>
    <s v="TRX-102843"/>
    <x v="134"/>
    <x v="1"/>
    <x v="7"/>
    <x v="0"/>
    <n v="175"/>
    <n v="94.14"/>
    <x v="2"/>
    <n v="37"/>
    <n v="-80.86"/>
    <x v="3"/>
  </r>
  <r>
    <s v="TRX-102844"/>
    <x v="799"/>
    <x v="2"/>
    <x v="4"/>
    <x v="0"/>
    <n v="222"/>
    <n v="191.37"/>
    <x v="4"/>
    <n v="38"/>
    <n v="-30.6299999999999"/>
    <x v="8"/>
  </r>
  <r>
    <s v="TRX-102845"/>
    <x v="620"/>
    <x v="3"/>
    <x v="1"/>
    <x v="0"/>
    <n v="116"/>
    <n v="80.069999999999993"/>
    <x v="4"/>
    <n v="23"/>
    <n v="-35.93"/>
    <x v="9"/>
  </r>
  <r>
    <s v="TRX-102846"/>
    <x v="259"/>
    <x v="1"/>
    <x v="4"/>
    <x v="0"/>
    <n v="187"/>
    <n v="107.36"/>
    <x v="2"/>
    <n v="57"/>
    <n v="-79.64"/>
    <x v="2"/>
  </r>
  <r>
    <s v="TRX-102847"/>
    <x v="32"/>
    <x v="0"/>
    <x v="5"/>
    <x v="0"/>
    <n v="228"/>
    <n v="143.68"/>
    <x v="2"/>
    <n v="52"/>
    <n v="-84.32"/>
    <x v="6"/>
  </r>
  <r>
    <s v="TRX-102848"/>
    <x v="944"/>
    <x v="2"/>
    <x v="2"/>
    <x v="0"/>
    <n v="216"/>
    <n v="179.17"/>
    <x v="1"/>
    <n v="7"/>
    <n v="-36.83"/>
    <x v="5"/>
  </r>
  <r>
    <s v="TRX-102849"/>
    <x v="209"/>
    <x v="2"/>
    <x v="2"/>
    <x v="1"/>
    <n v="217"/>
    <n v="672.24"/>
    <x v="2"/>
    <n v="60"/>
    <n v="455.24"/>
    <x v="3"/>
  </r>
  <r>
    <s v="TRX-102850"/>
    <x v="116"/>
    <x v="4"/>
    <x v="6"/>
    <x v="2"/>
    <n v="203"/>
    <n v="234.83"/>
    <x v="1"/>
    <n v="11"/>
    <n v="31.83"/>
    <x v="8"/>
  </r>
  <r>
    <s v="TRX-102851"/>
    <x v="543"/>
    <x v="4"/>
    <x v="8"/>
    <x v="1"/>
    <n v="205"/>
    <n v="714.35"/>
    <x v="3"/>
    <n v="56"/>
    <n v="509.35"/>
    <x v="6"/>
  </r>
  <r>
    <s v="TRX-102852"/>
    <x v="531"/>
    <x v="4"/>
    <x v="0"/>
    <x v="1"/>
    <n v="203"/>
    <n v="385.63"/>
    <x v="1"/>
    <n v="10"/>
    <n v="182.63"/>
    <x v="2"/>
  </r>
  <r>
    <s v="TRX-102853"/>
    <x v="798"/>
    <x v="3"/>
    <x v="1"/>
    <x v="2"/>
    <n v="119"/>
    <n v="164.52"/>
    <x v="3"/>
    <n v="56"/>
    <n v="45.52"/>
    <x v="7"/>
  </r>
  <r>
    <s v="TRX-102854"/>
    <x v="132"/>
    <x v="3"/>
    <x v="8"/>
    <x v="1"/>
    <n v="140"/>
    <n v="181.02"/>
    <x v="3"/>
    <n v="30"/>
    <n v="41.02"/>
    <x v="3"/>
  </r>
  <r>
    <s v="TRX-102855"/>
    <x v="196"/>
    <x v="3"/>
    <x v="2"/>
    <x v="0"/>
    <n v="127"/>
    <n v="111.23"/>
    <x v="0"/>
    <n v="10"/>
    <n v="-15.7699999999999"/>
    <x v="11"/>
  </r>
  <r>
    <s v="TRX-102856"/>
    <x v="563"/>
    <x v="2"/>
    <x v="7"/>
    <x v="1"/>
    <n v="225"/>
    <n v="610.17999999999995"/>
    <x v="2"/>
    <n v="25"/>
    <n v="385.17999999999898"/>
    <x v="6"/>
  </r>
  <r>
    <s v="TRX-102857"/>
    <x v="511"/>
    <x v="4"/>
    <x v="0"/>
    <x v="0"/>
    <n v="204"/>
    <n v="148.76"/>
    <x v="3"/>
    <n v="24"/>
    <n v="-55.24"/>
    <x v="4"/>
  </r>
  <r>
    <s v="TRX-102858"/>
    <x v="661"/>
    <x v="2"/>
    <x v="0"/>
    <x v="0"/>
    <n v="215"/>
    <n v="137.21"/>
    <x v="1"/>
    <n v="10"/>
    <n v="-77.789999999999907"/>
    <x v="7"/>
  </r>
  <r>
    <s v="TRX-102859"/>
    <x v="304"/>
    <x v="4"/>
    <x v="8"/>
    <x v="2"/>
    <n v="207"/>
    <n v="279.77"/>
    <x v="1"/>
    <n v="9"/>
    <n v="72.769999999999897"/>
    <x v="2"/>
  </r>
  <r>
    <s v="TRX-102860"/>
    <x v="72"/>
    <x v="4"/>
    <x v="6"/>
    <x v="1"/>
    <n v="204"/>
    <n v="628.14"/>
    <x v="2"/>
    <n v="38"/>
    <n v="424.14"/>
    <x v="0"/>
  </r>
  <r>
    <s v="TRX-102861"/>
    <x v="309"/>
    <x v="2"/>
    <x v="2"/>
    <x v="2"/>
    <n v="212"/>
    <n v="288.04000000000002"/>
    <x v="1"/>
    <n v="13"/>
    <n v="76.040000000000006"/>
    <x v="4"/>
  </r>
  <r>
    <s v="TRX-102862"/>
    <x v="695"/>
    <x v="4"/>
    <x v="0"/>
    <x v="2"/>
    <n v="206"/>
    <n v="253.68"/>
    <x v="1"/>
    <n v="9"/>
    <n v="47.68"/>
    <x v="4"/>
  </r>
  <r>
    <s v="TRX-102863"/>
    <x v="666"/>
    <x v="4"/>
    <x v="0"/>
    <x v="1"/>
    <n v="206"/>
    <n v="250.17"/>
    <x v="2"/>
    <n v="33"/>
    <n v="44.169999999999902"/>
    <x v="10"/>
  </r>
  <r>
    <s v="TRX-102864"/>
    <x v="41"/>
    <x v="4"/>
    <x v="8"/>
    <x v="1"/>
    <n v="208"/>
    <n v="540.42999999999995"/>
    <x v="0"/>
    <n v="10"/>
    <n v="332.42999999999898"/>
    <x v="5"/>
  </r>
  <r>
    <s v="TRX-102865"/>
    <x v="54"/>
    <x v="0"/>
    <x v="1"/>
    <x v="2"/>
    <n v="227"/>
    <n v="292.36"/>
    <x v="4"/>
    <n v="10"/>
    <n v="65.36"/>
    <x v="3"/>
  </r>
  <r>
    <s v="TRX-102866"/>
    <x v="945"/>
    <x v="4"/>
    <x v="5"/>
    <x v="1"/>
    <n v="208"/>
    <n v="487.37"/>
    <x v="2"/>
    <n v="57"/>
    <n v="279.37"/>
    <x v="4"/>
  </r>
  <r>
    <s v="TRX-102867"/>
    <x v="345"/>
    <x v="0"/>
    <x v="4"/>
    <x v="1"/>
    <n v="228"/>
    <n v="689.65"/>
    <x v="1"/>
    <n v="3"/>
    <n v="461.65"/>
    <x v="1"/>
  </r>
  <r>
    <s v="TRX-102868"/>
    <x v="679"/>
    <x v="4"/>
    <x v="4"/>
    <x v="0"/>
    <n v="208"/>
    <n v="130.37"/>
    <x v="2"/>
    <n v="37"/>
    <n v="-77.63"/>
    <x v="11"/>
  </r>
  <r>
    <s v="TRX-102869"/>
    <x v="184"/>
    <x v="4"/>
    <x v="8"/>
    <x v="1"/>
    <n v="210"/>
    <n v="467.16"/>
    <x v="3"/>
    <n v="14"/>
    <n v="257.16000000000003"/>
    <x v="8"/>
  </r>
  <r>
    <s v="TRX-102870"/>
    <x v="343"/>
    <x v="1"/>
    <x v="8"/>
    <x v="2"/>
    <n v="187"/>
    <n v="278.33999999999997"/>
    <x v="1"/>
    <n v="9"/>
    <n v="91.339999999999904"/>
    <x v="8"/>
  </r>
  <r>
    <s v="TRX-102871"/>
    <x v="329"/>
    <x v="2"/>
    <x v="5"/>
    <x v="2"/>
    <n v="225"/>
    <n v="212.52"/>
    <x v="4"/>
    <n v="25"/>
    <n v="-12.479999999999899"/>
    <x v="5"/>
  </r>
  <r>
    <s v="TRX-102872"/>
    <x v="732"/>
    <x v="4"/>
    <x v="0"/>
    <x v="0"/>
    <n v="201"/>
    <n v="145.35"/>
    <x v="1"/>
    <n v="11"/>
    <n v="-55.65"/>
    <x v="10"/>
  </r>
  <r>
    <s v="TRX-102873"/>
    <x v="946"/>
    <x v="2"/>
    <x v="4"/>
    <x v="2"/>
    <n v="217"/>
    <n v="289.05"/>
    <x v="3"/>
    <n v="49"/>
    <n v="72.05"/>
    <x v="5"/>
  </r>
  <r>
    <s v="TRX-102874"/>
    <x v="106"/>
    <x v="2"/>
    <x v="3"/>
    <x v="0"/>
    <n v="222"/>
    <n v="117.75"/>
    <x v="0"/>
    <n v="10"/>
    <n v="-104.25"/>
    <x v="8"/>
  </r>
  <r>
    <s v="TRX-102875"/>
    <x v="946"/>
    <x v="2"/>
    <x v="5"/>
    <x v="1"/>
    <n v="225"/>
    <n v="468.42"/>
    <x v="0"/>
    <n v="12"/>
    <n v="243.42"/>
    <x v="5"/>
  </r>
  <r>
    <s v="TRX-102876"/>
    <x v="608"/>
    <x v="2"/>
    <x v="5"/>
    <x v="0"/>
    <n v="212"/>
    <n v="151.79"/>
    <x v="2"/>
    <n v="6"/>
    <n v="-60.21"/>
    <x v="11"/>
  </r>
  <r>
    <s v="TRX-102877"/>
    <x v="44"/>
    <x v="0"/>
    <x v="6"/>
    <x v="0"/>
    <n v="227"/>
    <n v="156.75"/>
    <x v="4"/>
    <n v="8"/>
    <n v="-70.25"/>
    <x v="5"/>
  </r>
  <r>
    <s v="TRX-102878"/>
    <x v="3"/>
    <x v="3"/>
    <x v="4"/>
    <x v="0"/>
    <n v="132"/>
    <n v="107.55"/>
    <x v="0"/>
    <n v="4"/>
    <n v="-24.45"/>
    <x v="2"/>
  </r>
  <r>
    <s v="TRX-102879"/>
    <x v="696"/>
    <x v="1"/>
    <x v="0"/>
    <x v="2"/>
    <n v="177"/>
    <n v="178.75"/>
    <x v="1"/>
    <n v="13"/>
    <n v="1.75"/>
    <x v="11"/>
  </r>
  <r>
    <s v="TRX-102880"/>
    <x v="882"/>
    <x v="2"/>
    <x v="5"/>
    <x v="1"/>
    <n v="212"/>
    <n v="474.6"/>
    <x v="0"/>
    <n v="10"/>
    <n v="262.60000000000002"/>
    <x v="1"/>
  </r>
  <r>
    <s v="TRX-102881"/>
    <x v="815"/>
    <x v="2"/>
    <x v="0"/>
    <x v="2"/>
    <n v="220"/>
    <n v="223.37"/>
    <x v="4"/>
    <n v="59"/>
    <n v="3.37"/>
    <x v="11"/>
  </r>
  <r>
    <s v="TRX-102882"/>
    <x v="101"/>
    <x v="2"/>
    <x v="8"/>
    <x v="2"/>
    <n v="211"/>
    <n v="210.94"/>
    <x v="3"/>
    <n v="37"/>
    <n v="-6.0000000000002197E-2"/>
    <x v="4"/>
  </r>
  <r>
    <s v="TRX-102883"/>
    <x v="275"/>
    <x v="4"/>
    <x v="0"/>
    <x v="1"/>
    <n v="206"/>
    <n v="403.98"/>
    <x v="3"/>
    <n v="25"/>
    <n v="197.98"/>
    <x v="2"/>
  </r>
  <r>
    <s v="TRX-102884"/>
    <x v="183"/>
    <x v="4"/>
    <x v="0"/>
    <x v="1"/>
    <n v="210"/>
    <n v="484.7"/>
    <x v="0"/>
    <n v="3"/>
    <n v="274.7"/>
    <x v="1"/>
  </r>
  <r>
    <s v="TRX-102885"/>
    <x v="106"/>
    <x v="3"/>
    <x v="0"/>
    <x v="1"/>
    <n v="133"/>
    <n v="193.57"/>
    <x v="3"/>
    <n v="27"/>
    <n v="60.569999999999901"/>
    <x v="8"/>
  </r>
  <r>
    <s v="TRX-102886"/>
    <x v="938"/>
    <x v="1"/>
    <x v="7"/>
    <x v="2"/>
    <n v="172"/>
    <n v="237.88"/>
    <x v="2"/>
    <n v="39"/>
    <n v="65.88"/>
    <x v="10"/>
  </r>
  <r>
    <s v="TRX-102887"/>
    <x v="409"/>
    <x v="2"/>
    <x v="0"/>
    <x v="0"/>
    <n v="218"/>
    <n v="159.32"/>
    <x v="3"/>
    <n v="53"/>
    <n v="-58.68"/>
    <x v="11"/>
  </r>
  <r>
    <s v="TRX-102888"/>
    <x v="494"/>
    <x v="4"/>
    <x v="5"/>
    <x v="1"/>
    <n v="210"/>
    <n v="467.71"/>
    <x v="4"/>
    <n v="41"/>
    <n v="257.70999999999998"/>
    <x v="3"/>
  </r>
  <r>
    <s v="TRX-102889"/>
    <x v="426"/>
    <x v="0"/>
    <x v="4"/>
    <x v="2"/>
    <n v="227"/>
    <n v="314.01"/>
    <x v="2"/>
    <n v="21"/>
    <n v="87.009999999999906"/>
    <x v="3"/>
  </r>
  <r>
    <s v="TRX-102890"/>
    <x v="611"/>
    <x v="1"/>
    <x v="7"/>
    <x v="0"/>
    <n v="185"/>
    <n v="94.86"/>
    <x v="3"/>
    <n v="34"/>
    <n v="-90.14"/>
    <x v="4"/>
  </r>
  <r>
    <s v="TRX-102891"/>
    <x v="592"/>
    <x v="1"/>
    <x v="5"/>
    <x v="0"/>
    <n v="184"/>
    <n v="160.88"/>
    <x v="1"/>
    <n v="5"/>
    <n v="-23.12"/>
    <x v="10"/>
  </r>
  <r>
    <s v="TRX-102892"/>
    <x v="394"/>
    <x v="1"/>
    <x v="6"/>
    <x v="0"/>
    <n v="170"/>
    <n v="112.04"/>
    <x v="1"/>
    <n v="3"/>
    <n v="-57.959999999999901"/>
    <x v="2"/>
  </r>
  <r>
    <s v="TRX-102893"/>
    <x v="15"/>
    <x v="1"/>
    <x v="7"/>
    <x v="1"/>
    <n v="181"/>
    <n v="491.17"/>
    <x v="0"/>
    <n v="8"/>
    <n v="310.17"/>
    <x v="8"/>
  </r>
  <r>
    <s v="TRX-102894"/>
    <x v="161"/>
    <x v="2"/>
    <x v="1"/>
    <x v="0"/>
    <n v="220"/>
    <n v="118.68"/>
    <x v="2"/>
    <n v="58"/>
    <n v="-101.32"/>
    <x v="7"/>
  </r>
  <r>
    <s v="TRX-102895"/>
    <x v="890"/>
    <x v="4"/>
    <x v="2"/>
    <x v="2"/>
    <n v="210"/>
    <n v="278.56"/>
    <x v="1"/>
    <n v="1"/>
    <n v="68.56"/>
    <x v="8"/>
  </r>
  <r>
    <s v="TRX-102896"/>
    <x v="717"/>
    <x v="4"/>
    <x v="3"/>
    <x v="1"/>
    <n v="206"/>
    <n v="696.12"/>
    <x v="4"/>
    <n v="19"/>
    <n v="490.12"/>
    <x v="11"/>
  </r>
  <r>
    <s v="TRX-102897"/>
    <x v="390"/>
    <x v="2"/>
    <x v="7"/>
    <x v="2"/>
    <n v="213"/>
    <n v="261.91000000000003"/>
    <x v="0"/>
    <n v="9"/>
    <n v="48.91"/>
    <x v="10"/>
  </r>
  <r>
    <s v="TRX-102898"/>
    <x v="805"/>
    <x v="0"/>
    <x v="3"/>
    <x v="1"/>
    <n v="225"/>
    <n v="290.14999999999998"/>
    <x v="1"/>
    <n v="13"/>
    <n v="65.149999999999906"/>
    <x v="3"/>
  </r>
  <r>
    <s v="TRX-102899"/>
    <x v="600"/>
    <x v="1"/>
    <x v="8"/>
    <x v="2"/>
    <n v="170"/>
    <n v="154.72999999999999"/>
    <x v="2"/>
    <n v="44"/>
    <n v="-15.27"/>
    <x v="8"/>
  </r>
  <r>
    <s v="TRX-102900"/>
    <x v="422"/>
    <x v="2"/>
    <x v="2"/>
    <x v="0"/>
    <n v="218"/>
    <n v="132.32"/>
    <x v="1"/>
    <n v="2"/>
    <n v="-85.68"/>
    <x v="7"/>
  </r>
  <r>
    <s v="TRX-102901"/>
    <x v="376"/>
    <x v="2"/>
    <x v="2"/>
    <x v="1"/>
    <n v="225"/>
    <n v="704.68"/>
    <x v="3"/>
    <n v="5"/>
    <n v="479.67999999999898"/>
    <x v="6"/>
  </r>
  <r>
    <s v="TRX-102902"/>
    <x v="66"/>
    <x v="0"/>
    <x v="6"/>
    <x v="2"/>
    <n v="227"/>
    <n v="222.25"/>
    <x v="3"/>
    <n v="57"/>
    <n v="-4.75"/>
    <x v="7"/>
  </r>
  <r>
    <s v="TRX-102903"/>
    <x v="928"/>
    <x v="3"/>
    <x v="6"/>
    <x v="2"/>
    <n v="116"/>
    <n v="133.74"/>
    <x v="4"/>
    <n v="34"/>
    <n v="17.739999999999998"/>
    <x v="10"/>
  </r>
  <r>
    <s v="TRX-102904"/>
    <x v="869"/>
    <x v="4"/>
    <x v="0"/>
    <x v="2"/>
    <n v="203"/>
    <n v="295.06"/>
    <x v="0"/>
    <n v="7"/>
    <n v="92.06"/>
    <x v="1"/>
  </r>
  <r>
    <s v="TRX-102905"/>
    <x v="743"/>
    <x v="1"/>
    <x v="3"/>
    <x v="1"/>
    <n v="184"/>
    <n v="438.73"/>
    <x v="4"/>
    <n v="33"/>
    <n v="254.73"/>
    <x v="1"/>
  </r>
  <r>
    <s v="TRX-102906"/>
    <x v="61"/>
    <x v="0"/>
    <x v="7"/>
    <x v="0"/>
    <n v="226"/>
    <n v="193.6"/>
    <x v="0"/>
    <n v="2"/>
    <n v="-32.4"/>
    <x v="6"/>
  </r>
  <r>
    <s v="TRX-102907"/>
    <x v="327"/>
    <x v="2"/>
    <x v="5"/>
    <x v="2"/>
    <n v="221"/>
    <n v="212.66"/>
    <x v="1"/>
    <n v="14"/>
    <n v="-8.34"/>
    <x v="3"/>
  </r>
  <r>
    <s v="TRX-102908"/>
    <x v="405"/>
    <x v="4"/>
    <x v="3"/>
    <x v="0"/>
    <n v="200"/>
    <n v="167.61"/>
    <x v="4"/>
    <n v="41"/>
    <n v="-32.389999999999901"/>
    <x v="0"/>
  </r>
  <r>
    <s v="TRX-102909"/>
    <x v="806"/>
    <x v="2"/>
    <x v="3"/>
    <x v="1"/>
    <n v="211"/>
    <n v="692.96"/>
    <x v="3"/>
    <n v="22"/>
    <n v="481.96"/>
    <x v="0"/>
  </r>
  <r>
    <s v="TRX-102910"/>
    <x v="311"/>
    <x v="4"/>
    <x v="6"/>
    <x v="2"/>
    <n v="201"/>
    <n v="245.89"/>
    <x v="1"/>
    <n v="4"/>
    <n v="44.889999999999901"/>
    <x v="1"/>
  </r>
  <r>
    <s v="TRX-102911"/>
    <x v="151"/>
    <x v="0"/>
    <x v="6"/>
    <x v="0"/>
    <n v="229"/>
    <n v="127.34"/>
    <x v="0"/>
    <n v="2"/>
    <n v="-101.66"/>
    <x v="10"/>
  </r>
  <r>
    <s v="TRX-102912"/>
    <x v="947"/>
    <x v="3"/>
    <x v="0"/>
    <x v="0"/>
    <n v="132"/>
    <n v="70.239999999999995"/>
    <x v="3"/>
    <n v="47"/>
    <n v="-61.76"/>
    <x v="5"/>
  </r>
  <r>
    <s v="TRX-102913"/>
    <x v="351"/>
    <x v="3"/>
    <x v="6"/>
    <x v="1"/>
    <n v="124"/>
    <n v="242.18"/>
    <x v="0"/>
    <n v="9"/>
    <n v="118.18"/>
    <x v="5"/>
  </r>
  <r>
    <s v="TRX-102914"/>
    <x v="84"/>
    <x v="3"/>
    <x v="0"/>
    <x v="2"/>
    <n v="130"/>
    <n v="132.46"/>
    <x v="0"/>
    <n v="10"/>
    <n v="2.46"/>
    <x v="7"/>
  </r>
  <r>
    <s v="TRX-102915"/>
    <x v="814"/>
    <x v="0"/>
    <x v="8"/>
    <x v="1"/>
    <n v="229"/>
    <n v="283.97000000000003"/>
    <x v="1"/>
    <n v="6"/>
    <n v="54.97"/>
    <x v="7"/>
  </r>
  <r>
    <s v="TRX-102916"/>
    <x v="21"/>
    <x v="4"/>
    <x v="5"/>
    <x v="1"/>
    <n v="202"/>
    <n v="460.4"/>
    <x v="1"/>
    <n v="3"/>
    <n v="258.39999999999998"/>
    <x v="4"/>
  </r>
  <r>
    <s v="TRX-102917"/>
    <x v="641"/>
    <x v="3"/>
    <x v="7"/>
    <x v="2"/>
    <n v="131"/>
    <n v="135.33000000000001"/>
    <x v="3"/>
    <n v="20"/>
    <n v="4.3300000000000098"/>
    <x v="5"/>
  </r>
  <r>
    <s v="TRX-102918"/>
    <x v="680"/>
    <x v="1"/>
    <x v="7"/>
    <x v="0"/>
    <n v="185"/>
    <n v="110.23"/>
    <x v="2"/>
    <n v="21"/>
    <n v="-74.77"/>
    <x v="4"/>
  </r>
  <r>
    <s v="TRX-102919"/>
    <x v="366"/>
    <x v="1"/>
    <x v="1"/>
    <x v="1"/>
    <n v="185"/>
    <n v="379.95"/>
    <x v="2"/>
    <n v="31"/>
    <n v="194.95"/>
    <x v="6"/>
  </r>
  <r>
    <s v="TRX-102920"/>
    <x v="307"/>
    <x v="1"/>
    <x v="2"/>
    <x v="1"/>
    <n v="178"/>
    <n v="216.39"/>
    <x v="4"/>
    <n v="32"/>
    <n v="38.389999999999901"/>
    <x v="9"/>
  </r>
  <r>
    <s v="TRX-102921"/>
    <x v="8"/>
    <x v="4"/>
    <x v="6"/>
    <x v="0"/>
    <n v="209"/>
    <n v="137.97999999999999"/>
    <x v="4"/>
    <n v="52"/>
    <n v="-71.02"/>
    <x v="3"/>
  </r>
  <r>
    <s v="TRX-102922"/>
    <x v="55"/>
    <x v="3"/>
    <x v="2"/>
    <x v="0"/>
    <n v="132"/>
    <n v="87.34"/>
    <x v="0"/>
    <n v="11"/>
    <n v="-44.66"/>
    <x v="0"/>
  </r>
  <r>
    <s v="TRX-102923"/>
    <x v="461"/>
    <x v="0"/>
    <x v="3"/>
    <x v="2"/>
    <n v="225"/>
    <n v="336.97"/>
    <x v="0"/>
    <n v="11"/>
    <n v="111.97"/>
    <x v="6"/>
  </r>
  <r>
    <s v="TRX-102924"/>
    <x v="391"/>
    <x v="2"/>
    <x v="8"/>
    <x v="2"/>
    <n v="212"/>
    <n v="283.89"/>
    <x v="0"/>
    <n v="1"/>
    <n v="71.889999999999901"/>
    <x v="7"/>
  </r>
  <r>
    <s v="TRX-102925"/>
    <x v="238"/>
    <x v="1"/>
    <x v="8"/>
    <x v="0"/>
    <n v="180"/>
    <n v="149.56"/>
    <x v="2"/>
    <n v="28"/>
    <n v="-30.439999999999898"/>
    <x v="3"/>
  </r>
  <r>
    <s v="TRX-102926"/>
    <x v="299"/>
    <x v="4"/>
    <x v="1"/>
    <x v="0"/>
    <n v="200"/>
    <n v="145.16999999999999"/>
    <x v="2"/>
    <n v="36"/>
    <n v="-54.83"/>
    <x v="0"/>
  </r>
  <r>
    <s v="TRX-102927"/>
    <x v="96"/>
    <x v="3"/>
    <x v="4"/>
    <x v="2"/>
    <n v="137"/>
    <n v="133.91999999999999"/>
    <x v="3"/>
    <n v="18"/>
    <n v="-3.0800000000000098"/>
    <x v="1"/>
  </r>
  <r>
    <s v="TRX-102928"/>
    <x v="31"/>
    <x v="2"/>
    <x v="6"/>
    <x v="1"/>
    <n v="217"/>
    <n v="531.91"/>
    <x v="4"/>
    <n v="60"/>
    <n v="314.909999999999"/>
    <x v="6"/>
  </r>
  <r>
    <s v="TRX-102929"/>
    <x v="650"/>
    <x v="2"/>
    <x v="8"/>
    <x v="2"/>
    <n v="215"/>
    <n v="195.09"/>
    <x v="3"/>
    <n v="29"/>
    <n v="-19.909999999999901"/>
    <x v="5"/>
  </r>
  <r>
    <s v="TRX-102930"/>
    <x v="892"/>
    <x v="4"/>
    <x v="7"/>
    <x v="0"/>
    <n v="208"/>
    <n v="146.72999999999999"/>
    <x v="4"/>
    <n v="22"/>
    <n v="-61.27"/>
    <x v="4"/>
  </r>
  <r>
    <s v="TRX-102931"/>
    <x v="137"/>
    <x v="4"/>
    <x v="5"/>
    <x v="0"/>
    <n v="206"/>
    <n v="155.99"/>
    <x v="0"/>
    <n v="13"/>
    <n v="-50.009999999999899"/>
    <x v="6"/>
  </r>
  <r>
    <s v="TRX-102932"/>
    <x v="724"/>
    <x v="1"/>
    <x v="1"/>
    <x v="1"/>
    <n v="185"/>
    <n v="241.33"/>
    <x v="1"/>
    <n v="2"/>
    <n v="56.33"/>
    <x v="9"/>
  </r>
  <r>
    <s v="TRX-102933"/>
    <x v="704"/>
    <x v="0"/>
    <x v="4"/>
    <x v="2"/>
    <n v="228"/>
    <n v="206.2"/>
    <x v="1"/>
    <n v="13"/>
    <n v="-21.8"/>
    <x v="1"/>
  </r>
  <r>
    <s v="TRX-102934"/>
    <x v="948"/>
    <x v="1"/>
    <x v="4"/>
    <x v="1"/>
    <n v="189"/>
    <n v="379.79"/>
    <x v="0"/>
    <n v="3"/>
    <n v="190.79"/>
    <x v="5"/>
  </r>
  <r>
    <s v="TRX-102935"/>
    <x v="910"/>
    <x v="4"/>
    <x v="1"/>
    <x v="1"/>
    <n v="201"/>
    <n v="676.73"/>
    <x v="4"/>
    <n v="37"/>
    <n v="475.73"/>
    <x v="4"/>
  </r>
  <r>
    <s v="TRX-102936"/>
    <x v="465"/>
    <x v="0"/>
    <x v="1"/>
    <x v="1"/>
    <n v="228"/>
    <n v="692.05"/>
    <x v="2"/>
    <n v="53"/>
    <n v="464.04999999999899"/>
    <x v="7"/>
  </r>
  <r>
    <s v="TRX-102937"/>
    <x v="69"/>
    <x v="0"/>
    <x v="0"/>
    <x v="1"/>
    <n v="230"/>
    <n v="322.76"/>
    <x v="1"/>
    <n v="11"/>
    <n v="92.759999999999906"/>
    <x v="1"/>
  </r>
  <r>
    <s v="TRX-102938"/>
    <x v="17"/>
    <x v="4"/>
    <x v="0"/>
    <x v="0"/>
    <n v="203"/>
    <n v="155.36000000000001"/>
    <x v="1"/>
    <n v="4"/>
    <n v="-47.639999999999901"/>
    <x v="9"/>
  </r>
  <r>
    <s v="TRX-102939"/>
    <x v="332"/>
    <x v="0"/>
    <x v="3"/>
    <x v="0"/>
    <n v="228"/>
    <n v="155.81"/>
    <x v="4"/>
    <n v="40"/>
    <n v="-72.19"/>
    <x v="5"/>
  </r>
  <r>
    <s v="TRX-102940"/>
    <x v="563"/>
    <x v="2"/>
    <x v="7"/>
    <x v="1"/>
    <n v="220"/>
    <n v="360.86"/>
    <x v="0"/>
    <n v="10"/>
    <n v="140.86000000000001"/>
    <x v="6"/>
  </r>
  <r>
    <s v="TRX-102941"/>
    <x v="226"/>
    <x v="2"/>
    <x v="0"/>
    <x v="1"/>
    <n v="211"/>
    <n v="470.7"/>
    <x v="2"/>
    <n v="41"/>
    <n v="259.7"/>
    <x v="10"/>
  </r>
  <r>
    <s v="TRX-102942"/>
    <x v="249"/>
    <x v="0"/>
    <x v="1"/>
    <x v="0"/>
    <n v="225"/>
    <n v="198.96"/>
    <x v="2"/>
    <n v="52"/>
    <n v="-26.0399999999999"/>
    <x v="2"/>
  </r>
  <r>
    <s v="TRX-102943"/>
    <x v="273"/>
    <x v="3"/>
    <x v="0"/>
    <x v="2"/>
    <n v="130"/>
    <n v="179.35"/>
    <x v="1"/>
    <n v="8"/>
    <n v="49.349999999999902"/>
    <x v="7"/>
  </r>
  <r>
    <s v="TRX-102944"/>
    <x v="723"/>
    <x v="2"/>
    <x v="8"/>
    <x v="1"/>
    <n v="220"/>
    <n v="571.08000000000004"/>
    <x v="0"/>
    <n v="11"/>
    <n v="351.08"/>
    <x v="8"/>
  </r>
  <r>
    <s v="TRX-102945"/>
    <x v="58"/>
    <x v="0"/>
    <x v="3"/>
    <x v="0"/>
    <n v="226"/>
    <n v="173.6"/>
    <x v="3"/>
    <n v="7"/>
    <n v="-52.4"/>
    <x v="4"/>
  </r>
  <r>
    <s v="TRX-102946"/>
    <x v="949"/>
    <x v="0"/>
    <x v="1"/>
    <x v="2"/>
    <n v="226"/>
    <n v="280.7"/>
    <x v="1"/>
    <n v="8"/>
    <n v="54.699999999999903"/>
    <x v="3"/>
  </r>
  <r>
    <s v="TRX-102947"/>
    <x v="158"/>
    <x v="4"/>
    <x v="3"/>
    <x v="1"/>
    <n v="204"/>
    <n v="601.66"/>
    <x v="1"/>
    <n v="8"/>
    <n v="397.659999999999"/>
    <x v="10"/>
  </r>
  <r>
    <s v="TRX-102948"/>
    <x v="332"/>
    <x v="2"/>
    <x v="0"/>
    <x v="1"/>
    <n v="220"/>
    <n v="574.79999999999995"/>
    <x v="2"/>
    <n v="51"/>
    <n v="354.79999999999899"/>
    <x v="5"/>
  </r>
  <r>
    <s v="TRX-102949"/>
    <x v="574"/>
    <x v="2"/>
    <x v="7"/>
    <x v="0"/>
    <n v="221"/>
    <n v="153.13"/>
    <x v="2"/>
    <n v="34"/>
    <n v="-67.87"/>
    <x v="6"/>
  </r>
  <r>
    <s v="TRX-102950"/>
    <x v="705"/>
    <x v="1"/>
    <x v="5"/>
    <x v="2"/>
    <n v="185"/>
    <n v="202.52"/>
    <x v="3"/>
    <n v="34"/>
    <n v="17.52"/>
    <x v="3"/>
  </r>
  <r>
    <s v="TRX-102951"/>
    <x v="223"/>
    <x v="1"/>
    <x v="4"/>
    <x v="2"/>
    <n v="189"/>
    <n v="278.55"/>
    <x v="3"/>
    <n v="17"/>
    <n v="89.55"/>
    <x v="9"/>
  </r>
  <r>
    <s v="TRX-102952"/>
    <x v="950"/>
    <x v="1"/>
    <x v="4"/>
    <x v="2"/>
    <n v="170"/>
    <n v="160.30000000000001"/>
    <x v="1"/>
    <n v="1"/>
    <n v="-9.6999999999999797"/>
    <x v="8"/>
  </r>
  <r>
    <s v="TRX-102953"/>
    <x v="908"/>
    <x v="3"/>
    <x v="4"/>
    <x v="0"/>
    <n v="121"/>
    <n v="83.01"/>
    <x v="2"/>
    <n v="44"/>
    <n v="-37.989999999999903"/>
    <x v="5"/>
  </r>
  <r>
    <s v="TRX-102954"/>
    <x v="652"/>
    <x v="1"/>
    <x v="8"/>
    <x v="1"/>
    <n v="186"/>
    <n v="273.93"/>
    <x v="1"/>
    <n v="2"/>
    <n v="87.93"/>
    <x v="0"/>
  </r>
  <r>
    <s v="TRX-102955"/>
    <x v="951"/>
    <x v="0"/>
    <x v="3"/>
    <x v="0"/>
    <n v="227"/>
    <n v="183.68"/>
    <x v="1"/>
    <n v="9"/>
    <n v="-43.319999999999901"/>
    <x v="6"/>
  </r>
  <r>
    <s v="TRX-102956"/>
    <x v="206"/>
    <x v="4"/>
    <x v="3"/>
    <x v="1"/>
    <n v="206"/>
    <n v="672.16"/>
    <x v="2"/>
    <n v="52"/>
    <n v="466.159999999999"/>
    <x v="0"/>
  </r>
  <r>
    <s v="TRX-102957"/>
    <x v="952"/>
    <x v="3"/>
    <x v="7"/>
    <x v="0"/>
    <n v="124"/>
    <n v="77.12"/>
    <x v="4"/>
    <n v="32"/>
    <n v="-46.879999999999903"/>
    <x v="4"/>
  </r>
  <r>
    <s v="TRX-102958"/>
    <x v="627"/>
    <x v="2"/>
    <x v="8"/>
    <x v="0"/>
    <n v="218"/>
    <n v="179.3"/>
    <x v="1"/>
    <n v="13"/>
    <n v="-38.699999999999903"/>
    <x v="5"/>
  </r>
  <r>
    <s v="TRX-102959"/>
    <x v="166"/>
    <x v="2"/>
    <x v="6"/>
    <x v="2"/>
    <n v="210"/>
    <n v="298.45999999999998"/>
    <x v="1"/>
    <n v="11"/>
    <n v="88.459999999999894"/>
    <x v="5"/>
  </r>
  <r>
    <s v="TRX-102960"/>
    <x v="808"/>
    <x v="3"/>
    <x v="4"/>
    <x v="2"/>
    <n v="122"/>
    <n v="177.13"/>
    <x v="2"/>
    <n v="11"/>
    <n v="55.129999999999903"/>
    <x v="10"/>
  </r>
  <r>
    <s v="TRX-102961"/>
    <x v="96"/>
    <x v="2"/>
    <x v="6"/>
    <x v="1"/>
    <n v="214"/>
    <n v="656.5"/>
    <x v="4"/>
    <n v="55"/>
    <n v="442.5"/>
    <x v="1"/>
  </r>
  <r>
    <s v="TRX-102962"/>
    <x v="423"/>
    <x v="0"/>
    <x v="0"/>
    <x v="0"/>
    <n v="229"/>
    <n v="175.27"/>
    <x v="3"/>
    <n v="58"/>
    <n v="-53.729999999999897"/>
    <x v="10"/>
  </r>
  <r>
    <s v="TRX-102963"/>
    <x v="299"/>
    <x v="4"/>
    <x v="2"/>
    <x v="0"/>
    <n v="200"/>
    <n v="106.17"/>
    <x v="0"/>
    <n v="3"/>
    <n v="-93.83"/>
    <x v="0"/>
  </r>
  <r>
    <s v="TRX-102964"/>
    <x v="418"/>
    <x v="4"/>
    <x v="6"/>
    <x v="1"/>
    <n v="209"/>
    <n v="441.94"/>
    <x v="2"/>
    <n v="23"/>
    <n v="232.94"/>
    <x v="11"/>
  </r>
  <r>
    <s v="TRX-102965"/>
    <x v="953"/>
    <x v="0"/>
    <x v="1"/>
    <x v="1"/>
    <n v="227"/>
    <n v="395.39"/>
    <x v="0"/>
    <n v="2"/>
    <n v="168.39"/>
    <x v="8"/>
  </r>
  <r>
    <s v="TRX-102966"/>
    <x v="788"/>
    <x v="4"/>
    <x v="3"/>
    <x v="2"/>
    <n v="206"/>
    <n v="256.24"/>
    <x v="4"/>
    <n v="42"/>
    <n v="50.24"/>
    <x v="0"/>
  </r>
  <r>
    <s v="TRX-102967"/>
    <x v="465"/>
    <x v="3"/>
    <x v="5"/>
    <x v="0"/>
    <n v="119"/>
    <n v="105.83"/>
    <x v="2"/>
    <n v="23"/>
    <n v="-13.17"/>
    <x v="7"/>
  </r>
  <r>
    <s v="TRX-102968"/>
    <x v="140"/>
    <x v="2"/>
    <x v="5"/>
    <x v="1"/>
    <n v="217"/>
    <n v="375.12"/>
    <x v="1"/>
    <n v="6"/>
    <n v="158.12"/>
    <x v="2"/>
  </r>
  <r>
    <s v="TRX-102969"/>
    <x v="3"/>
    <x v="3"/>
    <x v="4"/>
    <x v="0"/>
    <n v="136"/>
    <n v="73.53"/>
    <x v="3"/>
    <n v="16"/>
    <n v="-62.47"/>
    <x v="2"/>
  </r>
  <r>
    <s v="TRX-102970"/>
    <x v="946"/>
    <x v="0"/>
    <x v="3"/>
    <x v="2"/>
    <n v="227"/>
    <n v="220.74"/>
    <x v="0"/>
    <n v="5"/>
    <n v="-6.25999999999999"/>
    <x v="5"/>
  </r>
  <r>
    <s v="TRX-102971"/>
    <x v="286"/>
    <x v="2"/>
    <x v="5"/>
    <x v="2"/>
    <n v="212"/>
    <n v="204.08"/>
    <x v="3"/>
    <n v="13"/>
    <n v="-7.9199999999999804"/>
    <x v="1"/>
  </r>
  <r>
    <s v="TRX-102972"/>
    <x v="362"/>
    <x v="2"/>
    <x v="6"/>
    <x v="2"/>
    <n v="221"/>
    <n v="296.27"/>
    <x v="4"/>
    <n v="20"/>
    <n v="75.269999999999897"/>
    <x v="8"/>
  </r>
  <r>
    <s v="TRX-102973"/>
    <x v="97"/>
    <x v="0"/>
    <x v="6"/>
    <x v="1"/>
    <n v="229"/>
    <n v="723.52"/>
    <x v="0"/>
    <n v="7"/>
    <n v="494.52"/>
    <x v="4"/>
  </r>
  <r>
    <s v="TRX-102974"/>
    <x v="731"/>
    <x v="3"/>
    <x v="5"/>
    <x v="0"/>
    <n v="135"/>
    <n v="112.83"/>
    <x v="2"/>
    <n v="58"/>
    <n v="-22.17"/>
    <x v="7"/>
  </r>
  <r>
    <s v="TRX-102975"/>
    <x v="779"/>
    <x v="4"/>
    <x v="2"/>
    <x v="1"/>
    <n v="204"/>
    <n v="363.79"/>
    <x v="4"/>
    <n v="34"/>
    <n v="159.79"/>
    <x v="10"/>
  </r>
  <r>
    <s v="TRX-102976"/>
    <x v="854"/>
    <x v="2"/>
    <x v="2"/>
    <x v="2"/>
    <n v="220"/>
    <n v="206.87"/>
    <x v="4"/>
    <n v="11"/>
    <n v="-13.1299999999999"/>
    <x v="2"/>
  </r>
  <r>
    <s v="TRX-102977"/>
    <x v="718"/>
    <x v="0"/>
    <x v="3"/>
    <x v="0"/>
    <n v="228"/>
    <n v="197.35"/>
    <x v="2"/>
    <n v="46"/>
    <n v="-30.65"/>
    <x v="8"/>
  </r>
  <r>
    <s v="TRX-102978"/>
    <x v="397"/>
    <x v="4"/>
    <x v="0"/>
    <x v="2"/>
    <n v="209"/>
    <n v="295.08999999999997"/>
    <x v="2"/>
    <n v="8"/>
    <n v="86.089999999999904"/>
    <x v="3"/>
  </r>
  <r>
    <s v="TRX-102979"/>
    <x v="127"/>
    <x v="4"/>
    <x v="2"/>
    <x v="0"/>
    <n v="208"/>
    <n v="110.67"/>
    <x v="2"/>
    <n v="55"/>
    <n v="-97.33"/>
    <x v="1"/>
  </r>
  <r>
    <s v="TRX-102980"/>
    <x v="605"/>
    <x v="2"/>
    <x v="7"/>
    <x v="2"/>
    <n v="218"/>
    <n v="283.89999999999998"/>
    <x v="3"/>
    <n v="45"/>
    <n v="65.899999999999906"/>
    <x v="1"/>
  </r>
  <r>
    <s v="TRX-102981"/>
    <x v="369"/>
    <x v="2"/>
    <x v="5"/>
    <x v="2"/>
    <n v="224"/>
    <n v="226.94"/>
    <x v="2"/>
    <n v="43"/>
    <n v="2.9399999999999902"/>
    <x v="2"/>
  </r>
  <r>
    <s v="TRX-102982"/>
    <x v="320"/>
    <x v="3"/>
    <x v="5"/>
    <x v="0"/>
    <n v="117"/>
    <n v="91.24"/>
    <x v="4"/>
    <n v="25"/>
    <n v="-25.76"/>
    <x v="7"/>
  </r>
  <r>
    <s v="TRX-102983"/>
    <x v="183"/>
    <x v="0"/>
    <x v="3"/>
    <x v="2"/>
    <n v="228"/>
    <n v="331.93"/>
    <x v="4"/>
    <n v="22"/>
    <n v="103.93"/>
    <x v="1"/>
  </r>
  <r>
    <s v="TRX-102984"/>
    <x v="620"/>
    <x v="3"/>
    <x v="0"/>
    <x v="1"/>
    <n v="112"/>
    <n v="377.99"/>
    <x v="1"/>
    <n v="11"/>
    <n v="265.99"/>
    <x v="9"/>
  </r>
  <r>
    <s v="TRX-102985"/>
    <x v="481"/>
    <x v="1"/>
    <x v="6"/>
    <x v="0"/>
    <n v="179"/>
    <n v="122.37"/>
    <x v="3"/>
    <n v="11"/>
    <n v="-56.629999999999903"/>
    <x v="8"/>
  </r>
  <r>
    <s v="TRX-102986"/>
    <x v="782"/>
    <x v="0"/>
    <x v="4"/>
    <x v="1"/>
    <n v="227"/>
    <n v="482.95"/>
    <x v="4"/>
    <n v="23"/>
    <n v="255.95"/>
    <x v="2"/>
  </r>
  <r>
    <s v="TRX-102987"/>
    <x v="530"/>
    <x v="1"/>
    <x v="8"/>
    <x v="1"/>
    <n v="171"/>
    <n v="472.68"/>
    <x v="3"/>
    <n v="52"/>
    <n v="301.68"/>
    <x v="3"/>
  </r>
  <r>
    <s v="TRX-102988"/>
    <x v="502"/>
    <x v="4"/>
    <x v="2"/>
    <x v="2"/>
    <n v="208"/>
    <n v="213.43"/>
    <x v="3"/>
    <n v="26"/>
    <n v="5.43"/>
    <x v="0"/>
  </r>
  <r>
    <s v="TRX-102989"/>
    <x v="855"/>
    <x v="0"/>
    <x v="2"/>
    <x v="1"/>
    <n v="226"/>
    <n v="535.33000000000004"/>
    <x v="0"/>
    <n v="12"/>
    <n v="309.33"/>
    <x v="2"/>
  </r>
  <r>
    <s v="TRX-102990"/>
    <x v="305"/>
    <x v="0"/>
    <x v="7"/>
    <x v="1"/>
    <n v="225"/>
    <n v="363.61"/>
    <x v="1"/>
    <n v="12"/>
    <n v="138.61000000000001"/>
    <x v="2"/>
  </r>
  <r>
    <s v="TRX-102991"/>
    <x v="654"/>
    <x v="3"/>
    <x v="5"/>
    <x v="1"/>
    <n v="115"/>
    <n v="222.1"/>
    <x v="2"/>
    <n v="36"/>
    <n v="107.1"/>
    <x v="4"/>
  </r>
  <r>
    <s v="TRX-102992"/>
    <x v="106"/>
    <x v="4"/>
    <x v="2"/>
    <x v="2"/>
    <n v="203"/>
    <n v="212.61"/>
    <x v="0"/>
    <n v="10"/>
    <n v="9.6100000000000101"/>
    <x v="8"/>
  </r>
  <r>
    <s v="TRX-102993"/>
    <x v="786"/>
    <x v="1"/>
    <x v="7"/>
    <x v="2"/>
    <n v="178"/>
    <n v="235.14"/>
    <x v="2"/>
    <n v="37"/>
    <n v="57.139999999999901"/>
    <x v="5"/>
  </r>
  <r>
    <s v="TRX-102994"/>
    <x v="154"/>
    <x v="3"/>
    <x v="0"/>
    <x v="1"/>
    <n v="113"/>
    <n v="230.16"/>
    <x v="2"/>
    <n v="56"/>
    <n v="117.16"/>
    <x v="2"/>
  </r>
  <r>
    <s v="TRX-102995"/>
    <x v="810"/>
    <x v="0"/>
    <x v="6"/>
    <x v="1"/>
    <n v="225"/>
    <n v="445.75"/>
    <x v="1"/>
    <n v="3"/>
    <n v="220.75"/>
    <x v="6"/>
  </r>
  <r>
    <s v="TRX-102996"/>
    <x v="460"/>
    <x v="4"/>
    <x v="4"/>
    <x v="0"/>
    <n v="206"/>
    <n v="124.46"/>
    <x v="0"/>
    <n v="5"/>
    <n v="-81.540000000000006"/>
    <x v="0"/>
  </r>
  <r>
    <s v="TRX-102997"/>
    <x v="886"/>
    <x v="2"/>
    <x v="7"/>
    <x v="1"/>
    <n v="221"/>
    <n v="621.16"/>
    <x v="0"/>
    <n v="3"/>
    <n v="400.159999999999"/>
    <x v="11"/>
  </r>
  <r>
    <s v="TRX-102998"/>
    <x v="104"/>
    <x v="3"/>
    <x v="2"/>
    <x v="2"/>
    <n v="119"/>
    <n v="147.66"/>
    <x v="3"/>
    <n v="29"/>
    <n v="28.659999999999901"/>
    <x v="5"/>
  </r>
  <r>
    <s v="TRX-102999"/>
    <x v="954"/>
    <x v="2"/>
    <x v="4"/>
    <x v="2"/>
    <n v="212"/>
    <n v="309.58999999999997"/>
    <x v="0"/>
    <n v="9"/>
    <n v="97.589999999999904"/>
    <x v="5"/>
  </r>
  <r>
    <s v="TRX-103000"/>
    <x v="955"/>
    <x v="2"/>
    <x v="3"/>
    <x v="0"/>
    <n v="224"/>
    <n v="134.99"/>
    <x v="4"/>
    <n v="58"/>
    <n v="-89.009999999999906"/>
    <x v="9"/>
  </r>
  <r>
    <s v="TRX-103001"/>
    <x v="902"/>
    <x v="2"/>
    <x v="4"/>
    <x v="2"/>
    <n v="212"/>
    <n v="228.85"/>
    <x v="1"/>
    <n v="6"/>
    <n v="16.849999999999898"/>
    <x v="9"/>
  </r>
  <r>
    <s v="TRX-103002"/>
    <x v="711"/>
    <x v="2"/>
    <x v="5"/>
    <x v="2"/>
    <n v="217"/>
    <n v="250.76"/>
    <x v="4"/>
    <n v="21"/>
    <n v="33.759999999999899"/>
    <x v="0"/>
  </r>
  <r>
    <s v="TRX-103003"/>
    <x v="763"/>
    <x v="3"/>
    <x v="5"/>
    <x v="2"/>
    <n v="127"/>
    <n v="142.07"/>
    <x v="4"/>
    <n v="53"/>
    <n v="15.069999999999901"/>
    <x v="4"/>
  </r>
  <r>
    <s v="TRX-103004"/>
    <x v="161"/>
    <x v="4"/>
    <x v="5"/>
    <x v="2"/>
    <n v="207"/>
    <n v="186.77"/>
    <x v="3"/>
    <n v="37"/>
    <n v="-20.229999999999901"/>
    <x v="7"/>
  </r>
  <r>
    <s v="TRX-103005"/>
    <x v="170"/>
    <x v="4"/>
    <x v="7"/>
    <x v="2"/>
    <n v="206"/>
    <n v="291.7"/>
    <x v="3"/>
    <n v="16"/>
    <n v="85.699999999999903"/>
    <x v="3"/>
  </r>
  <r>
    <s v="TRX-103006"/>
    <x v="17"/>
    <x v="3"/>
    <x v="4"/>
    <x v="2"/>
    <n v="110"/>
    <n v="124.13"/>
    <x v="4"/>
    <n v="21"/>
    <n v="14.1299999999999"/>
    <x v="9"/>
  </r>
  <r>
    <s v="TRX-103007"/>
    <x v="142"/>
    <x v="2"/>
    <x v="4"/>
    <x v="1"/>
    <n v="219"/>
    <n v="438.01"/>
    <x v="1"/>
    <n v="4"/>
    <n v="219.01"/>
    <x v="3"/>
  </r>
  <r>
    <s v="TRX-103008"/>
    <x v="618"/>
    <x v="4"/>
    <x v="4"/>
    <x v="0"/>
    <n v="204"/>
    <n v="104.71"/>
    <x v="1"/>
    <n v="12"/>
    <n v="-99.29"/>
    <x v="11"/>
  </r>
  <r>
    <s v="TRX-103009"/>
    <x v="326"/>
    <x v="3"/>
    <x v="8"/>
    <x v="1"/>
    <n v="132"/>
    <n v="449.45"/>
    <x v="1"/>
    <n v="5"/>
    <n v="317.45"/>
    <x v="11"/>
  </r>
  <r>
    <s v="TRX-103010"/>
    <x v="909"/>
    <x v="0"/>
    <x v="2"/>
    <x v="2"/>
    <n v="226"/>
    <n v="229.58"/>
    <x v="4"/>
    <n v="45"/>
    <n v="3.5800000000000098"/>
    <x v="8"/>
  </r>
  <r>
    <s v="TRX-103011"/>
    <x v="846"/>
    <x v="4"/>
    <x v="1"/>
    <x v="2"/>
    <n v="210"/>
    <n v="201.9"/>
    <x v="2"/>
    <n v="24"/>
    <n v="-8.0999999999999908"/>
    <x v="10"/>
  </r>
  <r>
    <s v="TRX-103012"/>
    <x v="705"/>
    <x v="1"/>
    <x v="1"/>
    <x v="1"/>
    <n v="173"/>
    <n v="234.8"/>
    <x v="1"/>
    <n v="8"/>
    <n v="61.8"/>
    <x v="3"/>
  </r>
  <r>
    <s v="TRX-103013"/>
    <x v="399"/>
    <x v="2"/>
    <x v="6"/>
    <x v="2"/>
    <n v="210"/>
    <n v="234.78"/>
    <x v="3"/>
    <n v="30"/>
    <n v="24.78"/>
    <x v="4"/>
  </r>
  <r>
    <s v="TRX-103014"/>
    <x v="220"/>
    <x v="4"/>
    <x v="1"/>
    <x v="2"/>
    <n v="209"/>
    <n v="191.16"/>
    <x v="0"/>
    <n v="11"/>
    <n v="-17.84"/>
    <x v="11"/>
  </r>
  <r>
    <s v="TRX-103015"/>
    <x v="541"/>
    <x v="2"/>
    <x v="3"/>
    <x v="0"/>
    <n v="223"/>
    <n v="169.38"/>
    <x v="0"/>
    <n v="7"/>
    <n v="-53.62"/>
    <x v="10"/>
  </r>
  <r>
    <s v="TRX-103016"/>
    <x v="195"/>
    <x v="1"/>
    <x v="3"/>
    <x v="2"/>
    <n v="174"/>
    <n v="222.66"/>
    <x v="2"/>
    <n v="56"/>
    <n v="48.66"/>
    <x v="5"/>
  </r>
  <r>
    <s v="TRX-103017"/>
    <x v="341"/>
    <x v="4"/>
    <x v="6"/>
    <x v="0"/>
    <n v="207"/>
    <n v="114.5"/>
    <x v="0"/>
    <n v="1"/>
    <n v="-92.5"/>
    <x v="6"/>
  </r>
  <r>
    <s v="TRX-103018"/>
    <x v="759"/>
    <x v="2"/>
    <x v="2"/>
    <x v="1"/>
    <n v="214"/>
    <n v="415.41"/>
    <x v="1"/>
    <n v="2"/>
    <n v="201.41"/>
    <x v="7"/>
  </r>
  <r>
    <s v="TRX-103019"/>
    <x v="739"/>
    <x v="4"/>
    <x v="8"/>
    <x v="1"/>
    <n v="210"/>
    <n v="658.6"/>
    <x v="4"/>
    <n v="57"/>
    <n v="448.6"/>
    <x v="9"/>
  </r>
  <r>
    <s v="TRX-103020"/>
    <x v="817"/>
    <x v="3"/>
    <x v="6"/>
    <x v="2"/>
    <n v="130"/>
    <n v="155.56"/>
    <x v="2"/>
    <n v="47"/>
    <n v="25.56"/>
    <x v="11"/>
  </r>
  <r>
    <s v="TRX-103021"/>
    <x v="741"/>
    <x v="2"/>
    <x v="5"/>
    <x v="1"/>
    <n v="225"/>
    <n v="686.62"/>
    <x v="1"/>
    <n v="4"/>
    <n v="461.62"/>
    <x v="11"/>
  </r>
  <r>
    <s v="TRX-103022"/>
    <x v="864"/>
    <x v="4"/>
    <x v="7"/>
    <x v="1"/>
    <n v="206"/>
    <n v="483.18"/>
    <x v="1"/>
    <n v="5"/>
    <n v="277.18"/>
    <x v="11"/>
  </r>
  <r>
    <s v="TRX-103023"/>
    <x v="51"/>
    <x v="4"/>
    <x v="0"/>
    <x v="2"/>
    <n v="207"/>
    <n v="276.14999999999998"/>
    <x v="0"/>
    <n v="8"/>
    <n v="69.149999999999906"/>
    <x v="3"/>
  </r>
  <r>
    <s v="TRX-103024"/>
    <x v="547"/>
    <x v="3"/>
    <x v="3"/>
    <x v="1"/>
    <n v="130"/>
    <n v="210.78"/>
    <x v="4"/>
    <n v="60"/>
    <n v="80.78"/>
    <x v="7"/>
  </r>
  <r>
    <s v="TRX-103025"/>
    <x v="687"/>
    <x v="0"/>
    <x v="6"/>
    <x v="2"/>
    <n v="227"/>
    <n v="236.42"/>
    <x v="4"/>
    <n v="57"/>
    <n v="9.4199999999999804"/>
    <x v="3"/>
  </r>
  <r>
    <s v="TRX-103026"/>
    <x v="727"/>
    <x v="0"/>
    <x v="1"/>
    <x v="1"/>
    <n v="226"/>
    <n v="741.69"/>
    <x v="0"/>
    <n v="9"/>
    <n v="515.69000000000005"/>
    <x v="5"/>
  </r>
  <r>
    <s v="TRX-103027"/>
    <x v="956"/>
    <x v="0"/>
    <x v="2"/>
    <x v="2"/>
    <n v="229"/>
    <n v="254.86"/>
    <x v="1"/>
    <n v="6"/>
    <n v="25.86"/>
    <x v="2"/>
  </r>
  <r>
    <s v="TRX-103028"/>
    <x v="608"/>
    <x v="2"/>
    <x v="2"/>
    <x v="2"/>
    <n v="212"/>
    <n v="190.87"/>
    <x v="1"/>
    <n v="14"/>
    <n v="-21.1299999999999"/>
    <x v="11"/>
  </r>
  <r>
    <s v="TRX-103029"/>
    <x v="293"/>
    <x v="0"/>
    <x v="0"/>
    <x v="1"/>
    <n v="229"/>
    <n v="502.01"/>
    <x v="1"/>
    <n v="10"/>
    <n v="273.01"/>
    <x v="1"/>
  </r>
  <r>
    <s v="TRX-103030"/>
    <x v="681"/>
    <x v="4"/>
    <x v="7"/>
    <x v="2"/>
    <n v="200"/>
    <n v="215.82"/>
    <x v="1"/>
    <n v="8"/>
    <n v="15.819999999999901"/>
    <x v="0"/>
  </r>
  <r>
    <s v="TRX-103031"/>
    <x v="289"/>
    <x v="2"/>
    <x v="1"/>
    <x v="0"/>
    <n v="219"/>
    <n v="130.54"/>
    <x v="0"/>
    <n v="1"/>
    <n v="-88.46"/>
    <x v="1"/>
  </r>
  <r>
    <s v="TRX-103032"/>
    <x v="957"/>
    <x v="3"/>
    <x v="8"/>
    <x v="2"/>
    <n v="119"/>
    <n v="171.28"/>
    <x v="1"/>
    <n v="8"/>
    <n v="52.28"/>
    <x v="6"/>
  </r>
  <r>
    <s v="TRX-103033"/>
    <x v="586"/>
    <x v="0"/>
    <x v="8"/>
    <x v="2"/>
    <n v="227"/>
    <n v="330.11"/>
    <x v="3"/>
    <n v="20"/>
    <n v="103.11"/>
    <x v="11"/>
  </r>
  <r>
    <s v="TRX-103034"/>
    <x v="573"/>
    <x v="4"/>
    <x v="0"/>
    <x v="2"/>
    <n v="200"/>
    <n v="277.72000000000003"/>
    <x v="2"/>
    <n v="21"/>
    <n v="77.72"/>
    <x v="2"/>
  </r>
  <r>
    <s v="TRX-103035"/>
    <x v="160"/>
    <x v="2"/>
    <x v="6"/>
    <x v="0"/>
    <n v="214"/>
    <n v="160.91"/>
    <x v="4"/>
    <n v="58"/>
    <n v="-53.09"/>
    <x v="10"/>
  </r>
  <r>
    <s v="TRX-103036"/>
    <x v="791"/>
    <x v="4"/>
    <x v="8"/>
    <x v="0"/>
    <n v="201"/>
    <n v="117.12"/>
    <x v="0"/>
    <n v="12"/>
    <n v="-83.88"/>
    <x v="4"/>
  </r>
  <r>
    <s v="TRX-103037"/>
    <x v="21"/>
    <x v="3"/>
    <x v="2"/>
    <x v="2"/>
    <n v="115"/>
    <n v="111.96"/>
    <x v="4"/>
    <n v="19"/>
    <n v="-3.04"/>
    <x v="4"/>
  </r>
  <r>
    <s v="TRX-103038"/>
    <x v="397"/>
    <x v="1"/>
    <x v="3"/>
    <x v="2"/>
    <n v="178"/>
    <n v="266.76"/>
    <x v="2"/>
    <n v="44"/>
    <n v="88.759999999999906"/>
    <x v="3"/>
  </r>
  <r>
    <s v="TRX-103039"/>
    <x v="671"/>
    <x v="1"/>
    <x v="1"/>
    <x v="2"/>
    <n v="182"/>
    <n v="212.33"/>
    <x v="4"/>
    <n v="35"/>
    <n v="30.33"/>
    <x v="2"/>
  </r>
  <r>
    <s v="TRX-103040"/>
    <x v="233"/>
    <x v="0"/>
    <x v="5"/>
    <x v="0"/>
    <n v="230"/>
    <n v="184.78"/>
    <x v="1"/>
    <n v="4"/>
    <n v="-45.22"/>
    <x v="5"/>
  </r>
  <r>
    <s v="TRX-103041"/>
    <x v="877"/>
    <x v="0"/>
    <x v="2"/>
    <x v="1"/>
    <n v="227"/>
    <n v="631.67999999999995"/>
    <x v="3"/>
    <n v="53"/>
    <n v="404.67999999999898"/>
    <x v="10"/>
  </r>
  <r>
    <s v="TRX-103042"/>
    <x v="679"/>
    <x v="3"/>
    <x v="5"/>
    <x v="1"/>
    <n v="129"/>
    <n v="401.54"/>
    <x v="4"/>
    <n v="33"/>
    <n v="272.54000000000002"/>
    <x v="11"/>
  </r>
  <r>
    <s v="TRX-103043"/>
    <x v="397"/>
    <x v="0"/>
    <x v="3"/>
    <x v="1"/>
    <n v="225"/>
    <n v="310.36"/>
    <x v="0"/>
    <n v="5"/>
    <n v="85.36"/>
    <x v="3"/>
  </r>
  <r>
    <s v="TRX-103044"/>
    <x v="411"/>
    <x v="1"/>
    <x v="1"/>
    <x v="1"/>
    <n v="189"/>
    <n v="511.88"/>
    <x v="4"/>
    <n v="5"/>
    <n v="322.88"/>
    <x v="9"/>
  </r>
  <r>
    <s v="TRX-103045"/>
    <x v="788"/>
    <x v="3"/>
    <x v="1"/>
    <x v="2"/>
    <n v="111"/>
    <n v="164.8"/>
    <x v="2"/>
    <n v="29"/>
    <n v="53.8"/>
    <x v="0"/>
  </r>
  <r>
    <s v="TRX-103046"/>
    <x v="958"/>
    <x v="4"/>
    <x v="2"/>
    <x v="2"/>
    <n v="202"/>
    <n v="182.53"/>
    <x v="0"/>
    <n v="12"/>
    <n v="-19.47"/>
    <x v="7"/>
  </r>
  <r>
    <s v="TRX-103047"/>
    <x v="959"/>
    <x v="1"/>
    <x v="7"/>
    <x v="2"/>
    <n v="189"/>
    <n v="246.8"/>
    <x v="4"/>
    <n v="59"/>
    <n v="57.8"/>
    <x v="11"/>
  </r>
  <r>
    <s v="TRX-103048"/>
    <x v="817"/>
    <x v="3"/>
    <x v="0"/>
    <x v="0"/>
    <n v="125"/>
    <n v="108.84"/>
    <x v="4"/>
    <n v="20"/>
    <n v="-16.159999999999901"/>
    <x v="11"/>
  </r>
  <r>
    <s v="TRX-103049"/>
    <x v="91"/>
    <x v="1"/>
    <x v="3"/>
    <x v="1"/>
    <n v="184"/>
    <n v="317.72000000000003"/>
    <x v="3"/>
    <n v="22"/>
    <n v="133.72"/>
    <x v="11"/>
  </r>
  <r>
    <s v="TRX-103050"/>
    <x v="785"/>
    <x v="2"/>
    <x v="7"/>
    <x v="2"/>
    <n v="222"/>
    <n v="271.88"/>
    <x v="0"/>
    <n v="1"/>
    <n v="49.879999999999903"/>
    <x v="5"/>
  </r>
  <r>
    <s v="TRX-103051"/>
    <x v="42"/>
    <x v="2"/>
    <x v="0"/>
    <x v="2"/>
    <n v="215"/>
    <n v="219.04"/>
    <x v="3"/>
    <n v="45"/>
    <n v="4.0399999999999903"/>
    <x v="11"/>
  </r>
  <r>
    <s v="TRX-103052"/>
    <x v="938"/>
    <x v="0"/>
    <x v="3"/>
    <x v="0"/>
    <n v="226"/>
    <n v="134.51"/>
    <x v="4"/>
    <n v="23"/>
    <n v="-91.49"/>
    <x v="10"/>
  </r>
  <r>
    <s v="TRX-103053"/>
    <x v="399"/>
    <x v="2"/>
    <x v="6"/>
    <x v="1"/>
    <n v="210"/>
    <n v="657.48"/>
    <x v="1"/>
    <n v="7"/>
    <n v="447.48"/>
    <x v="4"/>
  </r>
  <r>
    <s v="TRX-103054"/>
    <x v="622"/>
    <x v="2"/>
    <x v="6"/>
    <x v="2"/>
    <n v="222"/>
    <n v="246.05"/>
    <x v="0"/>
    <n v="1"/>
    <n v="24.05"/>
    <x v="10"/>
  </r>
  <r>
    <s v="TRX-103055"/>
    <x v="62"/>
    <x v="2"/>
    <x v="0"/>
    <x v="1"/>
    <n v="223"/>
    <n v="754.35"/>
    <x v="4"/>
    <n v="44"/>
    <n v="531.35"/>
    <x v="9"/>
  </r>
  <r>
    <s v="TRX-103056"/>
    <x v="471"/>
    <x v="0"/>
    <x v="8"/>
    <x v="1"/>
    <n v="230"/>
    <n v="474.34"/>
    <x v="4"/>
    <n v="13"/>
    <n v="244.33999999999901"/>
    <x v="10"/>
  </r>
  <r>
    <s v="TRX-103057"/>
    <x v="94"/>
    <x v="3"/>
    <x v="1"/>
    <x v="1"/>
    <n v="111"/>
    <n v="234.96"/>
    <x v="4"/>
    <n v="12"/>
    <n v="123.96"/>
    <x v="2"/>
  </r>
  <r>
    <s v="TRX-103058"/>
    <x v="24"/>
    <x v="2"/>
    <x v="8"/>
    <x v="1"/>
    <n v="211"/>
    <n v="343.49"/>
    <x v="2"/>
    <n v="30"/>
    <n v="132.49"/>
    <x v="4"/>
  </r>
  <r>
    <s v="TRX-103059"/>
    <x v="502"/>
    <x v="3"/>
    <x v="6"/>
    <x v="1"/>
    <n v="110"/>
    <n v="300.88"/>
    <x v="2"/>
    <n v="48"/>
    <n v="190.88"/>
    <x v="0"/>
  </r>
  <r>
    <s v="TRX-103060"/>
    <x v="70"/>
    <x v="1"/>
    <x v="8"/>
    <x v="0"/>
    <n v="187"/>
    <n v="97.65"/>
    <x v="0"/>
    <n v="5"/>
    <n v="-89.35"/>
    <x v="2"/>
  </r>
  <r>
    <s v="TRX-103061"/>
    <x v="702"/>
    <x v="0"/>
    <x v="7"/>
    <x v="0"/>
    <n v="229"/>
    <n v="154.83000000000001"/>
    <x v="1"/>
    <n v="4"/>
    <n v="-74.169999999999902"/>
    <x v="7"/>
  </r>
  <r>
    <s v="TRX-103062"/>
    <x v="389"/>
    <x v="3"/>
    <x v="0"/>
    <x v="1"/>
    <n v="131"/>
    <n v="364.17"/>
    <x v="2"/>
    <n v="51"/>
    <n v="233.17"/>
    <x v="4"/>
  </r>
  <r>
    <s v="TRX-103063"/>
    <x v="876"/>
    <x v="3"/>
    <x v="6"/>
    <x v="2"/>
    <n v="124"/>
    <n v="149.66"/>
    <x v="4"/>
    <n v="16"/>
    <n v="25.659999999999901"/>
    <x v="7"/>
  </r>
  <r>
    <s v="TRX-103064"/>
    <x v="411"/>
    <x v="0"/>
    <x v="2"/>
    <x v="2"/>
    <n v="229"/>
    <n v="289.52"/>
    <x v="2"/>
    <n v="56"/>
    <n v="60.519999999999897"/>
    <x v="9"/>
  </r>
  <r>
    <s v="TRX-103065"/>
    <x v="259"/>
    <x v="2"/>
    <x v="5"/>
    <x v="2"/>
    <n v="225"/>
    <n v="323.26"/>
    <x v="1"/>
    <n v="3"/>
    <n v="98.259999999999906"/>
    <x v="2"/>
  </r>
  <r>
    <s v="TRX-103066"/>
    <x v="194"/>
    <x v="4"/>
    <x v="5"/>
    <x v="2"/>
    <n v="203"/>
    <n v="254.19"/>
    <x v="1"/>
    <n v="13"/>
    <n v="51.19"/>
    <x v="5"/>
  </r>
  <r>
    <s v="TRX-103067"/>
    <x v="76"/>
    <x v="3"/>
    <x v="0"/>
    <x v="2"/>
    <n v="121"/>
    <n v="167.5"/>
    <x v="3"/>
    <n v="45"/>
    <n v="46.5"/>
    <x v="10"/>
  </r>
  <r>
    <s v="TRX-103068"/>
    <x v="882"/>
    <x v="1"/>
    <x v="0"/>
    <x v="0"/>
    <n v="184"/>
    <n v="162.93"/>
    <x v="2"/>
    <n v="13"/>
    <n v="-21.069999999999901"/>
    <x v="1"/>
  </r>
  <r>
    <s v="TRX-103069"/>
    <x v="183"/>
    <x v="0"/>
    <x v="5"/>
    <x v="0"/>
    <n v="227"/>
    <n v="148.11000000000001"/>
    <x v="4"/>
    <n v="25"/>
    <n v="-78.889999999999901"/>
    <x v="1"/>
  </r>
  <r>
    <s v="TRX-103070"/>
    <x v="911"/>
    <x v="4"/>
    <x v="5"/>
    <x v="2"/>
    <n v="201"/>
    <n v="226.29"/>
    <x v="0"/>
    <n v="6"/>
    <n v="25.2899999999999"/>
    <x v="0"/>
  </r>
  <r>
    <s v="TRX-103071"/>
    <x v="110"/>
    <x v="4"/>
    <x v="1"/>
    <x v="1"/>
    <n v="209"/>
    <n v="601.02"/>
    <x v="3"/>
    <n v="28"/>
    <n v="392.02"/>
    <x v="1"/>
  </r>
  <r>
    <s v="TRX-103072"/>
    <x v="140"/>
    <x v="2"/>
    <x v="7"/>
    <x v="1"/>
    <n v="210"/>
    <n v="447.95"/>
    <x v="0"/>
    <n v="8"/>
    <n v="237.95"/>
    <x v="2"/>
  </r>
  <r>
    <s v="TRX-103073"/>
    <x v="651"/>
    <x v="4"/>
    <x v="5"/>
    <x v="1"/>
    <n v="210"/>
    <n v="518.78"/>
    <x v="3"/>
    <n v="14"/>
    <n v="308.77999999999997"/>
    <x v="7"/>
  </r>
  <r>
    <s v="TRX-103074"/>
    <x v="795"/>
    <x v="0"/>
    <x v="3"/>
    <x v="0"/>
    <n v="230"/>
    <n v="124.34"/>
    <x v="0"/>
    <n v="12"/>
    <n v="-105.66"/>
    <x v="10"/>
  </r>
  <r>
    <s v="TRX-103075"/>
    <x v="558"/>
    <x v="4"/>
    <x v="1"/>
    <x v="0"/>
    <n v="208"/>
    <n v="132.11000000000001"/>
    <x v="0"/>
    <n v="3"/>
    <n v="-75.889999999999901"/>
    <x v="11"/>
  </r>
  <r>
    <s v="TRX-103076"/>
    <x v="91"/>
    <x v="4"/>
    <x v="8"/>
    <x v="0"/>
    <n v="210"/>
    <n v="176.39"/>
    <x v="2"/>
    <n v="47"/>
    <n v="-33.61"/>
    <x v="11"/>
  </r>
  <r>
    <s v="TRX-103077"/>
    <x v="351"/>
    <x v="4"/>
    <x v="3"/>
    <x v="1"/>
    <n v="205"/>
    <n v="397.04"/>
    <x v="1"/>
    <n v="9"/>
    <n v="192.04"/>
    <x v="5"/>
  </r>
  <r>
    <s v="TRX-103078"/>
    <x v="927"/>
    <x v="4"/>
    <x v="1"/>
    <x v="2"/>
    <n v="208"/>
    <n v="235.95"/>
    <x v="3"/>
    <n v="41"/>
    <n v="27.9499999999999"/>
    <x v="1"/>
  </r>
  <r>
    <s v="TRX-103079"/>
    <x v="153"/>
    <x v="3"/>
    <x v="3"/>
    <x v="1"/>
    <n v="137"/>
    <n v="294.36"/>
    <x v="1"/>
    <n v="1"/>
    <n v="157.36000000000001"/>
    <x v="2"/>
  </r>
  <r>
    <s v="TRX-103080"/>
    <x v="849"/>
    <x v="0"/>
    <x v="7"/>
    <x v="2"/>
    <n v="227"/>
    <n v="313.98"/>
    <x v="0"/>
    <n v="5"/>
    <n v="86.98"/>
    <x v="4"/>
  </r>
  <r>
    <s v="TRX-103081"/>
    <x v="827"/>
    <x v="4"/>
    <x v="1"/>
    <x v="1"/>
    <n v="203"/>
    <n v="456.2"/>
    <x v="2"/>
    <n v="19"/>
    <n v="253.2"/>
    <x v="1"/>
  </r>
  <r>
    <s v="TRX-103082"/>
    <x v="162"/>
    <x v="3"/>
    <x v="5"/>
    <x v="2"/>
    <n v="135"/>
    <n v="126.62"/>
    <x v="0"/>
    <n v="6"/>
    <n v="-8.3799999999999901"/>
    <x v="6"/>
  </r>
  <r>
    <s v="TRX-103083"/>
    <x v="680"/>
    <x v="1"/>
    <x v="0"/>
    <x v="0"/>
    <n v="173"/>
    <n v="152.99"/>
    <x v="2"/>
    <n v="47"/>
    <n v="-20.009999999999899"/>
    <x v="4"/>
  </r>
  <r>
    <s v="TRX-103084"/>
    <x v="724"/>
    <x v="4"/>
    <x v="3"/>
    <x v="0"/>
    <n v="208"/>
    <n v="134.96"/>
    <x v="3"/>
    <n v="58"/>
    <n v="-73.039999999999907"/>
    <x v="9"/>
  </r>
  <r>
    <s v="TRX-103085"/>
    <x v="252"/>
    <x v="0"/>
    <x v="8"/>
    <x v="2"/>
    <n v="227"/>
    <n v="245.66"/>
    <x v="0"/>
    <n v="8"/>
    <n v="18.659999999999901"/>
    <x v="4"/>
  </r>
  <r>
    <s v="TRX-103086"/>
    <x v="921"/>
    <x v="1"/>
    <x v="5"/>
    <x v="0"/>
    <n v="177"/>
    <n v="92.75"/>
    <x v="0"/>
    <n v="7"/>
    <n v="-84.25"/>
    <x v="0"/>
  </r>
  <r>
    <s v="TRX-103087"/>
    <x v="123"/>
    <x v="4"/>
    <x v="4"/>
    <x v="1"/>
    <n v="205"/>
    <n v="305.23"/>
    <x v="2"/>
    <n v="20"/>
    <n v="100.23"/>
    <x v="9"/>
  </r>
  <r>
    <s v="TRX-103088"/>
    <x v="627"/>
    <x v="3"/>
    <x v="3"/>
    <x v="2"/>
    <n v="138"/>
    <n v="205.28"/>
    <x v="0"/>
    <n v="7"/>
    <n v="67.28"/>
    <x v="5"/>
  </r>
  <r>
    <s v="TRX-103089"/>
    <x v="37"/>
    <x v="1"/>
    <x v="4"/>
    <x v="0"/>
    <n v="186"/>
    <n v="138.75"/>
    <x v="2"/>
    <n v="8"/>
    <n v="-47.25"/>
    <x v="6"/>
  </r>
  <r>
    <s v="TRX-103090"/>
    <x v="102"/>
    <x v="0"/>
    <x v="2"/>
    <x v="1"/>
    <n v="227"/>
    <n v="747.67"/>
    <x v="1"/>
    <n v="10"/>
    <n v="520.66999999999996"/>
    <x v="1"/>
  </r>
  <r>
    <s v="TRX-103091"/>
    <x v="764"/>
    <x v="0"/>
    <x v="6"/>
    <x v="0"/>
    <n v="227"/>
    <n v="148.83000000000001"/>
    <x v="3"/>
    <n v="40"/>
    <n v="-78.169999999999902"/>
    <x v="5"/>
  </r>
  <r>
    <s v="TRX-103092"/>
    <x v="923"/>
    <x v="1"/>
    <x v="4"/>
    <x v="1"/>
    <n v="179"/>
    <n v="330.1"/>
    <x v="3"/>
    <n v="7"/>
    <n v="151.1"/>
    <x v="5"/>
  </r>
  <r>
    <s v="TRX-103093"/>
    <x v="155"/>
    <x v="2"/>
    <x v="6"/>
    <x v="2"/>
    <n v="223"/>
    <n v="306.11"/>
    <x v="3"/>
    <n v="5"/>
    <n v="83.11"/>
    <x v="7"/>
  </r>
  <r>
    <s v="TRX-103094"/>
    <x v="319"/>
    <x v="3"/>
    <x v="7"/>
    <x v="2"/>
    <n v="129"/>
    <n v="140.38"/>
    <x v="4"/>
    <n v="43"/>
    <n v="11.3799999999999"/>
    <x v="6"/>
  </r>
  <r>
    <s v="TRX-103095"/>
    <x v="960"/>
    <x v="0"/>
    <x v="1"/>
    <x v="0"/>
    <n v="227"/>
    <n v="184.65"/>
    <x v="3"/>
    <n v="6"/>
    <n v="-42.349999999999902"/>
    <x v="2"/>
  </r>
  <r>
    <s v="TRX-103096"/>
    <x v="413"/>
    <x v="1"/>
    <x v="0"/>
    <x v="1"/>
    <n v="179"/>
    <n v="286.18"/>
    <x v="2"/>
    <n v="25"/>
    <n v="107.18"/>
    <x v="0"/>
  </r>
  <r>
    <s v="TRX-103097"/>
    <x v="947"/>
    <x v="2"/>
    <x v="1"/>
    <x v="0"/>
    <n v="221"/>
    <n v="112.43"/>
    <x v="2"/>
    <n v="47"/>
    <n v="-108.57"/>
    <x v="5"/>
  </r>
  <r>
    <s v="TRX-103098"/>
    <x v="439"/>
    <x v="3"/>
    <x v="7"/>
    <x v="2"/>
    <n v="113"/>
    <n v="118.68"/>
    <x v="3"/>
    <n v="25"/>
    <n v="5.68"/>
    <x v="11"/>
  </r>
  <r>
    <s v="TRX-103099"/>
    <x v="439"/>
    <x v="0"/>
    <x v="5"/>
    <x v="1"/>
    <n v="226"/>
    <n v="576.94000000000005"/>
    <x v="3"/>
    <n v="10"/>
    <n v="350.94"/>
    <x v="11"/>
  </r>
  <r>
    <s v="TRX-103100"/>
    <x v="526"/>
    <x v="4"/>
    <x v="1"/>
    <x v="0"/>
    <n v="202"/>
    <n v="149.44"/>
    <x v="3"/>
    <n v="21"/>
    <n v="-52.56"/>
    <x v="3"/>
  </r>
  <r>
    <s v="TRX-103101"/>
    <x v="417"/>
    <x v="0"/>
    <x v="7"/>
    <x v="2"/>
    <n v="227"/>
    <n v="309.7"/>
    <x v="1"/>
    <n v="2"/>
    <n v="82.699999999999903"/>
    <x v="10"/>
  </r>
  <r>
    <s v="TRX-103102"/>
    <x v="317"/>
    <x v="1"/>
    <x v="1"/>
    <x v="2"/>
    <n v="186"/>
    <n v="228.97"/>
    <x v="3"/>
    <n v="17"/>
    <n v="42.97"/>
    <x v="6"/>
  </r>
  <r>
    <s v="TRX-103103"/>
    <x v="39"/>
    <x v="3"/>
    <x v="8"/>
    <x v="1"/>
    <n v="122"/>
    <n v="406.12"/>
    <x v="1"/>
    <n v="1"/>
    <n v="284.12"/>
    <x v="11"/>
  </r>
  <r>
    <s v="TRX-103104"/>
    <x v="812"/>
    <x v="1"/>
    <x v="6"/>
    <x v="2"/>
    <n v="186"/>
    <n v="247.4"/>
    <x v="2"/>
    <n v="58"/>
    <n v="61.4"/>
    <x v="5"/>
  </r>
  <r>
    <s v="TRX-103105"/>
    <x v="705"/>
    <x v="0"/>
    <x v="7"/>
    <x v="2"/>
    <n v="228"/>
    <n v="260.35000000000002"/>
    <x v="2"/>
    <n v="53"/>
    <n v="32.35"/>
    <x v="3"/>
  </r>
  <r>
    <s v="TRX-103106"/>
    <x v="3"/>
    <x v="0"/>
    <x v="2"/>
    <x v="2"/>
    <n v="228"/>
    <n v="272.93"/>
    <x v="0"/>
    <n v="12"/>
    <n v="44.93"/>
    <x v="2"/>
  </r>
  <r>
    <s v="TRX-103107"/>
    <x v="379"/>
    <x v="1"/>
    <x v="2"/>
    <x v="1"/>
    <n v="185"/>
    <n v="504.12"/>
    <x v="2"/>
    <n v="29"/>
    <n v="319.12"/>
    <x v="10"/>
  </r>
  <r>
    <s v="TRX-103108"/>
    <x v="7"/>
    <x v="1"/>
    <x v="3"/>
    <x v="1"/>
    <n v="186"/>
    <n v="537.6"/>
    <x v="3"/>
    <n v="14"/>
    <n v="351.6"/>
    <x v="3"/>
  </r>
  <r>
    <s v="TRX-103109"/>
    <x v="758"/>
    <x v="4"/>
    <x v="0"/>
    <x v="0"/>
    <n v="203"/>
    <n v="159.22999999999999"/>
    <x v="2"/>
    <n v="31"/>
    <n v="-43.77"/>
    <x v="3"/>
  </r>
  <r>
    <s v="TRX-103110"/>
    <x v="841"/>
    <x v="4"/>
    <x v="4"/>
    <x v="1"/>
    <n v="201"/>
    <n v="367.86"/>
    <x v="3"/>
    <n v="27"/>
    <n v="166.86"/>
    <x v="2"/>
  </r>
  <r>
    <s v="TRX-103111"/>
    <x v="850"/>
    <x v="4"/>
    <x v="4"/>
    <x v="2"/>
    <n v="207"/>
    <n v="224.51"/>
    <x v="3"/>
    <n v="54"/>
    <n v="17.509999999999899"/>
    <x v="8"/>
  </r>
  <r>
    <s v="TRX-103112"/>
    <x v="716"/>
    <x v="1"/>
    <x v="6"/>
    <x v="2"/>
    <n v="188"/>
    <n v="226.19"/>
    <x v="3"/>
    <n v="35"/>
    <n v="38.19"/>
    <x v="5"/>
  </r>
  <r>
    <s v="TRX-103113"/>
    <x v="529"/>
    <x v="4"/>
    <x v="4"/>
    <x v="2"/>
    <n v="202"/>
    <n v="215.05"/>
    <x v="3"/>
    <n v="40"/>
    <n v="13.05"/>
    <x v="0"/>
  </r>
  <r>
    <s v="TRX-103114"/>
    <x v="826"/>
    <x v="4"/>
    <x v="8"/>
    <x v="0"/>
    <n v="205"/>
    <n v="112.9"/>
    <x v="3"/>
    <n v="29"/>
    <n v="-92.1"/>
    <x v="0"/>
  </r>
  <r>
    <s v="TRX-103115"/>
    <x v="436"/>
    <x v="1"/>
    <x v="5"/>
    <x v="2"/>
    <n v="185"/>
    <n v="208.39"/>
    <x v="2"/>
    <n v="6"/>
    <n v="23.389999999999901"/>
    <x v="6"/>
  </r>
  <r>
    <s v="TRX-103116"/>
    <x v="697"/>
    <x v="0"/>
    <x v="1"/>
    <x v="1"/>
    <n v="225"/>
    <n v="528.77"/>
    <x v="3"/>
    <n v="26"/>
    <n v="303.77"/>
    <x v="1"/>
  </r>
  <r>
    <s v="TRX-103117"/>
    <x v="499"/>
    <x v="2"/>
    <x v="5"/>
    <x v="2"/>
    <n v="210"/>
    <n v="252.3"/>
    <x v="3"/>
    <n v="26"/>
    <n v="42.3"/>
    <x v="9"/>
  </r>
  <r>
    <s v="TRX-103118"/>
    <x v="409"/>
    <x v="0"/>
    <x v="5"/>
    <x v="0"/>
    <n v="230"/>
    <n v="168.1"/>
    <x v="2"/>
    <n v="6"/>
    <n v="-61.9"/>
    <x v="11"/>
  </r>
  <r>
    <s v="TRX-103119"/>
    <x v="422"/>
    <x v="3"/>
    <x v="1"/>
    <x v="0"/>
    <n v="131"/>
    <n v="109.15"/>
    <x v="4"/>
    <n v="57"/>
    <n v="-21.849999999999898"/>
    <x v="7"/>
  </r>
  <r>
    <s v="TRX-103120"/>
    <x v="865"/>
    <x v="4"/>
    <x v="7"/>
    <x v="0"/>
    <n v="203"/>
    <n v="134.35"/>
    <x v="1"/>
    <n v="14"/>
    <n v="-68.650000000000006"/>
    <x v="6"/>
  </r>
  <r>
    <s v="TRX-103121"/>
    <x v="831"/>
    <x v="2"/>
    <x v="6"/>
    <x v="1"/>
    <n v="212"/>
    <n v="682.79"/>
    <x v="2"/>
    <n v="17"/>
    <n v="470.789999999999"/>
    <x v="6"/>
  </r>
  <r>
    <s v="TRX-103122"/>
    <x v="891"/>
    <x v="4"/>
    <x v="2"/>
    <x v="0"/>
    <n v="207"/>
    <n v="183.17"/>
    <x v="2"/>
    <n v="57"/>
    <n v="-23.83"/>
    <x v="3"/>
  </r>
  <r>
    <s v="TRX-103123"/>
    <x v="487"/>
    <x v="0"/>
    <x v="8"/>
    <x v="0"/>
    <n v="229"/>
    <n v="189.34"/>
    <x v="2"/>
    <n v="28"/>
    <n v="-39.659999999999997"/>
    <x v="5"/>
  </r>
  <r>
    <s v="TRX-103124"/>
    <x v="639"/>
    <x v="3"/>
    <x v="3"/>
    <x v="2"/>
    <n v="128"/>
    <n v="136.85"/>
    <x v="2"/>
    <n v="18"/>
    <n v="8.8499999999999908"/>
    <x v="10"/>
  </r>
  <r>
    <s v="TRX-103125"/>
    <x v="217"/>
    <x v="1"/>
    <x v="1"/>
    <x v="1"/>
    <n v="180"/>
    <n v="509.05"/>
    <x v="4"/>
    <n v="42"/>
    <n v="329.05"/>
    <x v="8"/>
  </r>
  <r>
    <s v="TRX-103126"/>
    <x v="59"/>
    <x v="1"/>
    <x v="8"/>
    <x v="2"/>
    <n v="187"/>
    <n v="261.02999999999997"/>
    <x v="1"/>
    <n v="8"/>
    <n v="74.029999999999902"/>
    <x v="9"/>
  </r>
  <r>
    <s v="TRX-103127"/>
    <x v="905"/>
    <x v="1"/>
    <x v="3"/>
    <x v="0"/>
    <n v="185"/>
    <n v="160.6"/>
    <x v="1"/>
    <n v="13"/>
    <n v="-24.4"/>
    <x v="8"/>
  </r>
  <r>
    <s v="TRX-103128"/>
    <x v="378"/>
    <x v="3"/>
    <x v="6"/>
    <x v="0"/>
    <n v="127"/>
    <n v="74.790000000000006"/>
    <x v="2"/>
    <n v="47"/>
    <n v="-52.209999999999901"/>
    <x v="3"/>
  </r>
  <r>
    <s v="TRX-103129"/>
    <x v="752"/>
    <x v="1"/>
    <x v="3"/>
    <x v="0"/>
    <n v="176"/>
    <n v="88.74"/>
    <x v="4"/>
    <n v="53"/>
    <n v="-87.26"/>
    <x v="6"/>
  </r>
  <r>
    <s v="TRX-103130"/>
    <x v="727"/>
    <x v="1"/>
    <x v="4"/>
    <x v="2"/>
    <n v="173"/>
    <n v="193.27"/>
    <x v="4"/>
    <n v="39"/>
    <n v="20.27"/>
    <x v="5"/>
  </r>
  <r>
    <s v="TRX-103131"/>
    <x v="721"/>
    <x v="1"/>
    <x v="3"/>
    <x v="2"/>
    <n v="178"/>
    <n v="245.15"/>
    <x v="2"/>
    <n v="38"/>
    <n v="67.150000000000006"/>
    <x v="10"/>
  </r>
  <r>
    <s v="TRX-103132"/>
    <x v="916"/>
    <x v="1"/>
    <x v="4"/>
    <x v="2"/>
    <n v="189"/>
    <n v="278.85000000000002"/>
    <x v="2"/>
    <n v="24"/>
    <n v="89.85"/>
    <x v="1"/>
  </r>
  <r>
    <s v="TRX-103133"/>
    <x v="394"/>
    <x v="3"/>
    <x v="6"/>
    <x v="1"/>
    <n v="116"/>
    <n v="260.61"/>
    <x v="0"/>
    <n v="14"/>
    <n v="144.61000000000001"/>
    <x v="2"/>
  </r>
  <r>
    <s v="TRX-103134"/>
    <x v="362"/>
    <x v="1"/>
    <x v="0"/>
    <x v="2"/>
    <n v="188"/>
    <n v="202.82"/>
    <x v="3"/>
    <n v="45"/>
    <n v="14.819999999999901"/>
    <x v="8"/>
  </r>
  <r>
    <s v="TRX-103135"/>
    <x v="778"/>
    <x v="4"/>
    <x v="4"/>
    <x v="0"/>
    <n v="205"/>
    <n v="104.23"/>
    <x v="3"/>
    <n v="25"/>
    <n v="-100.77"/>
    <x v="4"/>
  </r>
  <r>
    <s v="TRX-103136"/>
    <x v="632"/>
    <x v="0"/>
    <x v="4"/>
    <x v="2"/>
    <n v="227"/>
    <n v="209.09"/>
    <x v="0"/>
    <n v="10"/>
    <n v="-17.909999999999901"/>
    <x v="9"/>
  </r>
  <r>
    <s v="TRX-103137"/>
    <x v="84"/>
    <x v="2"/>
    <x v="4"/>
    <x v="1"/>
    <n v="222"/>
    <n v="519.08000000000004"/>
    <x v="3"/>
    <n v="53"/>
    <n v="297.08"/>
    <x v="7"/>
  </r>
  <r>
    <s v="TRX-103138"/>
    <x v="740"/>
    <x v="2"/>
    <x v="0"/>
    <x v="2"/>
    <n v="213"/>
    <n v="204.09"/>
    <x v="4"/>
    <n v="10"/>
    <n v="-8.9099999999999895"/>
    <x v="11"/>
  </r>
  <r>
    <s v="TRX-103139"/>
    <x v="625"/>
    <x v="2"/>
    <x v="6"/>
    <x v="0"/>
    <n v="223"/>
    <n v="168.72"/>
    <x v="4"/>
    <n v="57"/>
    <n v="-54.28"/>
    <x v="2"/>
  </r>
  <r>
    <s v="TRX-103140"/>
    <x v="714"/>
    <x v="2"/>
    <x v="2"/>
    <x v="2"/>
    <n v="216"/>
    <n v="265.39999999999998"/>
    <x v="4"/>
    <n v="41"/>
    <n v="49.399999999999899"/>
    <x v="10"/>
  </r>
  <r>
    <s v="TRX-103141"/>
    <x v="873"/>
    <x v="1"/>
    <x v="7"/>
    <x v="0"/>
    <n v="178"/>
    <n v="138.07"/>
    <x v="4"/>
    <n v="22"/>
    <n v="-39.93"/>
    <x v="11"/>
  </r>
  <r>
    <s v="TRX-103142"/>
    <x v="60"/>
    <x v="0"/>
    <x v="3"/>
    <x v="2"/>
    <n v="230"/>
    <n v="312.73"/>
    <x v="0"/>
    <n v="14"/>
    <n v="82.73"/>
    <x v="11"/>
  </r>
  <r>
    <s v="TRX-103143"/>
    <x v="445"/>
    <x v="3"/>
    <x v="5"/>
    <x v="2"/>
    <n v="114"/>
    <n v="154.16999999999999"/>
    <x v="1"/>
    <n v="13"/>
    <n v="40.169999999999902"/>
    <x v="3"/>
  </r>
  <r>
    <s v="TRX-103144"/>
    <x v="485"/>
    <x v="3"/>
    <x v="6"/>
    <x v="1"/>
    <n v="127"/>
    <n v="400.02"/>
    <x v="4"/>
    <n v="58"/>
    <n v="273.02"/>
    <x v="1"/>
  </r>
  <r>
    <s v="TRX-103145"/>
    <x v="484"/>
    <x v="3"/>
    <x v="8"/>
    <x v="2"/>
    <n v="122"/>
    <n v="127.35"/>
    <x v="0"/>
    <n v="4"/>
    <n v="5.3499999999999899"/>
    <x v="4"/>
  </r>
  <r>
    <s v="TRX-103146"/>
    <x v="811"/>
    <x v="3"/>
    <x v="1"/>
    <x v="1"/>
    <n v="111"/>
    <n v="310.44"/>
    <x v="2"/>
    <n v="57"/>
    <n v="199.44"/>
    <x v="7"/>
  </r>
  <r>
    <s v="TRX-103147"/>
    <x v="402"/>
    <x v="4"/>
    <x v="7"/>
    <x v="0"/>
    <n v="209"/>
    <n v="126.87"/>
    <x v="0"/>
    <n v="6"/>
    <n v="-82.13"/>
    <x v="8"/>
  </r>
  <r>
    <s v="TRX-103148"/>
    <x v="657"/>
    <x v="2"/>
    <x v="1"/>
    <x v="2"/>
    <n v="222"/>
    <n v="214.2"/>
    <x v="1"/>
    <n v="7"/>
    <n v="-7.8000000000000096"/>
    <x v="9"/>
  </r>
  <r>
    <s v="TRX-103149"/>
    <x v="345"/>
    <x v="0"/>
    <x v="6"/>
    <x v="2"/>
    <n v="230"/>
    <n v="300.27"/>
    <x v="2"/>
    <n v="12"/>
    <n v="70.269999999999897"/>
    <x v="1"/>
  </r>
  <r>
    <s v="TRX-103150"/>
    <x v="853"/>
    <x v="0"/>
    <x v="8"/>
    <x v="2"/>
    <n v="229"/>
    <n v="274.16000000000003"/>
    <x v="2"/>
    <n v="50"/>
    <n v="45.16"/>
    <x v="0"/>
  </r>
  <r>
    <s v="TRX-103151"/>
    <x v="29"/>
    <x v="2"/>
    <x v="6"/>
    <x v="0"/>
    <n v="222"/>
    <n v="161.78"/>
    <x v="0"/>
    <n v="11"/>
    <n v="-60.22"/>
    <x v="3"/>
  </r>
  <r>
    <s v="TRX-103152"/>
    <x v="888"/>
    <x v="2"/>
    <x v="3"/>
    <x v="0"/>
    <n v="218"/>
    <n v="143.52000000000001"/>
    <x v="2"/>
    <n v="37"/>
    <n v="-74.479999999999905"/>
    <x v="5"/>
  </r>
  <r>
    <s v="TRX-103153"/>
    <x v="350"/>
    <x v="0"/>
    <x v="5"/>
    <x v="0"/>
    <n v="225"/>
    <n v="193.29"/>
    <x v="1"/>
    <n v="14"/>
    <n v="-31.71"/>
    <x v="11"/>
  </r>
  <r>
    <s v="TRX-103154"/>
    <x v="291"/>
    <x v="2"/>
    <x v="0"/>
    <x v="2"/>
    <n v="210"/>
    <n v="278.86"/>
    <x v="0"/>
    <n v="1"/>
    <n v="68.86"/>
    <x v="1"/>
  </r>
  <r>
    <s v="TRX-103155"/>
    <x v="783"/>
    <x v="1"/>
    <x v="4"/>
    <x v="2"/>
    <n v="171"/>
    <n v="181.1"/>
    <x v="3"/>
    <n v="10"/>
    <n v="10.0999999999999"/>
    <x v="4"/>
  </r>
  <r>
    <s v="TRX-103156"/>
    <x v="596"/>
    <x v="4"/>
    <x v="0"/>
    <x v="0"/>
    <n v="205"/>
    <n v="104.29"/>
    <x v="2"/>
    <n v="8"/>
    <n v="-100.71"/>
    <x v="1"/>
  </r>
  <r>
    <s v="TRX-103157"/>
    <x v="283"/>
    <x v="1"/>
    <x v="1"/>
    <x v="2"/>
    <n v="181"/>
    <n v="251.08"/>
    <x v="4"/>
    <n v="51"/>
    <n v="70.08"/>
    <x v="10"/>
  </r>
  <r>
    <s v="TRX-103158"/>
    <x v="757"/>
    <x v="1"/>
    <x v="6"/>
    <x v="1"/>
    <n v="187"/>
    <n v="396.24"/>
    <x v="3"/>
    <n v="37"/>
    <n v="209.24"/>
    <x v="2"/>
  </r>
  <r>
    <s v="TRX-103159"/>
    <x v="488"/>
    <x v="0"/>
    <x v="6"/>
    <x v="1"/>
    <n v="228"/>
    <n v="529.83000000000004"/>
    <x v="0"/>
    <n v="9"/>
    <n v="301.83"/>
    <x v="2"/>
  </r>
  <r>
    <s v="TRX-103160"/>
    <x v="571"/>
    <x v="4"/>
    <x v="1"/>
    <x v="2"/>
    <n v="209"/>
    <n v="300.27999999999997"/>
    <x v="1"/>
    <n v="8"/>
    <n v="91.279999999999902"/>
    <x v="0"/>
  </r>
  <r>
    <s v="TRX-103161"/>
    <x v="12"/>
    <x v="3"/>
    <x v="0"/>
    <x v="1"/>
    <n v="140"/>
    <n v="472.01"/>
    <x v="4"/>
    <n v="26"/>
    <n v="332.01"/>
    <x v="7"/>
  </r>
  <r>
    <s v="TRX-103162"/>
    <x v="748"/>
    <x v="3"/>
    <x v="2"/>
    <x v="2"/>
    <n v="130"/>
    <n v="123.24"/>
    <x v="0"/>
    <n v="13"/>
    <n v="-6.76"/>
    <x v="9"/>
  </r>
  <r>
    <s v="TRX-103163"/>
    <x v="324"/>
    <x v="4"/>
    <x v="4"/>
    <x v="1"/>
    <n v="202"/>
    <n v="663.07"/>
    <x v="2"/>
    <n v="25"/>
    <n v="461.07"/>
    <x v="8"/>
  </r>
  <r>
    <s v="TRX-103164"/>
    <x v="956"/>
    <x v="4"/>
    <x v="8"/>
    <x v="2"/>
    <n v="202"/>
    <n v="277.79000000000002"/>
    <x v="0"/>
    <n v="14"/>
    <n v="75.790000000000006"/>
    <x v="2"/>
  </r>
  <r>
    <s v="TRX-103165"/>
    <x v="672"/>
    <x v="1"/>
    <x v="7"/>
    <x v="2"/>
    <n v="178"/>
    <n v="228.86"/>
    <x v="3"/>
    <n v="57"/>
    <n v="50.86"/>
    <x v="1"/>
  </r>
  <r>
    <s v="TRX-103166"/>
    <x v="229"/>
    <x v="1"/>
    <x v="7"/>
    <x v="0"/>
    <n v="182"/>
    <n v="92.56"/>
    <x v="1"/>
    <n v="7"/>
    <n v="-89.44"/>
    <x v="2"/>
  </r>
  <r>
    <s v="TRX-103167"/>
    <x v="409"/>
    <x v="3"/>
    <x v="2"/>
    <x v="2"/>
    <n v="137"/>
    <n v="191.3"/>
    <x v="2"/>
    <n v="52"/>
    <n v="54.3"/>
    <x v="11"/>
  </r>
  <r>
    <s v="TRX-103168"/>
    <x v="349"/>
    <x v="4"/>
    <x v="3"/>
    <x v="0"/>
    <n v="205"/>
    <n v="152.46"/>
    <x v="4"/>
    <n v="22"/>
    <n v="-52.5399999999999"/>
    <x v="5"/>
  </r>
  <r>
    <s v="TRX-103169"/>
    <x v="303"/>
    <x v="1"/>
    <x v="0"/>
    <x v="0"/>
    <n v="179"/>
    <n v="122.35"/>
    <x v="0"/>
    <n v="12"/>
    <n v="-56.65"/>
    <x v="11"/>
  </r>
  <r>
    <s v="TRX-103170"/>
    <x v="125"/>
    <x v="0"/>
    <x v="3"/>
    <x v="1"/>
    <n v="225"/>
    <n v="695.76"/>
    <x v="0"/>
    <n v="5"/>
    <n v="470.76"/>
    <x v="4"/>
  </r>
  <r>
    <s v="TRX-103171"/>
    <x v="917"/>
    <x v="2"/>
    <x v="5"/>
    <x v="2"/>
    <n v="210"/>
    <n v="193.75"/>
    <x v="1"/>
    <n v="13"/>
    <n v="-16.25"/>
    <x v="11"/>
  </r>
  <r>
    <s v="TRX-103172"/>
    <x v="56"/>
    <x v="4"/>
    <x v="5"/>
    <x v="2"/>
    <n v="204"/>
    <n v="285.98"/>
    <x v="2"/>
    <n v="55"/>
    <n v="81.98"/>
    <x v="3"/>
  </r>
  <r>
    <s v="TRX-103173"/>
    <x v="111"/>
    <x v="4"/>
    <x v="1"/>
    <x v="0"/>
    <n v="210"/>
    <n v="175.39"/>
    <x v="4"/>
    <n v="20"/>
    <n v="-34.61"/>
    <x v="2"/>
  </r>
  <r>
    <s v="TRX-103174"/>
    <x v="961"/>
    <x v="1"/>
    <x v="2"/>
    <x v="1"/>
    <n v="183"/>
    <n v="244.61"/>
    <x v="0"/>
    <n v="11"/>
    <n v="61.61"/>
    <x v="5"/>
  </r>
  <r>
    <s v="TRX-103175"/>
    <x v="457"/>
    <x v="0"/>
    <x v="7"/>
    <x v="0"/>
    <n v="230"/>
    <n v="162.58000000000001"/>
    <x v="4"/>
    <n v="52"/>
    <n v="-67.419999999999902"/>
    <x v="7"/>
  </r>
  <r>
    <s v="TRX-103176"/>
    <x v="8"/>
    <x v="4"/>
    <x v="5"/>
    <x v="0"/>
    <n v="200"/>
    <n v="149.19"/>
    <x v="3"/>
    <n v="17"/>
    <n v="-50.81"/>
    <x v="3"/>
  </r>
  <r>
    <s v="TRX-103177"/>
    <x v="790"/>
    <x v="2"/>
    <x v="5"/>
    <x v="0"/>
    <n v="225"/>
    <n v="128.65"/>
    <x v="0"/>
    <n v="1"/>
    <n v="-96.35"/>
    <x v="4"/>
  </r>
  <r>
    <s v="TRX-103178"/>
    <x v="574"/>
    <x v="0"/>
    <x v="2"/>
    <x v="2"/>
    <n v="228"/>
    <n v="289.70999999999998"/>
    <x v="3"/>
    <n v="8"/>
    <n v="61.709999999999901"/>
    <x v="6"/>
  </r>
  <r>
    <s v="TRX-103179"/>
    <x v="854"/>
    <x v="2"/>
    <x v="0"/>
    <x v="1"/>
    <n v="213"/>
    <n v="393.74"/>
    <x v="4"/>
    <n v="42"/>
    <n v="180.74"/>
    <x v="2"/>
  </r>
  <r>
    <s v="TRX-103180"/>
    <x v="161"/>
    <x v="2"/>
    <x v="2"/>
    <x v="2"/>
    <n v="216"/>
    <n v="206.49"/>
    <x v="2"/>
    <n v="40"/>
    <n v="-9.5099999999999891"/>
    <x v="7"/>
  </r>
  <r>
    <s v="TRX-103181"/>
    <x v="151"/>
    <x v="4"/>
    <x v="1"/>
    <x v="0"/>
    <n v="205"/>
    <n v="103.39"/>
    <x v="1"/>
    <n v="13"/>
    <n v="-101.61"/>
    <x v="10"/>
  </r>
  <r>
    <s v="TRX-103182"/>
    <x v="644"/>
    <x v="2"/>
    <x v="3"/>
    <x v="2"/>
    <n v="214"/>
    <n v="225.58"/>
    <x v="2"/>
    <n v="33"/>
    <n v="11.58"/>
    <x v="4"/>
  </r>
  <r>
    <s v="TRX-103183"/>
    <x v="877"/>
    <x v="4"/>
    <x v="8"/>
    <x v="1"/>
    <n v="210"/>
    <n v="716.28"/>
    <x v="4"/>
    <n v="34"/>
    <n v="506.28"/>
    <x v="10"/>
  </r>
  <r>
    <s v="TRX-103184"/>
    <x v="781"/>
    <x v="0"/>
    <x v="7"/>
    <x v="2"/>
    <n v="225"/>
    <n v="251.01"/>
    <x v="0"/>
    <n v="3"/>
    <n v="26.009999999999899"/>
    <x v="3"/>
  </r>
  <r>
    <s v="TRX-103185"/>
    <x v="507"/>
    <x v="1"/>
    <x v="0"/>
    <x v="1"/>
    <n v="181"/>
    <n v="391.27"/>
    <x v="3"/>
    <n v="5"/>
    <n v="210.26999999999899"/>
    <x v="4"/>
  </r>
  <r>
    <s v="TRX-103186"/>
    <x v="748"/>
    <x v="2"/>
    <x v="6"/>
    <x v="2"/>
    <n v="219"/>
    <n v="293.94"/>
    <x v="1"/>
    <n v="12"/>
    <n v="74.94"/>
    <x v="9"/>
  </r>
  <r>
    <s v="TRX-103187"/>
    <x v="962"/>
    <x v="4"/>
    <x v="2"/>
    <x v="1"/>
    <n v="208"/>
    <n v="506.46"/>
    <x v="4"/>
    <n v="46"/>
    <n v="298.45999999999998"/>
    <x v="7"/>
  </r>
  <r>
    <s v="TRX-103188"/>
    <x v="625"/>
    <x v="2"/>
    <x v="6"/>
    <x v="0"/>
    <n v="213"/>
    <n v="179.7"/>
    <x v="1"/>
    <n v="14"/>
    <n v="-33.299999999999997"/>
    <x v="2"/>
  </r>
  <r>
    <s v="TRX-103189"/>
    <x v="768"/>
    <x v="2"/>
    <x v="2"/>
    <x v="0"/>
    <n v="218"/>
    <n v="133.19"/>
    <x v="4"/>
    <n v="28"/>
    <n v="-84.81"/>
    <x v="4"/>
  </r>
  <r>
    <s v="TRX-103190"/>
    <x v="410"/>
    <x v="4"/>
    <x v="2"/>
    <x v="0"/>
    <n v="200"/>
    <n v="139.85"/>
    <x v="1"/>
    <n v="14"/>
    <n v="-60.15"/>
    <x v="2"/>
  </r>
  <r>
    <s v="TRX-103191"/>
    <x v="554"/>
    <x v="1"/>
    <x v="1"/>
    <x v="0"/>
    <n v="179"/>
    <n v="154.84"/>
    <x v="2"/>
    <n v="53"/>
    <n v="-24.159999999999901"/>
    <x v="6"/>
  </r>
  <r>
    <s v="TRX-103192"/>
    <x v="138"/>
    <x v="0"/>
    <x v="2"/>
    <x v="0"/>
    <n v="225"/>
    <n v="125.93"/>
    <x v="3"/>
    <n v="46"/>
    <n v="-99.07"/>
    <x v="2"/>
  </r>
  <r>
    <s v="TRX-103193"/>
    <x v="351"/>
    <x v="3"/>
    <x v="5"/>
    <x v="1"/>
    <n v="126"/>
    <n v="223.89"/>
    <x v="3"/>
    <n v="23"/>
    <n v="97.889999999999901"/>
    <x v="5"/>
  </r>
  <r>
    <s v="TRX-103194"/>
    <x v="471"/>
    <x v="1"/>
    <x v="7"/>
    <x v="2"/>
    <n v="185"/>
    <n v="240.58"/>
    <x v="1"/>
    <n v="3"/>
    <n v="55.58"/>
    <x v="10"/>
  </r>
  <r>
    <s v="TRX-103195"/>
    <x v="61"/>
    <x v="4"/>
    <x v="2"/>
    <x v="1"/>
    <n v="203"/>
    <n v="566.21"/>
    <x v="0"/>
    <n v="14"/>
    <n v="363.21"/>
    <x v="6"/>
  </r>
  <r>
    <s v="TRX-103196"/>
    <x v="892"/>
    <x v="0"/>
    <x v="0"/>
    <x v="0"/>
    <n v="230"/>
    <n v="154.91"/>
    <x v="3"/>
    <n v="12"/>
    <n v="-75.09"/>
    <x v="4"/>
  </r>
  <r>
    <s v="TRX-103197"/>
    <x v="778"/>
    <x v="2"/>
    <x v="4"/>
    <x v="0"/>
    <n v="220"/>
    <n v="146.15"/>
    <x v="2"/>
    <n v="49"/>
    <n v="-73.849999999999994"/>
    <x v="4"/>
  </r>
  <r>
    <s v="TRX-103198"/>
    <x v="553"/>
    <x v="4"/>
    <x v="5"/>
    <x v="2"/>
    <n v="204"/>
    <n v="192.32"/>
    <x v="3"/>
    <n v="53"/>
    <n v="-11.68"/>
    <x v="11"/>
  </r>
  <r>
    <s v="TRX-103199"/>
    <x v="940"/>
    <x v="4"/>
    <x v="2"/>
    <x v="0"/>
    <n v="210"/>
    <n v="110.75"/>
    <x v="4"/>
    <n v="9"/>
    <n v="-99.25"/>
    <x v="2"/>
  </r>
  <r>
    <s v="TRX-103200"/>
    <x v="242"/>
    <x v="4"/>
    <x v="0"/>
    <x v="1"/>
    <n v="202"/>
    <n v="330.02"/>
    <x v="4"/>
    <n v="16"/>
    <n v="128.01999999999899"/>
    <x v="9"/>
  </r>
  <r>
    <s v="TRX-103201"/>
    <x v="443"/>
    <x v="3"/>
    <x v="3"/>
    <x v="2"/>
    <n v="133"/>
    <n v="147.59"/>
    <x v="1"/>
    <n v="11"/>
    <n v="14.59"/>
    <x v="11"/>
  </r>
  <r>
    <s v="TRX-103202"/>
    <x v="405"/>
    <x v="0"/>
    <x v="3"/>
    <x v="0"/>
    <n v="225"/>
    <n v="191.94"/>
    <x v="0"/>
    <n v="7"/>
    <n v="-33.06"/>
    <x v="0"/>
  </r>
  <r>
    <s v="TRX-103203"/>
    <x v="776"/>
    <x v="0"/>
    <x v="7"/>
    <x v="1"/>
    <n v="229"/>
    <n v="662.14"/>
    <x v="4"/>
    <n v="18"/>
    <n v="433.14"/>
    <x v="5"/>
  </r>
  <r>
    <s v="TRX-103204"/>
    <x v="76"/>
    <x v="0"/>
    <x v="0"/>
    <x v="0"/>
    <n v="226"/>
    <n v="198.01"/>
    <x v="2"/>
    <n v="41"/>
    <n v="-27.99"/>
    <x v="10"/>
  </r>
  <r>
    <s v="TRX-103205"/>
    <x v="232"/>
    <x v="0"/>
    <x v="2"/>
    <x v="0"/>
    <n v="227"/>
    <n v="191.5"/>
    <x v="2"/>
    <n v="31"/>
    <n v="-35.5"/>
    <x v="6"/>
  </r>
  <r>
    <s v="TRX-103206"/>
    <x v="838"/>
    <x v="4"/>
    <x v="3"/>
    <x v="2"/>
    <n v="207"/>
    <n v="308.43"/>
    <x v="4"/>
    <n v="26"/>
    <n v="101.43"/>
    <x v="2"/>
  </r>
  <r>
    <s v="TRX-103207"/>
    <x v="573"/>
    <x v="2"/>
    <x v="0"/>
    <x v="2"/>
    <n v="219"/>
    <n v="226.32"/>
    <x v="3"/>
    <n v="44"/>
    <n v="7.3199999999999896"/>
    <x v="2"/>
  </r>
  <r>
    <s v="TRX-103208"/>
    <x v="157"/>
    <x v="3"/>
    <x v="1"/>
    <x v="2"/>
    <n v="134"/>
    <n v="159.49"/>
    <x v="3"/>
    <n v="23"/>
    <n v="25.49"/>
    <x v="2"/>
  </r>
  <r>
    <s v="TRX-103209"/>
    <x v="829"/>
    <x v="1"/>
    <x v="5"/>
    <x v="1"/>
    <n v="186"/>
    <n v="400.7"/>
    <x v="2"/>
    <n v="59"/>
    <n v="214.7"/>
    <x v="3"/>
  </r>
  <r>
    <s v="TRX-103210"/>
    <x v="636"/>
    <x v="2"/>
    <x v="0"/>
    <x v="0"/>
    <n v="221"/>
    <n v="110.91"/>
    <x v="4"/>
    <n v="22"/>
    <n v="-110.09"/>
    <x v="4"/>
  </r>
  <r>
    <s v="TRX-103211"/>
    <x v="961"/>
    <x v="4"/>
    <x v="3"/>
    <x v="2"/>
    <n v="203"/>
    <n v="230.23"/>
    <x v="1"/>
    <n v="11"/>
    <n v="27.229999999999901"/>
    <x v="5"/>
  </r>
  <r>
    <s v="TRX-103212"/>
    <x v="477"/>
    <x v="1"/>
    <x v="6"/>
    <x v="1"/>
    <n v="187"/>
    <n v="283.42"/>
    <x v="4"/>
    <n v="53"/>
    <n v="96.42"/>
    <x v="5"/>
  </r>
  <r>
    <s v="TRX-103213"/>
    <x v="636"/>
    <x v="3"/>
    <x v="8"/>
    <x v="2"/>
    <n v="136"/>
    <n v="143.54"/>
    <x v="3"/>
    <n v="59"/>
    <n v="7.5399999999999903"/>
    <x v="4"/>
  </r>
  <r>
    <s v="TRX-103214"/>
    <x v="383"/>
    <x v="4"/>
    <x v="1"/>
    <x v="1"/>
    <n v="206"/>
    <n v="362.53"/>
    <x v="4"/>
    <n v="6"/>
    <n v="156.52999999999901"/>
    <x v="3"/>
  </r>
  <r>
    <s v="TRX-103215"/>
    <x v="842"/>
    <x v="0"/>
    <x v="5"/>
    <x v="0"/>
    <n v="226"/>
    <n v="150.74"/>
    <x v="2"/>
    <n v="13"/>
    <n v="-75.259999999999906"/>
    <x v="11"/>
  </r>
  <r>
    <s v="TRX-103216"/>
    <x v="191"/>
    <x v="4"/>
    <x v="3"/>
    <x v="1"/>
    <n v="206"/>
    <n v="317.33999999999997"/>
    <x v="1"/>
    <n v="7"/>
    <n v="111.33999999999899"/>
    <x v="8"/>
  </r>
  <r>
    <s v="TRX-103217"/>
    <x v="554"/>
    <x v="0"/>
    <x v="8"/>
    <x v="1"/>
    <n v="230"/>
    <n v="804.58"/>
    <x v="0"/>
    <n v="14"/>
    <n v="574.58000000000004"/>
    <x v="6"/>
  </r>
  <r>
    <s v="TRX-103218"/>
    <x v="452"/>
    <x v="1"/>
    <x v="4"/>
    <x v="1"/>
    <n v="180"/>
    <n v="517.11"/>
    <x v="0"/>
    <n v="9"/>
    <n v="337.11"/>
    <x v="6"/>
  </r>
  <r>
    <s v="TRX-103219"/>
    <x v="590"/>
    <x v="4"/>
    <x v="4"/>
    <x v="2"/>
    <n v="208"/>
    <n v="232.49"/>
    <x v="4"/>
    <n v="26"/>
    <n v="24.49"/>
    <x v="6"/>
  </r>
  <r>
    <s v="TRX-103220"/>
    <x v="658"/>
    <x v="4"/>
    <x v="7"/>
    <x v="1"/>
    <n v="202"/>
    <n v="337.09"/>
    <x v="4"/>
    <n v="8"/>
    <n v="135.08999999999901"/>
    <x v="5"/>
  </r>
  <r>
    <s v="TRX-103221"/>
    <x v="957"/>
    <x v="1"/>
    <x v="5"/>
    <x v="2"/>
    <n v="176"/>
    <n v="180.93"/>
    <x v="4"/>
    <n v="41"/>
    <n v="4.93"/>
    <x v="6"/>
  </r>
  <r>
    <s v="TRX-103222"/>
    <x v="520"/>
    <x v="2"/>
    <x v="2"/>
    <x v="0"/>
    <n v="224"/>
    <n v="182.91"/>
    <x v="2"/>
    <n v="44"/>
    <n v="-41.09"/>
    <x v="4"/>
  </r>
  <r>
    <s v="TRX-103223"/>
    <x v="963"/>
    <x v="1"/>
    <x v="6"/>
    <x v="0"/>
    <n v="183"/>
    <n v="134.54"/>
    <x v="2"/>
    <n v="40"/>
    <n v="-48.46"/>
    <x v="11"/>
  </r>
  <r>
    <s v="TRX-103224"/>
    <x v="602"/>
    <x v="3"/>
    <x v="3"/>
    <x v="0"/>
    <n v="135"/>
    <n v="115.95"/>
    <x v="2"/>
    <n v="48"/>
    <n v="-19.049999999999901"/>
    <x v="7"/>
  </r>
  <r>
    <s v="TRX-103225"/>
    <x v="126"/>
    <x v="4"/>
    <x v="3"/>
    <x v="2"/>
    <n v="205"/>
    <n v="226.57"/>
    <x v="1"/>
    <n v="12"/>
    <n v="21.569999999999901"/>
    <x v="9"/>
  </r>
  <r>
    <s v="TRX-103226"/>
    <x v="270"/>
    <x v="1"/>
    <x v="4"/>
    <x v="1"/>
    <n v="173"/>
    <n v="310.88"/>
    <x v="1"/>
    <n v="14"/>
    <n v="137.88"/>
    <x v="5"/>
  </r>
  <r>
    <s v="TRX-103227"/>
    <x v="75"/>
    <x v="2"/>
    <x v="2"/>
    <x v="1"/>
    <n v="215"/>
    <n v="358.56"/>
    <x v="3"/>
    <n v="28"/>
    <n v="143.56"/>
    <x v="4"/>
  </r>
  <r>
    <s v="TRX-103228"/>
    <x v="459"/>
    <x v="4"/>
    <x v="6"/>
    <x v="2"/>
    <n v="205"/>
    <n v="216.51"/>
    <x v="4"/>
    <n v="46"/>
    <n v="11.5099999999999"/>
    <x v="11"/>
  </r>
  <r>
    <s v="TRX-103229"/>
    <x v="509"/>
    <x v="3"/>
    <x v="2"/>
    <x v="1"/>
    <n v="126"/>
    <n v="367.77"/>
    <x v="4"/>
    <n v="39"/>
    <n v="241.76999999999899"/>
    <x v="6"/>
  </r>
  <r>
    <s v="TRX-103230"/>
    <x v="427"/>
    <x v="1"/>
    <x v="2"/>
    <x v="1"/>
    <n v="176"/>
    <n v="350.47"/>
    <x v="1"/>
    <n v="8"/>
    <n v="174.47"/>
    <x v="4"/>
  </r>
  <r>
    <s v="TRX-103231"/>
    <x v="788"/>
    <x v="3"/>
    <x v="3"/>
    <x v="0"/>
    <n v="119"/>
    <n v="74.84"/>
    <x v="1"/>
    <n v="3"/>
    <n v="-44.16"/>
    <x v="0"/>
  </r>
  <r>
    <s v="TRX-103232"/>
    <x v="765"/>
    <x v="4"/>
    <x v="7"/>
    <x v="1"/>
    <n v="202"/>
    <n v="614.37"/>
    <x v="4"/>
    <n v="11"/>
    <n v="412.37"/>
    <x v="10"/>
  </r>
  <r>
    <s v="TRX-103233"/>
    <x v="908"/>
    <x v="2"/>
    <x v="8"/>
    <x v="0"/>
    <n v="217"/>
    <n v="129.34"/>
    <x v="1"/>
    <n v="4"/>
    <n v="-87.66"/>
    <x v="5"/>
  </r>
  <r>
    <s v="TRX-103234"/>
    <x v="406"/>
    <x v="1"/>
    <x v="7"/>
    <x v="2"/>
    <n v="186"/>
    <n v="235.14"/>
    <x v="4"/>
    <n v="58"/>
    <n v="49.139999999999901"/>
    <x v="3"/>
  </r>
  <r>
    <s v="TRX-103235"/>
    <x v="312"/>
    <x v="4"/>
    <x v="1"/>
    <x v="0"/>
    <n v="200"/>
    <n v="113.27"/>
    <x v="1"/>
    <n v="10"/>
    <n v="-86.73"/>
    <x v="11"/>
  </r>
  <r>
    <s v="TRX-103236"/>
    <x v="125"/>
    <x v="0"/>
    <x v="7"/>
    <x v="1"/>
    <n v="226"/>
    <n v="675.44"/>
    <x v="2"/>
    <n v="28"/>
    <n v="449.44"/>
    <x v="4"/>
  </r>
  <r>
    <s v="TRX-103237"/>
    <x v="517"/>
    <x v="0"/>
    <x v="0"/>
    <x v="2"/>
    <n v="227"/>
    <n v="232.01"/>
    <x v="2"/>
    <n v="37"/>
    <n v="5.00999999999999"/>
    <x v="2"/>
  </r>
  <r>
    <s v="TRX-103238"/>
    <x v="656"/>
    <x v="4"/>
    <x v="7"/>
    <x v="0"/>
    <n v="205"/>
    <n v="119.88"/>
    <x v="0"/>
    <n v="12"/>
    <n v="-85.12"/>
    <x v="8"/>
  </r>
  <r>
    <s v="TRX-103239"/>
    <x v="605"/>
    <x v="1"/>
    <x v="7"/>
    <x v="0"/>
    <n v="177"/>
    <n v="100.88"/>
    <x v="3"/>
    <n v="40"/>
    <n v="-76.12"/>
    <x v="1"/>
  </r>
  <r>
    <s v="TRX-103240"/>
    <x v="183"/>
    <x v="1"/>
    <x v="5"/>
    <x v="1"/>
    <n v="173"/>
    <n v="372.22"/>
    <x v="4"/>
    <n v="49"/>
    <n v="199.22"/>
    <x v="1"/>
  </r>
  <r>
    <s v="TRX-103241"/>
    <x v="779"/>
    <x v="3"/>
    <x v="8"/>
    <x v="1"/>
    <n v="126"/>
    <n v="231.04"/>
    <x v="0"/>
    <n v="6"/>
    <n v="105.039999999999"/>
    <x v="10"/>
  </r>
  <r>
    <s v="TRX-103242"/>
    <x v="409"/>
    <x v="4"/>
    <x v="3"/>
    <x v="1"/>
    <n v="210"/>
    <n v="618.94000000000005"/>
    <x v="0"/>
    <n v="1"/>
    <n v="408.94"/>
    <x v="11"/>
  </r>
  <r>
    <s v="TRX-103243"/>
    <x v="498"/>
    <x v="4"/>
    <x v="0"/>
    <x v="0"/>
    <n v="203"/>
    <n v="161.72999999999999"/>
    <x v="3"/>
    <n v="59"/>
    <n v="-41.27"/>
    <x v="10"/>
  </r>
  <r>
    <s v="TRX-103244"/>
    <x v="577"/>
    <x v="1"/>
    <x v="5"/>
    <x v="1"/>
    <n v="187"/>
    <n v="258.89999999999998"/>
    <x v="1"/>
    <n v="3"/>
    <n v="71.899999999999906"/>
    <x v="11"/>
  </r>
  <r>
    <s v="TRX-103245"/>
    <x v="69"/>
    <x v="4"/>
    <x v="5"/>
    <x v="0"/>
    <n v="206"/>
    <n v="134.07"/>
    <x v="0"/>
    <n v="5"/>
    <n v="-71.930000000000007"/>
    <x v="1"/>
  </r>
  <r>
    <s v="TRX-103246"/>
    <x v="158"/>
    <x v="0"/>
    <x v="7"/>
    <x v="0"/>
    <n v="230"/>
    <n v="202.69"/>
    <x v="1"/>
    <n v="6"/>
    <n v="-27.31"/>
    <x v="10"/>
  </r>
  <r>
    <s v="TRX-103247"/>
    <x v="275"/>
    <x v="2"/>
    <x v="8"/>
    <x v="0"/>
    <n v="221"/>
    <n v="180.7"/>
    <x v="0"/>
    <n v="12"/>
    <n v="-40.299999999999997"/>
    <x v="2"/>
  </r>
  <r>
    <s v="TRX-103248"/>
    <x v="237"/>
    <x v="4"/>
    <x v="3"/>
    <x v="0"/>
    <n v="202"/>
    <n v="122.27"/>
    <x v="4"/>
    <n v="19"/>
    <n v="-79.73"/>
    <x v="0"/>
  </r>
  <r>
    <s v="TRX-103249"/>
    <x v="734"/>
    <x v="0"/>
    <x v="5"/>
    <x v="1"/>
    <n v="230"/>
    <n v="383.83"/>
    <x v="0"/>
    <n v="8"/>
    <n v="153.82999999999899"/>
    <x v="11"/>
  </r>
  <r>
    <s v="TRX-103250"/>
    <x v="964"/>
    <x v="2"/>
    <x v="4"/>
    <x v="2"/>
    <n v="218"/>
    <n v="300.11"/>
    <x v="1"/>
    <n v="12"/>
    <n v="82.11"/>
    <x v="3"/>
  </r>
  <r>
    <s v="TRX-103251"/>
    <x v="669"/>
    <x v="2"/>
    <x v="1"/>
    <x v="1"/>
    <n v="216"/>
    <n v="312.47000000000003"/>
    <x v="4"/>
    <n v="15"/>
    <n v="96.47"/>
    <x v="8"/>
  </r>
  <r>
    <s v="TRX-103252"/>
    <x v="615"/>
    <x v="3"/>
    <x v="0"/>
    <x v="1"/>
    <n v="113"/>
    <n v="229.33"/>
    <x v="3"/>
    <n v="32"/>
    <n v="116.33"/>
    <x v="9"/>
  </r>
  <r>
    <s v="TRX-103253"/>
    <x v="857"/>
    <x v="2"/>
    <x v="0"/>
    <x v="2"/>
    <n v="217"/>
    <n v="279.18"/>
    <x v="2"/>
    <n v="25"/>
    <n v="62.18"/>
    <x v="2"/>
  </r>
  <r>
    <s v="TRX-103254"/>
    <x v="714"/>
    <x v="3"/>
    <x v="5"/>
    <x v="0"/>
    <n v="114"/>
    <n v="96.65"/>
    <x v="4"/>
    <n v="59"/>
    <n v="-17.349999999999898"/>
    <x v="10"/>
  </r>
  <r>
    <s v="TRX-103255"/>
    <x v="458"/>
    <x v="2"/>
    <x v="7"/>
    <x v="2"/>
    <n v="224"/>
    <n v="259.62"/>
    <x v="2"/>
    <n v="35"/>
    <n v="35.619999999999997"/>
    <x v="10"/>
  </r>
  <r>
    <s v="TRX-103256"/>
    <x v="590"/>
    <x v="4"/>
    <x v="2"/>
    <x v="2"/>
    <n v="200"/>
    <n v="250.61"/>
    <x v="0"/>
    <n v="2"/>
    <n v="50.61"/>
    <x v="6"/>
  </r>
  <r>
    <s v="TRX-103257"/>
    <x v="377"/>
    <x v="4"/>
    <x v="0"/>
    <x v="1"/>
    <n v="206"/>
    <n v="497.39"/>
    <x v="4"/>
    <n v="58"/>
    <n v="291.39"/>
    <x v="11"/>
  </r>
  <r>
    <s v="TRX-103258"/>
    <x v="740"/>
    <x v="3"/>
    <x v="6"/>
    <x v="0"/>
    <n v="130"/>
    <n v="65.48"/>
    <x v="3"/>
    <n v="38"/>
    <n v="-64.52"/>
    <x v="11"/>
  </r>
  <r>
    <s v="TRX-103259"/>
    <x v="366"/>
    <x v="4"/>
    <x v="8"/>
    <x v="1"/>
    <n v="209"/>
    <n v="443.52"/>
    <x v="4"/>
    <n v="40"/>
    <n v="234.51999999999899"/>
    <x v="6"/>
  </r>
  <r>
    <s v="TRX-103260"/>
    <x v="496"/>
    <x v="4"/>
    <x v="6"/>
    <x v="0"/>
    <n v="202"/>
    <n v="134.88999999999999"/>
    <x v="4"/>
    <n v="21"/>
    <n v="-67.11"/>
    <x v="9"/>
  </r>
  <r>
    <s v="TRX-103261"/>
    <x v="166"/>
    <x v="2"/>
    <x v="8"/>
    <x v="1"/>
    <n v="225"/>
    <n v="546.73"/>
    <x v="0"/>
    <n v="9"/>
    <n v="321.73"/>
    <x v="5"/>
  </r>
  <r>
    <s v="TRX-103262"/>
    <x v="769"/>
    <x v="2"/>
    <x v="5"/>
    <x v="1"/>
    <n v="220"/>
    <n v="485.2"/>
    <x v="3"/>
    <n v="60"/>
    <n v="265.2"/>
    <x v="10"/>
  </r>
  <r>
    <s v="TRX-103263"/>
    <x v="965"/>
    <x v="2"/>
    <x v="7"/>
    <x v="2"/>
    <n v="217"/>
    <n v="279.70999999999998"/>
    <x v="1"/>
    <n v="1"/>
    <n v="62.709999999999901"/>
    <x v="1"/>
  </r>
  <r>
    <s v="TRX-103264"/>
    <x v="242"/>
    <x v="3"/>
    <x v="8"/>
    <x v="0"/>
    <n v="113"/>
    <n v="67.510000000000005"/>
    <x v="0"/>
    <n v="13"/>
    <n v="-45.489999999999903"/>
    <x v="9"/>
  </r>
  <r>
    <s v="TRX-103265"/>
    <x v="600"/>
    <x v="1"/>
    <x v="1"/>
    <x v="2"/>
    <n v="174"/>
    <n v="191.49"/>
    <x v="3"/>
    <n v="24"/>
    <n v="17.489999999999998"/>
    <x v="8"/>
  </r>
  <r>
    <s v="TRX-103266"/>
    <x v="548"/>
    <x v="1"/>
    <x v="5"/>
    <x v="2"/>
    <n v="181"/>
    <n v="234.35"/>
    <x v="1"/>
    <n v="3"/>
    <n v="53.349999999999902"/>
    <x v="9"/>
  </r>
  <r>
    <s v="TRX-103267"/>
    <x v="77"/>
    <x v="1"/>
    <x v="4"/>
    <x v="0"/>
    <n v="190"/>
    <n v="145.74"/>
    <x v="2"/>
    <n v="12"/>
    <n v="-44.259999999999899"/>
    <x v="10"/>
  </r>
  <r>
    <s v="TRX-103268"/>
    <x v="349"/>
    <x v="3"/>
    <x v="2"/>
    <x v="1"/>
    <n v="128"/>
    <n v="396.13"/>
    <x v="1"/>
    <n v="9"/>
    <n v="268.13"/>
    <x v="5"/>
  </r>
  <r>
    <s v="TRX-103269"/>
    <x v="755"/>
    <x v="1"/>
    <x v="0"/>
    <x v="2"/>
    <n v="177"/>
    <n v="254.63"/>
    <x v="2"/>
    <n v="40"/>
    <n v="77.63"/>
    <x v="9"/>
  </r>
  <r>
    <s v="TRX-103270"/>
    <x v="670"/>
    <x v="3"/>
    <x v="3"/>
    <x v="2"/>
    <n v="125"/>
    <n v="133.08000000000001"/>
    <x v="3"/>
    <n v="18"/>
    <n v="8.0800000000000107"/>
    <x v="9"/>
  </r>
  <r>
    <s v="TRX-103271"/>
    <x v="5"/>
    <x v="2"/>
    <x v="8"/>
    <x v="2"/>
    <n v="224"/>
    <n v="313.45"/>
    <x v="2"/>
    <n v="43"/>
    <n v="89.449999999999903"/>
    <x v="3"/>
  </r>
  <r>
    <s v="TRX-103272"/>
    <x v="939"/>
    <x v="1"/>
    <x v="7"/>
    <x v="2"/>
    <n v="190"/>
    <n v="211.45"/>
    <x v="0"/>
    <n v="13"/>
    <n v="21.4499999999999"/>
    <x v="10"/>
  </r>
  <r>
    <s v="TRX-103273"/>
    <x v="255"/>
    <x v="2"/>
    <x v="1"/>
    <x v="1"/>
    <n v="218"/>
    <n v="531.45000000000005"/>
    <x v="2"/>
    <n v="15"/>
    <n v="313.45"/>
    <x v="10"/>
  </r>
  <r>
    <s v="TRX-103274"/>
    <x v="633"/>
    <x v="1"/>
    <x v="0"/>
    <x v="0"/>
    <n v="181"/>
    <n v="127.67"/>
    <x v="4"/>
    <n v="15"/>
    <n v="-53.33"/>
    <x v="3"/>
  </r>
  <r>
    <s v="TRX-103275"/>
    <x v="431"/>
    <x v="2"/>
    <x v="1"/>
    <x v="2"/>
    <n v="224"/>
    <n v="301.77999999999997"/>
    <x v="3"/>
    <n v="31"/>
    <n v="77.779999999999902"/>
    <x v="5"/>
  </r>
  <r>
    <s v="TRX-103276"/>
    <x v="567"/>
    <x v="3"/>
    <x v="8"/>
    <x v="1"/>
    <n v="119"/>
    <n v="152.61000000000001"/>
    <x v="2"/>
    <n v="59"/>
    <n v="33.61"/>
    <x v="5"/>
  </r>
  <r>
    <s v="TRX-103277"/>
    <x v="310"/>
    <x v="1"/>
    <x v="2"/>
    <x v="2"/>
    <n v="180"/>
    <n v="207.68"/>
    <x v="1"/>
    <n v="14"/>
    <n v="27.68"/>
    <x v="11"/>
  </r>
  <r>
    <s v="TRX-103278"/>
    <x v="914"/>
    <x v="4"/>
    <x v="5"/>
    <x v="1"/>
    <n v="205"/>
    <n v="715.5"/>
    <x v="3"/>
    <n v="15"/>
    <n v="510.5"/>
    <x v="8"/>
  </r>
  <r>
    <s v="TRX-103279"/>
    <x v="612"/>
    <x v="1"/>
    <x v="5"/>
    <x v="1"/>
    <n v="189"/>
    <n v="528.16999999999996"/>
    <x v="0"/>
    <n v="7"/>
    <n v="339.16999999999899"/>
    <x v="11"/>
  </r>
  <r>
    <s v="TRX-103280"/>
    <x v="21"/>
    <x v="2"/>
    <x v="3"/>
    <x v="2"/>
    <n v="213"/>
    <n v="193.53"/>
    <x v="2"/>
    <n v="7"/>
    <n v="-19.47"/>
    <x v="4"/>
  </r>
  <r>
    <s v="TRX-103281"/>
    <x v="339"/>
    <x v="1"/>
    <x v="2"/>
    <x v="2"/>
    <n v="183"/>
    <n v="198.09"/>
    <x v="1"/>
    <n v="2"/>
    <n v="15.09"/>
    <x v="3"/>
  </r>
  <r>
    <s v="TRX-103282"/>
    <x v="832"/>
    <x v="4"/>
    <x v="6"/>
    <x v="2"/>
    <n v="204"/>
    <n v="211.87"/>
    <x v="0"/>
    <n v="9"/>
    <n v="7.87"/>
    <x v="8"/>
  </r>
  <r>
    <s v="TRX-103283"/>
    <x v="64"/>
    <x v="2"/>
    <x v="5"/>
    <x v="1"/>
    <n v="211"/>
    <n v="694.69"/>
    <x v="0"/>
    <n v="7"/>
    <n v="483.69"/>
    <x v="2"/>
  </r>
  <r>
    <s v="TRX-103284"/>
    <x v="471"/>
    <x v="4"/>
    <x v="5"/>
    <x v="1"/>
    <n v="207"/>
    <n v="560.29999999999995"/>
    <x v="0"/>
    <n v="8"/>
    <n v="353.29999999999899"/>
    <x v="10"/>
  </r>
  <r>
    <s v="TRX-103285"/>
    <x v="589"/>
    <x v="0"/>
    <x v="3"/>
    <x v="1"/>
    <n v="229"/>
    <n v="404.56"/>
    <x v="2"/>
    <n v="15"/>
    <n v="175.56"/>
    <x v="6"/>
  </r>
  <r>
    <s v="TRX-103286"/>
    <x v="712"/>
    <x v="3"/>
    <x v="2"/>
    <x v="1"/>
    <n v="124"/>
    <n v="276.45999999999998"/>
    <x v="2"/>
    <n v="12"/>
    <n v="152.45999999999901"/>
    <x v="11"/>
  </r>
  <r>
    <s v="TRX-103287"/>
    <x v="878"/>
    <x v="2"/>
    <x v="6"/>
    <x v="2"/>
    <n v="220"/>
    <n v="243.04"/>
    <x v="3"/>
    <n v="22"/>
    <n v="23.0399999999999"/>
    <x v="10"/>
  </r>
  <r>
    <s v="TRX-103288"/>
    <x v="848"/>
    <x v="0"/>
    <x v="6"/>
    <x v="1"/>
    <n v="226"/>
    <n v="723.56"/>
    <x v="0"/>
    <n v="13"/>
    <n v="497.55999999999898"/>
    <x v="1"/>
  </r>
  <r>
    <s v="TRX-103289"/>
    <x v="534"/>
    <x v="3"/>
    <x v="1"/>
    <x v="0"/>
    <n v="126"/>
    <n v="85.01"/>
    <x v="3"/>
    <n v="52"/>
    <n v="-40.989999999999903"/>
    <x v="4"/>
  </r>
  <r>
    <s v="TRX-103290"/>
    <x v="290"/>
    <x v="4"/>
    <x v="7"/>
    <x v="2"/>
    <n v="204"/>
    <n v="195.71"/>
    <x v="2"/>
    <n v="6"/>
    <n v="-8.2899999999999903"/>
    <x v="7"/>
  </r>
  <r>
    <s v="TRX-103291"/>
    <x v="534"/>
    <x v="4"/>
    <x v="8"/>
    <x v="0"/>
    <n v="207"/>
    <n v="158.69999999999999"/>
    <x v="4"/>
    <n v="6"/>
    <n v="-48.3"/>
    <x v="4"/>
  </r>
  <r>
    <s v="TRX-103292"/>
    <x v="602"/>
    <x v="4"/>
    <x v="2"/>
    <x v="1"/>
    <n v="201"/>
    <n v="260.20999999999998"/>
    <x v="0"/>
    <n v="7"/>
    <n v="59.209999999999901"/>
    <x v="7"/>
  </r>
  <r>
    <s v="TRX-103293"/>
    <x v="966"/>
    <x v="0"/>
    <x v="5"/>
    <x v="1"/>
    <n v="228"/>
    <n v="771.36"/>
    <x v="0"/>
    <n v="13"/>
    <n v="543.36"/>
    <x v="4"/>
  </r>
  <r>
    <s v="TRX-103294"/>
    <x v="54"/>
    <x v="3"/>
    <x v="0"/>
    <x v="1"/>
    <n v="115"/>
    <n v="253.83"/>
    <x v="2"/>
    <n v="57"/>
    <n v="138.83000000000001"/>
    <x v="3"/>
  </r>
  <r>
    <s v="TRX-103295"/>
    <x v="109"/>
    <x v="0"/>
    <x v="3"/>
    <x v="2"/>
    <n v="226"/>
    <n v="307.31"/>
    <x v="4"/>
    <n v="12"/>
    <n v="81.31"/>
    <x v="0"/>
  </r>
  <r>
    <s v="TRX-103296"/>
    <x v="756"/>
    <x v="0"/>
    <x v="4"/>
    <x v="2"/>
    <n v="225"/>
    <n v="291.49"/>
    <x v="2"/>
    <n v="57"/>
    <n v="66.489999999999995"/>
    <x v="8"/>
  </r>
  <r>
    <s v="TRX-103297"/>
    <x v="554"/>
    <x v="2"/>
    <x v="3"/>
    <x v="2"/>
    <n v="214"/>
    <n v="204.44"/>
    <x v="1"/>
    <n v="12"/>
    <n v="-9.56"/>
    <x v="6"/>
  </r>
  <r>
    <s v="TRX-103298"/>
    <x v="233"/>
    <x v="2"/>
    <x v="7"/>
    <x v="2"/>
    <n v="212"/>
    <n v="295.39999999999998"/>
    <x v="2"/>
    <n v="13"/>
    <n v="83.399999999999906"/>
    <x v="5"/>
  </r>
  <r>
    <s v="TRX-103299"/>
    <x v="239"/>
    <x v="4"/>
    <x v="3"/>
    <x v="0"/>
    <n v="210"/>
    <n v="132.44999999999999"/>
    <x v="3"/>
    <n v="54"/>
    <n v="-77.55"/>
    <x v="7"/>
  </r>
  <r>
    <s v="TRX-103300"/>
    <x v="164"/>
    <x v="2"/>
    <x v="4"/>
    <x v="0"/>
    <n v="221"/>
    <n v="113.55"/>
    <x v="3"/>
    <n v="43"/>
    <n v="-107.45"/>
    <x v="11"/>
  </r>
  <r>
    <s v="TRX-103301"/>
    <x v="181"/>
    <x v="4"/>
    <x v="7"/>
    <x v="2"/>
    <n v="210"/>
    <n v="224.33"/>
    <x v="4"/>
    <n v="10"/>
    <n v="14.33"/>
    <x v="4"/>
  </r>
  <r>
    <s v="TRX-103302"/>
    <x v="852"/>
    <x v="0"/>
    <x v="6"/>
    <x v="1"/>
    <n v="230"/>
    <n v="575.94000000000005"/>
    <x v="0"/>
    <n v="7"/>
    <n v="345.94"/>
    <x v="1"/>
  </r>
  <r>
    <s v="TRX-103303"/>
    <x v="584"/>
    <x v="2"/>
    <x v="5"/>
    <x v="2"/>
    <n v="214"/>
    <n v="237.29"/>
    <x v="2"/>
    <n v="55"/>
    <n v="23.2899999999999"/>
    <x v="2"/>
  </r>
  <r>
    <s v="TRX-103304"/>
    <x v="469"/>
    <x v="1"/>
    <x v="0"/>
    <x v="1"/>
    <n v="175"/>
    <n v="431.08"/>
    <x v="0"/>
    <n v="12"/>
    <n v="256.08"/>
    <x v="7"/>
  </r>
  <r>
    <s v="TRX-103305"/>
    <x v="890"/>
    <x v="0"/>
    <x v="3"/>
    <x v="2"/>
    <n v="227"/>
    <n v="316.51"/>
    <x v="3"/>
    <n v="40"/>
    <n v="89.509999999999906"/>
    <x v="8"/>
  </r>
  <r>
    <s v="TRX-103306"/>
    <x v="54"/>
    <x v="2"/>
    <x v="2"/>
    <x v="0"/>
    <n v="223"/>
    <n v="177.12"/>
    <x v="3"/>
    <n v="21"/>
    <n v="-45.879999999999903"/>
    <x v="3"/>
  </r>
  <r>
    <s v="TRX-103307"/>
    <x v="404"/>
    <x v="4"/>
    <x v="8"/>
    <x v="0"/>
    <n v="203"/>
    <n v="124.44"/>
    <x v="2"/>
    <n v="47"/>
    <n v="-78.56"/>
    <x v="7"/>
  </r>
  <r>
    <s v="TRX-103308"/>
    <x v="202"/>
    <x v="0"/>
    <x v="8"/>
    <x v="2"/>
    <n v="228"/>
    <n v="281.35000000000002"/>
    <x v="1"/>
    <n v="2"/>
    <n v="53.35"/>
    <x v="2"/>
  </r>
  <r>
    <s v="TRX-103309"/>
    <x v="878"/>
    <x v="2"/>
    <x v="2"/>
    <x v="1"/>
    <n v="223"/>
    <n v="643.85"/>
    <x v="1"/>
    <n v="12"/>
    <n v="420.85"/>
    <x v="10"/>
  </r>
  <r>
    <s v="TRX-103310"/>
    <x v="335"/>
    <x v="3"/>
    <x v="8"/>
    <x v="0"/>
    <n v="117"/>
    <n v="68.569999999999993"/>
    <x v="2"/>
    <n v="9"/>
    <n v="-48.43"/>
    <x v="11"/>
  </r>
  <r>
    <s v="TRX-103311"/>
    <x v="624"/>
    <x v="4"/>
    <x v="4"/>
    <x v="0"/>
    <n v="210"/>
    <n v="115"/>
    <x v="4"/>
    <n v="24"/>
    <n v="-95"/>
    <x v="3"/>
  </r>
  <r>
    <s v="TRX-103312"/>
    <x v="218"/>
    <x v="2"/>
    <x v="0"/>
    <x v="2"/>
    <n v="221"/>
    <n v="330.35"/>
    <x v="0"/>
    <n v="12"/>
    <n v="109.35"/>
    <x v="7"/>
  </r>
  <r>
    <s v="TRX-103313"/>
    <x v="804"/>
    <x v="2"/>
    <x v="3"/>
    <x v="1"/>
    <n v="213"/>
    <n v="423.54"/>
    <x v="2"/>
    <n v="56"/>
    <n v="210.54"/>
    <x v="3"/>
  </r>
  <r>
    <s v="TRX-103314"/>
    <x v="967"/>
    <x v="4"/>
    <x v="3"/>
    <x v="2"/>
    <n v="203"/>
    <n v="192.85"/>
    <x v="2"/>
    <n v="6"/>
    <n v="-10.15"/>
    <x v="8"/>
  </r>
  <r>
    <s v="TRX-103315"/>
    <x v="93"/>
    <x v="4"/>
    <x v="4"/>
    <x v="0"/>
    <n v="208"/>
    <n v="149.81"/>
    <x v="4"/>
    <n v="23"/>
    <n v="-58.19"/>
    <x v="11"/>
  </r>
  <r>
    <s v="TRX-103316"/>
    <x v="631"/>
    <x v="3"/>
    <x v="4"/>
    <x v="2"/>
    <n v="117"/>
    <n v="160.21"/>
    <x v="3"/>
    <n v="60"/>
    <n v="43.21"/>
    <x v="6"/>
  </r>
  <r>
    <s v="TRX-103317"/>
    <x v="599"/>
    <x v="0"/>
    <x v="6"/>
    <x v="0"/>
    <n v="226"/>
    <n v="113.79"/>
    <x v="0"/>
    <n v="3"/>
    <n v="-112.21"/>
    <x v="7"/>
  </r>
  <r>
    <s v="TRX-103318"/>
    <x v="797"/>
    <x v="0"/>
    <x v="8"/>
    <x v="1"/>
    <n v="227"/>
    <n v="433.43"/>
    <x v="4"/>
    <n v="53"/>
    <n v="206.43"/>
    <x v="9"/>
  </r>
  <r>
    <s v="TRX-103319"/>
    <x v="542"/>
    <x v="3"/>
    <x v="0"/>
    <x v="1"/>
    <n v="117"/>
    <n v="271.24"/>
    <x v="0"/>
    <n v="12"/>
    <n v="154.24"/>
    <x v="3"/>
  </r>
  <r>
    <s v="TRX-103320"/>
    <x v="336"/>
    <x v="0"/>
    <x v="8"/>
    <x v="1"/>
    <n v="227"/>
    <n v="772.48"/>
    <x v="3"/>
    <n v="6"/>
    <n v="545.48"/>
    <x v="6"/>
  </r>
  <r>
    <s v="TRX-103321"/>
    <x v="968"/>
    <x v="0"/>
    <x v="7"/>
    <x v="2"/>
    <n v="226"/>
    <n v="271.75"/>
    <x v="2"/>
    <n v="51"/>
    <n v="45.75"/>
    <x v="6"/>
  </r>
  <r>
    <s v="TRX-103322"/>
    <x v="338"/>
    <x v="0"/>
    <x v="8"/>
    <x v="0"/>
    <n v="229"/>
    <n v="199.24"/>
    <x v="0"/>
    <n v="3"/>
    <n v="-29.759999999999899"/>
    <x v="3"/>
  </r>
  <r>
    <s v="TRX-103323"/>
    <x v="945"/>
    <x v="2"/>
    <x v="5"/>
    <x v="1"/>
    <n v="223"/>
    <n v="546.82000000000005"/>
    <x v="4"/>
    <n v="18"/>
    <n v="323.82"/>
    <x v="4"/>
  </r>
  <r>
    <s v="TRX-103324"/>
    <x v="761"/>
    <x v="3"/>
    <x v="3"/>
    <x v="0"/>
    <n v="118"/>
    <n v="69.42"/>
    <x v="2"/>
    <n v="45"/>
    <n v="-48.58"/>
    <x v="3"/>
  </r>
  <r>
    <s v="TRX-103325"/>
    <x v="837"/>
    <x v="2"/>
    <x v="3"/>
    <x v="0"/>
    <n v="225"/>
    <n v="182.06"/>
    <x v="1"/>
    <n v="13"/>
    <n v="-42.94"/>
    <x v="5"/>
  </r>
  <r>
    <s v="TRX-103326"/>
    <x v="808"/>
    <x v="1"/>
    <x v="3"/>
    <x v="0"/>
    <n v="190"/>
    <n v="136.38"/>
    <x v="2"/>
    <n v="17"/>
    <n v="-53.62"/>
    <x v="10"/>
  </r>
  <r>
    <s v="TRX-103327"/>
    <x v="492"/>
    <x v="3"/>
    <x v="1"/>
    <x v="0"/>
    <n v="117"/>
    <n v="95.77"/>
    <x v="4"/>
    <n v="32"/>
    <n v="-21.23"/>
    <x v="3"/>
  </r>
  <r>
    <s v="TRX-103328"/>
    <x v="16"/>
    <x v="2"/>
    <x v="8"/>
    <x v="0"/>
    <n v="213"/>
    <n v="107.14"/>
    <x v="2"/>
    <n v="20"/>
    <n v="-105.86"/>
    <x v="3"/>
  </r>
  <r>
    <s v="TRX-103329"/>
    <x v="756"/>
    <x v="1"/>
    <x v="2"/>
    <x v="0"/>
    <n v="170"/>
    <n v="105.57"/>
    <x v="0"/>
    <n v="13"/>
    <n v="-64.430000000000007"/>
    <x v="8"/>
  </r>
  <r>
    <s v="TRX-103330"/>
    <x v="597"/>
    <x v="2"/>
    <x v="0"/>
    <x v="0"/>
    <n v="216"/>
    <n v="115.28"/>
    <x v="3"/>
    <n v="36"/>
    <n v="-100.72"/>
    <x v="9"/>
  </r>
  <r>
    <s v="TRX-103331"/>
    <x v="685"/>
    <x v="3"/>
    <x v="6"/>
    <x v="0"/>
    <n v="127"/>
    <n v="72.13"/>
    <x v="1"/>
    <n v="3"/>
    <n v="-54.87"/>
    <x v="8"/>
  </r>
  <r>
    <s v="TRX-103332"/>
    <x v="239"/>
    <x v="0"/>
    <x v="3"/>
    <x v="1"/>
    <n v="228"/>
    <n v="772.75"/>
    <x v="3"/>
    <n v="40"/>
    <n v="544.75"/>
    <x v="7"/>
  </r>
  <r>
    <s v="TRX-103333"/>
    <x v="79"/>
    <x v="2"/>
    <x v="1"/>
    <x v="1"/>
    <n v="218"/>
    <n v="363.96"/>
    <x v="4"/>
    <n v="34"/>
    <n v="145.95999999999901"/>
    <x v="4"/>
  </r>
  <r>
    <s v="TRX-103334"/>
    <x v="673"/>
    <x v="0"/>
    <x v="2"/>
    <x v="1"/>
    <n v="226"/>
    <n v="676.21"/>
    <x v="1"/>
    <n v="13"/>
    <n v="450.21"/>
    <x v="5"/>
  </r>
  <r>
    <s v="TRX-103335"/>
    <x v="183"/>
    <x v="3"/>
    <x v="4"/>
    <x v="1"/>
    <n v="133"/>
    <n v="353.5"/>
    <x v="4"/>
    <n v="59"/>
    <n v="220.5"/>
    <x v="1"/>
  </r>
  <r>
    <s v="TRX-103336"/>
    <x v="367"/>
    <x v="0"/>
    <x v="6"/>
    <x v="2"/>
    <n v="225"/>
    <n v="287.20999999999998"/>
    <x v="0"/>
    <n v="14"/>
    <n v="62.209999999999901"/>
    <x v="8"/>
  </r>
  <r>
    <s v="TRX-103337"/>
    <x v="517"/>
    <x v="0"/>
    <x v="8"/>
    <x v="1"/>
    <n v="226"/>
    <n v="290.89999999999998"/>
    <x v="4"/>
    <n v="51"/>
    <n v="64.899999999999906"/>
    <x v="2"/>
  </r>
  <r>
    <s v="TRX-103338"/>
    <x v="969"/>
    <x v="4"/>
    <x v="8"/>
    <x v="1"/>
    <n v="206"/>
    <n v="365.45"/>
    <x v="4"/>
    <n v="25"/>
    <n v="159.44999999999999"/>
    <x v="2"/>
  </r>
  <r>
    <s v="TRX-103339"/>
    <x v="762"/>
    <x v="1"/>
    <x v="0"/>
    <x v="0"/>
    <n v="171"/>
    <n v="91.47"/>
    <x v="4"/>
    <n v="40"/>
    <n v="-79.53"/>
    <x v="4"/>
  </r>
  <r>
    <s v="TRX-103340"/>
    <x v="552"/>
    <x v="2"/>
    <x v="5"/>
    <x v="1"/>
    <n v="216"/>
    <n v="562.35"/>
    <x v="2"/>
    <n v="40"/>
    <n v="346.35"/>
    <x v="11"/>
  </r>
  <r>
    <s v="TRX-103341"/>
    <x v="906"/>
    <x v="0"/>
    <x v="6"/>
    <x v="1"/>
    <n v="226"/>
    <n v="315.58999999999997"/>
    <x v="3"/>
    <n v="18"/>
    <n v="89.589999999999904"/>
    <x v="10"/>
  </r>
  <r>
    <s v="TRX-103342"/>
    <x v="60"/>
    <x v="0"/>
    <x v="4"/>
    <x v="2"/>
    <n v="230"/>
    <n v="308.24"/>
    <x v="3"/>
    <n v="24"/>
    <n v="78.239999999999995"/>
    <x v="11"/>
  </r>
  <r>
    <s v="TRX-103343"/>
    <x v="434"/>
    <x v="1"/>
    <x v="5"/>
    <x v="1"/>
    <n v="183"/>
    <n v="491.88"/>
    <x v="4"/>
    <n v="40"/>
    <n v="308.88"/>
    <x v="4"/>
  </r>
  <r>
    <s v="TRX-103344"/>
    <x v="595"/>
    <x v="3"/>
    <x v="8"/>
    <x v="0"/>
    <n v="138"/>
    <n v="69.56"/>
    <x v="4"/>
    <n v="36"/>
    <n v="-68.44"/>
    <x v="0"/>
  </r>
  <r>
    <s v="TRX-103345"/>
    <x v="488"/>
    <x v="3"/>
    <x v="3"/>
    <x v="2"/>
    <n v="120"/>
    <n v="137.55000000000001"/>
    <x v="1"/>
    <n v="14"/>
    <n v="17.55"/>
    <x v="2"/>
  </r>
  <r>
    <s v="TRX-103346"/>
    <x v="29"/>
    <x v="2"/>
    <x v="6"/>
    <x v="1"/>
    <n v="220"/>
    <n v="481.92"/>
    <x v="4"/>
    <n v="31"/>
    <n v="261.92"/>
    <x v="3"/>
  </r>
  <r>
    <s v="TRX-103347"/>
    <x v="245"/>
    <x v="4"/>
    <x v="1"/>
    <x v="0"/>
    <n v="205"/>
    <n v="171.84"/>
    <x v="1"/>
    <n v="5"/>
    <n v="-33.159999999999997"/>
    <x v="0"/>
  </r>
  <r>
    <s v="TRX-103348"/>
    <x v="247"/>
    <x v="3"/>
    <x v="8"/>
    <x v="0"/>
    <n v="120"/>
    <n v="103.59"/>
    <x v="4"/>
    <n v="21"/>
    <n v="-16.409999999999901"/>
    <x v="6"/>
  </r>
  <r>
    <s v="TRX-103349"/>
    <x v="970"/>
    <x v="0"/>
    <x v="3"/>
    <x v="2"/>
    <n v="230"/>
    <n v="319.73"/>
    <x v="1"/>
    <n v="13"/>
    <n v="89.73"/>
    <x v="8"/>
  </r>
  <r>
    <s v="TRX-103350"/>
    <x v="218"/>
    <x v="3"/>
    <x v="4"/>
    <x v="2"/>
    <n v="114"/>
    <n v="129.15"/>
    <x v="3"/>
    <n v="43"/>
    <n v="15.15"/>
    <x v="7"/>
  </r>
  <r>
    <s v="TRX-103351"/>
    <x v="123"/>
    <x v="1"/>
    <x v="5"/>
    <x v="0"/>
    <n v="171"/>
    <n v="117.47"/>
    <x v="3"/>
    <n v="50"/>
    <n v="-53.53"/>
    <x v="9"/>
  </r>
  <r>
    <s v="TRX-103352"/>
    <x v="898"/>
    <x v="1"/>
    <x v="7"/>
    <x v="0"/>
    <n v="184"/>
    <n v="126.98"/>
    <x v="4"/>
    <n v="39"/>
    <n v="-57.019999999999897"/>
    <x v="10"/>
  </r>
  <r>
    <s v="TRX-103353"/>
    <x v="110"/>
    <x v="3"/>
    <x v="8"/>
    <x v="1"/>
    <n v="133"/>
    <n v="420.32"/>
    <x v="2"/>
    <n v="48"/>
    <n v="287.32"/>
    <x v="1"/>
  </r>
  <r>
    <s v="TRX-103354"/>
    <x v="150"/>
    <x v="4"/>
    <x v="0"/>
    <x v="0"/>
    <n v="206"/>
    <n v="149.47"/>
    <x v="2"/>
    <n v="35"/>
    <n v="-56.53"/>
    <x v="2"/>
  </r>
  <r>
    <s v="TRX-103355"/>
    <x v="169"/>
    <x v="4"/>
    <x v="7"/>
    <x v="2"/>
    <n v="209"/>
    <n v="247.99"/>
    <x v="2"/>
    <n v="42"/>
    <n v="38.99"/>
    <x v="4"/>
  </r>
  <r>
    <s v="TRX-103356"/>
    <x v="477"/>
    <x v="3"/>
    <x v="4"/>
    <x v="0"/>
    <n v="119"/>
    <n v="67.44"/>
    <x v="2"/>
    <n v="33"/>
    <n v="-51.56"/>
    <x v="5"/>
  </r>
  <r>
    <s v="TRX-103357"/>
    <x v="327"/>
    <x v="2"/>
    <x v="2"/>
    <x v="1"/>
    <n v="224"/>
    <n v="326.32"/>
    <x v="1"/>
    <n v="3"/>
    <n v="102.32"/>
    <x v="3"/>
  </r>
  <r>
    <s v="TRX-103358"/>
    <x v="188"/>
    <x v="4"/>
    <x v="3"/>
    <x v="1"/>
    <n v="203"/>
    <n v="343.1"/>
    <x v="4"/>
    <n v="41"/>
    <n v="140.1"/>
    <x v="9"/>
  </r>
  <r>
    <s v="TRX-103359"/>
    <x v="546"/>
    <x v="3"/>
    <x v="3"/>
    <x v="2"/>
    <n v="135"/>
    <n v="123.57"/>
    <x v="3"/>
    <n v="28"/>
    <n v="-11.43"/>
    <x v="7"/>
  </r>
  <r>
    <s v="TRX-103360"/>
    <x v="560"/>
    <x v="4"/>
    <x v="1"/>
    <x v="2"/>
    <n v="204"/>
    <n v="266.5"/>
    <x v="0"/>
    <n v="13"/>
    <n v="62.5"/>
    <x v="3"/>
  </r>
  <r>
    <s v="TRX-103361"/>
    <x v="303"/>
    <x v="0"/>
    <x v="0"/>
    <x v="2"/>
    <n v="226"/>
    <n v="251.84"/>
    <x v="1"/>
    <n v="3"/>
    <n v="25.84"/>
    <x v="11"/>
  </r>
  <r>
    <s v="TRX-103362"/>
    <x v="631"/>
    <x v="0"/>
    <x v="1"/>
    <x v="1"/>
    <n v="230"/>
    <n v="599.02"/>
    <x v="0"/>
    <n v="14"/>
    <n v="369.02"/>
    <x v="6"/>
  </r>
  <r>
    <s v="TRX-103363"/>
    <x v="78"/>
    <x v="4"/>
    <x v="1"/>
    <x v="1"/>
    <n v="204"/>
    <n v="547.86"/>
    <x v="3"/>
    <n v="43"/>
    <n v="343.86"/>
    <x v="6"/>
  </r>
  <r>
    <s v="TRX-103364"/>
    <x v="834"/>
    <x v="1"/>
    <x v="6"/>
    <x v="2"/>
    <n v="181"/>
    <n v="241.6"/>
    <x v="2"/>
    <n v="5"/>
    <n v="60.599999999999902"/>
    <x v="0"/>
  </r>
  <r>
    <s v="TRX-103365"/>
    <x v="93"/>
    <x v="1"/>
    <x v="6"/>
    <x v="0"/>
    <n v="171"/>
    <n v="93.11"/>
    <x v="3"/>
    <n v="16"/>
    <n v="-77.89"/>
    <x v="11"/>
  </r>
  <r>
    <s v="TRX-103366"/>
    <x v="560"/>
    <x v="3"/>
    <x v="5"/>
    <x v="2"/>
    <n v="136"/>
    <n v="152.94999999999999"/>
    <x v="2"/>
    <n v="11"/>
    <n v="16.9499999999999"/>
    <x v="3"/>
  </r>
  <r>
    <s v="TRX-103367"/>
    <x v="588"/>
    <x v="3"/>
    <x v="3"/>
    <x v="0"/>
    <n v="110"/>
    <n v="64.819999999999993"/>
    <x v="0"/>
    <n v="3"/>
    <n v="-45.18"/>
    <x v="6"/>
  </r>
  <r>
    <s v="TRX-103368"/>
    <x v="128"/>
    <x v="4"/>
    <x v="8"/>
    <x v="0"/>
    <n v="209"/>
    <n v="122.27"/>
    <x v="4"/>
    <n v="16"/>
    <n v="-86.73"/>
    <x v="5"/>
  </r>
  <r>
    <s v="TRX-103369"/>
    <x v="785"/>
    <x v="4"/>
    <x v="4"/>
    <x v="2"/>
    <n v="204"/>
    <n v="254.76"/>
    <x v="0"/>
    <n v="9"/>
    <n v="50.759999999999899"/>
    <x v="5"/>
  </r>
  <r>
    <s v="TRX-103370"/>
    <x v="291"/>
    <x v="3"/>
    <x v="4"/>
    <x v="0"/>
    <n v="113"/>
    <n v="58.04"/>
    <x v="0"/>
    <n v="4"/>
    <n v="-54.96"/>
    <x v="1"/>
  </r>
  <r>
    <s v="TRX-103371"/>
    <x v="920"/>
    <x v="2"/>
    <x v="2"/>
    <x v="0"/>
    <n v="213"/>
    <n v="153.52000000000001"/>
    <x v="0"/>
    <n v="7"/>
    <n v="-59.479999999999897"/>
    <x v="4"/>
  </r>
  <r>
    <s v="TRX-103372"/>
    <x v="286"/>
    <x v="1"/>
    <x v="7"/>
    <x v="1"/>
    <n v="184"/>
    <n v="596.29999999999995"/>
    <x v="0"/>
    <n v="1"/>
    <n v="412.29999999999899"/>
    <x v="1"/>
  </r>
  <r>
    <s v="TRX-103373"/>
    <x v="451"/>
    <x v="3"/>
    <x v="8"/>
    <x v="1"/>
    <n v="133"/>
    <n v="292.12"/>
    <x v="4"/>
    <n v="38"/>
    <n v="159.12"/>
    <x v="6"/>
  </r>
  <r>
    <s v="TRX-103374"/>
    <x v="658"/>
    <x v="2"/>
    <x v="0"/>
    <x v="2"/>
    <n v="210"/>
    <n v="196.04"/>
    <x v="0"/>
    <n v="13"/>
    <n v="-13.96"/>
    <x v="5"/>
  </r>
  <r>
    <s v="TRX-103375"/>
    <x v="707"/>
    <x v="0"/>
    <x v="2"/>
    <x v="0"/>
    <n v="226"/>
    <n v="179.4"/>
    <x v="2"/>
    <n v="13"/>
    <n v="-46.599999999999902"/>
    <x v="8"/>
  </r>
  <r>
    <s v="TRX-103376"/>
    <x v="180"/>
    <x v="2"/>
    <x v="0"/>
    <x v="1"/>
    <n v="213"/>
    <n v="417.48"/>
    <x v="0"/>
    <n v="6"/>
    <n v="204.48"/>
    <x v="1"/>
  </r>
  <r>
    <s v="TRX-103377"/>
    <x v="971"/>
    <x v="4"/>
    <x v="4"/>
    <x v="1"/>
    <n v="208"/>
    <n v="658.08"/>
    <x v="2"/>
    <n v="59"/>
    <n v="450.08"/>
    <x v="7"/>
  </r>
  <r>
    <s v="TRX-103378"/>
    <x v="397"/>
    <x v="1"/>
    <x v="7"/>
    <x v="0"/>
    <n v="186"/>
    <n v="111.94"/>
    <x v="1"/>
    <n v="2"/>
    <n v="-74.06"/>
    <x v="3"/>
  </r>
  <r>
    <s v="TRX-103379"/>
    <x v="288"/>
    <x v="1"/>
    <x v="1"/>
    <x v="2"/>
    <n v="181"/>
    <n v="194.36"/>
    <x v="0"/>
    <n v="14"/>
    <n v="13.36"/>
    <x v="2"/>
  </r>
  <r>
    <s v="TRX-103380"/>
    <x v="207"/>
    <x v="2"/>
    <x v="0"/>
    <x v="2"/>
    <n v="213"/>
    <n v="272.16000000000003"/>
    <x v="0"/>
    <n v="6"/>
    <n v="59.16"/>
    <x v="8"/>
  </r>
  <r>
    <s v="TRX-103381"/>
    <x v="412"/>
    <x v="2"/>
    <x v="7"/>
    <x v="2"/>
    <n v="225"/>
    <n v="298.98"/>
    <x v="2"/>
    <n v="59"/>
    <n v="73.98"/>
    <x v="6"/>
  </r>
  <r>
    <s v="TRX-103382"/>
    <x v="710"/>
    <x v="3"/>
    <x v="8"/>
    <x v="0"/>
    <n v="115"/>
    <n v="59.24"/>
    <x v="3"/>
    <n v="23"/>
    <n v="-55.76"/>
    <x v="7"/>
  </r>
  <r>
    <s v="TRX-103383"/>
    <x v="724"/>
    <x v="4"/>
    <x v="2"/>
    <x v="1"/>
    <n v="208"/>
    <n v="370.26"/>
    <x v="3"/>
    <n v="53"/>
    <n v="162.26"/>
    <x v="9"/>
  </r>
  <r>
    <s v="TRX-103384"/>
    <x v="522"/>
    <x v="4"/>
    <x v="8"/>
    <x v="0"/>
    <n v="210"/>
    <n v="134.02000000000001"/>
    <x v="3"/>
    <n v="24"/>
    <n v="-75.979999999999905"/>
    <x v="2"/>
  </r>
  <r>
    <s v="TRX-103385"/>
    <x v="639"/>
    <x v="4"/>
    <x v="3"/>
    <x v="0"/>
    <n v="206"/>
    <n v="133.46"/>
    <x v="0"/>
    <n v="4"/>
    <n v="-72.539999999999907"/>
    <x v="10"/>
  </r>
  <r>
    <s v="TRX-103386"/>
    <x v="265"/>
    <x v="4"/>
    <x v="4"/>
    <x v="0"/>
    <n v="210"/>
    <n v="106.35"/>
    <x v="0"/>
    <n v="11"/>
    <n v="-103.65"/>
    <x v="1"/>
  </r>
  <r>
    <s v="TRX-103387"/>
    <x v="399"/>
    <x v="4"/>
    <x v="2"/>
    <x v="0"/>
    <n v="202"/>
    <n v="144.68"/>
    <x v="4"/>
    <n v="21"/>
    <n v="-57.319999999999901"/>
    <x v="4"/>
  </r>
  <r>
    <s v="TRX-103388"/>
    <x v="725"/>
    <x v="1"/>
    <x v="1"/>
    <x v="1"/>
    <n v="172"/>
    <n v="459.97"/>
    <x v="2"/>
    <n v="31"/>
    <n v="287.97000000000003"/>
    <x v="0"/>
  </r>
  <r>
    <s v="TRX-103389"/>
    <x v="603"/>
    <x v="0"/>
    <x v="4"/>
    <x v="2"/>
    <n v="227"/>
    <n v="283.82"/>
    <x v="2"/>
    <n v="35"/>
    <n v="56.819999999999901"/>
    <x v="10"/>
  </r>
  <r>
    <s v="TRX-103390"/>
    <x v="799"/>
    <x v="1"/>
    <x v="3"/>
    <x v="1"/>
    <n v="176"/>
    <n v="374.36"/>
    <x v="3"/>
    <n v="18"/>
    <n v="198.36"/>
    <x v="8"/>
  </r>
  <r>
    <s v="TRX-103391"/>
    <x v="461"/>
    <x v="4"/>
    <x v="3"/>
    <x v="1"/>
    <n v="209"/>
    <n v="731.25"/>
    <x v="3"/>
    <n v="28"/>
    <n v="522.25"/>
    <x v="6"/>
  </r>
  <r>
    <s v="TRX-103392"/>
    <x v="888"/>
    <x v="4"/>
    <x v="2"/>
    <x v="1"/>
    <n v="207"/>
    <n v="356.14"/>
    <x v="3"/>
    <n v="43"/>
    <n v="149.13999999999999"/>
    <x v="5"/>
  </r>
  <r>
    <s v="TRX-103393"/>
    <x v="65"/>
    <x v="3"/>
    <x v="3"/>
    <x v="2"/>
    <n v="134"/>
    <n v="172.68"/>
    <x v="2"/>
    <n v="21"/>
    <n v="38.68"/>
    <x v="7"/>
  </r>
  <r>
    <s v="TRX-103394"/>
    <x v="667"/>
    <x v="1"/>
    <x v="8"/>
    <x v="1"/>
    <n v="183"/>
    <n v="310.51"/>
    <x v="1"/>
    <n v="14"/>
    <n v="127.509999999999"/>
    <x v="1"/>
  </r>
  <r>
    <s v="TRX-103395"/>
    <x v="913"/>
    <x v="3"/>
    <x v="3"/>
    <x v="2"/>
    <n v="119"/>
    <n v="143.25"/>
    <x v="3"/>
    <n v="16"/>
    <n v="24.25"/>
    <x v="8"/>
  </r>
  <r>
    <s v="TRX-103396"/>
    <x v="353"/>
    <x v="3"/>
    <x v="4"/>
    <x v="1"/>
    <n v="131"/>
    <n v="392.62"/>
    <x v="2"/>
    <n v="34"/>
    <n v="261.62"/>
    <x v="1"/>
  </r>
  <r>
    <s v="TRX-103397"/>
    <x v="7"/>
    <x v="0"/>
    <x v="7"/>
    <x v="0"/>
    <n v="225"/>
    <n v="120.36"/>
    <x v="2"/>
    <n v="16"/>
    <n v="-104.64"/>
    <x v="3"/>
  </r>
  <r>
    <s v="TRX-103398"/>
    <x v="363"/>
    <x v="1"/>
    <x v="6"/>
    <x v="2"/>
    <n v="190"/>
    <n v="257.04000000000002"/>
    <x v="1"/>
    <n v="10"/>
    <n v="67.040000000000006"/>
    <x v="3"/>
  </r>
  <r>
    <s v="TRX-103399"/>
    <x v="764"/>
    <x v="2"/>
    <x v="4"/>
    <x v="1"/>
    <n v="214"/>
    <n v="378.98"/>
    <x v="4"/>
    <n v="57"/>
    <n v="164.98"/>
    <x v="5"/>
  </r>
  <r>
    <s v="TRX-103400"/>
    <x v="191"/>
    <x v="0"/>
    <x v="7"/>
    <x v="0"/>
    <n v="227"/>
    <n v="147.91999999999999"/>
    <x v="3"/>
    <n v="56"/>
    <n v="-79.08"/>
    <x v="8"/>
  </r>
  <r>
    <s v="TRX-103401"/>
    <x v="62"/>
    <x v="3"/>
    <x v="4"/>
    <x v="0"/>
    <n v="131"/>
    <n v="78.53"/>
    <x v="4"/>
    <n v="16"/>
    <n v="-52.47"/>
    <x v="9"/>
  </r>
  <r>
    <s v="TRX-103402"/>
    <x v="948"/>
    <x v="4"/>
    <x v="6"/>
    <x v="2"/>
    <n v="202"/>
    <n v="294.79000000000002"/>
    <x v="0"/>
    <n v="8"/>
    <n v="92.79"/>
    <x v="5"/>
  </r>
  <r>
    <s v="TRX-103403"/>
    <x v="972"/>
    <x v="2"/>
    <x v="0"/>
    <x v="0"/>
    <n v="223"/>
    <n v="143.07"/>
    <x v="3"/>
    <n v="48"/>
    <n v="-79.930000000000007"/>
    <x v="1"/>
  </r>
  <r>
    <s v="TRX-103404"/>
    <x v="336"/>
    <x v="4"/>
    <x v="0"/>
    <x v="1"/>
    <n v="203"/>
    <n v="298.17"/>
    <x v="4"/>
    <n v="27"/>
    <n v="95.17"/>
    <x v="6"/>
  </r>
  <r>
    <s v="TRX-103405"/>
    <x v="152"/>
    <x v="3"/>
    <x v="4"/>
    <x v="1"/>
    <n v="133"/>
    <n v="245.77"/>
    <x v="1"/>
    <n v="2"/>
    <n v="112.77"/>
    <x v="11"/>
  </r>
  <r>
    <s v="TRX-103406"/>
    <x v="474"/>
    <x v="2"/>
    <x v="0"/>
    <x v="0"/>
    <n v="212"/>
    <n v="161.77000000000001"/>
    <x v="2"/>
    <n v="57"/>
    <n v="-50.229999999999897"/>
    <x v="5"/>
  </r>
  <r>
    <s v="TRX-103407"/>
    <x v="689"/>
    <x v="1"/>
    <x v="4"/>
    <x v="2"/>
    <n v="183"/>
    <n v="235.67"/>
    <x v="0"/>
    <n v="1"/>
    <n v="52.669999999999902"/>
    <x v="10"/>
  </r>
  <r>
    <s v="TRX-103408"/>
    <x v="67"/>
    <x v="0"/>
    <x v="3"/>
    <x v="1"/>
    <n v="226"/>
    <n v="627.91"/>
    <x v="1"/>
    <n v="1"/>
    <n v="401.909999999999"/>
    <x v="10"/>
  </r>
  <r>
    <s v="TRX-103409"/>
    <x v="699"/>
    <x v="0"/>
    <x v="3"/>
    <x v="0"/>
    <n v="226"/>
    <n v="133.19999999999999"/>
    <x v="3"/>
    <n v="16"/>
    <n v="-92.8"/>
    <x v="11"/>
  </r>
  <r>
    <s v="TRX-103410"/>
    <x v="951"/>
    <x v="3"/>
    <x v="0"/>
    <x v="0"/>
    <n v="110"/>
    <n v="65.209999999999994"/>
    <x v="1"/>
    <n v="9"/>
    <n v="-44.79"/>
    <x v="6"/>
  </r>
  <r>
    <s v="TRX-103411"/>
    <x v="676"/>
    <x v="4"/>
    <x v="8"/>
    <x v="2"/>
    <n v="210"/>
    <n v="195.57"/>
    <x v="2"/>
    <n v="11"/>
    <n v="-14.43"/>
    <x v="0"/>
  </r>
  <r>
    <s v="TRX-103412"/>
    <x v="638"/>
    <x v="2"/>
    <x v="7"/>
    <x v="0"/>
    <n v="217"/>
    <n v="179.01"/>
    <x v="3"/>
    <n v="21"/>
    <n v="-37.99"/>
    <x v="3"/>
  </r>
  <r>
    <s v="TRX-103413"/>
    <x v="75"/>
    <x v="4"/>
    <x v="4"/>
    <x v="0"/>
    <n v="208"/>
    <n v="106.56"/>
    <x v="2"/>
    <n v="36"/>
    <n v="-101.44"/>
    <x v="4"/>
  </r>
  <r>
    <s v="TRX-103414"/>
    <x v="666"/>
    <x v="3"/>
    <x v="2"/>
    <x v="2"/>
    <n v="138"/>
    <n v="153.77000000000001"/>
    <x v="4"/>
    <n v="33"/>
    <n v="15.77"/>
    <x v="10"/>
  </r>
  <r>
    <s v="TRX-103415"/>
    <x v="14"/>
    <x v="4"/>
    <x v="7"/>
    <x v="0"/>
    <n v="200"/>
    <n v="125.62"/>
    <x v="0"/>
    <n v="1"/>
    <n v="-74.38"/>
    <x v="4"/>
  </r>
  <r>
    <s v="TRX-103416"/>
    <x v="781"/>
    <x v="0"/>
    <x v="2"/>
    <x v="0"/>
    <n v="228"/>
    <n v="170.54"/>
    <x v="0"/>
    <n v="1"/>
    <n v="-57.46"/>
    <x v="3"/>
  </r>
  <r>
    <s v="TRX-103417"/>
    <x v="591"/>
    <x v="2"/>
    <x v="6"/>
    <x v="1"/>
    <n v="219"/>
    <n v="475.96"/>
    <x v="2"/>
    <n v="51"/>
    <n v="256.95999999999998"/>
    <x v="9"/>
  </r>
  <r>
    <s v="TRX-103418"/>
    <x v="136"/>
    <x v="4"/>
    <x v="6"/>
    <x v="0"/>
    <n v="201"/>
    <n v="101.13"/>
    <x v="3"/>
    <n v="19"/>
    <n v="-99.87"/>
    <x v="6"/>
  </r>
  <r>
    <s v="TRX-103419"/>
    <x v="711"/>
    <x v="2"/>
    <x v="7"/>
    <x v="2"/>
    <n v="215"/>
    <n v="261.08999999999997"/>
    <x v="3"/>
    <n v="40"/>
    <n v="46.089999999999897"/>
    <x v="0"/>
  </r>
  <r>
    <s v="TRX-103420"/>
    <x v="345"/>
    <x v="4"/>
    <x v="2"/>
    <x v="2"/>
    <n v="210"/>
    <n v="230.71"/>
    <x v="1"/>
    <n v="12"/>
    <n v="20.71"/>
    <x v="1"/>
  </r>
  <r>
    <s v="TRX-103421"/>
    <x v="807"/>
    <x v="3"/>
    <x v="8"/>
    <x v="2"/>
    <n v="132"/>
    <n v="181.72"/>
    <x v="2"/>
    <n v="46"/>
    <n v="49.72"/>
    <x v="3"/>
  </r>
  <r>
    <s v="TRX-103422"/>
    <x v="12"/>
    <x v="3"/>
    <x v="2"/>
    <x v="0"/>
    <n v="135"/>
    <n v="88.6"/>
    <x v="1"/>
    <n v="3"/>
    <n v="-46.4"/>
    <x v="7"/>
  </r>
  <r>
    <s v="TRX-103423"/>
    <x v="612"/>
    <x v="3"/>
    <x v="8"/>
    <x v="0"/>
    <n v="136"/>
    <n v="94.44"/>
    <x v="2"/>
    <n v="28"/>
    <n v="-41.56"/>
    <x v="11"/>
  </r>
  <r>
    <s v="TRX-103424"/>
    <x v="893"/>
    <x v="2"/>
    <x v="7"/>
    <x v="0"/>
    <n v="217"/>
    <n v="194.2"/>
    <x v="0"/>
    <n v="13"/>
    <n v="-22.8"/>
    <x v="4"/>
  </r>
  <r>
    <s v="TRX-103425"/>
    <x v="616"/>
    <x v="2"/>
    <x v="7"/>
    <x v="2"/>
    <n v="212"/>
    <n v="237.21"/>
    <x v="2"/>
    <n v="50"/>
    <n v="25.21"/>
    <x v="10"/>
  </r>
  <r>
    <s v="TRX-103426"/>
    <x v="740"/>
    <x v="4"/>
    <x v="7"/>
    <x v="0"/>
    <n v="204"/>
    <n v="122.37"/>
    <x v="4"/>
    <n v="55"/>
    <n v="-81.63"/>
    <x v="11"/>
  </r>
  <r>
    <s v="TRX-103427"/>
    <x v="117"/>
    <x v="2"/>
    <x v="4"/>
    <x v="2"/>
    <n v="224"/>
    <n v="290.58999999999997"/>
    <x v="2"/>
    <n v="41"/>
    <n v="66.589999999999904"/>
    <x v="6"/>
  </r>
  <r>
    <s v="TRX-103428"/>
    <x v="170"/>
    <x v="2"/>
    <x v="6"/>
    <x v="0"/>
    <n v="216"/>
    <n v="153.6"/>
    <x v="1"/>
    <n v="4"/>
    <n v="-62.4"/>
    <x v="3"/>
  </r>
  <r>
    <s v="TRX-103429"/>
    <x v="334"/>
    <x v="4"/>
    <x v="1"/>
    <x v="2"/>
    <n v="204"/>
    <n v="263.04000000000002"/>
    <x v="2"/>
    <n v="36"/>
    <n v="59.04"/>
    <x v="9"/>
  </r>
  <r>
    <s v="TRX-103430"/>
    <x v="291"/>
    <x v="4"/>
    <x v="7"/>
    <x v="2"/>
    <n v="201"/>
    <n v="207.53"/>
    <x v="4"/>
    <n v="46"/>
    <n v="6.53"/>
    <x v="1"/>
  </r>
  <r>
    <s v="TRX-103431"/>
    <x v="319"/>
    <x v="3"/>
    <x v="5"/>
    <x v="2"/>
    <n v="127"/>
    <n v="144.09"/>
    <x v="3"/>
    <n v="11"/>
    <n v="17.09"/>
    <x v="6"/>
  </r>
  <r>
    <s v="TRX-103432"/>
    <x v="1"/>
    <x v="2"/>
    <x v="0"/>
    <x v="1"/>
    <n v="210"/>
    <n v="703.84"/>
    <x v="4"/>
    <n v="48"/>
    <n v="493.84"/>
    <x v="0"/>
  </r>
  <r>
    <s v="TRX-103433"/>
    <x v="239"/>
    <x v="0"/>
    <x v="4"/>
    <x v="2"/>
    <n v="226"/>
    <n v="263.94"/>
    <x v="1"/>
    <n v="5"/>
    <n v="37.94"/>
    <x v="7"/>
  </r>
  <r>
    <s v="TRX-103434"/>
    <x v="501"/>
    <x v="3"/>
    <x v="5"/>
    <x v="2"/>
    <n v="117"/>
    <n v="150.79"/>
    <x v="1"/>
    <n v="12"/>
    <n v="33.7899999999999"/>
    <x v="0"/>
  </r>
  <r>
    <s v="TRX-103435"/>
    <x v="448"/>
    <x v="1"/>
    <x v="1"/>
    <x v="0"/>
    <n v="186"/>
    <n v="129.97"/>
    <x v="2"/>
    <n v="37"/>
    <n v="-56.03"/>
    <x v="4"/>
  </r>
  <r>
    <s v="TRX-103436"/>
    <x v="605"/>
    <x v="1"/>
    <x v="7"/>
    <x v="2"/>
    <n v="177"/>
    <n v="194.21"/>
    <x v="1"/>
    <n v="6"/>
    <n v="17.21"/>
    <x v="1"/>
  </r>
  <r>
    <s v="TRX-103437"/>
    <x v="333"/>
    <x v="3"/>
    <x v="6"/>
    <x v="2"/>
    <n v="139"/>
    <n v="184.17"/>
    <x v="1"/>
    <n v="12"/>
    <n v="45.169999999999902"/>
    <x v="10"/>
  </r>
  <r>
    <s v="TRX-103438"/>
    <x v="830"/>
    <x v="0"/>
    <x v="5"/>
    <x v="1"/>
    <n v="227"/>
    <n v="598.79999999999995"/>
    <x v="3"/>
    <n v="59"/>
    <n v="371.79999999999899"/>
    <x v="3"/>
  </r>
  <r>
    <s v="TRX-103439"/>
    <x v="127"/>
    <x v="2"/>
    <x v="5"/>
    <x v="2"/>
    <n v="216"/>
    <n v="204.74"/>
    <x v="3"/>
    <n v="48"/>
    <n v="-11.2599999999999"/>
    <x v="1"/>
  </r>
  <r>
    <s v="TRX-103440"/>
    <x v="644"/>
    <x v="2"/>
    <x v="7"/>
    <x v="0"/>
    <n v="220"/>
    <n v="186.54"/>
    <x v="0"/>
    <n v="7"/>
    <n v="-33.46"/>
    <x v="4"/>
  </r>
  <r>
    <s v="TRX-103441"/>
    <x v="680"/>
    <x v="1"/>
    <x v="6"/>
    <x v="0"/>
    <n v="189"/>
    <n v="108.67"/>
    <x v="4"/>
    <n v="21"/>
    <n v="-80.33"/>
    <x v="4"/>
  </r>
  <r>
    <s v="TRX-103442"/>
    <x v="625"/>
    <x v="0"/>
    <x v="8"/>
    <x v="0"/>
    <n v="229"/>
    <n v="192.15"/>
    <x v="1"/>
    <n v="3"/>
    <n v="-36.849999999999902"/>
    <x v="2"/>
  </r>
  <r>
    <s v="TRX-103443"/>
    <x v="56"/>
    <x v="3"/>
    <x v="2"/>
    <x v="1"/>
    <n v="119"/>
    <n v="198.49"/>
    <x v="3"/>
    <n v="32"/>
    <n v="79.489999999999995"/>
    <x v="3"/>
  </r>
  <r>
    <s v="TRX-103444"/>
    <x v="59"/>
    <x v="4"/>
    <x v="2"/>
    <x v="0"/>
    <n v="210"/>
    <n v="106.01"/>
    <x v="4"/>
    <n v="17"/>
    <n v="-103.99"/>
    <x v="9"/>
  </r>
  <r>
    <s v="TRX-103445"/>
    <x v="620"/>
    <x v="1"/>
    <x v="3"/>
    <x v="1"/>
    <n v="170"/>
    <n v="310.38"/>
    <x v="3"/>
    <n v="10"/>
    <n v="140.38"/>
    <x v="9"/>
  </r>
  <r>
    <s v="TRX-103446"/>
    <x v="151"/>
    <x v="0"/>
    <x v="6"/>
    <x v="1"/>
    <n v="225"/>
    <n v="624.54999999999995"/>
    <x v="4"/>
    <n v="53"/>
    <n v="399.54999999999899"/>
    <x v="10"/>
  </r>
  <r>
    <s v="TRX-103447"/>
    <x v="773"/>
    <x v="3"/>
    <x v="7"/>
    <x v="1"/>
    <n v="131"/>
    <n v="231.81"/>
    <x v="1"/>
    <n v="5"/>
    <n v="100.81"/>
    <x v="6"/>
  </r>
  <r>
    <s v="TRX-103448"/>
    <x v="419"/>
    <x v="0"/>
    <x v="3"/>
    <x v="2"/>
    <n v="227"/>
    <n v="250.75"/>
    <x v="1"/>
    <n v="10"/>
    <n v="23.75"/>
    <x v="2"/>
  </r>
  <r>
    <s v="TRX-103449"/>
    <x v="461"/>
    <x v="1"/>
    <x v="4"/>
    <x v="2"/>
    <n v="184"/>
    <n v="172.78"/>
    <x v="2"/>
    <n v="27"/>
    <n v="-11.219999999999899"/>
    <x v="6"/>
  </r>
  <r>
    <s v="TRX-103450"/>
    <x v="379"/>
    <x v="4"/>
    <x v="0"/>
    <x v="0"/>
    <n v="206"/>
    <n v="160.4"/>
    <x v="1"/>
    <n v="10"/>
    <n v="-45.599999999999902"/>
    <x v="10"/>
  </r>
  <r>
    <s v="TRX-103451"/>
    <x v="678"/>
    <x v="3"/>
    <x v="6"/>
    <x v="2"/>
    <n v="137"/>
    <n v="128.81"/>
    <x v="1"/>
    <n v="7"/>
    <n v="-8.1899999999999906"/>
    <x v="2"/>
  </r>
  <r>
    <s v="TRX-103452"/>
    <x v="272"/>
    <x v="4"/>
    <x v="0"/>
    <x v="1"/>
    <n v="204"/>
    <n v="583"/>
    <x v="4"/>
    <n v="17"/>
    <n v="379"/>
    <x v="3"/>
  </r>
  <r>
    <s v="TRX-103453"/>
    <x v="445"/>
    <x v="4"/>
    <x v="6"/>
    <x v="1"/>
    <n v="210"/>
    <n v="456.76"/>
    <x v="2"/>
    <n v="38"/>
    <n v="246.76"/>
    <x v="3"/>
  </r>
  <r>
    <s v="TRX-103454"/>
    <x v="655"/>
    <x v="0"/>
    <x v="7"/>
    <x v="1"/>
    <n v="225"/>
    <n v="344.99"/>
    <x v="3"/>
    <n v="59"/>
    <n v="119.99"/>
    <x v="8"/>
  </r>
  <r>
    <s v="TRX-103455"/>
    <x v="239"/>
    <x v="3"/>
    <x v="1"/>
    <x v="2"/>
    <n v="140"/>
    <n v="154.19999999999999"/>
    <x v="1"/>
    <n v="10"/>
    <n v="14.1999999999999"/>
    <x v="7"/>
  </r>
  <r>
    <s v="TRX-103456"/>
    <x v="931"/>
    <x v="1"/>
    <x v="0"/>
    <x v="1"/>
    <n v="188"/>
    <n v="547.73"/>
    <x v="1"/>
    <n v="6"/>
    <n v="359.73"/>
    <x v="11"/>
  </r>
  <r>
    <s v="TRX-103457"/>
    <x v="450"/>
    <x v="3"/>
    <x v="5"/>
    <x v="1"/>
    <n v="121"/>
    <n v="289.20999999999998"/>
    <x v="0"/>
    <n v="1"/>
    <n v="168.20999999999901"/>
    <x v="8"/>
  </r>
  <r>
    <s v="TRX-103458"/>
    <x v="490"/>
    <x v="2"/>
    <x v="8"/>
    <x v="2"/>
    <n v="211"/>
    <n v="246.77"/>
    <x v="2"/>
    <n v="54"/>
    <n v="35.770000000000003"/>
    <x v="3"/>
  </r>
  <r>
    <s v="TRX-103459"/>
    <x v="973"/>
    <x v="2"/>
    <x v="6"/>
    <x v="2"/>
    <n v="218"/>
    <n v="229.74"/>
    <x v="3"/>
    <n v="58"/>
    <n v="11.74"/>
    <x v="9"/>
  </r>
  <r>
    <s v="TRX-103460"/>
    <x v="874"/>
    <x v="1"/>
    <x v="6"/>
    <x v="2"/>
    <n v="174"/>
    <n v="203.97"/>
    <x v="0"/>
    <n v="6"/>
    <n v="29.97"/>
    <x v="3"/>
  </r>
  <r>
    <s v="TRX-103461"/>
    <x v="364"/>
    <x v="2"/>
    <x v="1"/>
    <x v="1"/>
    <n v="211"/>
    <n v="343.3"/>
    <x v="2"/>
    <n v="55"/>
    <n v="132.30000000000001"/>
    <x v="8"/>
  </r>
  <r>
    <s v="TRX-103462"/>
    <x v="60"/>
    <x v="0"/>
    <x v="3"/>
    <x v="1"/>
    <n v="230"/>
    <n v="720.34"/>
    <x v="4"/>
    <n v="8"/>
    <n v="490.34"/>
    <x v="11"/>
  </r>
  <r>
    <s v="TRX-103463"/>
    <x v="158"/>
    <x v="0"/>
    <x v="0"/>
    <x v="2"/>
    <n v="228"/>
    <n v="301.37"/>
    <x v="0"/>
    <n v="5"/>
    <n v="73.37"/>
    <x v="10"/>
  </r>
  <r>
    <s v="TRX-103464"/>
    <x v="867"/>
    <x v="4"/>
    <x v="7"/>
    <x v="2"/>
    <n v="205"/>
    <n v="208.39"/>
    <x v="1"/>
    <n v="8"/>
    <n v="3.3899999999999801"/>
    <x v="6"/>
  </r>
  <r>
    <s v="TRX-103465"/>
    <x v="209"/>
    <x v="3"/>
    <x v="2"/>
    <x v="1"/>
    <n v="140"/>
    <n v="365.03"/>
    <x v="1"/>
    <n v="1"/>
    <n v="225.02999999999901"/>
    <x v="3"/>
  </r>
  <r>
    <s v="TRX-103466"/>
    <x v="496"/>
    <x v="0"/>
    <x v="8"/>
    <x v="0"/>
    <n v="228"/>
    <n v="154.06"/>
    <x v="0"/>
    <n v="5"/>
    <n v="-73.94"/>
    <x v="9"/>
  </r>
  <r>
    <s v="TRX-103467"/>
    <x v="550"/>
    <x v="3"/>
    <x v="8"/>
    <x v="1"/>
    <n v="125"/>
    <n v="435.45"/>
    <x v="3"/>
    <n v="5"/>
    <n v="310.45"/>
    <x v="2"/>
  </r>
  <r>
    <s v="TRX-103468"/>
    <x v="741"/>
    <x v="2"/>
    <x v="0"/>
    <x v="0"/>
    <n v="225"/>
    <n v="168.8"/>
    <x v="4"/>
    <n v="60"/>
    <n v="-56.199999999999903"/>
    <x v="11"/>
  </r>
  <r>
    <s v="TRX-103469"/>
    <x v="191"/>
    <x v="2"/>
    <x v="8"/>
    <x v="2"/>
    <n v="212"/>
    <n v="229.69"/>
    <x v="4"/>
    <n v="59"/>
    <n v="17.689999999999898"/>
    <x v="8"/>
  </r>
  <r>
    <s v="TRX-103470"/>
    <x v="191"/>
    <x v="3"/>
    <x v="0"/>
    <x v="0"/>
    <n v="118"/>
    <n v="92.35"/>
    <x v="1"/>
    <n v="1"/>
    <n v="-25.65"/>
    <x v="8"/>
  </r>
  <r>
    <s v="TRX-103471"/>
    <x v="652"/>
    <x v="2"/>
    <x v="7"/>
    <x v="2"/>
    <n v="213"/>
    <n v="291.13"/>
    <x v="0"/>
    <n v="14"/>
    <n v="78.13"/>
    <x v="0"/>
  </r>
  <r>
    <s v="TRX-103472"/>
    <x v="448"/>
    <x v="1"/>
    <x v="5"/>
    <x v="1"/>
    <n v="180"/>
    <n v="602.07000000000005"/>
    <x v="3"/>
    <n v="26"/>
    <n v="422.07"/>
    <x v="4"/>
  </r>
  <r>
    <s v="TRX-103473"/>
    <x v="396"/>
    <x v="0"/>
    <x v="3"/>
    <x v="2"/>
    <n v="228"/>
    <n v="255.83"/>
    <x v="1"/>
    <n v="2"/>
    <n v="27.83"/>
    <x v="8"/>
  </r>
  <r>
    <s v="TRX-103474"/>
    <x v="398"/>
    <x v="1"/>
    <x v="7"/>
    <x v="2"/>
    <n v="186"/>
    <n v="242.02"/>
    <x v="4"/>
    <n v="7"/>
    <n v="56.02"/>
    <x v="0"/>
  </r>
  <r>
    <s v="TRX-103475"/>
    <x v="473"/>
    <x v="3"/>
    <x v="0"/>
    <x v="0"/>
    <n v="117"/>
    <n v="98.96"/>
    <x v="1"/>
    <n v="8"/>
    <n v="-18.04"/>
    <x v="3"/>
  </r>
  <r>
    <s v="TRX-103476"/>
    <x v="150"/>
    <x v="3"/>
    <x v="8"/>
    <x v="0"/>
    <n v="112"/>
    <n v="82.13"/>
    <x v="1"/>
    <n v="4"/>
    <n v="-29.87"/>
    <x v="2"/>
  </r>
  <r>
    <s v="TRX-103477"/>
    <x v="475"/>
    <x v="2"/>
    <x v="7"/>
    <x v="2"/>
    <n v="213"/>
    <n v="255.42"/>
    <x v="3"/>
    <n v="11"/>
    <n v="42.419999999999902"/>
    <x v="5"/>
  </r>
  <r>
    <s v="TRX-103478"/>
    <x v="59"/>
    <x v="3"/>
    <x v="5"/>
    <x v="0"/>
    <n v="116"/>
    <n v="76.94"/>
    <x v="1"/>
    <n v="1"/>
    <n v="-39.06"/>
    <x v="9"/>
  </r>
  <r>
    <s v="TRX-103479"/>
    <x v="584"/>
    <x v="4"/>
    <x v="7"/>
    <x v="0"/>
    <n v="210"/>
    <n v="120.09"/>
    <x v="3"/>
    <n v="48"/>
    <n v="-89.91"/>
    <x v="2"/>
  </r>
  <r>
    <s v="TRX-103480"/>
    <x v="355"/>
    <x v="0"/>
    <x v="5"/>
    <x v="0"/>
    <n v="227"/>
    <n v="114.47"/>
    <x v="0"/>
    <n v="6"/>
    <n v="-112.53"/>
    <x v="11"/>
  </r>
  <r>
    <s v="TRX-103481"/>
    <x v="752"/>
    <x v="4"/>
    <x v="3"/>
    <x v="2"/>
    <n v="201"/>
    <n v="274.06"/>
    <x v="1"/>
    <n v="8"/>
    <n v="73.06"/>
    <x v="6"/>
  </r>
  <r>
    <s v="TRX-103482"/>
    <x v="492"/>
    <x v="4"/>
    <x v="8"/>
    <x v="0"/>
    <n v="207"/>
    <n v="185.08"/>
    <x v="0"/>
    <n v="9"/>
    <n v="-21.919999999999899"/>
    <x v="3"/>
  </r>
  <r>
    <s v="TRX-103483"/>
    <x v="348"/>
    <x v="1"/>
    <x v="4"/>
    <x v="0"/>
    <n v="190"/>
    <n v="95.29"/>
    <x v="1"/>
    <n v="13"/>
    <n v="-94.71"/>
    <x v="9"/>
  </r>
  <r>
    <s v="TRX-103484"/>
    <x v="783"/>
    <x v="1"/>
    <x v="3"/>
    <x v="1"/>
    <n v="182"/>
    <n v="279.57"/>
    <x v="4"/>
    <n v="38"/>
    <n v="97.57"/>
    <x v="4"/>
  </r>
  <r>
    <s v="TRX-103485"/>
    <x v="503"/>
    <x v="0"/>
    <x v="6"/>
    <x v="0"/>
    <n v="227"/>
    <n v="130.87"/>
    <x v="0"/>
    <n v="3"/>
    <n v="-96.13"/>
    <x v="8"/>
  </r>
  <r>
    <s v="TRX-103486"/>
    <x v="115"/>
    <x v="3"/>
    <x v="6"/>
    <x v="1"/>
    <n v="117"/>
    <n v="200.35"/>
    <x v="2"/>
    <n v="44"/>
    <n v="83.35"/>
    <x v="10"/>
  </r>
  <r>
    <s v="TRX-103487"/>
    <x v="143"/>
    <x v="2"/>
    <x v="4"/>
    <x v="2"/>
    <n v="218"/>
    <n v="324.48"/>
    <x v="0"/>
    <n v="10"/>
    <n v="106.48"/>
    <x v="7"/>
  </r>
  <r>
    <s v="TRX-103488"/>
    <x v="42"/>
    <x v="1"/>
    <x v="0"/>
    <x v="0"/>
    <n v="174"/>
    <n v="115.11"/>
    <x v="4"/>
    <n v="14"/>
    <n v="-58.89"/>
    <x v="11"/>
  </r>
  <r>
    <s v="TRX-103489"/>
    <x v="23"/>
    <x v="2"/>
    <x v="8"/>
    <x v="2"/>
    <n v="216"/>
    <n v="296.32"/>
    <x v="4"/>
    <n v="19"/>
    <n v="80.319999999999993"/>
    <x v="7"/>
  </r>
  <r>
    <s v="TRX-103490"/>
    <x v="974"/>
    <x v="4"/>
    <x v="6"/>
    <x v="2"/>
    <n v="203"/>
    <n v="291.99"/>
    <x v="3"/>
    <n v="15"/>
    <n v="88.99"/>
    <x v="8"/>
  </r>
  <r>
    <s v="TRX-103491"/>
    <x v="159"/>
    <x v="2"/>
    <x v="1"/>
    <x v="2"/>
    <n v="217"/>
    <n v="270.22000000000003"/>
    <x v="4"/>
    <n v="8"/>
    <n v="53.22"/>
    <x v="8"/>
  </r>
  <r>
    <s v="TRX-103492"/>
    <x v="451"/>
    <x v="2"/>
    <x v="0"/>
    <x v="2"/>
    <n v="215"/>
    <n v="238.86"/>
    <x v="0"/>
    <n v="10"/>
    <n v="23.86"/>
    <x v="6"/>
  </r>
  <r>
    <s v="TRX-103493"/>
    <x v="6"/>
    <x v="1"/>
    <x v="0"/>
    <x v="1"/>
    <n v="172"/>
    <n v="510.69"/>
    <x v="4"/>
    <n v="11"/>
    <n v="338.69"/>
    <x v="4"/>
  </r>
  <r>
    <s v="TRX-103494"/>
    <x v="508"/>
    <x v="4"/>
    <x v="4"/>
    <x v="0"/>
    <n v="203"/>
    <n v="113.43"/>
    <x v="3"/>
    <n v="37"/>
    <n v="-89.57"/>
    <x v="4"/>
  </r>
  <r>
    <s v="TRX-103495"/>
    <x v="226"/>
    <x v="2"/>
    <x v="1"/>
    <x v="2"/>
    <n v="216"/>
    <n v="276.27999999999997"/>
    <x v="0"/>
    <n v="6"/>
    <n v="60.279999999999902"/>
    <x v="10"/>
  </r>
  <r>
    <s v="TRX-103496"/>
    <x v="959"/>
    <x v="4"/>
    <x v="3"/>
    <x v="0"/>
    <n v="207"/>
    <n v="132.85"/>
    <x v="1"/>
    <n v="3"/>
    <n v="-74.150000000000006"/>
    <x v="11"/>
  </r>
  <r>
    <s v="TRX-103497"/>
    <x v="494"/>
    <x v="0"/>
    <x v="3"/>
    <x v="1"/>
    <n v="230"/>
    <n v="773.22"/>
    <x v="2"/>
    <n v="31"/>
    <n v="543.22"/>
    <x v="3"/>
  </r>
  <r>
    <s v="TRX-103498"/>
    <x v="975"/>
    <x v="0"/>
    <x v="2"/>
    <x v="0"/>
    <n v="229"/>
    <n v="156"/>
    <x v="0"/>
    <n v="13"/>
    <n v="-73"/>
    <x v="11"/>
  </r>
  <r>
    <s v="TRX-103499"/>
    <x v="866"/>
    <x v="4"/>
    <x v="0"/>
    <x v="0"/>
    <n v="200"/>
    <n v="109.9"/>
    <x v="3"/>
    <n v="43"/>
    <n v="-90.1"/>
    <x v="2"/>
  </r>
  <r>
    <s v="TRX-103500"/>
    <x v="496"/>
    <x v="0"/>
    <x v="3"/>
    <x v="0"/>
    <n v="228"/>
    <n v="154.08000000000001"/>
    <x v="1"/>
    <n v="6"/>
    <n v="-73.919999999999902"/>
    <x v="9"/>
  </r>
  <r>
    <s v="TRX-103501"/>
    <x v="929"/>
    <x v="3"/>
    <x v="3"/>
    <x v="0"/>
    <n v="112"/>
    <n v="99.46"/>
    <x v="0"/>
    <n v="8"/>
    <n v="-12.54"/>
    <x v="0"/>
  </r>
  <r>
    <s v="TRX-103502"/>
    <x v="896"/>
    <x v="0"/>
    <x v="4"/>
    <x v="1"/>
    <n v="230"/>
    <n v="355.19"/>
    <x v="1"/>
    <n v="7"/>
    <n v="125.19"/>
    <x v="8"/>
  </r>
  <r>
    <s v="TRX-103503"/>
    <x v="583"/>
    <x v="1"/>
    <x v="2"/>
    <x v="2"/>
    <n v="186"/>
    <n v="191.88"/>
    <x v="4"/>
    <n v="53"/>
    <n v="5.8799999999999901"/>
    <x v="8"/>
  </r>
  <r>
    <s v="TRX-103504"/>
    <x v="600"/>
    <x v="2"/>
    <x v="6"/>
    <x v="2"/>
    <n v="220"/>
    <n v="309.07"/>
    <x v="4"/>
    <n v="36"/>
    <n v="89.07"/>
    <x v="8"/>
  </r>
  <r>
    <s v="TRX-103505"/>
    <x v="434"/>
    <x v="2"/>
    <x v="2"/>
    <x v="2"/>
    <n v="215"/>
    <n v="203.6"/>
    <x v="0"/>
    <n v="13"/>
    <n v="-11.4"/>
    <x v="4"/>
  </r>
  <r>
    <s v="TRX-103506"/>
    <x v="617"/>
    <x v="0"/>
    <x v="6"/>
    <x v="1"/>
    <n v="225"/>
    <n v="695.36"/>
    <x v="3"/>
    <n v="25"/>
    <n v="470.36"/>
    <x v="11"/>
  </r>
  <r>
    <s v="TRX-103507"/>
    <x v="173"/>
    <x v="0"/>
    <x v="2"/>
    <x v="0"/>
    <n v="230"/>
    <n v="148.35"/>
    <x v="0"/>
    <n v="8"/>
    <n v="-81.650000000000006"/>
    <x v="6"/>
  </r>
  <r>
    <s v="TRX-103508"/>
    <x v="571"/>
    <x v="0"/>
    <x v="2"/>
    <x v="2"/>
    <n v="230"/>
    <n v="214.55"/>
    <x v="4"/>
    <n v="21"/>
    <n v="-15.4499999999999"/>
    <x v="0"/>
  </r>
  <r>
    <s v="TRX-103509"/>
    <x v="501"/>
    <x v="0"/>
    <x v="6"/>
    <x v="0"/>
    <n v="226"/>
    <n v="164.56"/>
    <x v="4"/>
    <n v="58"/>
    <n v="-61.44"/>
    <x v="0"/>
  </r>
  <r>
    <s v="TRX-103510"/>
    <x v="967"/>
    <x v="1"/>
    <x v="3"/>
    <x v="2"/>
    <n v="181"/>
    <n v="174.39"/>
    <x v="0"/>
    <n v="14"/>
    <n v="-6.6100000000000101"/>
    <x v="8"/>
  </r>
  <r>
    <s v="TRX-103511"/>
    <x v="264"/>
    <x v="0"/>
    <x v="7"/>
    <x v="2"/>
    <n v="228"/>
    <n v="228.63"/>
    <x v="0"/>
    <n v="13"/>
    <n v="0.62999999999999501"/>
    <x v="6"/>
  </r>
  <r>
    <s v="TRX-103512"/>
    <x v="443"/>
    <x v="1"/>
    <x v="3"/>
    <x v="2"/>
    <n v="184"/>
    <n v="191.72"/>
    <x v="3"/>
    <n v="48"/>
    <n v="7.71999999999999"/>
    <x v="11"/>
  </r>
  <r>
    <s v="TRX-103513"/>
    <x v="345"/>
    <x v="2"/>
    <x v="4"/>
    <x v="2"/>
    <n v="224"/>
    <n v="255.84"/>
    <x v="0"/>
    <n v="3"/>
    <n v="31.84"/>
    <x v="1"/>
  </r>
  <r>
    <s v="TRX-103514"/>
    <x v="883"/>
    <x v="2"/>
    <x v="3"/>
    <x v="1"/>
    <n v="224"/>
    <n v="513.94000000000005"/>
    <x v="1"/>
    <n v="4"/>
    <n v="289.94"/>
    <x v="9"/>
  </r>
  <r>
    <s v="TRX-103515"/>
    <x v="701"/>
    <x v="1"/>
    <x v="8"/>
    <x v="0"/>
    <n v="170"/>
    <n v="124.85"/>
    <x v="0"/>
    <n v="11"/>
    <n v="-45.15"/>
    <x v="10"/>
  </r>
  <r>
    <s v="TRX-103516"/>
    <x v="42"/>
    <x v="3"/>
    <x v="1"/>
    <x v="0"/>
    <n v="125"/>
    <n v="94.78"/>
    <x v="1"/>
    <n v="7"/>
    <n v="-30.22"/>
    <x v="11"/>
  </r>
  <r>
    <s v="TRX-103517"/>
    <x v="152"/>
    <x v="0"/>
    <x v="6"/>
    <x v="0"/>
    <n v="227"/>
    <n v="199.57"/>
    <x v="1"/>
    <n v="11"/>
    <n v="-27.43"/>
    <x v="11"/>
  </r>
  <r>
    <s v="TRX-103518"/>
    <x v="596"/>
    <x v="2"/>
    <x v="5"/>
    <x v="1"/>
    <n v="214"/>
    <n v="396.25"/>
    <x v="2"/>
    <n v="29"/>
    <n v="182.25"/>
    <x v="1"/>
  </r>
  <r>
    <s v="TRX-103519"/>
    <x v="95"/>
    <x v="4"/>
    <x v="6"/>
    <x v="1"/>
    <n v="204"/>
    <n v="261.83999999999997"/>
    <x v="4"/>
    <n v="35"/>
    <n v="57.839999999999897"/>
    <x v="8"/>
  </r>
  <r>
    <s v="TRX-103520"/>
    <x v="629"/>
    <x v="4"/>
    <x v="0"/>
    <x v="2"/>
    <n v="200"/>
    <n v="268.25"/>
    <x v="4"/>
    <n v="41"/>
    <n v="68.25"/>
    <x v="9"/>
  </r>
  <r>
    <s v="TRX-103521"/>
    <x v="823"/>
    <x v="2"/>
    <x v="2"/>
    <x v="1"/>
    <n v="213"/>
    <n v="572.07000000000005"/>
    <x v="3"/>
    <n v="39"/>
    <n v="359.07"/>
    <x v="4"/>
  </r>
  <r>
    <s v="TRX-103522"/>
    <x v="202"/>
    <x v="2"/>
    <x v="7"/>
    <x v="0"/>
    <n v="211"/>
    <n v="146.97"/>
    <x v="2"/>
    <n v="37"/>
    <n v="-64.03"/>
    <x v="2"/>
  </r>
  <r>
    <s v="TRX-103523"/>
    <x v="707"/>
    <x v="2"/>
    <x v="5"/>
    <x v="2"/>
    <n v="222"/>
    <n v="250.18"/>
    <x v="0"/>
    <n v="14"/>
    <n v="28.18"/>
    <x v="8"/>
  </r>
  <r>
    <s v="TRX-103524"/>
    <x v="122"/>
    <x v="2"/>
    <x v="4"/>
    <x v="1"/>
    <n v="219"/>
    <n v="287.66000000000003"/>
    <x v="0"/>
    <n v="9"/>
    <n v="68.66"/>
    <x v="11"/>
  </r>
  <r>
    <s v="TRX-103525"/>
    <x v="368"/>
    <x v="0"/>
    <x v="8"/>
    <x v="1"/>
    <n v="227"/>
    <n v="783.85"/>
    <x v="2"/>
    <n v="23"/>
    <n v="556.85"/>
    <x v="5"/>
  </r>
  <r>
    <s v="TRX-103526"/>
    <x v="923"/>
    <x v="4"/>
    <x v="6"/>
    <x v="2"/>
    <n v="200"/>
    <n v="295.32"/>
    <x v="1"/>
    <n v="4"/>
    <n v="95.32"/>
    <x v="5"/>
  </r>
  <r>
    <s v="TRX-103527"/>
    <x v="341"/>
    <x v="4"/>
    <x v="2"/>
    <x v="0"/>
    <n v="200"/>
    <n v="156.09"/>
    <x v="4"/>
    <n v="33"/>
    <n v="-43.91"/>
    <x v="6"/>
  </r>
  <r>
    <s v="TRX-103528"/>
    <x v="825"/>
    <x v="1"/>
    <x v="5"/>
    <x v="0"/>
    <n v="178"/>
    <n v="141.35"/>
    <x v="4"/>
    <n v="58"/>
    <n v="-36.65"/>
    <x v="6"/>
  </r>
  <r>
    <s v="TRX-103529"/>
    <x v="827"/>
    <x v="2"/>
    <x v="7"/>
    <x v="2"/>
    <n v="212"/>
    <n v="285.56"/>
    <x v="3"/>
    <n v="41"/>
    <n v="73.56"/>
    <x v="1"/>
  </r>
  <r>
    <s v="TRX-103530"/>
    <x v="407"/>
    <x v="3"/>
    <x v="6"/>
    <x v="1"/>
    <n v="129"/>
    <n v="370.49"/>
    <x v="1"/>
    <n v="4"/>
    <n v="241.49"/>
    <x v="7"/>
  </r>
  <r>
    <s v="TRX-103531"/>
    <x v="933"/>
    <x v="1"/>
    <x v="8"/>
    <x v="0"/>
    <n v="189"/>
    <n v="161.65"/>
    <x v="2"/>
    <n v="36"/>
    <n v="-27.349999999999898"/>
    <x v="6"/>
  </r>
  <r>
    <s v="TRX-103532"/>
    <x v="447"/>
    <x v="4"/>
    <x v="1"/>
    <x v="0"/>
    <n v="203"/>
    <n v="153.76"/>
    <x v="1"/>
    <n v="10"/>
    <n v="-49.24"/>
    <x v="5"/>
  </r>
  <r>
    <s v="TRX-103533"/>
    <x v="678"/>
    <x v="1"/>
    <x v="3"/>
    <x v="0"/>
    <n v="170"/>
    <n v="138.6"/>
    <x v="3"/>
    <n v="49"/>
    <n v="-31.4"/>
    <x v="2"/>
  </r>
  <r>
    <s v="TRX-103534"/>
    <x v="559"/>
    <x v="0"/>
    <x v="6"/>
    <x v="2"/>
    <n v="228"/>
    <n v="236.43"/>
    <x v="4"/>
    <n v="24"/>
    <n v="8.43"/>
    <x v="8"/>
  </r>
  <r>
    <s v="TRX-103535"/>
    <x v="849"/>
    <x v="0"/>
    <x v="5"/>
    <x v="2"/>
    <n v="229"/>
    <n v="323.92"/>
    <x v="4"/>
    <n v="55"/>
    <n v="94.92"/>
    <x v="4"/>
  </r>
  <r>
    <s v="TRX-103536"/>
    <x v="918"/>
    <x v="1"/>
    <x v="2"/>
    <x v="1"/>
    <n v="189"/>
    <n v="401.56"/>
    <x v="4"/>
    <n v="43"/>
    <n v="212.56"/>
    <x v="1"/>
  </r>
  <r>
    <s v="TRX-103537"/>
    <x v="733"/>
    <x v="3"/>
    <x v="6"/>
    <x v="1"/>
    <n v="124"/>
    <n v="335.38"/>
    <x v="0"/>
    <n v="14"/>
    <n v="211.38"/>
    <x v="9"/>
  </r>
  <r>
    <s v="TRX-103538"/>
    <x v="769"/>
    <x v="4"/>
    <x v="6"/>
    <x v="2"/>
    <n v="207"/>
    <n v="271.98"/>
    <x v="4"/>
    <n v="60"/>
    <n v="64.98"/>
    <x v="10"/>
  </r>
  <r>
    <s v="TRX-103539"/>
    <x v="519"/>
    <x v="2"/>
    <x v="2"/>
    <x v="1"/>
    <n v="213"/>
    <n v="669.79"/>
    <x v="1"/>
    <n v="8"/>
    <n v="456.789999999999"/>
    <x v="10"/>
  </r>
  <r>
    <s v="TRX-103540"/>
    <x v="227"/>
    <x v="3"/>
    <x v="0"/>
    <x v="1"/>
    <n v="135"/>
    <n v="458.09"/>
    <x v="1"/>
    <n v="14"/>
    <n v="323.08999999999997"/>
    <x v="6"/>
  </r>
  <r>
    <s v="TRX-103541"/>
    <x v="463"/>
    <x v="3"/>
    <x v="3"/>
    <x v="0"/>
    <n v="131"/>
    <n v="67.709999999999994"/>
    <x v="4"/>
    <n v="25"/>
    <n v="-63.29"/>
    <x v="10"/>
  </r>
  <r>
    <s v="TRX-103542"/>
    <x v="772"/>
    <x v="4"/>
    <x v="6"/>
    <x v="1"/>
    <n v="206"/>
    <n v="257.60000000000002"/>
    <x v="0"/>
    <n v="10"/>
    <n v="51.6"/>
    <x v="11"/>
  </r>
  <r>
    <s v="TRX-103543"/>
    <x v="27"/>
    <x v="1"/>
    <x v="6"/>
    <x v="2"/>
    <n v="188"/>
    <n v="268.38"/>
    <x v="4"/>
    <n v="33"/>
    <n v="80.38"/>
    <x v="9"/>
  </r>
  <r>
    <s v="TRX-103544"/>
    <x v="699"/>
    <x v="3"/>
    <x v="1"/>
    <x v="0"/>
    <n v="131"/>
    <n v="105.91"/>
    <x v="3"/>
    <n v="32"/>
    <n v="-25.09"/>
    <x v="11"/>
  </r>
  <r>
    <s v="TRX-103545"/>
    <x v="479"/>
    <x v="4"/>
    <x v="6"/>
    <x v="2"/>
    <n v="205"/>
    <n v="187.78"/>
    <x v="4"/>
    <n v="56"/>
    <n v="-17.22"/>
    <x v="4"/>
  </r>
  <r>
    <s v="TRX-103546"/>
    <x v="966"/>
    <x v="1"/>
    <x v="1"/>
    <x v="1"/>
    <n v="189"/>
    <n v="254.74"/>
    <x v="1"/>
    <n v="12"/>
    <n v="65.739999999999995"/>
    <x v="4"/>
  </r>
  <r>
    <s v="TRX-103547"/>
    <x v="657"/>
    <x v="0"/>
    <x v="4"/>
    <x v="2"/>
    <n v="226"/>
    <n v="284.38"/>
    <x v="0"/>
    <n v="3"/>
    <n v="58.379999999999903"/>
    <x v="9"/>
  </r>
  <r>
    <s v="TRX-103548"/>
    <x v="804"/>
    <x v="2"/>
    <x v="4"/>
    <x v="1"/>
    <n v="217"/>
    <n v="725.88"/>
    <x v="3"/>
    <n v="53"/>
    <n v="508.88"/>
    <x v="3"/>
  </r>
  <r>
    <s v="TRX-103549"/>
    <x v="964"/>
    <x v="2"/>
    <x v="7"/>
    <x v="1"/>
    <n v="216"/>
    <n v="549.76"/>
    <x v="1"/>
    <n v="11"/>
    <n v="333.76"/>
    <x v="3"/>
  </r>
  <r>
    <s v="TRX-103550"/>
    <x v="619"/>
    <x v="2"/>
    <x v="1"/>
    <x v="2"/>
    <n v="215"/>
    <n v="204.06"/>
    <x v="1"/>
    <n v="6"/>
    <n v="-10.9399999999999"/>
    <x v="5"/>
  </r>
  <r>
    <s v="TRX-103551"/>
    <x v="521"/>
    <x v="1"/>
    <x v="0"/>
    <x v="0"/>
    <n v="183"/>
    <n v="119.84"/>
    <x v="4"/>
    <n v="39"/>
    <n v="-63.16"/>
    <x v="9"/>
  </r>
  <r>
    <s v="TRX-103552"/>
    <x v="720"/>
    <x v="1"/>
    <x v="7"/>
    <x v="1"/>
    <n v="179"/>
    <n v="297.72000000000003"/>
    <x v="2"/>
    <n v="40"/>
    <n v="118.72"/>
    <x v="9"/>
  </r>
  <r>
    <s v="TRX-103553"/>
    <x v="874"/>
    <x v="0"/>
    <x v="8"/>
    <x v="1"/>
    <n v="229"/>
    <n v="779.05"/>
    <x v="1"/>
    <n v="10"/>
    <n v="550.04999999999995"/>
    <x v="3"/>
  </r>
  <r>
    <s v="TRX-103554"/>
    <x v="181"/>
    <x v="2"/>
    <x v="4"/>
    <x v="2"/>
    <n v="211"/>
    <n v="238.73"/>
    <x v="4"/>
    <n v="58"/>
    <n v="27.729999999999901"/>
    <x v="4"/>
  </r>
  <r>
    <s v="TRX-103555"/>
    <x v="479"/>
    <x v="1"/>
    <x v="7"/>
    <x v="1"/>
    <n v="182"/>
    <n v="435.39"/>
    <x v="1"/>
    <n v="8"/>
    <n v="253.39"/>
    <x v="4"/>
  </r>
  <r>
    <s v="TRX-103556"/>
    <x v="650"/>
    <x v="0"/>
    <x v="2"/>
    <x v="0"/>
    <n v="227"/>
    <n v="177.11"/>
    <x v="0"/>
    <n v="10"/>
    <n v="-49.889999999999901"/>
    <x v="5"/>
  </r>
  <r>
    <s v="TRX-103557"/>
    <x v="436"/>
    <x v="4"/>
    <x v="0"/>
    <x v="1"/>
    <n v="203"/>
    <n v="321.76"/>
    <x v="4"/>
    <n v="35"/>
    <n v="118.759999999999"/>
    <x v="6"/>
  </r>
  <r>
    <s v="TRX-103558"/>
    <x v="976"/>
    <x v="0"/>
    <x v="2"/>
    <x v="0"/>
    <n v="227"/>
    <n v="118.1"/>
    <x v="0"/>
    <n v="6"/>
    <n v="-108.9"/>
    <x v="10"/>
  </r>
  <r>
    <s v="TRX-103559"/>
    <x v="901"/>
    <x v="1"/>
    <x v="1"/>
    <x v="0"/>
    <n v="188"/>
    <n v="168.16"/>
    <x v="1"/>
    <n v="1"/>
    <n v="-19.84"/>
    <x v="4"/>
  </r>
  <r>
    <s v="TRX-103560"/>
    <x v="421"/>
    <x v="0"/>
    <x v="1"/>
    <x v="0"/>
    <n v="226"/>
    <n v="153.82"/>
    <x v="1"/>
    <n v="1"/>
    <n v="-72.180000000000007"/>
    <x v="10"/>
  </r>
  <r>
    <s v="TRX-103561"/>
    <x v="455"/>
    <x v="0"/>
    <x v="3"/>
    <x v="0"/>
    <n v="225"/>
    <n v="160.63"/>
    <x v="0"/>
    <n v="1"/>
    <n v="-64.37"/>
    <x v="6"/>
  </r>
  <r>
    <s v="TRX-103562"/>
    <x v="536"/>
    <x v="4"/>
    <x v="0"/>
    <x v="1"/>
    <n v="210"/>
    <n v="628.70000000000005"/>
    <x v="2"/>
    <n v="48"/>
    <n v="418.7"/>
    <x v="4"/>
  </r>
  <r>
    <s v="TRX-103563"/>
    <x v="69"/>
    <x v="0"/>
    <x v="7"/>
    <x v="1"/>
    <n v="227"/>
    <n v="315.42"/>
    <x v="4"/>
    <n v="54"/>
    <n v="88.42"/>
    <x v="1"/>
  </r>
  <r>
    <s v="TRX-103564"/>
    <x v="344"/>
    <x v="0"/>
    <x v="4"/>
    <x v="0"/>
    <n v="226"/>
    <n v="161.07"/>
    <x v="4"/>
    <n v="49"/>
    <n v="-64.930000000000007"/>
    <x v="3"/>
  </r>
  <r>
    <s v="TRX-103565"/>
    <x v="370"/>
    <x v="0"/>
    <x v="6"/>
    <x v="1"/>
    <n v="228"/>
    <n v="507.85"/>
    <x v="1"/>
    <n v="6"/>
    <n v="279.85000000000002"/>
    <x v="11"/>
  </r>
  <r>
    <s v="TRX-103566"/>
    <x v="443"/>
    <x v="0"/>
    <x v="8"/>
    <x v="2"/>
    <n v="227"/>
    <n v="207.13"/>
    <x v="3"/>
    <n v="6"/>
    <n v="-19.87"/>
    <x v="11"/>
  </r>
  <r>
    <s v="TRX-103567"/>
    <x v="319"/>
    <x v="4"/>
    <x v="8"/>
    <x v="0"/>
    <n v="209"/>
    <n v="178.47"/>
    <x v="4"/>
    <n v="39"/>
    <n v="-30.53"/>
    <x v="6"/>
  </r>
  <r>
    <s v="TRX-103568"/>
    <x v="963"/>
    <x v="4"/>
    <x v="1"/>
    <x v="2"/>
    <n v="207"/>
    <n v="216.84"/>
    <x v="1"/>
    <n v="11"/>
    <n v="9.84"/>
    <x v="11"/>
  </r>
  <r>
    <s v="TRX-103569"/>
    <x v="160"/>
    <x v="2"/>
    <x v="7"/>
    <x v="1"/>
    <n v="215"/>
    <n v="270.83999999999997"/>
    <x v="0"/>
    <n v="10"/>
    <n v="55.839999999999897"/>
    <x v="10"/>
  </r>
  <r>
    <s v="TRX-103570"/>
    <x v="907"/>
    <x v="3"/>
    <x v="6"/>
    <x v="2"/>
    <n v="121"/>
    <n v="159.46"/>
    <x v="1"/>
    <n v="14"/>
    <n v="38.46"/>
    <x v="4"/>
  </r>
  <r>
    <s v="TRX-103571"/>
    <x v="465"/>
    <x v="2"/>
    <x v="2"/>
    <x v="2"/>
    <n v="211"/>
    <n v="209.58"/>
    <x v="4"/>
    <n v="54"/>
    <n v="-1.4199999999999799"/>
    <x v="7"/>
  </r>
  <r>
    <s v="TRX-103572"/>
    <x v="590"/>
    <x v="3"/>
    <x v="6"/>
    <x v="2"/>
    <n v="117"/>
    <n v="171.49"/>
    <x v="0"/>
    <n v="5"/>
    <n v="54.49"/>
    <x v="6"/>
  </r>
  <r>
    <s v="TRX-103573"/>
    <x v="919"/>
    <x v="4"/>
    <x v="5"/>
    <x v="2"/>
    <n v="200"/>
    <n v="237.58"/>
    <x v="2"/>
    <n v="27"/>
    <n v="37.58"/>
    <x v="6"/>
  </r>
  <r>
    <s v="TRX-103574"/>
    <x v="269"/>
    <x v="1"/>
    <x v="8"/>
    <x v="1"/>
    <n v="176"/>
    <n v="409.42"/>
    <x v="0"/>
    <n v="3"/>
    <n v="233.42"/>
    <x v="6"/>
  </r>
  <r>
    <s v="TRX-103575"/>
    <x v="358"/>
    <x v="0"/>
    <x v="8"/>
    <x v="1"/>
    <n v="228"/>
    <n v="750.01"/>
    <x v="3"/>
    <n v="10"/>
    <n v="522.01"/>
    <x v="0"/>
  </r>
  <r>
    <s v="TRX-103576"/>
    <x v="661"/>
    <x v="0"/>
    <x v="7"/>
    <x v="2"/>
    <n v="226"/>
    <n v="284.73"/>
    <x v="0"/>
    <n v="1"/>
    <n v="58.73"/>
    <x v="7"/>
  </r>
  <r>
    <s v="TRX-103577"/>
    <x v="518"/>
    <x v="4"/>
    <x v="8"/>
    <x v="2"/>
    <n v="209"/>
    <n v="212.02"/>
    <x v="2"/>
    <n v="41"/>
    <n v="3.0200000000000098"/>
    <x v="4"/>
  </r>
  <r>
    <s v="TRX-103578"/>
    <x v="99"/>
    <x v="3"/>
    <x v="7"/>
    <x v="2"/>
    <n v="131"/>
    <n v="150.47"/>
    <x v="2"/>
    <n v="18"/>
    <n v="19.47"/>
    <x v="7"/>
  </r>
  <r>
    <s v="TRX-103579"/>
    <x v="515"/>
    <x v="1"/>
    <x v="2"/>
    <x v="2"/>
    <n v="187"/>
    <n v="215.26"/>
    <x v="3"/>
    <n v="43"/>
    <n v="28.259999999999899"/>
    <x v="4"/>
  </r>
  <r>
    <s v="TRX-103580"/>
    <x v="617"/>
    <x v="1"/>
    <x v="5"/>
    <x v="2"/>
    <n v="189"/>
    <n v="247.91"/>
    <x v="0"/>
    <n v="14"/>
    <n v="58.91"/>
    <x v="11"/>
  </r>
  <r>
    <s v="TRX-103581"/>
    <x v="309"/>
    <x v="4"/>
    <x v="5"/>
    <x v="0"/>
    <n v="210"/>
    <n v="153.44"/>
    <x v="1"/>
    <n v="7"/>
    <n v="-56.56"/>
    <x v="4"/>
  </r>
  <r>
    <s v="TRX-103582"/>
    <x v="818"/>
    <x v="3"/>
    <x v="8"/>
    <x v="2"/>
    <n v="138"/>
    <n v="173.24"/>
    <x v="3"/>
    <n v="12"/>
    <n v="35.24"/>
    <x v="2"/>
  </r>
  <r>
    <s v="TRX-103583"/>
    <x v="239"/>
    <x v="2"/>
    <x v="8"/>
    <x v="1"/>
    <n v="214"/>
    <n v="587.72"/>
    <x v="2"/>
    <n v="51"/>
    <n v="373.72"/>
    <x v="7"/>
  </r>
  <r>
    <s v="TRX-103584"/>
    <x v="359"/>
    <x v="4"/>
    <x v="7"/>
    <x v="1"/>
    <n v="207"/>
    <n v="371.6"/>
    <x v="0"/>
    <n v="7"/>
    <n v="164.6"/>
    <x v="7"/>
  </r>
  <r>
    <s v="TRX-103585"/>
    <x v="355"/>
    <x v="0"/>
    <x v="4"/>
    <x v="0"/>
    <n v="227"/>
    <n v="202.34"/>
    <x v="2"/>
    <n v="7"/>
    <n v="-24.659999999999901"/>
    <x v="11"/>
  </r>
  <r>
    <s v="TRX-103586"/>
    <x v="967"/>
    <x v="4"/>
    <x v="6"/>
    <x v="2"/>
    <n v="208"/>
    <n v="249.79"/>
    <x v="3"/>
    <n v="25"/>
    <n v="41.7899999999999"/>
    <x v="8"/>
  </r>
  <r>
    <s v="TRX-103587"/>
    <x v="10"/>
    <x v="3"/>
    <x v="7"/>
    <x v="0"/>
    <n v="112"/>
    <n v="76.930000000000007"/>
    <x v="0"/>
    <n v="8"/>
    <n v="-35.069999999999901"/>
    <x v="5"/>
  </r>
  <r>
    <s v="TRX-103588"/>
    <x v="26"/>
    <x v="2"/>
    <x v="2"/>
    <x v="1"/>
    <n v="211"/>
    <n v="678.84"/>
    <x v="0"/>
    <n v="14"/>
    <n v="467.84"/>
    <x v="10"/>
  </r>
  <r>
    <s v="TRX-103589"/>
    <x v="525"/>
    <x v="2"/>
    <x v="2"/>
    <x v="2"/>
    <n v="217"/>
    <n v="270.8"/>
    <x v="0"/>
    <n v="6"/>
    <n v="53.8"/>
    <x v="3"/>
  </r>
  <r>
    <s v="TRX-103590"/>
    <x v="270"/>
    <x v="4"/>
    <x v="7"/>
    <x v="2"/>
    <n v="200"/>
    <n v="182.34"/>
    <x v="4"/>
    <n v="8"/>
    <n v="-17.659999999999901"/>
    <x v="5"/>
  </r>
  <r>
    <s v="TRX-103591"/>
    <x v="977"/>
    <x v="2"/>
    <x v="5"/>
    <x v="2"/>
    <n v="222"/>
    <n v="203.24"/>
    <x v="1"/>
    <n v="9"/>
    <n v="-18.759999999999899"/>
    <x v="5"/>
  </r>
  <r>
    <s v="TRX-103592"/>
    <x v="710"/>
    <x v="0"/>
    <x v="0"/>
    <x v="2"/>
    <n v="230"/>
    <n v="235.47"/>
    <x v="2"/>
    <n v="23"/>
    <n v="5.46999999999999"/>
    <x v="7"/>
  </r>
  <r>
    <s v="TRX-103593"/>
    <x v="375"/>
    <x v="3"/>
    <x v="6"/>
    <x v="1"/>
    <n v="122"/>
    <n v="178.67"/>
    <x v="3"/>
    <n v="16"/>
    <n v="56.669999999999902"/>
    <x v="0"/>
  </r>
  <r>
    <s v="TRX-103594"/>
    <x v="52"/>
    <x v="0"/>
    <x v="5"/>
    <x v="2"/>
    <n v="228"/>
    <n v="260.7"/>
    <x v="1"/>
    <n v="10"/>
    <n v="32.699999999999903"/>
    <x v="5"/>
  </r>
  <r>
    <s v="TRX-103595"/>
    <x v="362"/>
    <x v="3"/>
    <x v="6"/>
    <x v="1"/>
    <n v="120"/>
    <n v="191.23"/>
    <x v="1"/>
    <n v="10"/>
    <n v="71.229999999999905"/>
    <x v="8"/>
  </r>
  <r>
    <s v="TRX-103596"/>
    <x v="234"/>
    <x v="0"/>
    <x v="2"/>
    <x v="2"/>
    <n v="228"/>
    <n v="282.08"/>
    <x v="4"/>
    <n v="29"/>
    <n v="54.079999999999899"/>
    <x v="6"/>
  </r>
  <r>
    <s v="TRX-103597"/>
    <x v="157"/>
    <x v="1"/>
    <x v="0"/>
    <x v="0"/>
    <n v="186"/>
    <n v="157.13"/>
    <x v="4"/>
    <n v="57"/>
    <n v="-28.87"/>
    <x v="2"/>
  </r>
  <r>
    <s v="TRX-103598"/>
    <x v="201"/>
    <x v="0"/>
    <x v="7"/>
    <x v="1"/>
    <n v="229"/>
    <n v="684.31"/>
    <x v="4"/>
    <n v="41"/>
    <n v="455.30999999999898"/>
    <x v="10"/>
  </r>
  <r>
    <s v="TRX-103599"/>
    <x v="545"/>
    <x v="0"/>
    <x v="5"/>
    <x v="1"/>
    <n v="226"/>
    <n v="302.37"/>
    <x v="3"/>
    <n v="44"/>
    <n v="76.37"/>
    <x v="3"/>
  </r>
  <r>
    <s v="TRX-103600"/>
    <x v="437"/>
    <x v="3"/>
    <x v="8"/>
    <x v="0"/>
    <n v="121"/>
    <n v="92.93"/>
    <x v="1"/>
    <n v="3"/>
    <n v="-28.069999999999901"/>
    <x v="6"/>
  </r>
  <r>
    <s v="TRX-103601"/>
    <x v="80"/>
    <x v="0"/>
    <x v="2"/>
    <x v="0"/>
    <n v="230"/>
    <n v="180.26"/>
    <x v="0"/>
    <n v="8"/>
    <n v="-49.74"/>
    <x v="8"/>
  </r>
  <r>
    <s v="TRX-103602"/>
    <x v="653"/>
    <x v="0"/>
    <x v="6"/>
    <x v="2"/>
    <n v="225"/>
    <n v="305.08"/>
    <x v="1"/>
    <n v="10"/>
    <n v="80.079999999999899"/>
    <x v="8"/>
  </r>
  <r>
    <s v="TRX-103603"/>
    <x v="658"/>
    <x v="1"/>
    <x v="2"/>
    <x v="1"/>
    <n v="186"/>
    <n v="494.55"/>
    <x v="2"/>
    <n v="44"/>
    <n v="308.55"/>
    <x v="5"/>
  </r>
  <r>
    <s v="TRX-103604"/>
    <x v="156"/>
    <x v="4"/>
    <x v="7"/>
    <x v="2"/>
    <n v="202"/>
    <n v="188.06"/>
    <x v="4"/>
    <n v="15"/>
    <n v="-13.9399999999999"/>
    <x v="10"/>
  </r>
  <r>
    <s v="TRX-103605"/>
    <x v="523"/>
    <x v="0"/>
    <x v="7"/>
    <x v="2"/>
    <n v="227"/>
    <n v="221.09"/>
    <x v="2"/>
    <n v="7"/>
    <n v="-5.9099999999999904"/>
    <x v="5"/>
  </r>
  <r>
    <s v="TRX-103606"/>
    <x v="220"/>
    <x v="4"/>
    <x v="5"/>
    <x v="0"/>
    <n v="201"/>
    <n v="135.08000000000001"/>
    <x v="2"/>
    <n v="27"/>
    <n v="-65.919999999999902"/>
    <x v="11"/>
  </r>
  <r>
    <s v="TRX-103607"/>
    <x v="356"/>
    <x v="4"/>
    <x v="0"/>
    <x v="1"/>
    <n v="201"/>
    <n v="683.79"/>
    <x v="0"/>
    <n v="13"/>
    <n v="482.789999999999"/>
    <x v="8"/>
  </r>
  <r>
    <s v="TRX-103608"/>
    <x v="814"/>
    <x v="4"/>
    <x v="2"/>
    <x v="0"/>
    <n v="206"/>
    <n v="104.77"/>
    <x v="0"/>
    <n v="4"/>
    <n v="-101.23"/>
    <x v="7"/>
  </r>
  <r>
    <s v="TRX-103609"/>
    <x v="667"/>
    <x v="2"/>
    <x v="5"/>
    <x v="0"/>
    <n v="217"/>
    <n v="179.68"/>
    <x v="0"/>
    <n v="13"/>
    <n v="-37.319999999999901"/>
    <x v="1"/>
  </r>
  <r>
    <s v="TRX-103610"/>
    <x v="34"/>
    <x v="3"/>
    <x v="8"/>
    <x v="2"/>
    <n v="131"/>
    <n v="193.66"/>
    <x v="1"/>
    <n v="6"/>
    <n v="62.66"/>
    <x v="0"/>
  </r>
  <r>
    <s v="TRX-103611"/>
    <x v="394"/>
    <x v="0"/>
    <x v="5"/>
    <x v="1"/>
    <n v="225"/>
    <n v="327.18"/>
    <x v="4"/>
    <n v="43"/>
    <n v="102.18"/>
    <x v="2"/>
  </r>
  <r>
    <s v="TRX-103612"/>
    <x v="329"/>
    <x v="0"/>
    <x v="1"/>
    <x v="2"/>
    <n v="226"/>
    <n v="294.22000000000003"/>
    <x v="2"/>
    <n v="8"/>
    <n v="68.22"/>
    <x v="5"/>
  </r>
  <r>
    <s v="TRX-103613"/>
    <x v="485"/>
    <x v="4"/>
    <x v="1"/>
    <x v="2"/>
    <n v="204"/>
    <n v="300.63"/>
    <x v="2"/>
    <n v="39"/>
    <n v="96.63"/>
    <x v="1"/>
  </r>
  <r>
    <s v="TRX-103614"/>
    <x v="621"/>
    <x v="0"/>
    <x v="1"/>
    <x v="2"/>
    <n v="229"/>
    <n v="228.65"/>
    <x v="0"/>
    <n v="10"/>
    <n v="-0.34999999999999398"/>
    <x v="9"/>
  </r>
  <r>
    <s v="TRX-103615"/>
    <x v="333"/>
    <x v="3"/>
    <x v="8"/>
    <x v="1"/>
    <n v="139"/>
    <n v="420.46"/>
    <x v="0"/>
    <n v="13"/>
    <n v="281.45999999999998"/>
    <x v="10"/>
  </r>
  <r>
    <s v="TRX-103616"/>
    <x v="302"/>
    <x v="1"/>
    <x v="3"/>
    <x v="2"/>
    <n v="172"/>
    <n v="234.11"/>
    <x v="1"/>
    <n v="8"/>
    <n v="62.11"/>
    <x v="1"/>
  </r>
  <r>
    <s v="TRX-103617"/>
    <x v="750"/>
    <x v="3"/>
    <x v="8"/>
    <x v="2"/>
    <n v="139"/>
    <n v="154.69999999999999"/>
    <x v="1"/>
    <n v="4"/>
    <n v="15.6999999999999"/>
    <x v="6"/>
  </r>
  <r>
    <s v="TRX-103618"/>
    <x v="196"/>
    <x v="0"/>
    <x v="4"/>
    <x v="1"/>
    <n v="227"/>
    <n v="309.51"/>
    <x v="1"/>
    <n v="4"/>
    <n v="82.509999999999906"/>
    <x v="11"/>
  </r>
  <r>
    <s v="TRX-103619"/>
    <x v="563"/>
    <x v="0"/>
    <x v="7"/>
    <x v="0"/>
    <n v="230"/>
    <n v="156.09"/>
    <x v="0"/>
    <n v="11"/>
    <n v="-73.91"/>
    <x v="6"/>
  </r>
  <r>
    <s v="TRX-103620"/>
    <x v="426"/>
    <x v="2"/>
    <x v="7"/>
    <x v="0"/>
    <n v="211"/>
    <n v="172.53"/>
    <x v="0"/>
    <n v="13"/>
    <n v="-38.47"/>
    <x v="3"/>
  </r>
  <r>
    <s v="TRX-103621"/>
    <x v="451"/>
    <x v="2"/>
    <x v="0"/>
    <x v="1"/>
    <n v="211"/>
    <n v="363.29"/>
    <x v="3"/>
    <n v="8"/>
    <n v="152.29"/>
    <x v="6"/>
  </r>
  <r>
    <s v="TRX-103622"/>
    <x v="911"/>
    <x v="0"/>
    <x v="0"/>
    <x v="0"/>
    <n v="227"/>
    <n v="166.52"/>
    <x v="2"/>
    <n v="51"/>
    <n v="-60.479999999999897"/>
    <x v="0"/>
  </r>
  <r>
    <s v="TRX-103623"/>
    <x v="203"/>
    <x v="0"/>
    <x v="6"/>
    <x v="2"/>
    <n v="227"/>
    <n v="290.88"/>
    <x v="2"/>
    <n v="13"/>
    <n v="63.879999999999903"/>
    <x v="0"/>
  </r>
  <r>
    <s v="TRX-103624"/>
    <x v="527"/>
    <x v="3"/>
    <x v="8"/>
    <x v="1"/>
    <n v="112"/>
    <n v="160.30000000000001"/>
    <x v="2"/>
    <n v="45"/>
    <n v="48.3"/>
    <x v="4"/>
  </r>
  <r>
    <s v="TRX-103625"/>
    <x v="978"/>
    <x v="1"/>
    <x v="0"/>
    <x v="1"/>
    <n v="184"/>
    <n v="512.86"/>
    <x v="3"/>
    <n v="60"/>
    <n v="328.86"/>
    <x v="5"/>
  </r>
  <r>
    <s v="TRX-103626"/>
    <x v="4"/>
    <x v="4"/>
    <x v="1"/>
    <x v="2"/>
    <n v="206"/>
    <n v="274.41000000000003"/>
    <x v="4"/>
    <n v="7"/>
    <n v="68.41"/>
    <x v="3"/>
  </r>
  <r>
    <s v="TRX-103627"/>
    <x v="584"/>
    <x v="1"/>
    <x v="7"/>
    <x v="1"/>
    <n v="184"/>
    <n v="613.34"/>
    <x v="3"/>
    <n v="57"/>
    <n v="429.34"/>
    <x v="2"/>
  </r>
  <r>
    <s v="TRX-103628"/>
    <x v="975"/>
    <x v="3"/>
    <x v="5"/>
    <x v="0"/>
    <n v="113"/>
    <n v="101.39"/>
    <x v="2"/>
    <n v="29"/>
    <n v="-11.61"/>
    <x v="11"/>
  </r>
  <r>
    <s v="TRX-103629"/>
    <x v="776"/>
    <x v="4"/>
    <x v="4"/>
    <x v="1"/>
    <n v="210"/>
    <n v="274.01"/>
    <x v="1"/>
    <n v="12"/>
    <n v="64.009999999999906"/>
    <x v="5"/>
  </r>
  <r>
    <s v="TRX-103630"/>
    <x v="744"/>
    <x v="2"/>
    <x v="1"/>
    <x v="1"/>
    <n v="219"/>
    <n v="738.74"/>
    <x v="2"/>
    <n v="9"/>
    <n v="519.74"/>
    <x v="4"/>
  </r>
  <r>
    <s v="TRX-103631"/>
    <x v="611"/>
    <x v="2"/>
    <x v="1"/>
    <x v="1"/>
    <n v="222"/>
    <n v="558.62"/>
    <x v="4"/>
    <n v="39"/>
    <n v="336.62"/>
    <x v="4"/>
  </r>
  <r>
    <s v="TRX-103632"/>
    <x v="522"/>
    <x v="0"/>
    <x v="5"/>
    <x v="2"/>
    <n v="227"/>
    <n v="301.01"/>
    <x v="0"/>
    <n v="5"/>
    <n v="74.009999999999906"/>
    <x v="2"/>
  </r>
  <r>
    <s v="TRX-103633"/>
    <x v="18"/>
    <x v="3"/>
    <x v="8"/>
    <x v="2"/>
    <n v="112"/>
    <n v="116.78"/>
    <x v="3"/>
    <n v="8"/>
    <n v="4.78"/>
    <x v="6"/>
  </r>
  <r>
    <s v="TRX-103634"/>
    <x v="217"/>
    <x v="3"/>
    <x v="7"/>
    <x v="1"/>
    <n v="128"/>
    <n v="210.37"/>
    <x v="4"/>
    <n v="52"/>
    <n v="82.37"/>
    <x v="8"/>
  </r>
  <r>
    <s v="TRX-103635"/>
    <x v="394"/>
    <x v="4"/>
    <x v="1"/>
    <x v="0"/>
    <n v="210"/>
    <n v="115.22"/>
    <x v="1"/>
    <n v="13"/>
    <n v="-94.78"/>
    <x v="2"/>
  </r>
  <r>
    <s v="TRX-103636"/>
    <x v="833"/>
    <x v="3"/>
    <x v="5"/>
    <x v="0"/>
    <n v="135"/>
    <n v="69.41"/>
    <x v="4"/>
    <n v="34"/>
    <n v="-65.59"/>
    <x v="1"/>
  </r>
  <r>
    <s v="TRX-103637"/>
    <x v="428"/>
    <x v="0"/>
    <x v="2"/>
    <x v="0"/>
    <n v="230"/>
    <n v="150.13"/>
    <x v="2"/>
    <n v="27"/>
    <n v="-79.87"/>
    <x v="7"/>
  </r>
  <r>
    <s v="TRX-103638"/>
    <x v="512"/>
    <x v="1"/>
    <x v="3"/>
    <x v="0"/>
    <n v="186"/>
    <n v="104.97"/>
    <x v="4"/>
    <n v="5"/>
    <n v="-81.03"/>
    <x v="5"/>
  </r>
  <r>
    <s v="TRX-103639"/>
    <x v="936"/>
    <x v="3"/>
    <x v="2"/>
    <x v="2"/>
    <n v="119"/>
    <n v="134.38"/>
    <x v="2"/>
    <n v="26"/>
    <n v="15.3799999999999"/>
    <x v="11"/>
  </r>
  <r>
    <s v="TRX-103640"/>
    <x v="932"/>
    <x v="2"/>
    <x v="6"/>
    <x v="0"/>
    <n v="213"/>
    <n v="171.67"/>
    <x v="2"/>
    <n v="31"/>
    <n v="-41.33"/>
    <x v="9"/>
  </r>
  <r>
    <s v="TRX-103641"/>
    <x v="51"/>
    <x v="3"/>
    <x v="1"/>
    <x v="0"/>
    <n v="129"/>
    <n v="75.930000000000007"/>
    <x v="1"/>
    <n v="8"/>
    <n v="-53.069999999999901"/>
    <x v="3"/>
  </r>
  <r>
    <s v="TRX-103642"/>
    <x v="903"/>
    <x v="2"/>
    <x v="7"/>
    <x v="0"/>
    <n v="210"/>
    <n v="119.19"/>
    <x v="4"/>
    <n v="20"/>
    <n v="-90.81"/>
    <x v="4"/>
  </r>
  <r>
    <s v="TRX-103643"/>
    <x v="862"/>
    <x v="0"/>
    <x v="4"/>
    <x v="1"/>
    <n v="228"/>
    <n v="661.93"/>
    <x v="3"/>
    <n v="44"/>
    <n v="433.92999999999898"/>
    <x v="2"/>
  </r>
  <r>
    <s v="TRX-103644"/>
    <x v="885"/>
    <x v="4"/>
    <x v="5"/>
    <x v="1"/>
    <n v="210"/>
    <n v="698.19"/>
    <x v="1"/>
    <n v="4"/>
    <n v="488.19"/>
    <x v="7"/>
  </r>
  <r>
    <s v="TRX-103645"/>
    <x v="955"/>
    <x v="3"/>
    <x v="7"/>
    <x v="1"/>
    <n v="123"/>
    <n v="411.34"/>
    <x v="0"/>
    <n v="2"/>
    <n v="288.33999999999997"/>
    <x v="9"/>
  </r>
  <r>
    <s v="TRX-103646"/>
    <x v="924"/>
    <x v="1"/>
    <x v="6"/>
    <x v="2"/>
    <n v="190"/>
    <n v="246.3"/>
    <x v="2"/>
    <n v="17"/>
    <n v="56.3"/>
    <x v="7"/>
  </r>
  <r>
    <s v="TRX-103647"/>
    <x v="267"/>
    <x v="2"/>
    <x v="2"/>
    <x v="2"/>
    <n v="214"/>
    <n v="317.43"/>
    <x v="2"/>
    <n v="16"/>
    <n v="103.43"/>
    <x v="2"/>
  </r>
  <r>
    <s v="TRX-103648"/>
    <x v="572"/>
    <x v="0"/>
    <x v="3"/>
    <x v="2"/>
    <n v="227"/>
    <n v="246.42"/>
    <x v="0"/>
    <n v="1"/>
    <n v="19.419999999999899"/>
    <x v="7"/>
  </r>
  <r>
    <s v="TRX-103649"/>
    <x v="645"/>
    <x v="4"/>
    <x v="8"/>
    <x v="0"/>
    <n v="200"/>
    <n v="117.26"/>
    <x v="0"/>
    <n v="11"/>
    <n v="-82.74"/>
    <x v="5"/>
  </r>
  <r>
    <s v="TRX-103650"/>
    <x v="361"/>
    <x v="3"/>
    <x v="4"/>
    <x v="2"/>
    <n v="122"/>
    <n v="115.75"/>
    <x v="3"/>
    <n v="28"/>
    <n v="-6.25"/>
    <x v="0"/>
  </r>
  <r>
    <s v="TRX-103651"/>
    <x v="507"/>
    <x v="0"/>
    <x v="2"/>
    <x v="0"/>
    <n v="230"/>
    <n v="200.23"/>
    <x v="4"/>
    <n v="28"/>
    <n v="-29.77"/>
    <x v="4"/>
  </r>
  <r>
    <s v="TRX-103652"/>
    <x v="161"/>
    <x v="2"/>
    <x v="7"/>
    <x v="1"/>
    <n v="220"/>
    <n v="755.06"/>
    <x v="4"/>
    <n v="58"/>
    <n v="535.05999999999995"/>
    <x v="7"/>
  </r>
  <r>
    <s v="TRX-103653"/>
    <x v="842"/>
    <x v="1"/>
    <x v="6"/>
    <x v="1"/>
    <n v="175"/>
    <n v="258.52"/>
    <x v="0"/>
    <n v="9"/>
    <n v="83.519999999999897"/>
    <x v="11"/>
  </r>
  <r>
    <s v="TRX-103654"/>
    <x v="548"/>
    <x v="4"/>
    <x v="5"/>
    <x v="2"/>
    <n v="208"/>
    <n v="230.74"/>
    <x v="4"/>
    <n v="27"/>
    <n v="22.74"/>
    <x v="9"/>
  </r>
  <r>
    <s v="TRX-103655"/>
    <x v="184"/>
    <x v="0"/>
    <x v="3"/>
    <x v="0"/>
    <n v="229"/>
    <n v="200.07"/>
    <x v="2"/>
    <n v="55"/>
    <n v="-28.93"/>
    <x v="8"/>
  </r>
  <r>
    <s v="TRX-103656"/>
    <x v="239"/>
    <x v="2"/>
    <x v="3"/>
    <x v="2"/>
    <n v="221"/>
    <n v="255.92"/>
    <x v="1"/>
    <n v="14"/>
    <n v="34.919999999999902"/>
    <x v="7"/>
  </r>
  <r>
    <s v="TRX-103657"/>
    <x v="231"/>
    <x v="2"/>
    <x v="6"/>
    <x v="1"/>
    <n v="214"/>
    <n v="283.60000000000002"/>
    <x v="1"/>
    <n v="7"/>
    <n v="69.599999999999994"/>
    <x v="8"/>
  </r>
  <r>
    <s v="TRX-103658"/>
    <x v="979"/>
    <x v="3"/>
    <x v="4"/>
    <x v="1"/>
    <n v="135"/>
    <n v="239.52"/>
    <x v="2"/>
    <n v="19"/>
    <n v="104.52"/>
    <x v="1"/>
  </r>
  <r>
    <s v="TRX-103659"/>
    <x v="420"/>
    <x v="4"/>
    <x v="2"/>
    <x v="2"/>
    <n v="210"/>
    <n v="294.29000000000002"/>
    <x v="2"/>
    <n v="21"/>
    <n v="84.29"/>
    <x v="1"/>
  </r>
  <r>
    <s v="TRX-103660"/>
    <x v="816"/>
    <x v="3"/>
    <x v="4"/>
    <x v="2"/>
    <n v="124"/>
    <n v="144.09"/>
    <x v="1"/>
    <n v="11"/>
    <n v="20.09"/>
    <x v="10"/>
  </r>
  <r>
    <s v="TRX-103661"/>
    <x v="794"/>
    <x v="3"/>
    <x v="3"/>
    <x v="1"/>
    <n v="121"/>
    <n v="174.41"/>
    <x v="1"/>
    <n v="14"/>
    <n v="53.41"/>
    <x v="4"/>
  </r>
  <r>
    <s v="TRX-103662"/>
    <x v="890"/>
    <x v="0"/>
    <x v="8"/>
    <x v="1"/>
    <n v="225"/>
    <n v="483.7"/>
    <x v="0"/>
    <n v="1"/>
    <n v="258.7"/>
    <x v="8"/>
  </r>
  <r>
    <s v="TRX-103663"/>
    <x v="214"/>
    <x v="2"/>
    <x v="4"/>
    <x v="1"/>
    <n v="222"/>
    <n v="356.11"/>
    <x v="1"/>
    <n v="2"/>
    <n v="134.11000000000001"/>
    <x v="1"/>
  </r>
  <r>
    <s v="TRX-103664"/>
    <x v="87"/>
    <x v="3"/>
    <x v="7"/>
    <x v="0"/>
    <n v="115"/>
    <n v="85.07"/>
    <x v="0"/>
    <n v="5"/>
    <n v="-29.93"/>
    <x v="3"/>
  </r>
  <r>
    <s v="TRX-103665"/>
    <x v="240"/>
    <x v="4"/>
    <x v="8"/>
    <x v="0"/>
    <n v="210"/>
    <n v="110.39"/>
    <x v="1"/>
    <n v="10"/>
    <n v="-99.61"/>
    <x v="4"/>
  </r>
  <r>
    <s v="TRX-103666"/>
    <x v="751"/>
    <x v="0"/>
    <x v="0"/>
    <x v="1"/>
    <n v="227"/>
    <n v="294.75"/>
    <x v="1"/>
    <n v="3"/>
    <n v="67.75"/>
    <x v="6"/>
  </r>
  <r>
    <s v="TRX-103667"/>
    <x v="627"/>
    <x v="3"/>
    <x v="6"/>
    <x v="0"/>
    <n v="131"/>
    <n v="65.64"/>
    <x v="2"/>
    <n v="52"/>
    <n v="-65.36"/>
    <x v="5"/>
  </r>
  <r>
    <s v="TRX-103668"/>
    <x v="617"/>
    <x v="0"/>
    <x v="6"/>
    <x v="0"/>
    <n v="229"/>
    <n v="120.75"/>
    <x v="1"/>
    <n v="12"/>
    <n v="-108.25"/>
    <x v="11"/>
  </r>
  <r>
    <s v="TRX-103669"/>
    <x v="670"/>
    <x v="1"/>
    <x v="7"/>
    <x v="1"/>
    <n v="180"/>
    <n v="381.28"/>
    <x v="0"/>
    <n v="11"/>
    <n v="201.27999999999901"/>
    <x v="9"/>
  </r>
  <r>
    <s v="TRX-103670"/>
    <x v="141"/>
    <x v="1"/>
    <x v="5"/>
    <x v="1"/>
    <n v="175"/>
    <n v="226.45"/>
    <x v="4"/>
    <n v="35"/>
    <n v="51.449999999999903"/>
    <x v="3"/>
  </r>
  <r>
    <s v="TRX-103671"/>
    <x v="261"/>
    <x v="1"/>
    <x v="5"/>
    <x v="1"/>
    <n v="177"/>
    <n v="514.24"/>
    <x v="1"/>
    <n v="11"/>
    <n v="337.24"/>
    <x v="2"/>
  </r>
  <r>
    <s v="TRX-103672"/>
    <x v="935"/>
    <x v="2"/>
    <x v="4"/>
    <x v="1"/>
    <n v="219"/>
    <n v="395.25"/>
    <x v="2"/>
    <n v="12"/>
    <n v="176.25"/>
    <x v="3"/>
  </r>
  <r>
    <s v="TRX-103673"/>
    <x v="324"/>
    <x v="2"/>
    <x v="5"/>
    <x v="2"/>
    <n v="213"/>
    <n v="286.45999999999998"/>
    <x v="1"/>
    <n v="4"/>
    <n v="73.459999999999894"/>
    <x v="8"/>
  </r>
  <r>
    <s v="TRX-103674"/>
    <x v="942"/>
    <x v="1"/>
    <x v="2"/>
    <x v="1"/>
    <n v="188"/>
    <n v="374.84"/>
    <x v="3"/>
    <n v="10"/>
    <n v="186.83999999999901"/>
    <x v="7"/>
  </r>
  <r>
    <s v="TRX-103675"/>
    <x v="430"/>
    <x v="4"/>
    <x v="2"/>
    <x v="0"/>
    <n v="209"/>
    <n v="122.82"/>
    <x v="1"/>
    <n v="9"/>
    <n v="-86.18"/>
    <x v="3"/>
  </r>
  <r>
    <s v="TRX-103676"/>
    <x v="644"/>
    <x v="2"/>
    <x v="4"/>
    <x v="0"/>
    <n v="221"/>
    <n v="144.41"/>
    <x v="1"/>
    <n v="13"/>
    <n v="-76.59"/>
    <x v="4"/>
  </r>
  <r>
    <s v="TRX-103677"/>
    <x v="779"/>
    <x v="4"/>
    <x v="8"/>
    <x v="2"/>
    <n v="205"/>
    <n v="199.54"/>
    <x v="2"/>
    <n v="18"/>
    <n v="-5.46"/>
    <x v="10"/>
  </r>
  <r>
    <s v="TRX-103678"/>
    <x v="72"/>
    <x v="0"/>
    <x v="5"/>
    <x v="2"/>
    <n v="227"/>
    <n v="220.5"/>
    <x v="1"/>
    <n v="7"/>
    <n v="-6.5"/>
    <x v="0"/>
  </r>
  <r>
    <s v="TRX-103679"/>
    <x v="786"/>
    <x v="1"/>
    <x v="8"/>
    <x v="2"/>
    <n v="186"/>
    <n v="204.87"/>
    <x v="1"/>
    <n v="9"/>
    <n v="18.87"/>
    <x v="5"/>
  </r>
  <r>
    <s v="TRX-103680"/>
    <x v="709"/>
    <x v="0"/>
    <x v="6"/>
    <x v="1"/>
    <n v="226"/>
    <n v="580.55999999999995"/>
    <x v="1"/>
    <n v="2"/>
    <n v="354.55999999999898"/>
    <x v="6"/>
  </r>
  <r>
    <s v="TRX-103681"/>
    <x v="66"/>
    <x v="2"/>
    <x v="6"/>
    <x v="0"/>
    <n v="212"/>
    <n v="129.94999999999999"/>
    <x v="0"/>
    <n v="2"/>
    <n v="-82.05"/>
    <x v="7"/>
  </r>
  <r>
    <s v="TRX-103682"/>
    <x v="267"/>
    <x v="0"/>
    <x v="4"/>
    <x v="2"/>
    <n v="227"/>
    <n v="208.22"/>
    <x v="1"/>
    <n v="12"/>
    <n v="-18.78"/>
    <x v="2"/>
  </r>
  <r>
    <s v="TRX-103683"/>
    <x v="751"/>
    <x v="0"/>
    <x v="5"/>
    <x v="0"/>
    <n v="229"/>
    <n v="126.86"/>
    <x v="0"/>
    <n v="13"/>
    <n v="-102.14"/>
    <x v="6"/>
  </r>
  <r>
    <s v="TRX-103684"/>
    <x v="76"/>
    <x v="2"/>
    <x v="8"/>
    <x v="2"/>
    <n v="220"/>
    <n v="307.67"/>
    <x v="4"/>
    <n v="58"/>
    <n v="87.67"/>
    <x v="10"/>
  </r>
  <r>
    <s v="TRX-103685"/>
    <x v="710"/>
    <x v="0"/>
    <x v="3"/>
    <x v="2"/>
    <n v="230"/>
    <n v="221.95"/>
    <x v="4"/>
    <n v="37"/>
    <n v="-8.0500000000000096"/>
    <x v="7"/>
  </r>
  <r>
    <s v="TRX-103686"/>
    <x v="753"/>
    <x v="2"/>
    <x v="5"/>
    <x v="0"/>
    <n v="216"/>
    <n v="175.98"/>
    <x v="1"/>
    <n v="8"/>
    <n v="-40.020000000000003"/>
    <x v="4"/>
  </r>
  <r>
    <s v="TRX-103687"/>
    <x v="802"/>
    <x v="0"/>
    <x v="3"/>
    <x v="0"/>
    <n v="228"/>
    <n v="156.27000000000001"/>
    <x v="2"/>
    <n v="9"/>
    <n v="-71.729999999999905"/>
    <x v="10"/>
  </r>
  <r>
    <s v="TRX-103688"/>
    <x v="89"/>
    <x v="3"/>
    <x v="5"/>
    <x v="0"/>
    <n v="140"/>
    <n v="79.25"/>
    <x v="0"/>
    <n v="13"/>
    <n v="-60.75"/>
    <x v="10"/>
  </r>
  <r>
    <s v="TRX-103689"/>
    <x v="271"/>
    <x v="4"/>
    <x v="3"/>
    <x v="1"/>
    <n v="200"/>
    <n v="604.38"/>
    <x v="0"/>
    <n v="1"/>
    <n v="404.38"/>
    <x v="11"/>
  </r>
  <r>
    <s v="TRX-103690"/>
    <x v="650"/>
    <x v="2"/>
    <x v="2"/>
    <x v="0"/>
    <n v="214"/>
    <n v="147.34"/>
    <x v="3"/>
    <n v="8"/>
    <n v="-66.66"/>
    <x v="5"/>
  </r>
  <r>
    <s v="TRX-103691"/>
    <x v="562"/>
    <x v="0"/>
    <x v="7"/>
    <x v="1"/>
    <n v="228"/>
    <n v="601.01"/>
    <x v="0"/>
    <n v="12"/>
    <n v="373.01"/>
    <x v="7"/>
  </r>
  <r>
    <s v="TRX-103692"/>
    <x v="883"/>
    <x v="2"/>
    <x v="3"/>
    <x v="2"/>
    <n v="222"/>
    <n v="277.89999999999998"/>
    <x v="2"/>
    <n v="11"/>
    <n v="55.899999999999899"/>
    <x v="9"/>
  </r>
  <r>
    <s v="TRX-103693"/>
    <x v="730"/>
    <x v="1"/>
    <x v="5"/>
    <x v="2"/>
    <n v="188"/>
    <n v="277.45"/>
    <x v="3"/>
    <n v="17"/>
    <n v="89.449999999999903"/>
    <x v="2"/>
  </r>
  <r>
    <s v="TRX-103694"/>
    <x v="783"/>
    <x v="2"/>
    <x v="7"/>
    <x v="1"/>
    <n v="220"/>
    <n v="471.28"/>
    <x v="2"/>
    <n v="19"/>
    <n v="251.27999999999901"/>
    <x v="4"/>
  </r>
  <r>
    <s v="TRX-103695"/>
    <x v="830"/>
    <x v="2"/>
    <x v="6"/>
    <x v="1"/>
    <n v="210"/>
    <n v="485.91"/>
    <x v="4"/>
    <n v="42"/>
    <n v="275.91000000000003"/>
    <x v="3"/>
  </r>
  <r>
    <s v="TRX-103696"/>
    <x v="72"/>
    <x v="2"/>
    <x v="6"/>
    <x v="1"/>
    <n v="224"/>
    <n v="587.38"/>
    <x v="3"/>
    <n v="20"/>
    <n v="363.38"/>
    <x v="0"/>
  </r>
  <r>
    <s v="TRX-103697"/>
    <x v="746"/>
    <x v="4"/>
    <x v="5"/>
    <x v="1"/>
    <n v="207"/>
    <n v="542.45000000000005"/>
    <x v="4"/>
    <n v="11"/>
    <n v="335.45"/>
    <x v="2"/>
  </r>
  <r>
    <s v="TRX-103698"/>
    <x v="459"/>
    <x v="0"/>
    <x v="7"/>
    <x v="1"/>
    <n v="229"/>
    <n v="436.58"/>
    <x v="1"/>
    <n v="7"/>
    <n v="207.57999999999899"/>
    <x v="11"/>
  </r>
  <r>
    <s v="TRX-103699"/>
    <x v="422"/>
    <x v="3"/>
    <x v="2"/>
    <x v="1"/>
    <n v="121"/>
    <n v="249.13"/>
    <x v="2"/>
    <n v="33"/>
    <n v="128.13"/>
    <x v="7"/>
  </r>
  <r>
    <s v="TRX-103700"/>
    <x v="21"/>
    <x v="0"/>
    <x v="6"/>
    <x v="2"/>
    <n v="229"/>
    <n v="312.77999999999997"/>
    <x v="3"/>
    <n v="22"/>
    <n v="83.779999999999902"/>
    <x v="4"/>
  </r>
  <r>
    <s v="TRX-103701"/>
    <x v="242"/>
    <x v="2"/>
    <x v="8"/>
    <x v="0"/>
    <n v="225"/>
    <n v="173.42"/>
    <x v="0"/>
    <n v="6"/>
    <n v="-51.58"/>
    <x v="9"/>
  </r>
  <r>
    <s v="TRX-103702"/>
    <x v="174"/>
    <x v="1"/>
    <x v="7"/>
    <x v="0"/>
    <n v="190"/>
    <n v="159.27000000000001"/>
    <x v="2"/>
    <n v="6"/>
    <n v="-30.729999999999901"/>
    <x v="0"/>
  </r>
  <r>
    <s v="TRX-103703"/>
    <x v="430"/>
    <x v="2"/>
    <x v="5"/>
    <x v="1"/>
    <n v="217"/>
    <n v="680.75"/>
    <x v="2"/>
    <n v="34"/>
    <n v="463.75"/>
    <x v="3"/>
  </r>
  <r>
    <s v="TRX-103704"/>
    <x v="20"/>
    <x v="4"/>
    <x v="0"/>
    <x v="0"/>
    <n v="210"/>
    <n v="118.06"/>
    <x v="4"/>
    <n v="37"/>
    <n v="-91.94"/>
    <x v="10"/>
  </r>
  <r>
    <s v="TRX-103705"/>
    <x v="597"/>
    <x v="2"/>
    <x v="5"/>
    <x v="0"/>
    <n v="211"/>
    <n v="176.94"/>
    <x v="1"/>
    <n v="12"/>
    <n v="-34.06"/>
    <x v="9"/>
  </r>
  <r>
    <s v="TRX-103706"/>
    <x v="41"/>
    <x v="1"/>
    <x v="4"/>
    <x v="2"/>
    <n v="186"/>
    <n v="223.71"/>
    <x v="4"/>
    <n v="41"/>
    <n v="37.71"/>
    <x v="5"/>
  </r>
  <r>
    <s v="TRX-103707"/>
    <x v="390"/>
    <x v="1"/>
    <x v="5"/>
    <x v="1"/>
    <n v="187"/>
    <n v="612.77"/>
    <x v="4"/>
    <n v="26"/>
    <n v="425.77"/>
    <x v="10"/>
  </r>
  <r>
    <s v="TRX-103708"/>
    <x v="798"/>
    <x v="1"/>
    <x v="2"/>
    <x v="0"/>
    <n v="177"/>
    <n v="115.57"/>
    <x v="0"/>
    <n v="3"/>
    <n v="-61.43"/>
    <x v="7"/>
  </r>
  <r>
    <s v="TRX-103709"/>
    <x v="239"/>
    <x v="2"/>
    <x v="3"/>
    <x v="2"/>
    <n v="220"/>
    <n v="237.77"/>
    <x v="2"/>
    <n v="41"/>
    <n v="17.77"/>
    <x v="7"/>
  </r>
  <r>
    <s v="TRX-103710"/>
    <x v="523"/>
    <x v="4"/>
    <x v="5"/>
    <x v="1"/>
    <n v="203"/>
    <n v="495.86"/>
    <x v="1"/>
    <n v="12"/>
    <n v="292.86"/>
    <x v="5"/>
  </r>
  <r>
    <s v="TRX-103711"/>
    <x v="387"/>
    <x v="2"/>
    <x v="8"/>
    <x v="2"/>
    <n v="219"/>
    <n v="239.22"/>
    <x v="3"/>
    <n v="42"/>
    <n v="20.22"/>
    <x v="3"/>
  </r>
  <r>
    <s v="TRX-103712"/>
    <x v="425"/>
    <x v="1"/>
    <x v="1"/>
    <x v="2"/>
    <n v="180"/>
    <n v="206.74"/>
    <x v="2"/>
    <n v="57"/>
    <n v="26.74"/>
    <x v="6"/>
  </r>
  <r>
    <s v="TRX-103713"/>
    <x v="980"/>
    <x v="2"/>
    <x v="4"/>
    <x v="2"/>
    <n v="214"/>
    <n v="294.33999999999997"/>
    <x v="0"/>
    <n v="14"/>
    <n v="80.339999999999904"/>
    <x v="4"/>
  </r>
  <r>
    <s v="TRX-103714"/>
    <x v="424"/>
    <x v="2"/>
    <x v="0"/>
    <x v="1"/>
    <n v="220"/>
    <n v="365.62"/>
    <x v="0"/>
    <n v="11"/>
    <n v="145.62"/>
    <x v="9"/>
  </r>
  <r>
    <s v="TRX-103715"/>
    <x v="263"/>
    <x v="4"/>
    <x v="3"/>
    <x v="1"/>
    <n v="204"/>
    <n v="505.15"/>
    <x v="1"/>
    <n v="6"/>
    <n v="301.14999999999998"/>
    <x v="10"/>
  </r>
  <r>
    <s v="TRX-103716"/>
    <x v="908"/>
    <x v="0"/>
    <x v="8"/>
    <x v="2"/>
    <n v="230"/>
    <n v="235.2"/>
    <x v="1"/>
    <n v="1"/>
    <n v="5.1999999999999797"/>
    <x v="5"/>
  </r>
  <r>
    <s v="TRX-103717"/>
    <x v="376"/>
    <x v="2"/>
    <x v="2"/>
    <x v="1"/>
    <n v="212"/>
    <n v="301.31"/>
    <x v="2"/>
    <n v="56"/>
    <n v="89.31"/>
    <x v="6"/>
  </r>
  <r>
    <s v="TRX-103718"/>
    <x v="563"/>
    <x v="3"/>
    <x v="1"/>
    <x v="0"/>
    <n v="134"/>
    <n v="118.68"/>
    <x v="0"/>
    <n v="12"/>
    <n v="-15.319999999999901"/>
    <x v="6"/>
  </r>
  <r>
    <s v="TRX-103719"/>
    <x v="174"/>
    <x v="4"/>
    <x v="5"/>
    <x v="2"/>
    <n v="207"/>
    <n v="302.91000000000003"/>
    <x v="3"/>
    <n v="19"/>
    <n v="95.91"/>
    <x v="0"/>
  </r>
  <r>
    <s v="TRX-103720"/>
    <x v="70"/>
    <x v="0"/>
    <x v="7"/>
    <x v="1"/>
    <n v="226"/>
    <n v="674.59"/>
    <x v="0"/>
    <n v="4"/>
    <n v="448.59"/>
    <x v="2"/>
  </r>
  <r>
    <s v="TRX-103721"/>
    <x v="341"/>
    <x v="0"/>
    <x v="5"/>
    <x v="0"/>
    <n v="228"/>
    <n v="151.72999999999999"/>
    <x v="0"/>
    <n v="2"/>
    <n v="-76.27"/>
    <x v="6"/>
  </r>
  <r>
    <s v="TRX-103722"/>
    <x v="728"/>
    <x v="2"/>
    <x v="2"/>
    <x v="0"/>
    <n v="225"/>
    <n v="146.29"/>
    <x v="0"/>
    <n v="4"/>
    <n v="-78.709999999999994"/>
    <x v="2"/>
  </r>
  <r>
    <s v="TRX-103723"/>
    <x v="566"/>
    <x v="1"/>
    <x v="0"/>
    <x v="2"/>
    <n v="174"/>
    <n v="251.7"/>
    <x v="0"/>
    <n v="3"/>
    <n v="77.699999999999903"/>
    <x v="8"/>
  </r>
  <r>
    <s v="TRX-103724"/>
    <x v="265"/>
    <x v="4"/>
    <x v="2"/>
    <x v="1"/>
    <n v="200"/>
    <n v="656.5"/>
    <x v="3"/>
    <n v="10"/>
    <n v="456.5"/>
    <x v="1"/>
  </r>
  <r>
    <s v="TRX-103725"/>
    <x v="762"/>
    <x v="4"/>
    <x v="3"/>
    <x v="0"/>
    <n v="204"/>
    <n v="117.49"/>
    <x v="1"/>
    <n v="11"/>
    <n v="-86.51"/>
    <x v="4"/>
  </r>
  <r>
    <s v="TRX-103726"/>
    <x v="490"/>
    <x v="3"/>
    <x v="0"/>
    <x v="1"/>
    <n v="128"/>
    <n v="295.08"/>
    <x v="4"/>
    <n v="27"/>
    <n v="167.07999999999899"/>
    <x v="3"/>
  </r>
  <r>
    <s v="TRX-103727"/>
    <x v="814"/>
    <x v="4"/>
    <x v="6"/>
    <x v="0"/>
    <n v="204"/>
    <n v="154.99"/>
    <x v="1"/>
    <n v="6"/>
    <n v="-49.009999999999899"/>
    <x v="7"/>
  </r>
  <r>
    <s v="TRX-103728"/>
    <x v="468"/>
    <x v="0"/>
    <x v="2"/>
    <x v="0"/>
    <n v="226"/>
    <n v="127.47"/>
    <x v="4"/>
    <n v="11"/>
    <n v="-98.53"/>
    <x v="6"/>
  </r>
  <r>
    <s v="TRX-103729"/>
    <x v="469"/>
    <x v="1"/>
    <x v="7"/>
    <x v="2"/>
    <n v="184"/>
    <n v="174.41"/>
    <x v="3"/>
    <n v="28"/>
    <n v="-9.59"/>
    <x v="7"/>
  </r>
  <r>
    <s v="TRX-103730"/>
    <x v="157"/>
    <x v="0"/>
    <x v="1"/>
    <x v="0"/>
    <n v="227"/>
    <n v="191.64"/>
    <x v="3"/>
    <n v="48"/>
    <n v="-35.36"/>
    <x v="2"/>
  </r>
  <r>
    <s v="TRX-103731"/>
    <x v="964"/>
    <x v="3"/>
    <x v="5"/>
    <x v="0"/>
    <n v="128"/>
    <n v="98.69"/>
    <x v="3"/>
    <n v="26"/>
    <n v="-29.31"/>
    <x v="3"/>
  </r>
  <r>
    <s v="TRX-103732"/>
    <x v="592"/>
    <x v="0"/>
    <x v="3"/>
    <x v="0"/>
    <n v="228"/>
    <n v="137.9"/>
    <x v="4"/>
    <n v="34"/>
    <n v="-90.1"/>
    <x v="10"/>
  </r>
  <r>
    <s v="TRX-103733"/>
    <x v="110"/>
    <x v="3"/>
    <x v="3"/>
    <x v="0"/>
    <n v="136"/>
    <n v="101.24"/>
    <x v="2"/>
    <n v="32"/>
    <n v="-34.76"/>
    <x v="1"/>
  </r>
  <r>
    <s v="TRX-103734"/>
    <x v="480"/>
    <x v="4"/>
    <x v="2"/>
    <x v="2"/>
    <n v="202"/>
    <n v="262.26"/>
    <x v="2"/>
    <n v="16"/>
    <n v="60.259999999999899"/>
    <x v="2"/>
  </r>
  <r>
    <s v="TRX-103735"/>
    <x v="247"/>
    <x v="0"/>
    <x v="8"/>
    <x v="1"/>
    <n v="225"/>
    <n v="776.79"/>
    <x v="4"/>
    <n v="11"/>
    <n v="551.79"/>
    <x v="6"/>
  </r>
  <r>
    <s v="TRX-103736"/>
    <x v="343"/>
    <x v="2"/>
    <x v="8"/>
    <x v="0"/>
    <n v="222"/>
    <n v="162.61000000000001"/>
    <x v="3"/>
    <n v="6"/>
    <n v="-59.389999999999901"/>
    <x v="8"/>
  </r>
  <r>
    <s v="TRX-103737"/>
    <x v="376"/>
    <x v="3"/>
    <x v="3"/>
    <x v="2"/>
    <n v="121"/>
    <n v="163.69999999999999"/>
    <x v="0"/>
    <n v="11"/>
    <n v="42.699999999999903"/>
    <x v="6"/>
  </r>
  <r>
    <s v="TRX-103738"/>
    <x v="96"/>
    <x v="1"/>
    <x v="1"/>
    <x v="1"/>
    <n v="180"/>
    <n v="488.81"/>
    <x v="0"/>
    <n v="6"/>
    <n v="308.81"/>
    <x v="1"/>
  </r>
  <r>
    <s v="TRX-103739"/>
    <x v="411"/>
    <x v="0"/>
    <x v="1"/>
    <x v="2"/>
    <n v="226"/>
    <n v="313.43"/>
    <x v="3"/>
    <n v="15"/>
    <n v="87.43"/>
    <x v="9"/>
  </r>
  <r>
    <s v="TRX-103740"/>
    <x v="411"/>
    <x v="1"/>
    <x v="1"/>
    <x v="0"/>
    <n v="186"/>
    <n v="154.82"/>
    <x v="1"/>
    <n v="8"/>
    <n v="-31.18"/>
    <x v="9"/>
  </r>
  <r>
    <s v="TRX-103741"/>
    <x v="926"/>
    <x v="1"/>
    <x v="2"/>
    <x v="2"/>
    <n v="189"/>
    <n v="219.24"/>
    <x v="1"/>
    <n v="14"/>
    <n v="30.24"/>
    <x v="4"/>
  </r>
  <r>
    <s v="TRX-103742"/>
    <x v="981"/>
    <x v="1"/>
    <x v="5"/>
    <x v="1"/>
    <n v="189"/>
    <n v="441.89"/>
    <x v="0"/>
    <n v="8"/>
    <n v="252.89"/>
    <x v="4"/>
  </r>
  <r>
    <s v="TRX-103743"/>
    <x v="405"/>
    <x v="1"/>
    <x v="0"/>
    <x v="0"/>
    <n v="179"/>
    <n v="144.19"/>
    <x v="3"/>
    <n v="23"/>
    <n v="-34.81"/>
    <x v="0"/>
  </r>
  <r>
    <s v="TRX-103744"/>
    <x v="238"/>
    <x v="1"/>
    <x v="3"/>
    <x v="2"/>
    <n v="178"/>
    <n v="214.62"/>
    <x v="1"/>
    <n v="5"/>
    <n v="36.619999999999997"/>
    <x v="3"/>
  </r>
  <r>
    <s v="TRX-103745"/>
    <x v="188"/>
    <x v="1"/>
    <x v="1"/>
    <x v="1"/>
    <n v="171"/>
    <n v="376.53"/>
    <x v="0"/>
    <n v="10"/>
    <n v="205.52999999999901"/>
    <x v="9"/>
  </r>
  <r>
    <s v="TRX-103746"/>
    <x v="212"/>
    <x v="1"/>
    <x v="1"/>
    <x v="1"/>
    <n v="188"/>
    <n v="533.59"/>
    <x v="3"/>
    <n v="30"/>
    <n v="345.59"/>
    <x v="2"/>
  </r>
  <r>
    <s v="TRX-103747"/>
    <x v="903"/>
    <x v="0"/>
    <x v="8"/>
    <x v="0"/>
    <n v="227"/>
    <n v="120.56"/>
    <x v="3"/>
    <n v="42"/>
    <n v="-106.44"/>
    <x v="4"/>
  </r>
  <r>
    <s v="TRX-103748"/>
    <x v="154"/>
    <x v="3"/>
    <x v="0"/>
    <x v="0"/>
    <n v="117"/>
    <n v="92.45"/>
    <x v="2"/>
    <n v="29"/>
    <n v="-24.549999999999901"/>
    <x v="2"/>
  </r>
  <r>
    <s v="TRX-103749"/>
    <x v="758"/>
    <x v="1"/>
    <x v="7"/>
    <x v="1"/>
    <n v="176"/>
    <n v="414.29"/>
    <x v="0"/>
    <n v="11"/>
    <n v="238.29"/>
    <x v="3"/>
  </r>
  <r>
    <s v="TRX-103750"/>
    <x v="308"/>
    <x v="3"/>
    <x v="1"/>
    <x v="0"/>
    <n v="122"/>
    <n v="84.29"/>
    <x v="1"/>
    <n v="11"/>
    <n v="-37.709999999999901"/>
    <x v="8"/>
  </r>
  <r>
    <s v="TRX-103751"/>
    <x v="956"/>
    <x v="4"/>
    <x v="2"/>
    <x v="2"/>
    <n v="205"/>
    <n v="220.98"/>
    <x v="4"/>
    <n v="41"/>
    <n v="15.979999999999899"/>
    <x v="2"/>
  </r>
  <r>
    <s v="TRX-103752"/>
    <x v="266"/>
    <x v="1"/>
    <x v="6"/>
    <x v="1"/>
    <n v="177"/>
    <n v="538.21"/>
    <x v="2"/>
    <n v="11"/>
    <n v="361.21"/>
    <x v="0"/>
  </r>
  <r>
    <s v="TRX-103753"/>
    <x v="592"/>
    <x v="3"/>
    <x v="5"/>
    <x v="0"/>
    <n v="140"/>
    <n v="104.05"/>
    <x v="3"/>
    <n v="8"/>
    <n v="-35.950000000000003"/>
    <x v="10"/>
  </r>
  <r>
    <s v="TRX-103754"/>
    <x v="80"/>
    <x v="4"/>
    <x v="5"/>
    <x v="0"/>
    <n v="204"/>
    <n v="159.96"/>
    <x v="1"/>
    <n v="2"/>
    <n v="-44.0399999999999"/>
    <x v="8"/>
  </r>
  <r>
    <s v="TRX-103755"/>
    <x v="179"/>
    <x v="1"/>
    <x v="8"/>
    <x v="2"/>
    <n v="172"/>
    <n v="163.16999999999999"/>
    <x v="1"/>
    <n v="5"/>
    <n v="-8.8300000000000107"/>
    <x v="7"/>
  </r>
  <r>
    <s v="TRX-103756"/>
    <x v="743"/>
    <x v="4"/>
    <x v="3"/>
    <x v="0"/>
    <n v="202"/>
    <n v="137.88"/>
    <x v="3"/>
    <n v="20"/>
    <n v="-64.12"/>
    <x v="1"/>
  </r>
  <r>
    <s v="TRX-103757"/>
    <x v="906"/>
    <x v="3"/>
    <x v="4"/>
    <x v="0"/>
    <n v="126"/>
    <n v="72.239999999999995"/>
    <x v="2"/>
    <n v="28"/>
    <n v="-53.76"/>
    <x v="10"/>
  </r>
  <r>
    <s v="TRX-103758"/>
    <x v="712"/>
    <x v="4"/>
    <x v="2"/>
    <x v="0"/>
    <n v="203"/>
    <n v="171.51"/>
    <x v="0"/>
    <n v="11"/>
    <n v="-31.49"/>
    <x v="11"/>
  </r>
  <r>
    <s v="TRX-103759"/>
    <x v="51"/>
    <x v="0"/>
    <x v="4"/>
    <x v="1"/>
    <n v="229"/>
    <n v="554.41999999999996"/>
    <x v="1"/>
    <n v="10"/>
    <n v="325.41999999999899"/>
    <x v="3"/>
  </r>
  <r>
    <s v="TRX-103760"/>
    <x v="382"/>
    <x v="4"/>
    <x v="7"/>
    <x v="0"/>
    <n v="210"/>
    <n v="187.83"/>
    <x v="1"/>
    <n v="2"/>
    <n v="-22.169999999999899"/>
    <x v="7"/>
  </r>
  <r>
    <s v="TRX-103761"/>
    <x v="457"/>
    <x v="2"/>
    <x v="0"/>
    <x v="1"/>
    <n v="219"/>
    <n v="505.56"/>
    <x v="0"/>
    <n v="14"/>
    <n v="286.56"/>
    <x v="7"/>
  </r>
  <r>
    <s v="TRX-103762"/>
    <x v="419"/>
    <x v="1"/>
    <x v="2"/>
    <x v="1"/>
    <n v="185"/>
    <n v="276.86"/>
    <x v="4"/>
    <n v="25"/>
    <n v="91.86"/>
    <x v="2"/>
  </r>
  <r>
    <s v="TRX-103763"/>
    <x v="686"/>
    <x v="1"/>
    <x v="7"/>
    <x v="0"/>
    <n v="182"/>
    <n v="152.33000000000001"/>
    <x v="1"/>
    <n v="7"/>
    <n v="-29.669999999999899"/>
    <x v="0"/>
  </r>
  <r>
    <s v="TRX-103764"/>
    <x v="475"/>
    <x v="4"/>
    <x v="2"/>
    <x v="2"/>
    <n v="202"/>
    <n v="216.67"/>
    <x v="4"/>
    <n v="36"/>
    <n v="14.6699999999999"/>
    <x v="5"/>
  </r>
  <r>
    <s v="TRX-103765"/>
    <x v="303"/>
    <x v="2"/>
    <x v="6"/>
    <x v="1"/>
    <n v="216"/>
    <n v="380.48"/>
    <x v="4"/>
    <n v="9"/>
    <n v="164.48"/>
    <x v="11"/>
  </r>
  <r>
    <s v="TRX-103766"/>
    <x v="788"/>
    <x v="0"/>
    <x v="1"/>
    <x v="1"/>
    <n v="226"/>
    <n v="531.6"/>
    <x v="4"/>
    <n v="26"/>
    <n v="305.60000000000002"/>
    <x v="0"/>
  </r>
  <r>
    <s v="TRX-103767"/>
    <x v="224"/>
    <x v="1"/>
    <x v="3"/>
    <x v="1"/>
    <n v="188"/>
    <n v="436.38"/>
    <x v="2"/>
    <n v="58"/>
    <n v="248.38"/>
    <x v="3"/>
  </r>
  <r>
    <s v="TRX-103768"/>
    <x v="424"/>
    <x v="1"/>
    <x v="3"/>
    <x v="2"/>
    <n v="187"/>
    <n v="225.07"/>
    <x v="4"/>
    <n v="49"/>
    <n v="38.069999999999901"/>
    <x v="9"/>
  </r>
  <r>
    <s v="TRX-103769"/>
    <x v="484"/>
    <x v="1"/>
    <x v="3"/>
    <x v="0"/>
    <n v="171"/>
    <n v="100.65"/>
    <x v="0"/>
    <n v="13"/>
    <n v="-70.349999999999994"/>
    <x v="4"/>
  </r>
  <r>
    <s v="TRX-103770"/>
    <x v="705"/>
    <x v="3"/>
    <x v="6"/>
    <x v="0"/>
    <n v="139"/>
    <n v="92.6"/>
    <x v="2"/>
    <n v="39"/>
    <n v="-46.4"/>
    <x v="3"/>
  </r>
  <r>
    <s v="TRX-103771"/>
    <x v="704"/>
    <x v="2"/>
    <x v="1"/>
    <x v="0"/>
    <n v="212"/>
    <n v="161.46"/>
    <x v="3"/>
    <n v="24"/>
    <n v="-50.5399999999999"/>
    <x v="1"/>
  </r>
  <r>
    <s v="TRX-103772"/>
    <x v="219"/>
    <x v="2"/>
    <x v="4"/>
    <x v="2"/>
    <n v="221"/>
    <n v="305.67"/>
    <x v="0"/>
    <n v="11"/>
    <n v="84.67"/>
    <x v="6"/>
  </r>
  <r>
    <s v="TRX-103773"/>
    <x v="544"/>
    <x v="4"/>
    <x v="0"/>
    <x v="2"/>
    <n v="201"/>
    <n v="216.39"/>
    <x v="1"/>
    <n v="9"/>
    <n v="15.389999999999899"/>
    <x v="5"/>
  </r>
  <r>
    <s v="TRX-103774"/>
    <x v="456"/>
    <x v="2"/>
    <x v="2"/>
    <x v="2"/>
    <n v="218"/>
    <n v="229.25"/>
    <x v="2"/>
    <n v="13"/>
    <n v="11.25"/>
    <x v="1"/>
  </r>
  <r>
    <s v="TRX-103775"/>
    <x v="619"/>
    <x v="3"/>
    <x v="3"/>
    <x v="1"/>
    <n v="130"/>
    <n v="362.18"/>
    <x v="1"/>
    <n v="11"/>
    <n v="232.18"/>
    <x v="5"/>
  </r>
  <r>
    <s v="TRX-103776"/>
    <x v="168"/>
    <x v="4"/>
    <x v="0"/>
    <x v="0"/>
    <n v="201"/>
    <n v="125.81"/>
    <x v="3"/>
    <n v="23"/>
    <n v="-75.19"/>
    <x v="5"/>
  </r>
  <r>
    <s v="TRX-103777"/>
    <x v="185"/>
    <x v="3"/>
    <x v="0"/>
    <x v="0"/>
    <n v="116"/>
    <n v="69.81"/>
    <x v="2"/>
    <n v="44"/>
    <n v="-46.19"/>
    <x v="6"/>
  </r>
  <r>
    <s v="TRX-103778"/>
    <x v="671"/>
    <x v="4"/>
    <x v="7"/>
    <x v="0"/>
    <n v="204"/>
    <n v="125.01"/>
    <x v="0"/>
    <n v="13"/>
    <n v="-78.989999999999995"/>
    <x v="2"/>
  </r>
  <r>
    <s v="TRX-103779"/>
    <x v="977"/>
    <x v="3"/>
    <x v="0"/>
    <x v="2"/>
    <n v="127"/>
    <n v="134.21"/>
    <x v="0"/>
    <n v="5"/>
    <n v="7.21"/>
    <x v="5"/>
  </r>
  <r>
    <s v="TRX-103780"/>
    <x v="585"/>
    <x v="3"/>
    <x v="0"/>
    <x v="0"/>
    <n v="134"/>
    <n v="90.31"/>
    <x v="4"/>
    <n v="9"/>
    <n v="-43.69"/>
    <x v="7"/>
  </r>
  <r>
    <s v="TRX-103781"/>
    <x v="578"/>
    <x v="0"/>
    <x v="4"/>
    <x v="2"/>
    <n v="230"/>
    <n v="232.5"/>
    <x v="1"/>
    <n v="10"/>
    <n v="2.5"/>
    <x v="8"/>
  </r>
  <r>
    <s v="TRX-103782"/>
    <x v="766"/>
    <x v="0"/>
    <x v="6"/>
    <x v="2"/>
    <n v="230"/>
    <n v="224.11"/>
    <x v="4"/>
    <n v="44"/>
    <n v="-5.8899999999999801"/>
    <x v="5"/>
  </r>
  <r>
    <s v="TRX-103783"/>
    <x v="952"/>
    <x v="4"/>
    <x v="3"/>
    <x v="1"/>
    <n v="204"/>
    <n v="665.65"/>
    <x v="3"/>
    <n v="43"/>
    <n v="461.65"/>
    <x v="4"/>
  </r>
  <r>
    <s v="TRX-103784"/>
    <x v="428"/>
    <x v="2"/>
    <x v="2"/>
    <x v="1"/>
    <n v="218"/>
    <n v="355.27"/>
    <x v="1"/>
    <n v="6"/>
    <n v="137.26999999999899"/>
    <x v="7"/>
  </r>
  <r>
    <s v="TRX-103785"/>
    <x v="487"/>
    <x v="4"/>
    <x v="6"/>
    <x v="2"/>
    <n v="202"/>
    <n v="238.38"/>
    <x v="3"/>
    <n v="9"/>
    <n v="36.379999999999903"/>
    <x v="5"/>
  </r>
  <r>
    <s v="TRX-103786"/>
    <x v="754"/>
    <x v="2"/>
    <x v="2"/>
    <x v="1"/>
    <n v="213"/>
    <n v="712.86"/>
    <x v="2"/>
    <n v="32"/>
    <n v="499.86"/>
    <x v="11"/>
  </r>
  <r>
    <s v="TRX-103787"/>
    <x v="2"/>
    <x v="4"/>
    <x v="2"/>
    <x v="1"/>
    <n v="209"/>
    <n v="505.17"/>
    <x v="4"/>
    <n v="59"/>
    <n v="296.17"/>
    <x v="1"/>
  </r>
  <r>
    <s v="TRX-103788"/>
    <x v="409"/>
    <x v="3"/>
    <x v="6"/>
    <x v="0"/>
    <n v="115"/>
    <n v="74.180000000000007"/>
    <x v="1"/>
    <n v="13"/>
    <n v="-40.819999999999901"/>
    <x v="11"/>
  </r>
  <r>
    <s v="TRX-103789"/>
    <x v="550"/>
    <x v="2"/>
    <x v="7"/>
    <x v="0"/>
    <n v="210"/>
    <n v="108.42"/>
    <x v="2"/>
    <n v="41"/>
    <n v="-101.58"/>
    <x v="2"/>
  </r>
  <r>
    <s v="TRX-103790"/>
    <x v="939"/>
    <x v="4"/>
    <x v="5"/>
    <x v="1"/>
    <n v="204"/>
    <n v="349.8"/>
    <x v="2"/>
    <n v="24"/>
    <n v="145.80000000000001"/>
    <x v="10"/>
  </r>
  <r>
    <s v="TRX-103791"/>
    <x v="91"/>
    <x v="3"/>
    <x v="4"/>
    <x v="0"/>
    <n v="119"/>
    <n v="80.72"/>
    <x v="2"/>
    <n v="44"/>
    <n v="-38.28"/>
    <x v="11"/>
  </r>
  <r>
    <s v="TRX-103792"/>
    <x v="887"/>
    <x v="2"/>
    <x v="0"/>
    <x v="1"/>
    <n v="211"/>
    <n v="403.02"/>
    <x v="1"/>
    <n v="8"/>
    <n v="192.01999999999899"/>
    <x v="11"/>
  </r>
  <r>
    <s v="TRX-103793"/>
    <x v="512"/>
    <x v="3"/>
    <x v="5"/>
    <x v="0"/>
    <n v="127"/>
    <n v="112.7"/>
    <x v="3"/>
    <n v="44"/>
    <n v="-14.299999999999899"/>
    <x v="5"/>
  </r>
  <r>
    <s v="TRX-103794"/>
    <x v="727"/>
    <x v="0"/>
    <x v="3"/>
    <x v="2"/>
    <n v="229"/>
    <n v="333.89"/>
    <x v="1"/>
    <n v="8"/>
    <n v="104.88999999999901"/>
    <x v="5"/>
  </r>
  <r>
    <s v="TRX-103795"/>
    <x v="957"/>
    <x v="4"/>
    <x v="3"/>
    <x v="0"/>
    <n v="210"/>
    <n v="185.54"/>
    <x v="4"/>
    <n v="38"/>
    <n v="-24.46"/>
    <x v="6"/>
  </r>
  <r>
    <s v="TRX-103796"/>
    <x v="597"/>
    <x v="1"/>
    <x v="1"/>
    <x v="1"/>
    <n v="189"/>
    <n v="568.11"/>
    <x v="3"/>
    <n v="8"/>
    <n v="379.11"/>
    <x v="9"/>
  </r>
  <r>
    <s v="TRX-103797"/>
    <x v="65"/>
    <x v="3"/>
    <x v="5"/>
    <x v="0"/>
    <n v="119"/>
    <n v="102.34"/>
    <x v="0"/>
    <n v="9"/>
    <n v="-16.659999999999901"/>
    <x v="7"/>
  </r>
  <r>
    <s v="TRX-103798"/>
    <x v="565"/>
    <x v="0"/>
    <x v="8"/>
    <x v="1"/>
    <n v="226"/>
    <n v="362.5"/>
    <x v="1"/>
    <n v="8"/>
    <n v="136.5"/>
    <x v="2"/>
  </r>
  <r>
    <s v="TRX-103799"/>
    <x v="904"/>
    <x v="0"/>
    <x v="2"/>
    <x v="2"/>
    <n v="230"/>
    <n v="256.62"/>
    <x v="1"/>
    <n v="12"/>
    <n v="26.62"/>
    <x v="10"/>
  </r>
  <r>
    <s v="TRX-103800"/>
    <x v="59"/>
    <x v="4"/>
    <x v="3"/>
    <x v="2"/>
    <n v="201"/>
    <n v="204.15"/>
    <x v="0"/>
    <n v="3"/>
    <n v="3.15"/>
    <x v="9"/>
  </r>
  <r>
    <s v="TRX-103801"/>
    <x v="484"/>
    <x v="1"/>
    <x v="7"/>
    <x v="0"/>
    <n v="183"/>
    <n v="94.26"/>
    <x v="2"/>
    <n v="49"/>
    <n v="-88.74"/>
    <x v="4"/>
  </r>
  <r>
    <s v="TRX-103802"/>
    <x v="178"/>
    <x v="3"/>
    <x v="5"/>
    <x v="1"/>
    <n v="131"/>
    <n v="165.02"/>
    <x v="3"/>
    <n v="18"/>
    <n v="34.020000000000003"/>
    <x v="10"/>
  </r>
  <r>
    <s v="TRX-103803"/>
    <x v="478"/>
    <x v="0"/>
    <x v="1"/>
    <x v="2"/>
    <n v="227"/>
    <n v="259.29000000000002"/>
    <x v="3"/>
    <n v="44"/>
    <n v="32.29"/>
    <x v="11"/>
  </r>
  <r>
    <s v="TRX-103804"/>
    <x v="560"/>
    <x v="2"/>
    <x v="6"/>
    <x v="0"/>
    <n v="222"/>
    <n v="153.71"/>
    <x v="4"/>
    <n v="28"/>
    <n v="-68.289999999999907"/>
    <x v="3"/>
  </r>
  <r>
    <s v="TRX-103805"/>
    <x v="267"/>
    <x v="0"/>
    <x v="4"/>
    <x v="1"/>
    <n v="225"/>
    <n v="394.07"/>
    <x v="3"/>
    <n v="56"/>
    <n v="169.07"/>
    <x v="2"/>
  </r>
  <r>
    <s v="TRX-103806"/>
    <x v="129"/>
    <x v="2"/>
    <x v="2"/>
    <x v="2"/>
    <n v="210"/>
    <n v="306.26"/>
    <x v="2"/>
    <n v="36"/>
    <n v="96.259999999999906"/>
    <x v="4"/>
  </r>
  <r>
    <s v="TRX-103807"/>
    <x v="601"/>
    <x v="4"/>
    <x v="1"/>
    <x v="0"/>
    <n v="203"/>
    <n v="127.35"/>
    <x v="4"/>
    <n v="21"/>
    <n v="-75.650000000000006"/>
    <x v="6"/>
  </r>
  <r>
    <s v="TRX-103808"/>
    <x v="532"/>
    <x v="2"/>
    <x v="6"/>
    <x v="0"/>
    <n v="210"/>
    <n v="143.19999999999999"/>
    <x v="4"/>
    <n v="55"/>
    <n v="-66.8"/>
    <x v="8"/>
  </r>
  <r>
    <s v="TRX-103809"/>
    <x v="312"/>
    <x v="4"/>
    <x v="8"/>
    <x v="0"/>
    <n v="207"/>
    <n v="173.43"/>
    <x v="3"/>
    <n v="47"/>
    <n v="-33.569999999999901"/>
    <x v="11"/>
  </r>
  <r>
    <s v="TRX-103810"/>
    <x v="205"/>
    <x v="4"/>
    <x v="0"/>
    <x v="2"/>
    <n v="201"/>
    <n v="297.52"/>
    <x v="2"/>
    <n v="60"/>
    <n v="96.519999999999897"/>
    <x v="1"/>
  </r>
  <r>
    <s v="TRX-103811"/>
    <x v="81"/>
    <x v="3"/>
    <x v="5"/>
    <x v="1"/>
    <n v="140"/>
    <n v="444.94"/>
    <x v="0"/>
    <n v="11"/>
    <n v="304.94"/>
    <x v="10"/>
  </r>
  <r>
    <s v="TRX-103812"/>
    <x v="45"/>
    <x v="3"/>
    <x v="8"/>
    <x v="2"/>
    <n v="115"/>
    <n v="139.61000000000001"/>
    <x v="3"/>
    <n v="28"/>
    <n v="24.61"/>
    <x v="6"/>
  </r>
  <r>
    <s v="TRX-103813"/>
    <x v="882"/>
    <x v="3"/>
    <x v="4"/>
    <x v="2"/>
    <n v="115"/>
    <n v="159.47999999999999"/>
    <x v="4"/>
    <n v="50"/>
    <n v="44.479999999999897"/>
    <x v="1"/>
  </r>
  <r>
    <s v="TRX-103814"/>
    <x v="277"/>
    <x v="0"/>
    <x v="7"/>
    <x v="2"/>
    <n v="226"/>
    <n v="307.13"/>
    <x v="3"/>
    <n v="45"/>
    <n v="81.13"/>
    <x v="9"/>
  </r>
  <r>
    <s v="TRX-103815"/>
    <x v="107"/>
    <x v="1"/>
    <x v="2"/>
    <x v="1"/>
    <n v="189"/>
    <n v="459.56"/>
    <x v="4"/>
    <n v="32"/>
    <n v="270.56"/>
    <x v="6"/>
  </r>
  <r>
    <s v="TRX-103816"/>
    <x v="374"/>
    <x v="4"/>
    <x v="0"/>
    <x v="0"/>
    <n v="202"/>
    <n v="119.19"/>
    <x v="3"/>
    <n v="37"/>
    <n v="-82.81"/>
    <x v="0"/>
  </r>
  <r>
    <s v="TRX-103817"/>
    <x v="266"/>
    <x v="3"/>
    <x v="1"/>
    <x v="1"/>
    <n v="124"/>
    <n v="354.39"/>
    <x v="4"/>
    <n v="54"/>
    <n v="230.39"/>
    <x v="0"/>
  </r>
  <r>
    <s v="TRX-103818"/>
    <x v="203"/>
    <x v="4"/>
    <x v="5"/>
    <x v="0"/>
    <n v="204"/>
    <n v="158.79"/>
    <x v="1"/>
    <n v="7"/>
    <n v="-45.21"/>
    <x v="0"/>
  </r>
  <r>
    <s v="TRX-103819"/>
    <x v="440"/>
    <x v="0"/>
    <x v="6"/>
    <x v="2"/>
    <n v="229"/>
    <n v="301.14999999999998"/>
    <x v="1"/>
    <n v="3"/>
    <n v="72.149999999999906"/>
    <x v="3"/>
  </r>
  <r>
    <s v="TRX-103820"/>
    <x v="539"/>
    <x v="2"/>
    <x v="3"/>
    <x v="1"/>
    <n v="211"/>
    <n v="323.55"/>
    <x v="1"/>
    <n v="14"/>
    <n v="112.55"/>
    <x v="9"/>
  </r>
  <r>
    <s v="TRX-103821"/>
    <x v="215"/>
    <x v="3"/>
    <x v="4"/>
    <x v="2"/>
    <n v="125"/>
    <n v="176.39"/>
    <x v="2"/>
    <n v="20"/>
    <n v="51.389999999999901"/>
    <x v="7"/>
  </r>
  <r>
    <s v="TRX-103822"/>
    <x v="929"/>
    <x v="3"/>
    <x v="7"/>
    <x v="0"/>
    <n v="130"/>
    <n v="74.28"/>
    <x v="0"/>
    <n v="10"/>
    <n v="-55.72"/>
    <x v="0"/>
  </r>
  <r>
    <s v="TRX-103823"/>
    <x v="98"/>
    <x v="3"/>
    <x v="8"/>
    <x v="0"/>
    <n v="125"/>
    <n v="98.2"/>
    <x v="4"/>
    <n v="59"/>
    <n v="-26.799999999999901"/>
    <x v="2"/>
  </r>
  <r>
    <s v="TRX-103824"/>
    <x v="306"/>
    <x v="3"/>
    <x v="5"/>
    <x v="1"/>
    <n v="132"/>
    <n v="397.96"/>
    <x v="3"/>
    <n v="11"/>
    <n v="265.95999999999998"/>
    <x v="7"/>
  </r>
  <r>
    <s v="TRX-103825"/>
    <x v="571"/>
    <x v="2"/>
    <x v="1"/>
    <x v="1"/>
    <n v="213"/>
    <n v="287.55"/>
    <x v="4"/>
    <n v="55"/>
    <n v="74.55"/>
    <x v="0"/>
  </r>
  <r>
    <s v="TRX-103826"/>
    <x v="499"/>
    <x v="1"/>
    <x v="5"/>
    <x v="2"/>
    <n v="187"/>
    <n v="221.78"/>
    <x v="0"/>
    <n v="14"/>
    <n v="34.78"/>
    <x v="9"/>
  </r>
  <r>
    <s v="TRX-103827"/>
    <x v="301"/>
    <x v="4"/>
    <x v="2"/>
    <x v="1"/>
    <n v="208"/>
    <n v="249.79"/>
    <x v="0"/>
    <n v="6"/>
    <n v="41.7899999999999"/>
    <x v="6"/>
  </r>
  <r>
    <s v="TRX-103828"/>
    <x v="668"/>
    <x v="1"/>
    <x v="1"/>
    <x v="1"/>
    <n v="182"/>
    <n v="462.68"/>
    <x v="1"/>
    <n v="9"/>
    <n v="280.68"/>
    <x v="2"/>
  </r>
  <r>
    <s v="TRX-103829"/>
    <x v="299"/>
    <x v="2"/>
    <x v="8"/>
    <x v="0"/>
    <n v="221"/>
    <n v="148.71"/>
    <x v="1"/>
    <n v="11"/>
    <n v="-72.289999999999907"/>
    <x v="0"/>
  </r>
  <r>
    <s v="TRX-103830"/>
    <x v="443"/>
    <x v="0"/>
    <x v="3"/>
    <x v="2"/>
    <n v="230"/>
    <n v="229.77"/>
    <x v="3"/>
    <n v="51"/>
    <n v="-0.22999999999998899"/>
    <x v="11"/>
  </r>
  <r>
    <s v="TRX-103831"/>
    <x v="248"/>
    <x v="4"/>
    <x v="1"/>
    <x v="0"/>
    <n v="208"/>
    <n v="153.06"/>
    <x v="1"/>
    <n v="12"/>
    <n v="-54.94"/>
    <x v="2"/>
  </r>
  <r>
    <s v="TRX-103832"/>
    <x v="113"/>
    <x v="4"/>
    <x v="8"/>
    <x v="2"/>
    <n v="209"/>
    <n v="245.58"/>
    <x v="2"/>
    <n v="10"/>
    <n v="36.58"/>
    <x v="10"/>
  </r>
  <r>
    <s v="TRX-103833"/>
    <x v="541"/>
    <x v="1"/>
    <x v="6"/>
    <x v="2"/>
    <n v="170"/>
    <n v="239.66"/>
    <x v="1"/>
    <n v="12"/>
    <n v="69.66"/>
    <x v="10"/>
  </r>
  <r>
    <s v="TRX-103834"/>
    <x v="768"/>
    <x v="4"/>
    <x v="8"/>
    <x v="2"/>
    <n v="207"/>
    <n v="245.73"/>
    <x v="3"/>
    <n v="10"/>
    <n v="38.729999999999897"/>
    <x v="4"/>
  </r>
  <r>
    <s v="TRX-103835"/>
    <x v="190"/>
    <x v="2"/>
    <x v="7"/>
    <x v="1"/>
    <n v="211"/>
    <n v="329.25"/>
    <x v="2"/>
    <n v="56"/>
    <n v="118.25"/>
    <x v="3"/>
  </r>
  <r>
    <s v="TRX-103836"/>
    <x v="931"/>
    <x v="3"/>
    <x v="8"/>
    <x v="2"/>
    <n v="126"/>
    <n v="121.55"/>
    <x v="1"/>
    <n v="2"/>
    <n v="-4.45"/>
    <x v="11"/>
  </r>
  <r>
    <s v="TRX-103837"/>
    <x v="662"/>
    <x v="2"/>
    <x v="0"/>
    <x v="1"/>
    <n v="211"/>
    <n v="595.57000000000005"/>
    <x v="3"/>
    <n v="52"/>
    <n v="384.57"/>
    <x v="7"/>
  </r>
  <r>
    <s v="TRX-103838"/>
    <x v="982"/>
    <x v="0"/>
    <x v="4"/>
    <x v="0"/>
    <n v="230"/>
    <n v="179.86"/>
    <x v="1"/>
    <n v="12"/>
    <n v="-50.139999999999901"/>
    <x v="6"/>
  </r>
  <r>
    <s v="TRX-103839"/>
    <x v="450"/>
    <x v="0"/>
    <x v="2"/>
    <x v="2"/>
    <n v="226"/>
    <n v="293.86"/>
    <x v="2"/>
    <n v="5"/>
    <n v="67.86"/>
    <x v="8"/>
  </r>
  <r>
    <s v="TRX-103840"/>
    <x v="216"/>
    <x v="4"/>
    <x v="1"/>
    <x v="1"/>
    <n v="207"/>
    <n v="719.2"/>
    <x v="2"/>
    <n v="29"/>
    <n v="512.20000000000005"/>
    <x v="8"/>
  </r>
  <r>
    <s v="TRX-103841"/>
    <x v="792"/>
    <x v="1"/>
    <x v="8"/>
    <x v="2"/>
    <n v="179"/>
    <n v="168.74"/>
    <x v="4"/>
    <n v="45"/>
    <n v="-10.2599999999999"/>
    <x v="8"/>
  </r>
  <r>
    <s v="TRX-103842"/>
    <x v="745"/>
    <x v="0"/>
    <x v="2"/>
    <x v="2"/>
    <n v="226"/>
    <n v="294"/>
    <x v="2"/>
    <n v="29"/>
    <n v="68"/>
    <x v="11"/>
  </r>
  <r>
    <s v="TRX-103843"/>
    <x v="366"/>
    <x v="0"/>
    <x v="2"/>
    <x v="2"/>
    <n v="230"/>
    <n v="317.95"/>
    <x v="3"/>
    <n v="10"/>
    <n v="87.949999999999903"/>
    <x v="6"/>
  </r>
  <r>
    <s v="TRX-103844"/>
    <x v="61"/>
    <x v="1"/>
    <x v="2"/>
    <x v="2"/>
    <n v="173"/>
    <n v="208.31"/>
    <x v="4"/>
    <n v="19"/>
    <n v="35.31"/>
    <x v="6"/>
  </r>
  <r>
    <s v="TRX-103845"/>
    <x v="631"/>
    <x v="0"/>
    <x v="6"/>
    <x v="2"/>
    <n v="225"/>
    <n v="277.11"/>
    <x v="1"/>
    <n v="13"/>
    <n v="52.11"/>
    <x v="6"/>
  </r>
  <r>
    <s v="TRX-103846"/>
    <x v="545"/>
    <x v="1"/>
    <x v="4"/>
    <x v="0"/>
    <n v="177"/>
    <n v="139.54"/>
    <x v="2"/>
    <n v="30"/>
    <n v="-37.46"/>
    <x v="3"/>
  </r>
  <r>
    <s v="TRX-103847"/>
    <x v="325"/>
    <x v="1"/>
    <x v="8"/>
    <x v="0"/>
    <n v="188"/>
    <n v="116.41"/>
    <x v="0"/>
    <n v="11"/>
    <n v="-71.59"/>
    <x v="3"/>
  </r>
  <r>
    <s v="TRX-103848"/>
    <x v="821"/>
    <x v="2"/>
    <x v="4"/>
    <x v="0"/>
    <n v="218"/>
    <n v="129.02000000000001"/>
    <x v="3"/>
    <n v="47"/>
    <n v="-88.979999999999905"/>
    <x v="1"/>
  </r>
  <r>
    <s v="TRX-103849"/>
    <x v="278"/>
    <x v="4"/>
    <x v="6"/>
    <x v="0"/>
    <n v="209"/>
    <n v="176.17"/>
    <x v="4"/>
    <n v="55"/>
    <n v="-32.83"/>
    <x v="4"/>
  </r>
  <r>
    <s v="TRX-103850"/>
    <x v="820"/>
    <x v="4"/>
    <x v="6"/>
    <x v="2"/>
    <n v="204"/>
    <n v="242.88"/>
    <x v="1"/>
    <n v="1"/>
    <n v="38.879999999999903"/>
    <x v="7"/>
  </r>
  <r>
    <s v="TRX-103851"/>
    <x v="466"/>
    <x v="0"/>
    <x v="7"/>
    <x v="1"/>
    <n v="228"/>
    <n v="769.51"/>
    <x v="2"/>
    <n v="13"/>
    <n v="541.51"/>
    <x v="5"/>
  </r>
  <r>
    <s v="TRX-103852"/>
    <x v="647"/>
    <x v="3"/>
    <x v="7"/>
    <x v="1"/>
    <n v="126"/>
    <n v="170.68"/>
    <x v="3"/>
    <n v="40"/>
    <n v="44.68"/>
    <x v="4"/>
  </r>
  <r>
    <s v="TRX-103853"/>
    <x v="872"/>
    <x v="2"/>
    <x v="1"/>
    <x v="2"/>
    <n v="221"/>
    <n v="224.1"/>
    <x v="1"/>
    <n v="13"/>
    <n v="3.0999999999999899"/>
    <x v="6"/>
  </r>
  <r>
    <s v="TRX-103854"/>
    <x v="743"/>
    <x v="4"/>
    <x v="5"/>
    <x v="0"/>
    <n v="200"/>
    <n v="110.78"/>
    <x v="1"/>
    <n v="13"/>
    <n v="-89.22"/>
    <x v="1"/>
  </r>
  <r>
    <s v="TRX-103855"/>
    <x v="400"/>
    <x v="3"/>
    <x v="7"/>
    <x v="0"/>
    <n v="114"/>
    <n v="74.760000000000005"/>
    <x v="1"/>
    <n v="4"/>
    <n v="-39.239999999999903"/>
    <x v="3"/>
  </r>
  <r>
    <s v="TRX-103856"/>
    <x v="720"/>
    <x v="4"/>
    <x v="4"/>
    <x v="2"/>
    <n v="207"/>
    <n v="194.71"/>
    <x v="1"/>
    <n v="10"/>
    <n v="-12.2899999999999"/>
    <x v="9"/>
  </r>
  <r>
    <s v="TRX-103857"/>
    <x v="812"/>
    <x v="3"/>
    <x v="1"/>
    <x v="2"/>
    <n v="127"/>
    <n v="131.82"/>
    <x v="4"/>
    <n v="10"/>
    <n v="4.8199999999999896"/>
    <x v="5"/>
  </r>
  <r>
    <s v="TRX-103858"/>
    <x v="338"/>
    <x v="4"/>
    <x v="8"/>
    <x v="2"/>
    <n v="204"/>
    <n v="216.86"/>
    <x v="4"/>
    <n v="35"/>
    <n v="12.86"/>
    <x v="3"/>
  </r>
  <r>
    <s v="TRX-103859"/>
    <x v="250"/>
    <x v="0"/>
    <x v="6"/>
    <x v="0"/>
    <n v="229"/>
    <n v="190.14"/>
    <x v="2"/>
    <n v="33"/>
    <n v="-38.86"/>
    <x v="7"/>
  </r>
  <r>
    <s v="TRX-103860"/>
    <x v="835"/>
    <x v="0"/>
    <x v="5"/>
    <x v="0"/>
    <n v="230"/>
    <n v="178.85"/>
    <x v="0"/>
    <n v="14"/>
    <n v="-51.15"/>
    <x v="11"/>
  </r>
  <r>
    <s v="TRX-103861"/>
    <x v="327"/>
    <x v="2"/>
    <x v="5"/>
    <x v="1"/>
    <n v="215"/>
    <n v="280.08"/>
    <x v="4"/>
    <n v="45"/>
    <n v="65.079999999999899"/>
    <x v="3"/>
  </r>
  <r>
    <s v="TRX-103862"/>
    <x v="162"/>
    <x v="2"/>
    <x v="7"/>
    <x v="2"/>
    <n v="224"/>
    <n v="306.27999999999997"/>
    <x v="0"/>
    <n v="14"/>
    <n v="82.279999999999902"/>
    <x v="6"/>
  </r>
  <r>
    <s v="TRX-103863"/>
    <x v="915"/>
    <x v="2"/>
    <x v="3"/>
    <x v="2"/>
    <n v="210"/>
    <n v="209.62"/>
    <x v="1"/>
    <n v="3"/>
    <n v="-0.37999999999999501"/>
    <x v="2"/>
  </r>
  <r>
    <s v="TRX-103864"/>
    <x v="360"/>
    <x v="0"/>
    <x v="1"/>
    <x v="2"/>
    <n v="226"/>
    <n v="313.25"/>
    <x v="2"/>
    <n v="49"/>
    <n v="87.25"/>
    <x v="1"/>
  </r>
  <r>
    <s v="TRX-103865"/>
    <x v="119"/>
    <x v="2"/>
    <x v="1"/>
    <x v="1"/>
    <n v="223"/>
    <n v="447.97"/>
    <x v="4"/>
    <n v="28"/>
    <n v="224.97"/>
    <x v="6"/>
  </r>
  <r>
    <s v="TRX-103866"/>
    <x v="107"/>
    <x v="1"/>
    <x v="5"/>
    <x v="1"/>
    <n v="180"/>
    <n v="480.63"/>
    <x v="3"/>
    <n v="25"/>
    <n v="300.63"/>
    <x v="6"/>
  </r>
  <r>
    <s v="TRX-103867"/>
    <x v="599"/>
    <x v="1"/>
    <x v="3"/>
    <x v="2"/>
    <n v="171"/>
    <n v="203.83"/>
    <x v="4"/>
    <n v="32"/>
    <n v="32.83"/>
    <x v="7"/>
  </r>
  <r>
    <s v="TRX-103868"/>
    <x v="486"/>
    <x v="1"/>
    <x v="6"/>
    <x v="0"/>
    <n v="175"/>
    <n v="132.19"/>
    <x v="3"/>
    <n v="46"/>
    <n v="-42.81"/>
    <x v="11"/>
  </r>
  <r>
    <s v="TRX-103869"/>
    <x v="358"/>
    <x v="0"/>
    <x v="6"/>
    <x v="2"/>
    <n v="228"/>
    <n v="317.83"/>
    <x v="4"/>
    <n v="5"/>
    <n v="89.829999999999899"/>
    <x v="0"/>
  </r>
  <r>
    <s v="TRX-103870"/>
    <x v="578"/>
    <x v="4"/>
    <x v="6"/>
    <x v="1"/>
    <n v="209"/>
    <n v="592.27"/>
    <x v="1"/>
    <n v="2"/>
    <n v="383.27"/>
    <x v="8"/>
  </r>
  <r>
    <s v="TRX-103871"/>
    <x v="259"/>
    <x v="2"/>
    <x v="7"/>
    <x v="2"/>
    <n v="220"/>
    <n v="245.61"/>
    <x v="0"/>
    <n v="13"/>
    <n v="25.61"/>
    <x v="2"/>
  </r>
  <r>
    <s v="TRX-103872"/>
    <x v="535"/>
    <x v="1"/>
    <x v="3"/>
    <x v="0"/>
    <n v="184"/>
    <n v="96.17"/>
    <x v="2"/>
    <n v="53"/>
    <n v="-87.83"/>
    <x v="7"/>
  </r>
  <r>
    <s v="TRX-103873"/>
    <x v="403"/>
    <x v="3"/>
    <x v="1"/>
    <x v="1"/>
    <n v="129"/>
    <n v="334.75"/>
    <x v="3"/>
    <n v="57"/>
    <n v="205.75"/>
    <x v="11"/>
  </r>
  <r>
    <s v="TRX-103874"/>
    <x v="869"/>
    <x v="1"/>
    <x v="4"/>
    <x v="1"/>
    <n v="189"/>
    <n v="451.01"/>
    <x v="3"/>
    <n v="25"/>
    <n v="262.01"/>
    <x v="1"/>
  </r>
  <r>
    <s v="TRX-103875"/>
    <x v="888"/>
    <x v="3"/>
    <x v="5"/>
    <x v="2"/>
    <n v="136"/>
    <n v="150.56"/>
    <x v="0"/>
    <n v="1"/>
    <n v="14.56"/>
    <x v="5"/>
  </r>
  <r>
    <s v="TRX-103876"/>
    <x v="444"/>
    <x v="0"/>
    <x v="8"/>
    <x v="0"/>
    <n v="226"/>
    <n v="150.68"/>
    <x v="4"/>
    <n v="59"/>
    <n v="-75.319999999999993"/>
    <x v="2"/>
  </r>
  <r>
    <s v="TRX-103877"/>
    <x v="863"/>
    <x v="0"/>
    <x v="2"/>
    <x v="1"/>
    <n v="228"/>
    <n v="696.13"/>
    <x v="4"/>
    <n v="22"/>
    <n v="468.13"/>
    <x v="3"/>
  </r>
  <r>
    <s v="TRX-103878"/>
    <x v="583"/>
    <x v="3"/>
    <x v="5"/>
    <x v="2"/>
    <n v="138"/>
    <n v="141.21"/>
    <x v="2"/>
    <n v="29"/>
    <n v="3.21"/>
    <x v="8"/>
  </r>
  <r>
    <s v="TRX-103879"/>
    <x v="878"/>
    <x v="1"/>
    <x v="3"/>
    <x v="1"/>
    <n v="179"/>
    <n v="281.45999999999998"/>
    <x v="1"/>
    <n v="7"/>
    <n v="102.459999999999"/>
    <x v="10"/>
  </r>
  <r>
    <s v="TRX-103880"/>
    <x v="337"/>
    <x v="4"/>
    <x v="8"/>
    <x v="1"/>
    <n v="203"/>
    <n v="522.52"/>
    <x v="1"/>
    <n v="14"/>
    <n v="319.52"/>
    <x v="2"/>
  </r>
  <r>
    <s v="TRX-103881"/>
    <x v="872"/>
    <x v="4"/>
    <x v="0"/>
    <x v="0"/>
    <n v="205"/>
    <n v="127.42"/>
    <x v="4"/>
    <n v="57"/>
    <n v="-77.58"/>
    <x v="6"/>
  </r>
  <r>
    <s v="TRX-103882"/>
    <x v="86"/>
    <x v="0"/>
    <x v="3"/>
    <x v="0"/>
    <n v="227"/>
    <n v="204"/>
    <x v="4"/>
    <n v="31"/>
    <n v="-23"/>
    <x v="6"/>
  </r>
  <r>
    <s v="TRX-103883"/>
    <x v="421"/>
    <x v="1"/>
    <x v="7"/>
    <x v="1"/>
    <n v="176"/>
    <n v="526.58000000000004"/>
    <x v="4"/>
    <n v="45"/>
    <n v="350.58"/>
    <x v="10"/>
  </r>
  <r>
    <s v="TRX-103884"/>
    <x v="810"/>
    <x v="2"/>
    <x v="7"/>
    <x v="2"/>
    <n v="211"/>
    <n v="286"/>
    <x v="0"/>
    <n v="11"/>
    <n v="75"/>
    <x v="6"/>
  </r>
  <r>
    <s v="TRX-103885"/>
    <x v="642"/>
    <x v="3"/>
    <x v="8"/>
    <x v="2"/>
    <n v="115"/>
    <n v="169.64"/>
    <x v="0"/>
    <n v="10"/>
    <n v="54.639999999999901"/>
    <x v="11"/>
  </r>
  <r>
    <s v="TRX-103886"/>
    <x v="486"/>
    <x v="1"/>
    <x v="7"/>
    <x v="2"/>
    <n v="170"/>
    <n v="246.25"/>
    <x v="3"/>
    <n v="50"/>
    <n v="76.25"/>
    <x v="11"/>
  </r>
  <r>
    <s v="TRX-103887"/>
    <x v="883"/>
    <x v="3"/>
    <x v="5"/>
    <x v="2"/>
    <n v="111"/>
    <n v="129.99"/>
    <x v="0"/>
    <n v="2"/>
    <n v="18.989999999999998"/>
    <x v="9"/>
  </r>
  <r>
    <s v="TRX-103888"/>
    <x v="113"/>
    <x v="1"/>
    <x v="1"/>
    <x v="1"/>
    <n v="180"/>
    <n v="525.87"/>
    <x v="4"/>
    <n v="48"/>
    <n v="345.87"/>
    <x v="10"/>
  </r>
  <r>
    <s v="TRX-103889"/>
    <x v="833"/>
    <x v="2"/>
    <x v="4"/>
    <x v="1"/>
    <n v="225"/>
    <n v="429.8"/>
    <x v="1"/>
    <n v="13"/>
    <n v="204.8"/>
    <x v="1"/>
  </r>
  <r>
    <s v="TRX-103890"/>
    <x v="369"/>
    <x v="3"/>
    <x v="7"/>
    <x v="2"/>
    <n v="125"/>
    <n v="152.5"/>
    <x v="3"/>
    <n v="34"/>
    <n v="27.5"/>
    <x v="2"/>
  </r>
  <r>
    <s v="TRX-103891"/>
    <x v="384"/>
    <x v="4"/>
    <x v="8"/>
    <x v="0"/>
    <n v="210"/>
    <n v="160.84"/>
    <x v="4"/>
    <n v="52"/>
    <n v="-49.16"/>
    <x v="4"/>
  </r>
  <r>
    <s v="TRX-103892"/>
    <x v="616"/>
    <x v="3"/>
    <x v="5"/>
    <x v="0"/>
    <n v="137"/>
    <n v="117.39"/>
    <x v="3"/>
    <n v="29"/>
    <n v="-19.61"/>
    <x v="10"/>
  </r>
  <r>
    <s v="TRX-103893"/>
    <x v="539"/>
    <x v="3"/>
    <x v="3"/>
    <x v="1"/>
    <n v="133"/>
    <n v="166.23"/>
    <x v="2"/>
    <n v="26"/>
    <n v="33.229999999999897"/>
    <x v="9"/>
  </r>
  <r>
    <s v="TRX-103894"/>
    <x v="264"/>
    <x v="3"/>
    <x v="8"/>
    <x v="0"/>
    <n v="122"/>
    <n v="63.71"/>
    <x v="0"/>
    <n v="5"/>
    <n v="-58.29"/>
    <x v="6"/>
  </r>
  <r>
    <s v="TRX-103895"/>
    <x v="934"/>
    <x v="4"/>
    <x v="8"/>
    <x v="2"/>
    <n v="207"/>
    <n v="220.21"/>
    <x v="2"/>
    <n v="30"/>
    <n v="13.21"/>
    <x v="0"/>
  </r>
  <r>
    <s v="TRX-103896"/>
    <x v="412"/>
    <x v="0"/>
    <x v="5"/>
    <x v="2"/>
    <n v="227"/>
    <n v="234.67"/>
    <x v="1"/>
    <n v="14"/>
    <n v="7.6699999999999804"/>
    <x v="6"/>
  </r>
  <r>
    <s v="TRX-103897"/>
    <x v="451"/>
    <x v="3"/>
    <x v="8"/>
    <x v="1"/>
    <n v="128"/>
    <n v="222.39"/>
    <x v="1"/>
    <n v="2"/>
    <n v="94.389999999999901"/>
    <x v="6"/>
  </r>
  <r>
    <s v="TRX-103898"/>
    <x v="555"/>
    <x v="3"/>
    <x v="4"/>
    <x v="1"/>
    <n v="126"/>
    <n v="367.72"/>
    <x v="1"/>
    <n v="9"/>
    <n v="241.72"/>
    <x v="2"/>
  </r>
  <r>
    <s v="TRX-103899"/>
    <x v="864"/>
    <x v="2"/>
    <x v="0"/>
    <x v="2"/>
    <n v="217"/>
    <n v="282.08999999999997"/>
    <x v="4"/>
    <n v="20"/>
    <n v="65.089999999999904"/>
    <x v="11"/>
  </r>
  <r>
    <s v="TRX-103900"/>
    <x v="908"/>
    <x v="4"/>
    <x v="5"/>
    <x v="1"/>
    <n v="201"/>
    <n v="531.6"/>
    <x v="2"/>
    <n v="13"/>
    <n v="330.6"/>
    <x v="5"/>
  </r>
  <r>
    <s v="TRX-103901"/>
    <x v="893"/>
    <x v="3"/>
    <x v="5"/>
    <x v="1"/>
    <n v="110"/>
    <n v="133.75"/>
    <x v="4"/>
    <n v="29"/>
    <n v="23.75"/>
    <x v="4"/>
  </r>
  <r>
    <s v="TRX-103902"/>
    <x v="885"/>
    <x v="3"/>
    <x v="8"/>
    <x v="2"/>
    <n v="110"/>
    <n v="112.42"/>
    <x v="2"/>
    <n v="9"/>
    <n v="2.42"/>
    <x v="7"/>
  </r>
  <r>
    <s v="TRX-103903"/>
    <x v="114"/>
    <x v="3"/>
    <x v="1"/>
    <x v="1"/>
    <n v="135"/>
    <n v="412.64"/>
    <x v="0"/>
    <n v="5"/>
    <n v="277.64"/>
    <x v="7"/>
  </r>
  <r>
    <s v="TRX-103904"/>
    <x v="82"/>
    <x v="1"/>
    <x v="5"/>
    <x v="1"/>
    <n v="176"/>
    <n v="227.75"/>
    <x v="2"/>
    <n v="20"/>
    <n v="51.75"/>
    <x v="5"/>
  </r>
  <r>
    <s v="TRX-103905"/>
    <x v="167"/>
    <x v="4"/>
    <x v="2"/>
    <x v="0"/>
    <n v="208"/>
    <n v="155.78"/>
    <x v="3"/>
    <n v="23"/>
    <n v="-52.22"/>
    <x v="1"/>
  </r>
  <r>
    <s v="TRX-103906"/>
    <x v="578"/>
    <x v="0"/>
    <x v="3"/>
    <x v="2"/>
    <n v="230"/>
    <n v="249.18"/>
    <x v="0"/>
    <n v="7"/>
    <n v="19.18"/>
    <x v="8"/>
  </r>
  <r>
    <s v="TRX-103907"/>
    <x v="439"/>
    <x v="0"/>
    <x v="4"/>
    <x v="2"/>
    <n v="227"/>
    <n v="268.74"/>
    <x v="0"/>
    <n v="10"/>
    <n v="41.74"/>
    <x v="11"/>
  </r>
  <r>
    <s v="TRX-103908"/>
    <x v="204"/>
    <x v="3"/>
    <x v="2"/>
    <x v="1"/>
    <n v="140"/>
    <n v="296.10000000000002"/>
    <x v="0"/>
    <n v="2"/>
    <n v="156.1"/>
    <x v="4"/>
  </r>
  <r>
    <s v="TRX-103909"/>
    <x v="410"/>
    <x v="0"/>
    <x v="4"/>
    <x v="0"/>
    <n v="229"/>
    <n v="190.97"/>
    <x v="4"/>
    <n v="27"/>
    <n v="-38.03"/>
    <x v="2"/>
  </r>
  <r>
    <s v="TRX-103910"/>
    <x v="140"/>
    <x v="1"/>
    <x v="2"/>
    <x v="1"/>
    <n v="176"/>
    <n v="372.21"/>
    <x v="2"/>
    <n v="10"/>
    <n v="196.20999999999901"/>
    <x v="2"/>
  </r>
  <r>
    <s v="TRX-103911"/>
    <x v="130"/>
    <x v="2"/>
    <x v="3"/>
    <x v="1"/>
    <n v="214"/>
    <n v="676.14"/>
    <x v="2"/>
    <n v="11"/>
    <n v="462.14"/>
    <x v="2"/>
  </r>
  <r>
    <s v="TRX-103912"/>
    <x v="301"/>
    <x v="1"/>
    <x v="6"/>
    <x v="0"/>
    <n v="190"/>
    <n v="160.19999999999999"/>
    <x v="4"/>
    <n v="58"/>
    <n v="-29.8"/>
    <x v="6"/>
  </r>
  <r>
    <s v="TRX-103913"/>
    <x v="437"/>
    <x v="0"/>
    <x v="1"/>
    <x v="1"/>
    <n v="230"/>
    <n v="469.03"/>
    <x v="3"/>
    <n v="26"/>
    <n v="239.02999999999901"/>
    <x v="6"/>
  </r>
  <r>
    <s v="TRX-103914"/>
    <x v="690"/>
    <x v="2"/>
    <x v="4"/>
    <x v="1"/>
    <n v="224"/>
    <n v="360.81"/>
    <x v="4"/>
    <n v="59"/>
    <n v="136.81"/>
    <x v="7"/>
  </r>
  <r>
    <s v="TRX-103915"/>
    <x v="427"/>
    <x v="1"/>
    <x v="1"/>
    <x v="1"/>
    <n v="186"/>
    <n v="431.45"/>
    <x v="0"/>
    <n v="1"/>
    <n v="245.45"/>
    <x v="4"/>
  </r>
  <r>
    <s v="TRX-103916"/>
    <x v="192"/>
    <x v="0"/>
    <x v="0"/>
    <x v="0"/>
    <n v="229"/>
    <n v="196.37"/>
    <x v="0"/>
    <n v="11"/>
    <n v="-32.629999999999903"/>
    <x v="3"/>
  </r>
  <r>
    <s v="TRX-103917"/>
    <x v="516"/>
    <x v="2"/>
    <x v="2"/>
    <x v="0"/>
    <n v="220"/>
    <n v="166.48"/>
    <x v="0"/>
    <n v="12"/>
    <n v="-53.52"/>
    <x v="5"/>
  </r>
  <r>
    <s v="TRX-103918"/>
    <x v="478"/>
    <x v="1"/>
    <x v="0"/>
    <x v="2"/>
    <n v="173"/>
    <n v="189.05"/>
    <x v="3"/>
    <n v="45"/>
    <n v="16.05"/>
    <x v="11"/>
  </r>
  <r>
    <s v="TRX-103919"/>
    <x v="892"/>
    <x v="2"/>
    <x v="8"/>
    <x v="1"/>
    <n v="222"/>
    <n v="517.55999999999995"/>
    <x v="4"/>
    <n v="44"/>
    <n v="295.55999999999898"/>
    <x v="4"/>
  </r>
  <r>
    <s v="TRX-103920"/>
    <x v="953"/>
    <x v="2"/>
    <x v="8"/>
    <x v="2"/>
    <n v="217"/>
    <n v="314.8"/>
    <x v="2"/>
    <n v="33"/>
    <n v="97.8"/>
    <x v="8"/>
  </r>
  <r>
    <s v="TRX-103921"/>
    <x v="790"/>
    <x v="4"/>
    <x v="8"/>
    <x v="2"/>
    <n v="201"/>
    <n v="276.69"/>
    <x v="1"/>
    <n v="3"/>
    <n v="75.69"/>
    <x v="4"/>
  </r>
  <r>
    <s v="TRX-103922"/>
    <x v="57"/>
    <x v="3"/>
    <x v="5"/>
    <x v="0"/>
    <n v="129"/>
    <n v="82.09"/>
    <x v="0"/>
    <n v="1"/>
    <n v="-46.91"/>
    <x v="0"/>
  </r>
  <r>
    <s v="TRX-103923"/>
    <x v="848"/>
    <x v="2"/>
    <x v="5"/>
    <x v="0"/>
    <n v="214"/>
    <n v="158.74"/>
    <x v="4"/>
    <n v="56"/>
    <n v="-55.259999999999899"/>
    <x v="1"/>
  </r>
  <r>
    <s v="TRX-103924"/>
    <x v="331"/>
    <x v="4"/>
    <x v="6"/>
    <x v="2"/>
    <n v="208"/>
    <n v="199.04"/>
    <x v="1"/>
    <n v="2"/>
    <n v="-8.9600000000000009"/>
    <x v="6"/>
  </r>
  <r>
    <s v="TRX-103925"/>
    <x v="697"/>
    <x v="2"/>
    <x v="8"/>
    <x v="2"/>
    <n v="223"/>
    <n v="316.02999999999997"/>
    <x v="1"/>
    <n v="11"/>
    <n v="93.029999999999902"/>
    <x v="1"/>
  </r>
  <r>
    <s v="TRX-103926"/>
    <x v="173"/>
    <x v="1"/>
    <x v="3"/>
    <x v="1"/>
    <n v="189"/>
    <n v="355.07"/>
    <x v="1"/>
    <n v="13"/>
    <n v="166.07"/>
    <x v="6"/>
  </r>
  <r>
    <s v="TRX-103927"/>
    <x v="678"/>
    <x v="4"/>
    <x v="2"/>
    <x v="0"/>
    <n v="206"/>
    <n v="177.19"/>
    <x v="1"/>
    <n v="2"/>
    <n v="-28.81"/>
    <x v="2"/>
  </r>
  <r>
    <s v="TRX-103928"/>
    <x v="742"/>
    <x v="3"/>
    <x v="8"/>
    <x v="1"/>
    <n v="135"/>
    <n v="340.03"/>
    <x v="3"/>
    <n v="49"/>
    <n v="205.02999999999901"/>
    <x v="1"/>
  </r>
  <r>
    <s v="TRX-103929"/>
    <x v="640"/>
    <x v="2"/>
    <x v="5"/>
    <x v="2"/>
    <n v="225"/>
    <n v="273.77999999999997"/>
    <x v="2"/>
    <n v="40"/>
    <n v="48.779999999999902"/>
    <x v="10"/>
  </r>
  <r>
    <s v="TRX-103930"/>
    <x v="762"/>
    <x v="4"/>
    <x v="3"/>
    <x v="1"/>
    <n v="208"/>
    <n v="493.37"/>
    <x v="1"/>
    <n v="12"/>
    <n v="285.37"/>
    <x v="4"/>
  </r>
  <r>
    <s v="TRX-103931"/>
    <x v="413"/>
    <x v="3"/>
    <x v="2"/>
    <x v="0"/>
    <n v="119"/>
    <n v="105.18"/>
    <x v="3"/>
    <n v="34"/>
    <n v="-13.819999999999901"/>
    <x v="0"/>
  </r>
  <r>
    <s v="TRX-103932"/>
    <x v="965"/>
    <x v="1"/>
    <x v="7"/>
    <x v="1"/>
    <n v="175"/>
    <n v="577.41999999999996"/>
    <x v="2"/>
    <n v="50"/>
    <n v="402.41999999999899"/>
    <x v="1"/>
  </r>
  <r>
    <s v="TRX-103933"/>
    <x v="295"/>
    <x v="4"/>
    <x v="3"/>
    <x v="1"/>
    <n v="207"/>
    <n v="592.39"/>
    <x v="2"/>
    <n v="52"/>
    <n v="385.39"/>
    <x v="5"/>
  </r>
  <r>
    <s v="TRX-103934"/>
    <x v="68"/>
    <x v="1"/>
    <x v="8"/>
    <x v="0"/>
    <n v="190"/>
    <n v="148.36000000000001"/>
    <x v="3"/>
    <n v="29"/>
    <n v="-41.639999999999901"/>
    <x v="4"/>
  </r>
  <r>
    <s v="TRX-103935"/>
    <x v="487"/>
    <x v="3"/>
    <x v="4"/>
    <x v="2"/>
    <n v="138"/>
    <n v="147.72999999999999"/>
    <x v="3"/>
    <n v="54"/>
    <n v="9.7299999999999898"/>
    <x v="5"/>
  </r>
  <r>
    <s v="TRX-103936"/>
    <x v="700"/>
    <x v="4"/>
    <x v="3"/>
    <x v="0"/>
    <n v="209"/>
    <n v="164.4"/>
    <x v="1"/>
    <n v="5"/>
    <n v="-44.599999999999902"/>
    <x v="10"/>
  </r>
  <r>
    <s v="TRX-103937"/>
    <x v="11"/>
    <x v="2"/>
    <x v="5"/>
    <x v="0"/>
    <n v="225"/>
    <n v="179.4"/>
    <x v="3"/>
    <n v="58"/>
    <n v="-45.599999999999902"/>
    <x v="6"/>
  </r>
  <r>
    <s v="TRX-103938"/>
    <x v="189"/>
    <x v="3"/>
    <x v="6"/>
    <x v="2"/>
    <n v="136"/>
    <n v="198.75"/>
    <x v="0"/>
    <n v="9"/>
    <n v="62.75"/>
    <x v="0"/>
  </r>
  <r>
    <s v="TRX-103939"/>
    <x v="602"/>
    <x v="2"/>
    <x v="7"/>
    <x v="1"/>
    <n v="214"/>
    <n v="335.01"/>
    <x v="3"/>
    <n v="17"/>
    <n v="121.009999999999"/>
    <x v="7"/>
  </r>
  <r>
    <s v="TRX-103940"/>
    <x v="935"/>
    <x v="4"/>
    <x v="3"/>
    <x v="2"/>
    <n v="203"/>
    <n v="301.77999999999997"/>
    <x v="0"/>
    <n v="5"/>
    <n v="98.779999999999902"/>
    <x v="3"/>
  </r>
  <r>
    <s v="TRX-103941"/>
    <x v="731"/>
    <x v="1"/>
    <x v="3"/>
    <x v="0"/>
    <n v="171"/>
    <n v="151.21"/>
    <x v="4"/>
    <n v="11"/>
    <n v="-19.7899999999999"/>
    <x v="7"/>
  </r>
  <r>
    <s v="TRX-103942"/>
    <x v="368"/>
    <x v="1"/>
    <x v="7"/>
    <x v="0"/>
    <n v="189"/>
    <n v="96.17"/>
    <x v="3"/>
    <n v="20"/>
    <n v="-92.83"/>
    <x v="5"/>
  </r>
  <r>
    <s v="TRX-103943"/>
    <x v="28"/>
    <x v="4"/>
    <x v="2"/>
    <x v="2"/>
    <n v="202"/>
    <n v="217.37"/>
    <x v="0"/>
    <n v="4"/>
    <n v="15.37"/>
    <x v="4"/>
  </r>
  <r>
    <s v="TRX-103944"/>
    <x v="847"/>
    <x v="4"/>
    <x v="4"/>
    <x v="2"/>
    <n v="208"/>
    <n v="229.58"/>
    <x v="3"/>
    <n v="18"/>
    <n v="21.58"/>
    <x v="3"/>
  </r>
  <r>
    <s v="TRX-103945"/>
    <x v="965"/>
    <x v="3"/>
    <x v="1"/>
    <x v="0"/>
    <n v="118"/>
    <n v="102.5"/>
    <x v="4"/>
    <n v="50"/>
    <n v="-15.5"/>
    <x v="1"/>
  </r>
  <r>
    <s v="TRX-103946"/>
    <x v="635"/>
    <x v="4"/>
    <x v="5"/>
    <x v="2"/>
    <n v="200"/>
    <n v="298.18"/>
    <x v="1"/>
    <n v="12"/>
    <n v="98.18"/>
    <x v="6"/>
  </r>
  <r>
    <s v="TRX-103947"/>
    <x v="934"/>
    <x v="2"/>
    <x v="8"/>
    <x v="0"/>
    <n v="220"/>
    <n v="196.51"/>
    <x v="1"/>
    <n v="7"/>
    <n v="-23.49"/>
    <x v="0"/>
  </r>
  <r>
    <s v="TRX-103948"/>
    <x v="324"/>
    <x v="3"/>
    <x v="6"/>
    <x v="2"/>
    <n v="123"/>
    <n v="133.06"/>
    <x v="2"/>
    <n v="50"/>
    <n v="10.06"/>
    <x v="8"/>
  </r>
  <r>
    <s v="TRX-103949"/>
    <x v="108"/>
    <x v="3"/>
    <x v="6"/>
    <x v="2"/>
    <n v="137"/>
    <n v="124.7"/>
    <x v="1"/>
    <n v="1"/>
    <n v="-12.299999999999899"/>
    <x v="10"/>
  </r>
  <r>
    <s v="TRX-103950"/>
    <x v="156"/>
    <x v="2"/>
    <x v="0"/>
    <x v="2"/>
    <n v="211"/>
    <n v="232.66"/>
    <x v="0"/>
    <n v="7"/>
    <n v="21.659999999999901"/>
    <x v="10"/>
  </r>
  <r>
    <s v="TRX-103951"/>
    <x v="853"/>
    <x v="1"/>
    <x v="4"/>
    <x v="1"/>
    <n v="173"/>
    <n v="326.57"/>
    <x v="2"/>
    <n v="33"/>
    <n v="153.57"/>
    <x v="0"/>
  </r>
  <r>
    <s v="TRX-103952"/>
    <x v="269"/>
    <x v="4"/>
    <x v="2"/>
    <x v="2"/>
    <n v="210"/>
    <n v="198"/>
    <x v="0"/>
    <n v="8"/>
    <n v="-12"/>
    <x v="6"/>
  </r>
  <r>
    <s v="TRX-103953"/>
    <x v="851"/>
    <x v="3"/>
    <x v="6"/>
    <x v="1"/>
    <n v="110"/>
    <n v="280.27"/>
    <x v="1"/>
    <n v="2"/>
    <n v="170.26999999999899"/>
    <x v="10"/>
  </r>
  <r>
    <s v="TRX-103954"/>
    <x v="204"/>
    <x v="3"/>
    <x v="6"/>
    <x v="0"/>
    <n v="133"/>
    <n v="75.33"/>
    <x v="2"/>
    <n v="21"/>
    <n v="-57.67"/>
    <x v="4"/>
  </r>
  <r>
    <s v="TRX-103955"/>
    <x v="198"/>
    <x v="3"/>
    <x v="2"/>
    <x v="0"/>
    <n v="123"/>
    <n v="87.56"/>
    <x v="0"/>
    <n v="6"/>
    <n v="-35.44"/>
    <x v="11"/>
  </r>
  <r>
    <s v="TRX-103956"/>
    <x v="349"/>
    <x v="1"/>
    <x v="3"/>
    <x v="2"/>
    <n v="180"/>
    <n v="169.3"/>
    <x v="1"/>
    <n v="4"/>
    <n v="-10.6999999999999"/>
    <x v="5"/>
  </r>
  <r>
    <s v="TRX-103957"/>
    <x v="209"/>
    <x v="1"/>
    <x v="6"/>
    <x v="1"/>
    <n v="183"/>
    <n v="604.05999999999995"/>
    <x v="0"/>
    <n v="9"/>
    <n v="421.05999999999898"/>
    <x v="3"/>
  </r>
  <r>
    <s v="TRX-103958"/>
    <x v="284"/>
    <x v="0"/>
    <x v="1"/>
    <x v="1"/>
    <n v="228"/>
    <n v="287.62"/>
    <x v="2"/>
    <n v="13"/>
    <n v="59.62"/>
    <x v="7"/>
  </r>
  <r>
    <s v="TRX-103959"/>
    <x v="298"/>
    <x v="4"/>
    <x v="5"/>
    <x v="2"/>
    <n v="204"/>
    <n v="282.94"/>
    <x v="4"/>
    <n v="47"/>
    <n v="78.94"/>
    <x v="6"/>
  </r>
  <r>
    <s v="TRX-103960"/>
    <x v="722"/>
    <x v="2"/>
    <x v="4"/>
    <x v="2"/>
    <n v="220"/>
    <n v="296.77999999999997"/>
    <x v="0"/>
    <n v="12"/>
    <n v="76.779999999999902"/>
    <x v="0"/>
  </r>
  <r>
    <s v="TRX-103961"/>
    <x v="681"/>
    <x v="4"/>
    <x v="3"/>
    <x v="2"/>
    <n v="207"/>
    <n v="186.92"/>
    <x v="3"/>
    <n v="48"/>
    <n v="-20.079999999999998"/>
    <x v="0"/>
  </r>
  <r>
    <s v="TRX-103962"/>
    <x v="331"/>
    <x v="4"/>
    <x v="7"/>
    <x v="2"/>
    <n v="200"/>
    <n v="263.54000000000002"/>
    <x v="3"/>
    <n v="58"/>
    <n v="63.54"/>
    <x v="6"/>
  </r>
  <r>
    <s v="TRX-103963"/>
    <x v="777"/>
    <x v="2"/>
    <x v="2"/>
    <x v="0"/>
    <n v="215"/>
    <n v="130.35"/>
    <x v="0"/>
    <n v="13"/>
    <n v="-84.65"/>
    <x v="2"/>
  </r>
  <r>
    <s v="TRX-103964"/>
    <x v="172"/>
    <x v="2"/>
    <x v="5"/>
    <x v="1"/>
    <n v="213"/>
    <n v="586.62"/>
    <x v="0"/>
    <n v="10"/>
    <n v="373.62"/>
    <x v="0"/>
  </r>
  <r>
    <s v="TRX-103965"/>
    <x v="50"/>
    <x v="4"/>
    <x v="2"/>
    <x v="2"/>
    <n v="207"/>
    <n v="198.02"/>
    <x v="4"/>
    <n v="56"/>
    <n v="-8.9799999999999898"/>
    <x v="0"/>
  </r>
  <r>
    <s v="TRX-103966"/>
    <x v="143"/>
    <x v="4"/>
    <x v="2"/>
    <x v="1"/>
    <n v="201"/>
    <n v="339.72"/>
    <x v="4"/>
    <n v="58"/>
    <n v="138.72"/>
    <x v="7"/>
  </r>
  <r>
    <s v="TRX-103967"/>
    <x v="502"/>
    <x v="1"/>
    <x v="2"/>
    <x v="1"/>
    <n v="172"/>
    <n v="437.71"/>
    <x v="3"/>
    <n v="33"/>
    <n v="265.70999999999998"/>
    <x v="0"/>
  </r>
  <r>
    <s v="TRX-103968"/>
    <x v="669"/>
    <x v="4"/>
    <x v="3"/>
    <x v="2"/>
    <n v="201"/>
    <n v="245.65"/>
    <x v="1"/>
    <n v="11"/>
    <n v="44.65"/>
    <x v="8"/>
  </r>
  <r>
    <s v="TRX-103969"/>
    <x v="231"/>
    <x v="1"/>
    <x v="7"/>
    <x v="2"/>
    <n v="170"/>
    <n v="167.68"/>
    <x v="2"/>
    <n v="34"/>
    <n v="-2.3199999999999901"/>
    <x v="8"/>
  </r>
  <r>
    <s v="TRX-103970"/>
    <x v="659"/>
    <x v="0"/>
    <x v="1"/>
    <x v="1"/>
    <n v="230"/>
    <n v="675.44"/>
    <x v="4"/>
    <n v="45"/>
    <n v="445.44"/>
    <x v="3"/>
  </r>
  <r>
    <s v="TRX-103971"/>
    <x v="795"/>
    <x v="2"/>
    <x v="1"/>
    <x v="2"/>
    <n v="215"/>
    <n v="266.58"/>
    <x v="3"/>
    <n v="21"/>
    <n v="51.579999999999899"/>
    <x v="10"/>
  </r>
  <r>
    <s v="TRX-103972"/>
    <x v="677"/>
    <x v="4"/>
    <x v="1"/>
    <x v="2"/>
    <n v="208"/>
    <n v="251.18"/>
    <x v="4"/>
    <n v="44"/>
    <n v="43.18"/>
    <x v="1"/>
  </r>
  <r>
    <s v="TRX-103973"/>
    <x v="714"/>
    <x v="2"/>
    <x v="7"/>
    <x v="2"/>
    <n v="213"/>
    <n v="289.77999999999997"/>
    <x v="1"/>
    <n v="5"/>
    <n v="76.779999999999902"/>
    <x v="10"/>
  </r>
  <r>
    <s v="TRX-103974"/>
    <x v="114"/>
    <x v="3"/>
    <x v="6"/>
    <x v="2"/>
    <n v="117"/>
    <n v="115.11"/>
    <x v="3"/>
    <n v="47"/>
    <n v="-1.89"/>
    <x v="7"/>
  </r>
  <r>
    <s v="TRX-103975"/>
    <x v="536"/>
    <x v="0"/>
    <x v="3"/>
    <x v="2"/>
    <n v="230"/>
    <n v="229.47"/>
    <x v="1"/>
    <n v="13"/>
    <n v="-0.53000000000000103"/>
    <x v="4"/>
  </r>
  <r>
    <s v="TRX-103976"/>
    <x v="187"/>
    <x v="4"/>
    <x v="8"/>
    <x v="1"/>
    <n v="206"/>
    <n v="649.75"/>
    <x v="3"/>
    <n v="33"/>
    <n v="443.75"/>
    <x v="2"/>
  </r>
  <r>
    <s v="TRX-103977"/>
    <x v="178"/>
    <x v="3"/>
    <x v="7"/>
    <x v="0"/>
    <n v="121"/>
    <n v="91.72"/>
    <x v="2"/>
    <n v="16"/>
    <n v="-29.28"/>
    <x v="10"/>
  </r>
  <r>
    <s v="TRX-103978"/>
    <x v="559"/>
    <x v="4"/>
    <x v="4"/>
    <x v="0"/>
    <n v="205"/>
    <n v="138.01"/>
    <x v="0"/>
    <n v="7"/>
    <n v="-66.989999999999995"/>
    <x v="8"/>
  </r>
  <r>
    <s v="TRX-103979"/>
    <x v="474"/>
    <x v="3"/>
    <x v="1"/>
    <x v="2"/>
    <n v="116"/>
    <n v="149.4"/>
    <x v="0"/>
    <n v="9"/>
    <n v="33.4"/>
    <x v="5"/>
  </r>
  <r>
    <s v="TRX-103980"/>
    <x v="242"/>
    <x v="3"/>
    <x v="5"/>
    <x v="2"/>
    <n v="119"/>
    <n v="149.06"/>
    <x v="3"/>
    <n v="33"/>
    <n v="30.06"/>
    <x v="9"/>
  </r>
  <r>
    <s v="TRX-103981"/>
    <x v="723"/>
    <x v="0"/>
    <x v="6"/>
    <x v="2"/>
    <n v="225"/>
    <n v="238.84"/>
    <x v="1"/>
    <n v="8"/>
    <n v="13.84"/>
    <x v="8"/>
  </r>
  <r>
    <s v="TRX-103982"/>
    <x v="507"/>
    <x v="3"/>
    <x v="3"/>
    <x v="0"/>
    <n v="126"/>
    <n v="66.55"/>
    <x v="4"/>
    <n v="35"/>
    <n v="-59.45"/>
    <x v="4"/>
  </r>
  <r>
    <s v="TRX-103983"/>
    <x v="896"/>
    <x v="1"/>
    <x v="1"/>
    <x v="1"/>
    <n v="183"/>
    <n v="369.94"/>
    <x v="3"/>
    <n v="50"/>
    <n v="186.94"/>
    <x v="8"/>
  </r>
  <r>
    <s v="TRX-103984"/>
    <x v="914"/>
    <x v="1"/>
    <x v="3"/>
    <x v="2"/>
    <n v="183"/>
    <n v="212.29"/>
    <x v="3"/>
    <n v="49"/>
    <n v="29.2899999999999"/>
    <x v="8"/>
  </r>
  <r>
    <s v="TRX-103985"/>
    <x v="647"/>
    <x v="2"/>
    <x v="8"/>
    <x v="2"/>
    <n v="213"/>
    <n v="265.35000000000002"/>
    <x v="2"/>
    <n v="37"/>
    <n v="52.35"/>
    <x v="4"/>
  </r>
  <r>
    <s v="TRX-103986"/>
    <x v="414"/>
    <x v="0"/>
    <x v="0"/>
    <x v="1"/>
    <n v="229"/>
    <n v="622.39"/>
    <x v="3"/>
    <n v="30"/>
    <n v="393.39"/>
    <x v="11"/>
  </r>
  <r>
    <s v="TRX-103987"/>
    <x v="644"/>
    <x v="2"/>
    <x v="0"/>
    <x v="0"/>
    <n v="217"/>
    <n v="150.08000000000001"/>
    <x v="1"/>
    <n v="1"/>
    <n v="-66.919999999999902"/>
    <x v="4"/>
  </r>
  <r>
    <s v="TRX-103988"/>
    <x v="128"/>
    <x v="4"/>
    <x v="6"/>
    <x v="1"/>
    <n v="206"/>
    <n v="429.51"/>
    <x v="3"/>
    <n v="58"/>
    <n v="223.51"/>
    <x v="5"/>
  </r>
  <r>
    <s v="TRX-103989"/>
    <x v="355"/>
    <x v="0"/>
    <x v="4"/>
    <x v="2"/>
    <n v="226"/>
    <n v="222.13"/>
    <x v="0"/>
    <n v="12"/>
    <n v="-3.87"/>
    <x v="11"/>
  </r>
  <r>
    <s v="TRX-103990"/>
    <x v="420"/>
    <x v="3"/>
    <x v="7"/>
    <x v="0"/>
    <n v="136"/>
    <n v="74.36"/>
    <x v="1"/>
    <n v="2"/>
    <n v="-61.64"/>
    <x v="1"/>
  </r>
  <r>
    <s v="TRX-103991"/>
    <x v="564"/>
    <x v="2"/>
    <x v="6"/>
    <x v="0"/>
    <n v="221"/>
    <n v="147.04"/>
    <x v="4"/>
    <n v="9"/>
    <n v="-73.959999999999994"/>
    <x v="11"/>
  </r>
  <r>
    <s v="TRX-103992"/>
    <x v="442"/>
    <x v="3"/>
    <x v="7"/>
    <x v="1"/>
    <n v="119"/>
    <n v="162.34"/>
    <x v="3"/>
    <n v="35"/>
    <n v="43.34"/>
    <x v="7"/>
  </r>
  <r>
    <s v="TRX-103993"/>
    <x v="529"/>
    <x v="3"/>
    <x v="8"/>
    <x v="0"/>
    <n v="128"/>
    <n v="88.06"/>
    <x v="0"/>
    <n v="8"/>
    <n v="-39.94"/>
    <x v="0"/>
  </r>
  <r>
    <s v="TRX-103994"/>
    <x v="340"/>
    <x v="1"/>
    <x v="2"/>
    <x v="2"/>
    <n v="173"/>
    <n v="183.74"/>
    <x v="0"/>
    <n v="10"/>
    <n v="10.74"/>
    <x v="11"/>
  </r>
  <r>
    <s v="TRX-103995"/>
    <x v="594"/>
    <x v="3"/>
    <x v="2"/>
    <x v="2"/>
    <n v="131"/>
    <n v="171.87"/>
    <x v="3"/>
    <n v="14"/>
    <n v="40.869999999999997"/>
    <x v="1"/>
  </r>
  <r>
    <s v="TRX-103996"/>
    <x v="209"/>
    <x v="2"/>
    <x v="3"/>
    <x v="1"/>
    <n v="215"/>
    <n v="667.55"/>
    <x v="1"/>
    <n v="13"/>
    <n v="452.54999999999899"/>
    <x v="3"/>
  </r>
  <r>
    <s v="TRX-103997"/>
    <x v="80"/>
    <x v="4"/>
    <x v="7"/>
    <x v="1"/>
    <n v="207"/>
    <n v="512.91"/>
    <x v="3"/>
    <n v="23"/>
    <n v="305.909999999999"/>
    <x v="8"/>
  </r>
  <r>
    <s v="TRX-103998"/>
    <x v="909"/>
    <x v="1"/>
    <x v="5"/>
    <x v="0"/>
    <n v="183"/>
    <n v="151.58000000000001"/>
    <x v="3"/>
    <n v="29"/>
    <n v="-31.419999999999899"/>
    <x v="8"/>
  </r>
  <r>
    <s v="TRX-103999"/>
    <x v="214"/>
    <x v="1"/>
    <x v="8"/>
    <x v="0"/>
    <n v="173"/>
    <n v="150.96"/>
    <x v="1"/>
    <n v="12"/>
    <n v="-22.0399999999999"/>
    <x v="1"/>
  </r>
  <r>
    <s v="TRX-104000"/>
    <x v="489"/>
    <x v="4"/>
    <x v="2"/>
    <x v="0"/>
    <n v="205"/>
    <n v="116.68"/>
    <x v="1"/>
    <n v="4"/>
    <n v="-88.32"/>
    <x v="4"/>
  </r>
  <r>
    <s v="TRX-104001"/>
    <x v="852"/>
    <x v="4"/>
    <x v="8"/>
    <x v="0"/>
    <n v="204"/>
    <n v="169.08"/>
    <x v="1"/>
    <n v="12"/>
    <n v="-34.919999999999902"/>
    <x v="1"/>
  </r>
  <r>
    <s v="TRX-104002"/>
    <x v="422"/>
    <x v="4"/>
    <x v="1"/>
    <x v="1"/>
    <n v="204"/>
    <n v="265.94"/>
    <x v="0"/>
    <n v="4"/>
    <n v="61.94"/>
    <x v="7"/>
  </r>
  <r>
    <s v="TRX-104003"/>
    <x v="423"/>
    <x v="3"/>
    <x v="7"/>
    <x v="1"/>
    <n v="121"/>
    <n v="153.63"/>
    <x v="1"/>
    <n v="2"/>
    <n v="32.629999999999903"/>
    <x v="10"/>
  </r>
  <r>
    <s v="TRX-104004"/>
    <x v="116"/>
    <x v="3"/>
    <x v="4"/>
    <x v="1"/>
    <n v="133"/>
    <n v="212.12"/>
    <x v="0"/>
    <n v="12"/>
    <n v="79.12"/>
    <x v="8"/>
  </r>
  <r>
    <s v="TRX-104005"/>
    <x v="844"/>
    <x v="1"/>
    <x v="8"/>
    <x v="1"/>
    <n v="170"/>
    <n v="426.81"/>
    <x v="0"/>
    <n v="2"/>
    <n v="256.81"/>
    <x v="3"/>
  </r>
  <r>
    <s v="TRX-104006"/>
    <x v="665"/>
    <x v="4"/>
    <x v="8"/>
    <x v="1"/>
    <n v="207"/>
    <n v="690.72"/>
    <x v="4"/>
    <n v="11"/>
    <n v="483.72"/>
    <x v="6"/>
  </r>
  <r>
    <s v="TRX-104007"/>
    <x v="983"/>
    <x v="3"/>
    <x v="8"/>
    <x v="1"/>
    <n v="135"/>
    <n v="350.9"/>
    <x v="0"/>
    <n v="13"/>
    <n v="215.89999999999901"/>
    <x v="9"/>
  </r>
  <r>
    <s v="TRX-104008"/>
    <x v="642"/>
    <x v="0"/>
    <x v="0"/>
    <x v="0"/>
    <n v="225"/>
    <n v="196.75"/>
    <x v="1"/>
    <n v="13"/>
    <n v="-28.25"/>
    <x v="11"/>
  </r>
  <r>
    <s v="TRX-104009"/>
    <x v="920"/>
    <x v="0"/>
    <x v="3"/>
    <x v="0"/>
    <n v="226"/>
    <n v="175.38"/>
    <x v="0"/>
    <n v="1"/>
    <n v="-50.62"/>
    <x v="4"/>
  </r>
  <r>
    <s v="TRX-104010"/>
    <x v="57"/>
    <x v="4"/>
    <x v="2"/>
    <x v="0"/>
    <n v="203"/>
    <n v="113.84"/>
    <x v="3"/>
    <n v="8"/>
    <n v="-89.16"/>
    <x v="0"/>
  </r>
  <r>
    <s v="TRX-104011"/>
    <x v="786"/>
    <x v="4"/>
    <x v="6"/>
    <x v="2"/>
    <n v="200"/>
    <n v="283.83"/>
    <x v="2"/>
    <n v="39"/>
    <n v="83.829999999999899"/>
    <x v="5"/>
  </r>
  <r>
    <s v="TRX-104012"/>
    <x v="14"/>
    <x v="2"/>
    <x v="7"/>
    <x v="0"/>
    <n v="210"/>
    <n v="155.35"/>
    <x v="1"/>
    <n v="8"/>
    <n v="-54.65"/>
    <x v="4"/>
  </r>
  <r>
    <s v="TRX-104013"/>
    <x v="316"/>
    <x v="3"/>
    <x v="0"/>
    <x v="2"/>
    <n v="113"/>
    <n v="105.02"/>
    <x v="0"/>
    <n v="2"/>
    <n v="-7.98"/>
    <x v="8"/>
  </r>
  <r>
    <s v="TRX-104014"/>
    <x v="355"/>
    <x v="2"/>
    <x v="3"/>
    <x v="0"/>
    <n v="218"/>
    <n v="156.08000000000001"/>
    <x v="3"/>
    <n v="39"/>
    <n v="-61.919999999999902"/>
    <x v="11"/>
  </r>
  <r>
    <s v="TRX-104015"/>
    <x v="872"/>
    <x v="4"/>
    <x v="4"/>
    <x v="2"/>
    <n v="207"/>
    <n v="253.39"/>
    <x v="3"/>
    <n v="38"/>
    <n v="46.389999999999901"/>
    <x v="6"/>
  </r>
  <r>
    <s v="TRX-104016"/>
    <x v="578"/>
    <x v="0"/>
    <x v="3"/>
    <x v="1"/>
    <n v="229"/>
    <n v="440.54"/>
    <x v="4"/>
    <n v="31"/>
    <n v="211.54"/>
    <x v="8"/>
  </r>
  <r>
    <s v="TRX-104017"/>
    <x v="431"/>
    <x v="4"/>
    <x v="4"/>
    <x v="1"/>
    <n v="210"/>
    <n v="579.9"/>
    <x v="3"/>
    <n v="32"/>
    <n v="369.9"/>
    <x v="5"/>
  </r>
  <r>
    <s v="TRX-104018"/>
    <x v="171"/>
    <x v="3"/>
    <x v="2"/>
    <x v="0"/>
    <n v="132"/>
    <n v="88.91"/>
    <x v="4"/>
    <n v="53"/>
    <n v="-43.09"/>
    <x v="11"/>
  </r>
  <r>
    <s v="TRX-104019"/>
    <x v="419"/>
    <x v="1"/>
    <x v="7"/>
    <x v="2"/>
    <n v="190"/>
    <n v="206.95"/>
    <x v="2"/>
    <n v="43"/>
    <n v="16.9499999999999"/>
    <x v="2"/>
  </r>
  <r>
    <s v="TRX-104020"/>
    <x v="573"/>
    <x v="4"/>
    <x v="8"/>
    <x v="0"/>
    <n v="204"/>
    <n v="154.16"/>
    <x v="4"/>
    <n v="47"/>
    <n v="-49.84"/>
    <x v="2"/>
  </r>
  <r>
    <s v="TRX-104021"/>
    <x v="799"/>
    <x v="3"/>
    <x v="6"/>
    <x v="1"/>
    <n v="111"/>
    <n v="151.57"/>
    <x v="1"/>
    <n v="2"/>
    <n v="40.569999999999901"/>
    <x v="8"/>
  </r>
  <r>
    <s v="TRX-104022"/>
    <x v="360"/>
    <x v="4"/>
    <x v="6"/>
    <x v="1"/>
    <n v="210"/>
    <n v="330.03"/>
    <x v="0"/>
    <n v="10"/>
    <n v="120.02999999999901"/>
    <x v="1"/>
  </r>
  <r>
    <s v="TRX-104023"/>
    <x v="842"/>
    <x v="4"/>
    <x v="8"/>
    <x v="2"/>
    <n v="210"/>
    <n v="191.53"/>
    <x v="3"/>
    <n v="36"/>
    <n v="-18.47"/>
    <x v="11"/>
  </r>
  <r>
    <s v="TRX-104024"/>
    <x v="662"/>
    <x v="2"/>
    <x v="6"/>
    <x v="1"/>
    <n v="218"/>
    <n v="655.73"/>
    <x v="1"/>
    <n v="8"/>
    <n v="437.73"/>
    <x v="7"/>
  </r>
  <r>
    <s v="TRX-104025"/>
    <x v="284"/>
    <x v="0"/>
    <x v="3"/>
    <x v="1"/>
    <n v="227"/>
    <n v="522.32000000000005"/>
    <x v="3"/>
    <n v="52"/>
    <n v="295.32"/>
    <x v="7"/>
  </r>
  <r>
    <s v="TRX-104026"/>
    <x v="861"/>
    <x v="3"/>
    <x v="5"/>
    <x v="1"/>
    <n v="114"/>
    <n v="309.17"/>
    <x v="1"/>
    <n v="3"/>
    <n v="195.17"/>
    <x v="7"/>
  </r>
  <r>
    <s v="TRX-104027"/>
    <x v="877"/>
    <x v="2"/>
    <x v="1"/>
    <x v="1"/>
    <n v="217"/>
    <n v="455.54"/>
    <x v="3"/>
    <n v="55"/>
    <n v="238.54"/>
    <x v="10"/>
  </r>
  <r>
    <s v="TRX-104028"/>
    <x v="132"/>
    <x v="0"/>
    <x v="8"/>
    <x v="1"/>
    <n v="229"/>
    <n v="479.86"/>
    <x v="1"/>
    <n v="11"/>
    <n v="250.86"/>
    <x v="3"/>
  </r>
  <r>
    <s v="TRX-104029"/>
    <x v="98"/>
    <x v="4"/>
    <x v="8"/>
    <x v="0"/>
    <n v="200"/>
    <n v="149.66999999999999"/>
    <x v="2"/>
    <n v="42"/>
    <n v="-50.33"/>
    <x v="2"/>
  </r>
  <r>
    <s v="TRX-104030"/>
    <x v="90"/>
    <x v="0"/>
    <x v="1"/>
    <x v="1"/>
    <n v="228"/>
    <n v="678.46"/>
    <x v="1"/>
    <n v="8"/>
    <n v="450.46"/>
    <x v="4"/>
  </r>
  <r>
    <s v="TRX-104031"/>
    <x v="910"/>
    <x v="4"/>
    <x v="1"/>
    <x v="0"/>
    <n v="203"/>
    <n v="154.11000000000001"/>
    <x v="1"/>
    <n v="5"/>
    <n v="-48.889999999999901"/>
    <x v="4"/>
  </r>
  <r>
    <s v="TRX-104032"/>
    <x v="381"/>
    <x v="4"/>
    <x v="3"/>
    <x v="0"/>
    <n v="202"/>
    <n v="139.13999999999999"/>
    <x v="0"/>
    <n v="14"/>
    <n v="-62.86"/>
    <x v="1"/>
  </r>
  <r>
    <s v="TRX-104033"/>
    <x v="212"/>
    <x v="3"/>
    <x v="6"/>
    <x v="1"/>
    <n v="110"/>
    <n v="334.53"/>
    <x v="2"/>
    <n v="5"/>
    <n v="224.52999999999901"/>
    <x v="2"/>
  </r>
  <r>
    <s v="TRX-104034"/>
    <x v="339"/>
    <x v="1"/>
    <x v="8"/>
    <x v="0"/>
    <n v="178"/>
    <n v="101.96"/>
    <x v="0"/>
    <n v="6"/>
    <n v="-76.040000000000006"/>
    <x v="3"/>
  </r>
  <r>
    <s v="TRX-104035"/>
    <x v="977"/>
    <x v="0"/>
    <x v="5"/>
    <x v="1"/>
    <n v="225"/>
    <n v="504.61"/>
    <x v="2"/>
    <n v="12"/>
    <n v="279.61"/>
    <x v="5"/>
  </r>
  <r>
    <s v="TRX-104036"/>
    <x v="828"/>
    <x v="0"/>
    <x v="3"/>
    <x v="0"/>
    <n v="225"/>
    <n v="141.36000000000001"/>
    <x v="4"/>
    <n v="48"/>
    <n v="-83.639999999999901"/>
    <x v="4"/>
  </r>
  <r>
    <s v="TRX-104037"/>
    <x v="36"/>
    <x v="3"/>
    <x v="3"/>
    <x v="1"/>
    <n v="110"/>
    <n v="339.08"/>
    <x v="1"/>
    <n v="10"/>
    <n v="229.07999999999899"/>
    <x v="11"/>
  </r>
  <r>
    <s v="TRX-104038"/>
    <x v="98"/>
    <x v="4"/>
    <x v="3"/>
    <x v="0"/>
    <n v="209"/>
    <n v="154.04"/>
    <x v="4"/>
    <n v="11"/>
    <n v="-54.96"/>
    <x v="2"/>
  </r>
  <r>
    <s v="TRX-104039"/>
    <x v="296"/>
    <x v="1"/>
    <x v="1"/>
    <x v="2"/>
    <n v="188"/>
    <n v="201.19"/>
    <x v="4"/>
    <n v="55"/>
    <n v="13.1899999999999"/>
    <x v="8"/>
  </r>
  <r>
    <s v="TRX-104040"/>
    <x v="436"/>
    <x v="3"/>
    <x v="0"/>
    <x v="0"/>
    <n v="137"/>
    <n v="119.64"/>
    <x v="4"/>
    <n v="56"/>
    <n v="-17.36"/>
    <x v="6"/>
  </r>
  <r>
    <s v="TRX-104041"/>
    <x v="582"/>
    <x v="2"/>
    <x v="1"/>
    <x v="1"/>
    <n v="211"/>
    <n v="553.32000000000005"/>
    <x v="3"/>
    <n v="58"/>
    <n v="342.32"/>
    <x v="1"/>
  </r>
  <r>
    <s v="TRX-104042"/>
    <x v="81"/>
    <x v="1"/>
    <x v="2"/>
    <x v="0"/>
    <n v="178"/>
    <n v="117.98"/>
    <x v="1"/>
    <n v="1"/>
    <n v="-60.019999999999897"/>
    <x v="10"/>
  </r>
  <r>
    <s v="TRX-104043"/>
    <x v="800"/>
    <x v="2"/>
    <x v="7"/>
    <x v="2"/>
    <n v="218"/>
    <n v="297.74"/>
    <x v="2"/>
    <n v="47"/>
    <n v="79.739999999999995"/>
    <x v="1"/>
  </r>
  <r>
    <s v="TRX-104044"/>
    <x v="399"/>
    <x v="2"/>
    <x v="2"/>
    <x v="0"/>
    <n v="220"/>
    <n v="129.76"/>
    <x v="2"/>
    <n v="23"/>
    <n v="-90.24"/>
    <x v="4"/>
  </r>
  <r>
    <s v="TRX-104045"/>
    <x v="201"/>
    <x v="1"/>
    <x v="4"/>
    <x v="0"/>
    <n v="178"/>
    <n v="132.4"/>
    <x v="0"/>
    <n v="3"/>
    <n v="-45.599999999999902"/>
    <x v="10"/>
  </r>
  <r>
    <s v="TRX-104046"/>
    <x v="676"/>
    <x v="4"/>
    <x v="8"/>
    <x v="2"/>
    <n v="205"/>
    <n v="212.62"/>
    <x v="3"/>
    <n v="31"/>
    <n v="7.62"/>
    <x v="0"/>
  </r>
  <r>
    <s v="TRX-104047"/>
    <x v="956"/>
    <x v="1"/>
    <x v="4"/>
    <x v="0"/>
    <n v="171"/>
    <n v="144.82"/>
    <x v="3"/>
    <n v="29"/>
    <n v="-26.18"/>
    <x v="2"/>
  </r>
  <r>
    <s v="TRX-104048"/>
    <x v="34"/>
    <x v="2"/>
    <x v="3"/>
    <x v="2"/>
    <n v="225"/>
    <n v="300.77999999999997"/>
    <x v="4"/>
    <n v="47"/>
    <n v="75.779999999999902"/>
    <x v="0"/>
  </r>
  <r>
    <s v="TRX-104049"/>
    <x v="551"/>
    <x v="0"/>
    <x v="3"/>
    <x v="2"/>
    <n v="228"/>
    <n v="257.67"/>
    <x v="0"/>
    <n v="13"/>
    <n v="29.67"/>
    <x v="8"/>
  </r>
  <r>
    <s v="TRX-104050"/>
    <x v="863"/>
    <x v="1"/>
    <x v="4"/>
    <x v="0"/>
    <n v="176"/>
    <n v="122.92"/>
    <x v="1"/>
    <n v="6"/>
    <n v="-53.08"/>
    <x v="3"/>
  </r>
  <r>
    <s v="TRX-104051"/>
    <x v="664"/>
    <x v="3"/>
    <x v="6"/>
    <x v="0"/>
    <n v="131"/>
    <n v="66.47"/>
    <x v="3"/>
    <n v="20"/>
    <n v="-64.53"/>
    <x v="5"/>
  </r>
  <r>
    <s v="TRX-104052"/>
    <x v="962"/>
    <x v="3"/>
    <x v="5"/>
    <x v="1"/>
    <n v="111"/>
    <n v="314.20999999999998"/>
    <x v="1"/>
    <n v="7"/>
    <n v="203.20999999999901"/>
    <x v="7"/>
  </r>
  <r>
    <s v="TRX-104053"/>
    <x v="514"/>
    <x v="4"/>
    <x v="3"/>
    <x v="2"/>
    <n v="200"/>
    <n v="188.02"/>
    <x v="0"/>
    <n v="5"/>
    <n v="-11.979999999999899"/>
    <x v="5"/>
  </r>
  <r>
    <s v="TRX-104054"/>
    <x v="263"/>
    <x v="1"/>
    <x v="4"/>
    <x v="1"/>
    <n v="182"/>
    <n v="442.97"/>
    <x v="3"/>
    <n v="7"/>
    <n v="260.97000000000003"/>
    <x v="10"/>
  </r>
  <r>
    <s v="TRX-104055"/>
    <x v="432"/>
    <x v="2"/>
    <x v="1"/>
    <x v="0"/>
    <n v="214"/>
    <n v="145.9"/>
    <x v="2"/>
    <n v="32"/>
    <n v="-68.099999999999994"/>
    <x v="5"/>
  </r>
  <r>
    <s v="TRX-104056"/>
    <x v="224"/>
    <x v="1"/>
    <x v="6"/>
    <x v="2"/>
    <n v="189"/>
    <n v="213.08"/>
    <x v="0"/>
    <n v="13"/>
    <n v="24.08"/>
    <x v="3"/>
  </r>
  <r>
    <s v="TRX-104057"/>
    <x v="241"/>
    <x v="2"/>
    <x v="2"/>
    <x v="0"/>
    <n v="210"/>
    <n v="167.57"/>
    <x v="4"/>
    <n v="54"/>
    <n v="-42.43"/>
    <x v="2"/>
  </r>
  <r>
    <s v="TRX-104058"/>
    <x v="54"/>
    <x v="4"/>
    <x v="6"/>
    <x v="2"/>
    <n v="207"/>
    <n v="294.39"/>
    <x v="0"/>
    <n v="1"/>
    <n v="87.389999999999901"/>
    <x v="3"/>
  </r>
  <r>
    <s v="TRX-104059"/>
    <x v="465"/>
    <x v="1"/>
    <x v="6"/>
    <x v="2"/>
    <n v="178"/>
    <n v="216.39"/>
    <x v="0"/>
    <n v="5"/>
    <n v="38.389999999999901"/>
    <x v="7"/>
  </r>
  <r>
    <s v="TRX-104060"/>
    <x v="889"/>
    <x v="1"/>
    <x v="7"/>
    <x v="2"/>
    <n v="190"/>
    <n v="268.56"/>
    <x v="0"/>
    <n v="1"/>
    <n v="78.56"/>
    <x v="7"/>
  </r>
  <r>
    <s v="TRX-104061"/>
    <x v="976"/>
    <x v="2"/>
    <x v="3"/>
    <x v="2"/>
    <n v="222"/>
    <n v="234.07"/>
    <x v="0"/>
    <n v="14"/>
    <n v="12.069999999999901"/>
    <x v="10"/>
  </r>
  <r>
    <s v="TRX-104062"/>
    <x v="546"/>
    <x v="4"/>
    <x v="7"/>
    <x v="1"/>
    <n v="202"/>
    <n v="264.08999999999997"/>
    <x v="2"/>
    <n v="36"/>
    <n v="62.089999999999897"/>
    <x v="7"/>
  </r>
  <r>
    <s v="TRX-104063"/>
    <x v="749"/>
    <x v="4"/>
    <x v="5"/>
    <x v="1"/>
    <n v="205"/>
    <n v="282.95"/>
    <x v="1"/>
    <n v="5"/>
    <n v="77.949999999999903"/>
    <x v="7"/>
  </r>
  <r>
    <s v="TRX-104064"/>
    <x v="651"/>
    <x v="0"/>
    <x v="5"/>
    <x v="2"/>
    <n v="225"/>
    <n v="222.42"/>
    <x v="2"/>
    <n v="18"/>
    <n v="-2.5800000000000098"/>
    <x v="7"/>
  </r>
  <r>
    <s v="TRX-104065"/>
    <x v="984"/>
    <x v="3"/>
    <x v="4"/>
    <x v="2"/>
    <n v="118"/>
    <n v="149.19"/>
    <x v="0"/>
    <n v="1"/>
    <n v="31.189999999999898"/>
    <x v="5"/>
  </r>
  <r>
    <s v="TRX-104066"/>
    <x v="338"/>
    <x v="1"/>
    <x v="7"/>
    <x v="0"/>
    <n v="187"/>
    <n v="154.51"/>
    <x v="0"/>
    <n v="2"/>
    <n v="-32.49"/>
    <x v="3"/>
  </r>
  <r>
    <s v="TRX-104067"/>
    <x v="268"/>
    <x v="1"/>
    <x v="5"/>
    <x v="1"/>
    <n v="190"/>
    <n v="320.97000000000003"/>
    <x v="0"/>
    <n v="6"/>
    <n v="130.97"/>
    <x v="8"/>
  </r>
  <r>
    <s v="TRX-104068"/>
    <x v="72"/>
    <x v="1"/>
    <x v="4"/>
    <x v="0"/>
    <n v="172"/>
    <n v="154.68"/>
    <x v="3"/>
    <n v="6"/>
    <n v="-17.319999999999901"/>
    <x v="0"/>
  </r>
  <r>
    <s v="TRX-104069"/>
    <x v="1"/>
    <x v="3"/>
    <x v="4"/>
    <x v="1"/>
    <n v="118"/>
    <n v="265.83999999999997"/>
    <x v="2"/>
    <n v="26"/>
    <n v="147.83999999999901"/>
    <x v="0"/>
  </r>
  <r>
    <s v="TRX-104070"/>
    <x v="438"/>
    <x v="2"/>
    <x v="4"/>
    <x v="1"/>
    <n v="215"/>
    <n v="347.48"/>
    <x v="2"/>
    <n v="36"/>
    <n v="132.47999999999999"/>
    <x v="11"/>
  </r>
  <r>
    <s v="TRX-104071"/>
    <x v="573"/>
    <x v="1"/>
    <x v="8"/>
    <x v="2"/>
    <n v="175"/>
    <n v="248.59"/>
    <x v="1"/>
    <n v="7"/>
    <n v="73.59"/>
    <x v="2"/>
  </r>
  <r>
    <s v="TRX-104072"/>
    <x v="588"/>
    <x v="0"/>
    <x v="8"/>
    <x v="1"/>
    <n v="226"/>
    <n v="405.93"/>
    <x v="2"/>
    <n v="12"/>
    <n v="179.93"/>
    <x v="6"/>
  </r>
  <r>
    <s v="TRX-104073"/>
    <x v="595"/>
    <x v="2"/>
    <x v="0"/>
    <x v="2"/>
    <n v="225"/>
    <n v="326.01"/>
    <x v="3"/>
    <n v="47"/>
    <n v="101.009999999999"/>
    <x v="0"/>
  </r>
  <r>
    <s v="TRX-104074"/>
    <x v="939"/>
    <x v="1"/>
    <x v="2"/>
    <x v="2"/>
    <n v="178"/>
    <n v="237.61"/>
    <x v="0"/>
    <n v="11"/>
    <n v="59.61"/>
    <x v="10"/>
  </r>
  <r>
    <s v="TRX-104075"/>
    <x v="36"/>
    <x v="3"/>
    <x v="5"/>
    <x v="2"/>
    <n v="139"/>
    <n v="153.09"/>
    <x v="4"/>
    <n v="42"/>
    <n v="14.09"/>
    <x v="11"/>
  </r>
  <r>
    <s v="TRX-104076"/>
    <x v="739"/>
    <x v="1"/>
    <x v="3"/>
    <x v="0"/>
    <n v="189"/>
    <n v="137.5"/>
    <x v="2"/>
    <n v="22"/>
    <n v="-51.5"/>
    <x v="9"/>
  </r>
  <r>
    <s v="TRX-104077"/>
    <x v="88"/>
    <x v="0"/>
    <x v="8"/>
    <x v="0"/>
    <n v="226"/>
    <n v="180.12"/>
    <x v="1"/>
    <n v="12"/>
    <n v="-45.879999999999903"/>
    <x v="4"/>
  </r>
  <r>
    <s v="TRX-104078"/>
    <x v="327"/>
    <x v="2"/>
    <x v="1"/>
    <x v="0"/>
    <n v="222"/>
    <n v="130.63999999999999"/>
    <x v="3"/>
    <n v="8"/>
    <n v="-91.36"/>
    <x v="3"/>
  </r>
  <r>
    <s v="TRX-104079"/>
    <x v="957"/>
    <x v="2"/>
    <x v="3"/>
    <x v="1"/>
    <n v="217"/>
    <n v="318.77999999999997"/>
    <x v="0"/>
    <n v="8"/>
    <n v="101.77999999999901"/>
    <x v="6"/>
  </r>
  <r>
    <s v="TRX-104080"/>
    <x v="953"/>
    <x v="3"/>
    <x v="5"/>
    <x v="1"/>
    <n v="124"/>
    <n v="355.84"/>
    <x v="4"/>
    <n v="58"/>
    <n v="231.83999999999901"/>
    <x v="8"/>
  </r>
  <r>
    <s v="TRX-104081"/>
    <x v="521"/>
    <x v="4"/>
    <x v="8"/>
    <x v="1"/>
    <n v="206"/>
    <n v="364.65"/>
    <x v="0"/>
    <n v="1"/>
    <n v="158.64999999999901"/>
    <x v="9"/>
  </r>
  <r>
    <s v="TRX-104082"/>
    <x v="538"/>
    <x v="3"/>
    <x v="7"/>
    <x v="0"/>
    <n v="132"/>
    <n v="75.290000000000006"/>
    <x v="3"/>
    <n v="21"/>
    <n v="-56.709999999999901"/>
    <x v="1"/>
  </r>
  <r>
    <s v="TRX-104083"/>
    <x v="547"/>
    <x v="3"/>
    <x v="2"/>
    <x v="1"/>
    <n v="116"/>
    <n v="214.35"/>
    <x v="0"/>
    <n v="11"/>
    <n v="98.35"/>
    <x v="7"/>
  </r>
  <r>
    <s v="TRX-104084"/>
    <x v="102"/>
    <x v="4"/>
    <x v="5"/>
    <x v="2"/>
    <n v="200"/>
    <n v="182.88"/>
    <x v="3"/>
    <n v="56"/>
    <n v="-17.12"/>
    <x v="1"/>
  </r>
  <r>
    <s v="TRX-104085"/>
    <x v="436"/>
    <x v="2"/>
    <x v="4"/>
    <x v="2"/>
    <n v="215"/>
    <n v="283.55"/>
    <x v="3"/>
    <n v="52"/>
    <n v="68.55"/>
    <x v="6"/>
  </r>
  <r>
    <s v="TRX-104086"/>
    <x v="316"/>
    <x v="0"/>
    <x v="2"/>
    <x v="2"/>
    <n v="227"/>
    <n v="294.85000000000002"/>
    <x v="4"/>
    <n v="35"/>
    <n v="67.849999999999994"/>
    <x v="8"/>
  </r>
  <r>
    <s v="TRX-104087"/>
    <x v="234"/>
    <x v="0"/>
    <x v="4"/>
    <x v="1"/>
    <n v="225"/>
    <n v="377.47"/>
    <x v="2"/>
    <n v="20"/>
    <n v="152.47"/>
    <x v="6"/>
  </r>
  <r>
    <s v="TRX-104088"/>
    <x v="11"/>
    <x v="2"/>
    <x v="1"/>
    <x v="1"/>
    <n v="219"/>
    <n v="628.01"/>
    <x v="2"/>
    <n v="28"/>
    <n v="409.01"/>
    <x v="6"/>
  </r>
  <r>
    <s v="TRX-104089"/>
    <x v="761"/>
    <x v="0"/>
    <x v="7"/>
    <x v="2"/>
    <n v="225"/>
    <n v="248.92"/>
    <x v="1"/>
    <n v="9"/>
    <n v="23.919999999999899"/>
    <x v="3"/>
  </r>
  <r>
    <s v="TRX-104090"/>
    <x v="77"/>
    <x v="0"/>
    <x v="2"/>
    <x v="0"/>
    <n v="227"/>
    <n v="150.09"/>
    <x v="0"/>
    <n v="10"/>
    <n v="-76.91"/>
    <x v="10"/>
  </r>
  <r>
    <s v="TRX-104091"/>
    <x v="116"/>
    <x v="3"/>
    <x v="1"/>
    <x v="0"/>
    <n v="129"/>
    <n v="73.58"/>
    <x v="3"/>
    <n v="38"/>
    <n v="-55.42"/>
    <x v="8"/>
  </r>
  <r>
    <s v="TRX-104092"/>
    <x v="116"/>
    <x v="1"/>
    <x v="8"/>
    <x v="0"/>
    <n v="178"/>
    <n v="124.44"/>
    <x v="1"/>
    <n v="12"/>
    <n v="-53.56"/>
    <x v="8"/>
  </r>
  <r>
    <s v="TRX-104093"/>
    <x v="532"/>
    <x v="2"/>
    <x v="0"/>
    <x v="0"/>
    <n v="214"/>
    <n v="137.69"/>
    <x v="2"/>
    <n v="8"/>
    <n v="-76.31"/>
    <x v="8"/>
  </r>
  <r>
    <s v="TRX-104094"/>
    <x v="320"/>
    <x v="4"/>
    <x v="0"/>
    <x v="2"/>
    <n v="205"/>
    <n v="237.36"/>
    <x v="4"/>
    <n v="20"/>
    <n v="32.36"/>
    <x v="7"/>
  </r>
  <r>
    <s v="TRX-104095"/>
    <x v="751"/>
    <x v="3"/>
    <x v="1"/>
    <x v="1"/>
    <n v="124"/>
    <n v="248.47"/>
    <x v="1"/>
    <n v="12"/>
    <n v="124.47"/>
    <x v="6"/>
  </r>
  <r>
    <s v="TRX-104096"/>
    <x v="116"/>
    <x v="4"/>
    <x v="3"/>
    <x v="0"/>
    <n v="209"/>
    <n v="138.71"/>
    <x v="3"/>
    <n v="7"/>
    <n v="-70.289999999999907"/>
    <x v="8"/>
  </r>
  <r>
    <s v="TRX-104097"/>
    <x v="562"/>
    <x v="3"/>
    <x v="7"/>
    <x v="2"/>
    <n v="119"/>
    <n v="165.21"/>
    <x v="1"/>
    <n v="11"/>
    <n v="46.21"/>
    <x v="7"/>
  </r>
  <r>
    <s v="TRX-104098"/>
    <x v="145"/>
    <x v="1"/>
    <x v="4"/>
    <x v="2"/>
    <n v="187"/>
    <n v="169.31"/>
    <x v="1"/>
    <n v="9"/>
    <n v="-17.689999999999898"/>
    <x v="8"/>
  </r>
  <r>
    <s v="TRX-104099"/>
    <x v="357"/>
    <x v="1"/>
    <x v="2"/>
    <x v="2"/>
    <n v="184"/>
    <n v="196.01"/>
    <x v="0"/>
    <n v="7"/>
    <n v="12.0099999999999"/>
    <x v="8"/>
  </r>
  <r>
    <s v="TRX-104100"/>
    <x v="212"/>
    <x v="2"/>
    <x v="5"/>
    <x v="2"/>
    <n v="219"/>
    <n v="248.55"/>
    <x v="4"/>
    <n v="39"/>
    <n v="29.55"/>
    <x v="2"/>
  </r>
  <r>
    <s v="TRX-104101"/>
    <x v="943"/>
    <x v="2"/>
    <x v="7"/>
    <x v="0"/>
    <n v="218"/>
    <n v="166.45"/>
    <x v="4"/>
    <n v="54"/>
    <n v="-51.55"/>
    <x v="7"/>
  </r>
  <r>
    <s v="TRX-104102"/>
    <x v="228"/>
    <x v="3"/>
    <x v="7"/>
    <x v="2"/>
    <n v="110"/>
    <n v="137.33000000000001"/>
    <x v="1"/>
    <n v="13"/>
    <n v="27.33"/>
    <x v="8"/>
  </r>
  <r>
    <s v="TRX-104103"/>
    <x v="51"/>
    <x v="0"/>
    <x v="0"/>
    <x v="2"/>
    <n v="228"/>
    <n v="257.61"/>
    <x v="0"/>
    <n v="9"/>
    <n v="29.61"/>
    <x v="3"/>
  </r>
  <r>
    <s v="TRX-104104"/>
    <x v="187"/>
    <x v="3"/>
    <x v="5"/>
    <x v="0"/>
    <n v="125"/>
    <n v="73.599999999999994"/>
    <x v="1"/>
    <n v="7"/>
    <n v="-51.4"/>
    <x v="2"/>
  </r>
  <r>
    <s v="TRX-104105"/>
    <x v="650"/>
    <x v="0"/>
    <x v="4"/>
    <x v="1"/>
    <n v="230"/>
    <n v="340.48"/>
    <x v="1"/>
    <n v="1"/>
    <n v="110.48"/>
    <x v="5"/>
  </r>
  <r>
    <s v="TRX-104106"/>
    <x v="565"/>
    <x v="4"/>
    <x v="7"/>
    <x v="2"/>
    <n v="209"/>
    <n v="247.81"/>
    <x v="0"/>
    <n v="4"/>
    <n v="38.81"/>
    <x v="2"/>
  </r>
  <r>
    <s v="TRX-104107"/>
    <x v="655"/>
    <x v="2"/>
    <x v="7"/>
    <x v="2"/>
    <n v="212"/>
    <n v="310.27"/>
    <x v="2"/>
    <n v="22"/>
    <n v="98.269999999999897"/>
    <x v="8"/>
  </r>
  <r>
    <s v="TRX-104108"/>
    <x v="494"/>
    <x v="3"/>
    <x v="8"/>
    <x v="1"/>
    <n v="136"/>
    <n v="245.53"/>
    <x v="1"/>
    <n v="12"/>
    <n v="109.53"/>
    <x v="3"/>
  </r>
  <r>
    <s v="TRX-104109"/>
    <x v="979"/>
    <x v="2"/>
    <x v="3"/>
    <x v="2"/>
    <n v="217"/>
    <n v="206.87"/>
    <x v="4"/>
    <n v="22"/>
    <n v="-10.1299999999999"/>
    <x v="1"/>
  </r>
  <r>
    <s v="TRX-104110"/>
    <x v="99"/>
    <x v="2"/>
    <x v="8"/>
    <x v="2"/>
    <n v="221"/>
    <n v="326.3"/>
    <x v="2"/>
    <n v="8"/>
    <n v="105.3"/>
    <x v="7"/>
  </r>
  <r>
    <s v="TRX-104111"/>
    <x v="242"/>
    <x v="2"/>
    <x v="8"/>
    <x v="1"/>
    <n v="213"/>
    <n v="466.1"/>
    <x v="0"/>
    <n v="14"/>
    <n v="253.1"/>
    <x v="9"/>
  </r>
  <r>
    <s v="TRX-104112"/>
    <x v="228"/>
    <x v="0"/>
    <x v="1"/>
    <x v="1"/>
    <n v="226"/>
    <n v="602.04"/>
    <x v="3"/>
    <n v="49"/>
    <n v="376.039999999999"/>
    <x v="8"/>
  </r>
  <r>
    <s v="TRX-104113"/>
    <x v="592"/>
    <x v="1"/>
    <x v="3"/>
    <x v="0"/>
    <n v="184"/>
    <n v="128.30000000000001"/>
    <x v="0"/>
    <n v="12"/>
    <n v="-55.699999999999903"/>
    <x v="10"/>
  </r>
  <r>
    <s v="TRX-104114"/>
    <x v="543"/>
    <x v="0"/>
    <x v="6"/>
    <x v="0"/>
    <n v="230"/>
    <n v="204.63"/>
    <x v="2"/>
    <n v="53"/>
    <n v="-25.37"/>
    <x v="6"/>
  </r>
  <r>
    <s v="TRX-104115"/>
    <x v="123"/>
    <x v="0"/>
    <x v="7"/>
    <x v="1"/>
    <n v="229"/>
    <n v="641.12"/>
    <x v="0"/>
    <n v="14"/>
    <n v="412.12"/>
    <x v="9"/>
  </r>
  <r>
    <s v="TRX-104116"/>
    <x v="921"/>
    <x v="1"/>
    <x v="0"/>
    <x v="2"/>
    <n v="170"/>
    <n v="230.66"/>
    <x v="4"/>
    <n v="52"/>
    <n v="60.66"/>
    <x v="0"/>
  </r>
  <r>
    <s v="TRX-104117"/>
    <x v="493"/>
    <x v="0"/>
    <x v="2"/>
    <x v="2"/>
    <n v="227"/>
    <n v="265.68"/>
    <x v="0"/>
    <n v="12"/>
    <n v="38.68"/>
    <x v="9"/>
  </r>
  <r>
    <s v="TRX-104118"/>
    <x v="688"/>
    <x v="0"/>
    <x v="8"/>
    <x v="0"/>
    <n v="229"/>
    <n v="124.93"/>
    <x v="3"/>
    <n v="31"/>
    <n v="-104.07"/>
    <x v="2"/>
  </r>
  <r>
    <s v="TRX-104119"/>
    <x v="740"/>
    <x v="1"/>
    <x v="8"/>
    <x v="1"/>
    <n v="187"/>
    <n v="440.62"/>
    <x v="2"/>
    <n v="46"/>
    <n v="253.62"/>
    <x v="11"/>
  </r>
  <r>
    <s v="TRX-104120"/>
    <x v="651"/>
    <x v="0"/>
    <x v="4"/>
    <x v="0"/>
    <n v="226"/>
    <n v="164.81"/>
    <x v="2"/>
    <n v="54"/>
    <n v="-61.19"/>
    <x v="7"/>
  </r>
  <r>
    <s v="TRX-104121"/>
    <x v="472"/>
    <x v="4"/>
    <x v="7"/>
    <x v="1"/>
    <n v="204"/>
    <n v="497.17"/>
    <x v="0"/>
    <n v="3"/>
    <n v="293.17"/>
    <x v="11"/>
  </r>
  <r>
    <s v="TRX-104122"/>
    <x v="596"/>
    <x v="3"/>
    <x v="4"/>
    <x v="1"/>
    <n v="110"/>
    <n v="291.12"/>
    <x v="2"/>
    <n v="25"/>
    <n v="181.12"/>
    <x v="1"/>
  </r>
  <r>
    <s v="TRX-104123"/>
    <x v="791"/>
    <x v="0"/>
    <x v="0"/>
    <x v="1"/>
    <n v="227"/>
    <n v="446.21"/>
    <x v="0"/>
    <n v="10"/>
    <n v="219.20999999999901"/>
    <x v="4"/>
  </r>
  <r>
    <s v="TRX-104124"/>
    <x v="250"/>
    <x v="1"/>
    <x v="8"/>
    <x v="0"/>
    <n v="177"/>
    <n v="151.62"/>
    <x v="1"/>
    <n v="14"/>
    <n v="-25.3799999999999"/>
    <x v="7"/>
  </r>
  <r>
    <s v="TRX-104125"/>
    <x v="620"/>
    <x v="1"/>
    <x v="8"/>
    <x v="1"/>
    <n v="188"/>
    <n v="570.89"/>
    <x v="0"/>
    <n v="1"/>
    <n v="382.89"/>
    <x v="9"/>
  </r>
  <r>
    <s v="TRX-104126"/>
    <x v="282"/>
    <x v="2"/>
    <x v="2"/>
    <x v="2"/>
    <n v="214"/>
    <n v="194.16"/>
    <x v="1"/>
    <n v="11"/>
    <n v="-19.84"/>
    <x v="1"/>
  </r>
  <r>
    <s v="TRX-104127"/>
    <x v="517"/>
    <x v="0"/>
    <x v="0"/>
    <x v="2"/>
    <n v="225"/>
    <n v="231.73"/>
    <x v="1"/>
    <n v="10"/>
    <n v="6.7299999999999898"/>
    <x v="2"/>
  </r>
  <r>
    <s v="TRX-104128"/>
    <x v="159"/>
    <x v="2"/>
    <x v="4"/>
    <x v="0"/>
    <n v="214"/>
    <n v="118.72"/>
    <x v="1"/>
    <n v="8"/>
    <n v="-95.28"/>
    <x v="8"/>
  </r>
  <r>
    <s v="TRX-104129"/>
    <x v="263"/>
    <x v="1"/>
    <x v="5"/>
    <x v="2"/>
    <n v="179"/>
    <n v="194.42"/>
    <x v="0"/>
    <n v="7"/>
    <n v="15.4199999999999"/>
    <x v="10"/>
  </r>
  <r>
    <s v="TRX-104130"/>
    <x v="702"/>
    <x v="3"/>
    <x v="3"/>
    <x v="0"/>
    <n v="112"/>
    <n v="79.77"/>
    <x v="1"/>
    <n v="7"/>
    <n v="-32.229999999999997"/>
    <x v="7"/>
  </r>
  <r>
    <s v="TRX-104131"/>
    <x v="863"/>
    <x v="0"/>
    <x v="1"/>
    <x v="2"/>
    <n v="228"/>
    <n v="234.99"/>
    <x v="4"/>
    <n v="20"/>
    <n v="6.99"/>
    <x v="3"/>
  </r>
  <r>
    <s v="TRX-104132"/>
    <x v="414"/>
    <x v="3"/>
    <x v="0"/>
    <x v="0"/>
    <n v="115"/>
    <n v="89.5"/>
    <x v="1"/>
    <n v="1"/>
    <n v="-25.5"/>
    <x v="11"/>
  </r>
  <r>
    <s v="TRX-104133"/>
    <x v="848"/>
    <x v="2"/>
    <x v="8"/>
    <x v="0"/>
    <n v="225"/>
    <n v="134.87"/>
    <x v="2"/>
    <n v="57"/>
    <n v="-90.13"/>
    <x v="1"/>
  </r>
  <r>
    <s v="TRX-104134"/>
    <x v="686"/>
    <x v="1"/>
    <x v="6"/>
    <x v="0"/>
    <n v="181"/>
    <n v="107.55"/>
    <x v="2"/>
    <n v="36"/>
    <n v="-73.45"/>
    <x v="0"/>
  </r>
  <r>
    <s v="TRX-104135"/>
    <x v="515"/>
    <x v="1"/>
    <x v="8"/>
    <x v="2"/>
    <n v="186"/>
    <n v="275.01"/>
    <x v="3"/>
    <n v="53"/>
    <n v="89.009999999999906"/>
    <x v="4"/>
  </r>
  <r>
    <s v="TRX-104136"/>
    <x v="804"/>
    <x v="0"/>
    <x v="5"/>
    <x v="1"/>
    <n v="225"/>
    <n v="277.16000000000003"/>
    <x v="3"/>
    <n v="19"/>
    <n v="52.16"/>
    <x v="3"/>
  </r>
  <r>
    <s v="TRX-104137"/>
    <x v="258"/>
    <x v="1"/>
    <x v="7"/>
    <x v="0"/>
    <n v="183"/>
    <n v="132.85"/>
    <x v="0"/>
    <n v="5"/>
    <n v="-50.15"/>
    <x v="3"/>
  </r>
  <r>
    <s v="TRX-104138"/>
    <x v="840"/>
    <x v="3"/>
    <x v="1"/>
    <x v="1"/>
    <n v="135"/>
    <n v="370.64"/>
    <x v="1"/>
    <n v="11"/>
    <n v="235.64"/>
    <x v="3"/>
  </r>
  <r>
    <s v="TRX-104139"/>
    <x v="516"/>
    <x v="1"/>
    <x v="0"/>
    <x v="0"/>
    <n v="177"/>
    <n v="143.91999999999999"/>
    <x v="3"/>
    <n v="20"/>
    <n v="-33.08"/>
    <x v="5"/>
  </r>
  <r>
    <s v="TRX-104140"/>
    <x v="483"/>
    <x v="1"/>
    <x v="8"/>
    <x v="2"/>
    <n v="190"/>
    <n v="236.43"/>
    <x v="4"/>
    <n v="11"/>
    <n v="46.43"/>
    <x v="0"/>
  </r>
  <r>
    <s v="TRX-104141"/>
    <x v="87"/>
    <x v="0"/>
    <x v="0"/>
    <x v="0"/>
    <n v="227"/>
    <n v="180.92"/>
    <x v="2"/>
    <n v="5"/>
    <n v="-46.08"/>
    <x v="3"/>
  </r>
  <r>
    <s v="TRX-104142"/>
    <x v="955"/>
    <x v="2"/>
    <x v="8"/>
    <x v="1"/>
    <n v="210"/>
    <n v="656.22"/>
    <x v="4"/>
    <n v="44"/>
    <n v="446.22"/>
    <x v="9"/>
  </r>
  <r>
    <s v="TRX-104143"/>
    <x v="261"/>
    <x v="4"/>
    <x v="8"/>
    <x v="0"/>
    <n v="201"/>
    <n v="161.84"/>
    <x v="2"/>
    <n v="15"/>
    <n v="-39.159999999999997"/>
    <x v="2"/>
  </r>
  <r>
    <s v="TRX-104144"/>
    <x v="675"/>
    <x v="3"/>
    <x v="3"/>
    <x v="2"/>
    <n v="111"/>
    <n v="137.44"/>
    <x v="0"/>
    <n v="6"/>
    <n v="26.439999999999898"/>
    <x v="8"/>
  </r>
  <r>
    <s v="TRX-104145"/>
    <x v="507"/>
    <x v="4"/>
    <x v="5"/>
    <x v="0"/>
    <n v="201"/>
    <n v="125.69"/>
    <x v="2"/>
    <n v="34"/>
    <n v="-75.31"/>
    <x v="4"/>
  </r>
  <r>
    <s v="TRX-104146"/>
    <x v="12"/>
    <x v="4"/>
    <x v="8"/>
    <x v="0"/>
    <n v="204"/>
    <n v="116.33"/>
    <x v="4"/>
    <n v="13"/>
    <n v="-87.67"/>
    <x v="7"/>
  </r>
  <r>
    <s v="TRX-104147"/>
    <x v="23"/>
    <x v="0"/>
    <x v="2"/>
    <x v="0"/>
    <n v="230"/>
    <n v="119.67"/>
    <x v="0"/>
    <n v="8"/>
    <n v="-110.33"/>
    <x v="7"/>
  </r>
  <r>
    <s v="TRX-104148"/>
    <x v="762"/>
    <x v="0"/>
    <x v="0"/>
    <x v="1"/>
    <n v="230"/>
    <n v="568.89"/>
    <x v="4"/>
    <n v="20"/>
    <n v="338.89"/>
    <x v="4"/>
  </r>
  <r>
    <s v="TRX-104149"/>
    <x v="948"/>
    <x v="4"/>
    <x v="5"/>
    <x v="0"/>
    <n v="209"/>
    <n v="142.62"/>
    <x v="1"/>
    <n v="8"/>
    <n v="-66.38"/>
    <x v="5"/>
  </r>
  <r>
    <s v="TRX-104150"/>
    <x v="983"/>
    <x v="1"/>
    <x v="8"/>
    <x v="1"/>
    <n v="177"/>
    <n v="270.02999999999997"/>
    <x v="0"/>
    <n v="10"/>
    <n v="93.029999999999902"/>
    <x v="9"/>
  </r>
  <r>
    <s v="TRX-104151"/>
    <x v="200"/>
    <x v="2"/>
    <x v="2"/>
    <x v="0"/>
    <n v="211"/>
    <n v="123.36"/>
    <x v="0"/>
    <n v="6"/>
    <n v="-87.64"/>
    <x v="10"/>
  </r>
  <r>
    <s v="TRX-104152"/>
    <x v="902"/>
    <x v="0"/>
    <x v="5"/>
    <x v="1"/>
    <n v="228"/>
    <n v="328.18"/>
    <x v="2"/>
    <n v="56"/>
    <n v="100.18"/>
    <x v="9"/>
  </r>
  <r>
    <s v="TRX-104153"/>
    <x v="501"/>
    <x v="0"/>
    <x v="8"/>
    <x v="2"/>
    <n v="225"/>
    <n v="228.51"/>
    <x v="4"/>
    <n v="55"/>
    <n v="3.50999999999999"/>
    <x v="0"/>
  </r>
  <r>
    <s v="TRX-104154"/>
    <x v="597"/>
    <x v="0"/>
    <x v="2"/>
    <x v="0"/>
    <n v="229"/>
    <n v="114.65"/>
    <x v="3"/>
    <n v="33"/>
    <n v="-114.35"/>
    <x v="9"/>
  </r>
  <r>
    <s v="TRX-104155"/>
    <x v="117"/>
    <x v="3"/>
    <x v="8"/>
    <x v="0"/>
    <n v="114"/>
    <n v="97.68"/>
    <x v="2"/>
    <n v="28"/>
    <n v="-16.319999999999901"/>
    <x v="6"/>
  </r>
  <r>
    <s v="TRX-104156"/>
    <x v="263"/>
    <x v="4"/>
    <x v="2"/>
    <x v="2"/>
    <n v="205"/>
    <n v="282.3"/>
    <x v="1"/>
    <n v="5"/>
    <n v="77.3"/>
    <x v="10"/>
  </r>
  <r>
    <s v="TRX-104157"/>
    <x v="158"/>
    <x v="4"/>
    <x v="0"/>
    <x v="1"/>
    <n v="210"/>
    <n v="366.83"/>
    <x v="0"/>
    <n v="2"/>
    <n v="156.82999999999899"/>
    <x v="10"/>
  </r>
  <r>
    <s v="TRX-104158"/>
    <x v="824"/>
    <x v="1"/>
    <x v="7"/>
    <x v="2"/>
    <n v="178"/>
    <n v="248.62"/>
    <x v="1"/>
    <n v="5"/>
    <n v="70.62"/>
    <x v="7"/>
  </r>
  <r>
    <s v="TRX-104159"/>
    <x v="612"/>
    <x v="3"/>
    <x v="2"/>
    <x v="2"/>
    <n v="138"/>
    <n v="137.66999999999999"/>
    <x v="3"/>
    <n v="35"/>
    <n v="-0.33000000000001201"/>
    <x v="11"/>
  </r>
  <r>
    <s v="TRX-104160"/>
    <x v="811"/>
    <x v="1"/>
    <x v="8"/>
    <x v="1"/>
    <n v="181"/>
    <n v="597.1"/>
    <x v="3"/>
    <n v="32"/>
    <n v="416.1"/>
    <x v="7"/>
  </r>
  <r>
    <s v="TRX-104161"/>
    <x v="447"/>
    <x v="2"/>
    <x v="2"/>
    <x v="1"/>
    <n v="225"/>
    <n v="495.15"/>
    <x v="0"/>
    <n v="6"/>
    <n v="270.14999999999998"/>
    <x v="5"/>
  </r>
  <r>
    <s v="TRX-104162"/>
    <x v="904"/>
    <x v="3"/>
    <x v="6"/>
    <x v="0"/>
    <n v="126"/>
    <n v="83.32"/>
    <x v="1"/>
    <n v="2"/>
    <n v="-42.68"/>
    <x v="10"/>
  </r>
  <r>
    <s v="TRX-104163"/>
    <x v="199"/>
    <x v="2"/>
    <x v="5"/>
    <x v="2"/>
    <n v="214"/>
    <n v="259.48"/>
    <x v="4"/>
    <n v="49"/>
    <n v="45.48"/>
    <x v="8"/>
  </r>
  <r>
    <s v="TRX-104164"/>
    <x v="859"/>
    <x v="3"/>
    <x v="1"/>
    <x v="2"/>
    <n v="135"/>
    <n v="193.18"/>
    <x v="1"/>
    <n v="12"/>
    <n v="58.18"/>
    <x v="10"/>
  </r>
  <r>
    <s v="TRX-104165"/>
    <x v="462"/>
    <x v="2"/>
    <x v="3"/>
    <x v="2"/>
    <n v="222"/>
    <n v="250.75"/>
    <x v="1"/>
    <n v="7"/>
    <n v="28.75"/>
    <x v="11"/>
  </r>
  <r>
    <s v="TRX-104166"/>
    <x v="85"/>
    <x v="2"/>
    <x v="6"/>
    <x v="0"/>
    <n v="223"/>
    <n v="162.44999999999999"/>
    <x v="3"/>
    <n v="40"/>
    <n v="-60.55"/>
    <x v="1"/>
  </r>
  <r>
    <s v="TRX-104167"/>
    <x v="222"/>
    <x v="3"/>
    <x v="2"/>
    <x v="1"/>
    <n v="131"/>
    <n v="371.32"/>
    <x v="4"/>
    <n v="19"/>
    <n v="240.32"/>
    <x v="9"/>
  </r>
  <r>
    <s v="TRX-104168"/>
    <x v="551"/>
    <x v="4"/>
    <x v="5"/>
    <x v="1"/>
    <n v="204"/>
    <n v="604.29999999999995"/>
    <x v="2"/>
    <n v="15"/>
    <n v="400.29999999999899"/>
    <x v="8"/>
  </r>
  <r>
    <s v="TRX-104169"/>
    <x v="52"/>
    <x v="1"/>
    <x v="6"/>
    <x v="2"/>
    <n v="174"/>
    <n v="161.85"/>
    <x v="1"/>
    <n v="6"/>
    <n v="-12.15"/>
    <x v="5"/>
  </r>
  <r>
    <s v="TRX-104170"/>
    <x v="13"/>
    <x v="4"/>
    <x v="7"/>
    <x v="2"/>
    <n v="203"/>
    <n v="233.3"/>
    <x v="1"/>
    <n v="5"/>
    <n v="30.3"/>
    <x v="5"/>
  </r>
  <r>
    <s v="TRX-104171"/>
    <x v="333"/>
    <x v="3"/>
    <x v="7"/>
    <x v="2"/>
    <n v="125"/>
    <n v="118.27"/>
    <x v="1"/>
    <n v="9"/>
    <n v="-6.73"/>
    <x v="10"/>
  </r>
  <r>
    <s v="TRX-104172"/>
    <x v="368"/>
    <x v="3"/>
    <x v="6"/>
    <x v="1"/>
    <n v="120"/>
    <n v="238.89"/>
    <x v="2"/>
    <n v="12"/>
    <n v="118.88999999999901"/>
    <x v="5"/>
  </r>
  <r>
    <s v="TRX-104173"/>
    <x v="721"/>
    <x v="4"/>
    <x v="5"/>
    <x v="0"/>
    <n v="208"/>
    <n v="178.93"/>
    <x v="3"/>
    <n v="20"/>
    <n v="-29.069999999999901"/>
    <x v="10"/>
  </r>
  <r>
    <s v="TRX-104174"/>
    <x v="806"/>
    <x v="4"/>
    <x v="0"/>
    <x v="2"/>
    <n v="200"/>
    <n v="268.12"/>
    <x v="1"/>
    <n v="8"/>
    <n v="68.12"/>
    <x v="0"/>
  </r>
  <r>
    <s v="TRX-104175"/>
    <x v="737"/>
    <x v="0"/>
    <x v="6"/>
    <x v="2"/>
    <n v="228"/>
    <n v="256.11"/>
    <x v="3"/>
    <n v="21"/>
    <n v="28.11"/>
    <x v="7"/>
  </r>
  <r>
    <s v="TRX-104176"/>
    <x v="222"/>
    <x v="4"/>
    <x v="1"/>
    <x v="0"/>
    <n v="208"/>
    <n v="180.2"/>
    <x v="1"/>
    <n v="5"/>
    <n v="-27.8"/>
    <x v="9"/>
  </r>
  <r>
    <s v="TRX-104177"/>
    <x v="567"/>
    <x v="2"/>
    <x v="4"/>
    <x v="0"/>
    <n v="225"/>
    <n v="128.29"/>
    <x v="2"/>
    <n v="11"/>
    <n v="-96.71"/>
    <x v="5"/>
  </r>
  <r>
    <s v="TRX-104178"/>
    <x v="307"/>
    <x v="2"/>
    <x v="5"/>
    <x v="2"/>
    <n v="213"/>
    <n v="289"/>
    <x v="1"/>
    <n v="6"/>
    <n v="76"/>
    <x v="9"/>
  </r>
  <r>
    <s v="TRX-104179"/>
    <x v="978"/>
    <x v="4"/>
    <x v="3"/>
    <x v="1"/>
    <n v="203"/>
    <n v="371.7"/>
    <x v="0"/>
    <n v="10"/>
    <n v="168.7"/>
    <x v="5"/>
  </r>
  <r>
    <s v="TRX-104180"/>
    <x v="608"/>
    <x v="2"/>
    <x v="3"/>
    <x v="1"/>
    <n v="223"/>
    <n v="526.13"/>
    <x v="1"/>
    <n v="10"/>
    <n v="303.13"/>
    <x v="11"/>
  </r>
  <r>
    <s v="TRX-104181"/>
    <x v="446"/>
    <x v="1"/>
    <x v="4"/>
    <x v="1"/>
    <n v="179"/>
    <n v="578.78"/>
    <x v="2"/>
    <n v="54"/>
    <n v="399.78"/>
    <x v="7"/>
  </r>
  <r>
    <s v="TRX-104182"/>
    <x v="9"/>
    <x v="2"/>
    <x v="4"/>
    <x v="1"/>
    <n v="211"/>
    <n v="640.26"/>
    <x v="3"/>
    <n v="57"/>
    <n v="429.26"/>
    <x v="0"/>
  </r>
  <r>
    <s v="TRX-104183"/>
    <x v="973"/>
    <x v="2"/>
    <x v="4"/>
    <x v="2"/>
    <n v="220"/>
    <n v="245.52"/>
    <x v="0"/>
    <n v="8"/>
    <n v="25.52"/>
    <x v="9"/>
  </r>
  <r>
    <s v="TRX-104184"/>
    <x v="254"/>
    <x v="3"/>
    <x v="0"/>
    <x v="0"/>
    <n v="111"/>
    <n v="86.05"/>
    <x v="0"/>
    <n v="12"/>
    <n v="-24.95"/>
    <x v="8"/>
  </r>
  <r>
    <s v="TRX-104185"/>
    <x v="862"/>
    <x v="1"/>
    <x v="8"/>
    <x v="2"/>
    <n v="184"/>
    <n v="264.51"/>
    <x v="1"/>
    <n v="2"/>
    <n v="80.509999999999906"/>
    <x v="2"/>
  </r>
  <r>
    <s v="TRX-104186"/>
    <x v="105"/>
    <x v="1"/>
    <x v="6"/>
    <x v="1"/>
    <n v="188"/>
    <n v="651.54999999999995"/>
    <x v="1"/>
    <n v="6"/>
    <n v="463.54999999999899"/>
    <x v="2"/>
  </r>
  <r>
    <s v="TRX-104187"/>
    <x v="927"/>
    <x v="1"/>
    <x v="4"/>
    <x v="0"/>
    <n v="190"/>
    <n v="145.04"/>
    <x v="1"/>
    <n v="10"/>
    <n v="-44.96"/>
    <x v="1"/>
  </r>
  <r>
    <s v="TRX-104188"/>
    <x v="936"/>
    <x v="4"/>
    <x v="5"/>
    <x v="0"/>
    <n v="201"/>
    <n v="134.30000000000001"/>
    <x v="2"/>
    <n v="54"/>
    <n v="-66.699999999999903"/>
    <x v="11"/>
  </r>
  <r>
    <s v="TRX-104189"/>
    <x v="611"/>
    <x v="0"/>
    <x v="4"/>
    <x v="2"/>
    <n v="227"/>
    <n v="294.48"/>
    <x v="3"/>
    <n v="34"/>
    <n v="67.48"/>
    <x v="4"/>
  </r>
  <r>
    <s v="TRX-104190"/>
    <x v="647"/>
    <x v="2"/>
    <x v="3"/>
    <x v="1"/>
    <n v="222"/>
    <n v="444.96"/>
    <x v="1"/>
    <n v="13"/>
    <n v="222.95999999999901"/>
    <x v="4"/>
  </r>
  <r>
    <s v="TRX-104191"/>
    <x v="461"/>
    <x v="4"/>
    <x v="7"/>
    <x v="0"/>
    <n v="209"/>
    <n v="182.42"/>
    <x v="1"/>
    <n v="14"/>
    <n v="-26.58"/>
    <x v="6"/>
  </r>
  <r>
    <s v="TRX-104192"/>
    <x v="918"/>
    <x v="3"/>
    <x v="7"/>
    <x v="0"/>
    <n v="127"/>
    <n v="75.61"/>
    <x v="4"/>
    <n v="27"/>
    <n v="-51.39"/>
    <x v="1"/>
  </r>
  <r>
    <s v="TRX-104193"/>
    <x v="129"/>
    <x v="2"/>
    <x v="2"/>
    <x v="2"/>
    <n v="210"/>
    <n v="277.38"/>
    <x v="0"/>
    <n v="13"/>
    <n v="67.38"/>
    <x v="4"/>
  </r>
  <r>
    <s v="TRX-104194"/>
    <x v="370"/>
    <x v="2"/>
    <x v="7"/>
    <x v="0"/>
    <n v="210"/>
    <n v="170.85"/>
    <x v="4"/>
    <n v="35"/>
    <n v="-39.15"/>
    <x v="11"/>
  </r>
  <r>
    <s v="TRX-104195"/>
    <x v="440"/>
    <x v="1"/>
    <x v="6"/>
    <x v="2"/>
    <n v="189"/>
    <n v="197.05"/>
    <x v="0"/>
    <n v="13"/>
    <n v="8.0500000000000096"/>
    <x v="3"/>
  </r>
  <r>
    <s v="TRX-104196"/>
    <x v="179"/>
    <x v="3"/>
    <x v="2"/>
    <x v="2"/>
    <n v="127"/>
    <n v="188.62"/>
    <x v="3"/>
    <n v="15"/>
    <n v="61.62"/>
    <x v="7"/>
  </r>
  <r>
    <s v="TRX-104197"/>
    <x v="403"/>
    <x v="2"/>
    <x v="4"/>
    <x v="1"/>
    <n v="223"/>
    <n v="754.2"/>
    <x v="3"/>
    <n v="8"/>
    <n v="531.20000000000005"/>
    <x v="11"/>
  </r>
  <r>
    <s v="TRX-104198"/>
    <x v="485"/>
    <x v="0"/>
    <x v="8"/>
    <x v="2"/>
    <n v="230"/>
    <n v="262.22000000000003"/>
    <x v="3"/>
    <n v="40"/>
    <n v="32.22"/>
    <x v="1"/>
  </r>
  <r>
    <s v="TRX-104199"/>
    <x v="350"/>
    <x v="3"/>
    <x v="8"/>
    <x v="0"/>
    <n v="116"/>
    <n v="97.3"/>
    <x v="3"/>
    <n v="44"/>
    <n v="-18.7"/>
    <x v="11"/>
  </r>
  <r>
    <s v="TRX-104200"/>
    <x v="792"/>
    <x v="2"/>
    <x v="8"/>
    <x v="1"/>
    <n v="211"/>
    <n v="332.03"/>
    <x v="2"/>
    <n v="41"/>
    <n v="121.02999999999901"/>
    <x v="8"/>
  </r>
  <r>
    <s v="TRX-104201"/>
    <x v="357"/>
    <x v="0"/>
    <x v="5"/>
    <x v="0"/>
    <n v="226"/>
    <n v="186.19"/>
    <x v="4"/>
    <n v="28"/>
    <n v="-39.81"/>
    <x v="8"/>
  </r>
  <r>
    <s v="TRX-104202"/>
    <x v="760"/>
    <x v="0"/>
    <x v="6"/>
    <x v="1"/>
    <n v="227"/>
    <n v="789.07"/>
    <x v="0"/>
    <n v="2"/>
    <n v="562.07000000000005"/>
    <x v="3"/>
  </r>
  <r>
    <s v="TRX-104203"/>
    <x v="239"/>
    <x v="0"/>
    <x v="3"/>
    <x v="2"/>
    <n v="230"/>
    <n v="343.21"/>
    <x v="1"/>
    <n v="3"/>
    <n v="113.209999999999"/>
    <x v="7"/>
  </r>
  <r>
    <s v="TRX-104204"/>
    <x v="256"/>
    <x v="4"/>
    <x v="7"/>
    <x v="0"/>
    <n v="200"/>
    <n v="116.09"/>
    <x v="3"/>
    <n v="20"/>
    <n v="-83.91"/>
    <x v="3"/>
  </r>
  <r>
    <s v="TRX-104205"/>
    <x v="102"/>
    <x v="3"/>
    <x v="1"/>
    <x v="0"/>
    <n v="140"/>
    <n v="102.89"/>
    <x v="0"/>
    <n v="8"/>
    <n v="-37.11"/>
    <x v="1"/>
  </r>
  <r>
    <s v="TRX-104206"/>
    <x v="434"/>
    <x v="1"/>
    <x v="8"/>
    <x v="0"/>
    <n v="182"/>
    <n v="136.68"/>
    <x v="0"/>
    <n v="4"/>
    <n v="-45.319999999999901"/>
    <x v="4"/>
  </r>
  <r>
    <s v="TRX-104207"/>
    <x v="206"/>
    <x v="1"/>
    <x v="2"/>
    <x v="2"/>
    <n v="176"/>
    <n v="244.89"/>
    <x v="2"/>
    <n v="24"/>
    <n v="68.889999999999901"/>
    <x v="0"/>
  </r>
  <r>
    <s v="TRX-104208"/>
    <x v="634"/>
    <x v="1"/>
    <x v="6"/>
    <x v="1"/>
    <n v="170"/>
    <n v="540.70000000000005"/>
    <x v="0"/>
    <n v="12"/>
    <n v="370.7"/>
    <x v="7"/>
  </r>
  <r>
    <s v="TRX-104209"/>
    <x v="313"/>
    <x v="1"/>
    <x v="2"/>
    <x v="2"/>
    <n v="185"/>
    <n v="270.87"/>
    <x v="0"/>
    <n v="10"/>
    <n v="85.87"/>
    <x v="0"/>
  </r>
  <r>
    <s v="TRX-104210"/>
    <x v="376"/>
    <x v="2"/>
    <x v="1"/>
    <x v="0"/>
    <n v="222"/>
    <n v="148.84"/>
    <x v="4"/>
    <n v="31"/>
    <n v="-73.16"/>
    <x v="6"/>
  </r>
  <r>
    <s v="TRX-104211"/>
    <x v="169"/>
    <x v="1"/>
    <x v="8"/>
    <x v="2"/>
    <n v="179"/>
    <n v="170.84"/>
    <x v="0"/>
    <n v="5"/>
    <n v="-8.1599999999999895"/>
    <x v="4"/>
  </r>
  <r>
    <s v="TRX-104212"/>
    <x v="823"/>
    <x v="1"/>
    <x v="0"/>
    <x v="0"/>
    <n v="188"/>
    <n v="128.97"/>
    <x v="2"/>
    <n v="23"/>
    <n v="-59.03"/>
    <x v="4"/>
  </r>
  <r>
    <s v="TRX-104213"/>
    <x v="804"/>
    <x v="4"/>
    <x v="7"/>
    <x v="0"/>
    <n v="200"/>
    <n v="115.29"/>
    <x v="0"/>
    <n v="11"/>
    <n v="-84.71"/>
    <x v="3"/>
  </r>
  <r>
    <s v="TRX-104214"/>
    <x v="299"/>
    <x v="4"/>
    <x v="0"/>
    <x v="0"/>
    <n v="204"/>
    <n v="174.99"/>
    <x v="3"/>
    <n v="23"/>
    <n v="-29.009999999999899"/>
    <x v="0"/>
  </r>
  <r>
    <s v="TRX-104215"/>
    <x v="827"/>
    <x v="1"/>
    <x v="5"/>
    <x v="2"/>
    <n v="182"/>
    <n v="214.02"/>
    <x v="3"/>
    <n v="6"/>
    <n v="32.020000000000003"/>
    <x v="1"/>
  </r>
  <r>
    <s v="TRX-104216"/>
    <x v="580"/>
    <x v="1"/>
    <x v="5"/>
    <x v="2"/>
    <n v="182"/>
    <n v="185.65"/>
    <x v="3"/>
    <n v="53"/>
    <n v="3.65"/>
    <x v="2"/>
  </r>
  <r>
    <s v="TRX-104217"/>
    <x v="40"/>
    <x v="1"/>
    <x v="5"/>
    <x v="2"/>
    <n v="178"/>
    <n v="163.05000000000001"/>
    <x v="4"/>
    <n v="26"/>
    <n v="-14.9499999999999"/>
    <x v="6"/>
  </r>
  <r>
    <s v="TRX-104218"/>
    <x v="528"/>
    <x v="2"/>
    <x v="3"/>
    <x v="2"/>
    <n v="219"/>
    <n v="302.66000000000003"/>
    <x v="4"/>
    <n v="48"/>
    <n v="83.66"/>
    <x v="9"/>
  </r>
  <r>
    <s v="TRX-104219"/>
    <x v="453"/>
    <x v="3"/>
    <x v="3"/>
    <x v="2"/>
    <n v="132"/>
    <n v="144.88999999999999"/>
    <x v="2"/>
    <n v="42"/>
    <n v="12.889999999999899"/>
    <x v="2"/>
  </r>
  <r>
    <s v="TRX-104220"/>
    <x v="483"/>
    <x v="1"/>
    <x v="6"/>
    <x v="2"/>
    <n v="189"/>
    <n v="261.36"/>
    <x v="0"/>
    <n v="8"/>
    <n v="72.36"/>
    <x v="0"/>
  </r>
  <r>
    <s v="TRX-104221"/>
    <x v="864"/>
    <x v="2"/>
    <x v="1"/>
    <x v="1"/>
    <n v="210"/>
    <n v="277.01"/>
    <x v="3"/>
    <n v="53"/>
    <n v="67.009999999999906"/>
    <x v="11"/>
  </r>
  <r>
    <s v="TRX-104222"/>
    <x v="2"/>
    <x v="3"/>
    <x v="5"/>
    <x v="2"/>
    <n v="124"/>
    <n v="181.7"/>
    <x v="3"/>
    <n v="14"/>
    <n v="57.699999999999903"/>
    <x v="1"/>
  </r>
  <r>
    <s v="TRX-104223"/>
    <x v="239"/>
    <x v="2"/>
    <x v="0"/>
    <x v="1"/>
    <n v="212"/>
    <n v="354.51"/>
    <x v="1"/>
    <n v="1"/>
    <n v="142.51"/>
    <x v="7"/>
  </r>
  <r>
    <s v="TRX-104224"/>
    <x v="813"/>
    <x v="2"/>
    <x v="1"/>
    <x v="0"/>
    <n v="213"/>
    <n v="170.48"/>
    <x v="2"/>
    <n v="41"/>
    <n v="-42.52"/>
    <x v="2"/>
  </r>
  <r>
    <s v="TRX-104225"/>
    <x v="387"/>
    <x v="4"/>
    <x v="3"/>
    <x v="0"/>
    <n v="202"/>
    <n v="158.12"/>
    <x v="1"/>
    <n v="2"/>
    <n v="-43.879999999999903"/>
    <x v="3"/>
  </r>
  <r>
    <s v="TRX-104226"/>
    <x v="194"/>
    <x v="1"/>
    <x v="5"/>
    <x v="1"/>
    <n v="173"/>
    <n v="559.33000000000004"/>
    <x v="3"/>
    <n v="22"/>
    <n v="386.33"/>
    <x v="5"/>
  </r>
  <r>
    <s v="TRX-104227"/>
    <x v="496"/>
    <x v="0"/>
    <x v="0"/>
    <x v="2"/>
    <n v="229"/>
    <n v="302.32"/>
    <x v="1"/>
    <n v="3"/>
    <n v="73.319999999999993"/>
    <x v="9"/>
  </r>
  <r>
    <s v="TRX-104228"/>
    <x v="734"/>
    <x v="2"/>
    <x v="4"/>
    <x v="2"/>
    <n v="214"/>
    <n v="255.24"/>
    <x v="2"/>
    <n v="24"/>
    <n v="41.24"/>
    <x v="11"/>
  </r>
  <r>
    <s v="TRX-104229"/>
    <x v="141"/>
    <x v="3"/>
    <x v="0"/>
    <x v="1"/>
    <n v="114"/>
    <n v="287.2"/>
    <x v="3"/>
    <n v="33"/>
    <n v="173.2"/>
    <x v="3"/>
  </r>
  <r>
    <s v="TRX-104230"/>
    <x v="503"/>
    <x v="4"/>
    <x v="5"/>
    <x v="1"/>
    <n v="210"/>
    <n v="618.47"/>
    <x v="3"/>
    <n v="35"/>
    <n v="408.47"/>
    <x v="8"/>
  </r>
  <r>
    <s v="TRX-104231"/>
    <x v="50"/>
    <x v="4"/>
    <x v="8"/>
    <x v="0"/>
    <n v="203"/>
    <n v="108.54"/>
    <x v="4"/>
    <n v="26"/>
    <n v="-94.46"/>
    <x v="0"/>
  </r>
  <r>
    <s v="TRX-104232"/>
    <x v="0"/>
    <x v="1"/>
    <x v="4"/>
    <x v="0"/>
    <n v="180"/>
    <n v="130.58000000000001"/>
    <x v="4"/>
    <n v="33"/>
    <n v="-49.419999999999902"/>
    <x v="0"/>
  </r>
  <r>
    <s v="TRX-104233"/>
    <x v="515"/>
    <x v="0"/>
    <x v="5"/>
    <x v="1"/>
    <n v="229"/>
    <n v="722.22"/>
    <x v="3"/>
    <n v="33"/>
    <n v="493.22"/>
    <x v="4"/>
  </r>
  <r>
    <s v="TRX-104234"/>
    <x v="87"/>
    <x v="0"/>
    <x v="1"/>
    <x v="0"/>
    <n v="225"/>
    <n v="137.13999999999999"/>
    <x v="0"/>
    <n v="2"/>
    <n v="-87.86"/>
    <x v="3"/>
  </r>
  <r>
    <s v="TRX-104235"/>
    <x v="661"/>
    <x v="4"/>
    <x v="8"/>
    <x v="1"/>
    <n v="209"/>
    <n v="383.85"/>
    <x v="1"/>
    <n v="12"/>
    <n v="174.85"/>
    <x v="7"/>
  </r>
  <r>
    <s v="TRX-104236"/>
    <x v="587"/>
    <x v="0"/>
    <x v="8"/>
    <x v="1"/>
    <n v="229"/>
    <n v="410.32"/>
    <x v="4"/>
    <n v="5"/>
    <n v="181.32"/>
    <x v="5"/>
  </r>
  <r>
    <s v="TRX-104237"/>
    <x v="546"/>
    <x v="2"/>
    <x v="8"/>
    <x v="2"/>
    <n v="223"/>
    <n v="243.26"/>
    <x v="4"/>
    <n v="49"/>
    <n v="20.259999999999899"/>
    <x v="7"/>
  </r>
  <r>
    <s v="TRX-104238"/>
    <x v="0"/>
    <x v="2"/>
    <x v="0"/>
    <x v="0"/>
    <n v="221"/>
    <n v="136.25"/>
    <x v="1"/>
    <n v="13"/>
    <n v="-84.75"/>
    <x v="0"/>
  </r>
  <r>
    <s v="TRX-104239"/>
    <x v="634"/>
    <x v="3"/>
    <x v="8"/>
    <x v="1"/>
    <n v="129"/>
    <n v="294.68"/>
    <x v="4"/>
    <n v="31"/>
    <n v="165.68"/>
    <x v="7"/>
  </r>
  <r>
    <s v="TRX-104240"/>
    <x v="365"/>
    <x v="3"/>
    <x v="5"/>
    <x v="0"/>
    <n v="131"/>
    <n v="106.07"/>
    <x v="2"/>
    <n v="29"/>
    <n v="-24.93"/>
    <x v="10"/>
  </r>
  <r>
    <s v="TRX-104241"/>
    <x v="628"/>
    <x v="3"/>
    <x v="2"/>
    <x v="1"/>
    <n v="127"/>
    <n v="239.65"/>
    <x v="2"/>
    <n v="52"/>
    <n v="112.65"/>
    <x v="11"/>
  </r>
  <r>
    <s v="TRX-104242"/>
    <x v="404"/>
    <x v="4"/>
    <x v="6"/>
    <x v="0"/>
    <n v="201"/>
    <n v="131.71"/>
    <x v="3"/>
    <n v="59"/>
    <n v="-69.289999999999907"/>
    <x v="7"/>
  </r>
  <r>
    <s v="TRX-104243"/>
    <x v="82"/>
    <x v="0"/>
    <x v="4"/>
    <x v="1"/>
    <n v="229"/>
    <n v="559.61"/>
    <x v="2"/>
    <n v="23"/>
    <n v="330.61"/>
    <x v="5"/>
  </r>
  <r>
    <s v="TRX-104244"/>
    <x v="272"/>
    <x v="2"/>
    <x v="8"/>
    <x v="0"/>
    <n v="219"/>
    <n v="156.27000000000001"/>
    <x v="0"/>
    <n v="7"/>
    <n v="-62.729999999999897"/>
    <x v="3"/>
  </r>
  <r>
    <s v="TRX-104245"/>
    <x v="635"/>
    <x v="1"/>
    <x v="2"/>
    <x v="2"/>
    <n v="184"/>
    <n v="211.79"/>
    <x v="1"/>
    <n v="9"/>
    <n v="27.7899999999999"/>
    <x v="6"/>
  </r>
  <r>
    <s v="TRX-104246"/>
    <x v="852"/>
    <x v="0"/>
    <x v="5"/>
    <x v="1"/>
    <n v="230"/>
    <n v="760.8"/>
    <x v="0"/>
    <n v="8"/>
    <n v="530.79999999999995"/>
    <x v="1"/>
  </r>
  <r>
    <s v="TRX-104247"/>
    <x v="458"/>
    <x v="4"/>
    <x v="6"/>
    <x v="0"/>
    <n v="205"/>
    <n v="123.38"/>
    <x v="4"/>
    <n v="44"/>
    <n v="-81.62"/>
    <x v="10"/>
  </r>
  <r>
    <s v="TRX-104248"/>
    <x v="697"/>
    <x v="2"/>
    <x v="1"/>
    <x v="0"/>
    <n v="224"/>
    <n v="182.19"/>
    <x v="2"/>
    <n v="12"/>
    <n v="-41.81"/>
    <x v="1"/>
  </r>
  <r>
    <s v="TRX-104249"/>
    <x v="64"/>
    <x v="4"/>
    <x v="7"/>
    <x v="1"/>
    <n v="204"/>
    <n v="267.64999999999998"/>
    <x v="1"/>
    <n v="14"/>
    <n v="63.649999999999899"/>
    <x v="2"/>
  </r>
  <r>
    <s v="TRX-104250"/>
    <x v="539"/>
    <x v="2"/>
    <x v="5"/>
    <x v="0"/>
    <n v="218"/>
    <n v="171.13"/>
    <x v="2"/>
    <n v="33"/>
    <n v="-46.87"/>
    <x v="9"/>
  </r>
  <r>
    <s v="TRX-104251"/>
    <x v="298"/>
    <x v="1"/>
    <x v="4"/>
    <x v="2"/>
    <n v="186"/>
    <n v="167.84"/>
    <x v="4"/>
    <n v="31"/>
    <n v="-18.159999999999901"/>
    <x v="6"/>
  </r>
  <r>
    <s v="TRX-104252"/>
    <x v="374"/>
    <x v="4"/>
    <x v="5"/>
    <x v="0"/>
    <n v="207"/>
    <n v="115.55"/>
    <x v="4"/>
    <n v="50"/>
    <n v="-91.45"/>
    <x v="0"/>
  </r>
  <r>
    <s v="TRX-104253"/>
    <x v="68"/>
    <x v="1"/>
    <x v="2"/>
    <x v="1"/>
    <n v="182"/>
    <n v="328.68"/>
    <x v="3"/>
    <n v="43"/>
    <n v="146.68"/>
    <x v="4"/>
  </r>
  <r>
    <s v="TRX-104254"/>
    <x v="231"/>
    <x v="2"/>
    <x v="3"/>
    <x v="0"/>
    <n v="223"/>
    <n v="154.15"/>
    <x v="2"/>
    <n v="18"/>
    <n v="-68.849999999999994"/>
    <x v="8"/>
  </r>
  <r>
    <s v="TRX-104255"/>
    <x v="238"/>
    <x v="1"/>
    <x v="5"/>
    <x v="2"/>
    <n v="180"/>
    <n v="269.04000000000002"/>
    <x v="4"/>
    <n v="22"/>
    <n v="89.04"/>
    <x v="3"/>
  </r>
  <r>
    <s v="TRX-104256"/>
    <x v="156"/>
    <x v="2"/>
    <x v="5"/>
    <x v="2"/>
    <n v="224"/>
    <n v="231.71"/>
    <x v="3"/>
    <n v="27"/>
    <n v="7.71"/>
    <x v="10"/>
  </r>
  <r>
    <s v="TRX-104257"/>
    <x v="696"/>
    <x v="4"/>
    <x v="3"/>
    <x v="1"/>
    <n v="205"/>
    <n v="626.12"/>
    <x v="1"/>
    <n v="9"/>
    <n v="421.12"/>
    <x v="11"/>
  </r>
  <r>
    <s v="TRX-104258"/>
    <x v="224"/>
    <x v="3"/>
    <x v="7"/>
    <x v="1"/>
    <n v="134"/>
    <n v="263.2"/>
    <x v="1"/>
    <n v="10"/>
    <n v="129.19999999999999"/>
    <x v="3"/>
  </r>
  <r>
    <s v="TRX-104259"/>
    <x v="326"/>
    <x v="0"/>
    <x v="7"/>
    <x v="2"/>
    <n v="228"/>
    <n v="213.93"/>
    <x v="4"/>
    <n v="40"/>
    <n v="-14.069999999999901"/>
    <x v="11"/>
  </r>
  <r>
    <s v="TRX-104260"/>
    <x v="39"/>
    <x v="3"/>
    <x v="4"/>
    <x v="1"/>
    <n v="135"/>
    <n v="406.26"/>
    <x v="4"/>
    <n v="22"/>
    <n v="271.26"/>
    <x v="11"/>
  </r>
  <r>
    <s v="TRX-104261"/>
    <x v="315"/>
    <x v="4"/>
    <x v="2"/>
    <x v="1"/>
    <n v="207"/>
    <n v="493.89"/>
    <x v="3"/>
    <n v="53"/>
    <n v="286.89"/>
    <x v="3"/>
  </r>
  <r>
    <s v="TRX-104262"/>
    <x v="214"/>
    <x v="0"/>
    <x v="5"/>
    <x v="2"/>
    <n v="226"/>
    <n v="274.93"/>
    <x v="3"/>
    <n v="19"/>
    <n v="48.93"/>
    <x v="1"/>
  </r>
  <r>
    <s v="TRX-104263"/>
    <x v="836"/>
    <x v="2"/>
    <x v="5"/>
    <x v="0"/>
    <n v="214"/>
    <n v="181.83"/>
    <x v="3"/>
    <n v="12"/>
    <n v="-32.169999999999902"/>
    <x v="3"/>
  </r>
  <r>
    <s v="TRX-104264"/>
    <x v="390"/>
    <x v="3"/>
    <x v="7"/>
    <x v="0"/>
    <n v="113"/>
    <n v="74.13"/>
    <x v="1"/>
    <n v="10"/>
    <n v="-38.869999999999997"/>
    <x v="10"/>
  </r>
  <r>
    <s v="TRX-104265"/>
    <x v="454"/>
    <x v="1"/>
    <x v="0"/>
    <x v="2"/>
    <n v="178"/>
    <n v="256.2"/>
    <x v="1"/>
    <n v="14"/>
    <n v="78.199999999999903"/>
    <x v="8"/>
  </r>
  <r>
    <s v="TRX-104266"/>
    <x v="860"/>
    <x v="3"/>
    <x v="5"/>
    <x v="0"/>
    <n v="116"/>
    <n v="82.92"/>
    <x v="2"/>
    <n v="32"/>
    <n v="-33.08"/>
    <x v="5"/>
  </r>
  <r>
    <s v="TRX-104267"/>
    <x v="41"/>
    <x v="2"/>
    <x v="8"/>
    <x v="0"/>
    <n v="222"/>
    <n v="113.17"/>
    <x v="0"/>
    <n v="4"/>
    <n v="-108.83"/>
    <x v="5"/>
  </r>
  <r>
    <s v="TRX-104268"/>
    <x v="11"/>
    <x v="4"/>
    <x v="2"/>
    <x v="0"/>
    <n v="210"/>
    <n v="148.28"/>
    <x v="2"/>
    <n v="24"/>
    <n v="-61.72"/>
    <x v="6"/>
  </r>
  <r>
    <s v="TRX-104269"/>
    <x v="463"/>
    <x v="1"/>
    <x v="8"/>
    <x v="1"/>
    <n v="177"/>
    <n v="512.42999999999995"/>
    <x v="3"/>
    <n v="41"/>
    <n v="335.42999999999898"/>
    <x v="10"/>
  </r>
  <r>
    <s v="TRX-104270"/>
    <x v="345"/>
    <x v="4"/>
    <x v="1"/>
    <x v="1"/>
    <n v="208"/>
    <n v="440.33"/>
    <x v="0"/>
    <n v="4"/>
    <n v="232.32999999999899"/>
    <x v="1"/>
  </r>
  <r>
    <s v="TRX-104271"/>
    <x v="486"/>
    <x v="1"/>
    <x v="0"/>
    <x v="2"/>
    <n v="171"/>
    <n v="201.55"/>
    <x v="3"/>
    <n v="52"/>
    <n v="30.55"/>
    <x v="11"/>
  </r>
  <r>
    <s v="TRX-104272"/>
    <x v="945"/>
    <x v="3"/>
    <x v="3"/>
    <x v="1"/>
    <n v="116"/>
    <n v="286.17"/>
    <x v="4"/>
    <n v="45"/>
    <n v="170.17"/>
    <x v="4"/>
  </r>
  <r>
    <s v="TRX-104273"/>
    <x v="375"/>
    <x v="3"/>
    <x v="3"/>
    <x v="2"/>
    <n v="122"/>
    <n v="154.79"/>
    <x v="2"/>
    <n v="48"/>
    <n v="32.7899999999999"/>
    <x v="0"/>
  </r>
  <r>
    <s v="TRX-104274"/>
    <x v="471"/>
    <x v="3"/>
    <x v="5"/>
    <x v="0"/>
    <n v="130"/>
    <n v="79.23"/>
    <x v="4"/>
    <n v="44"/>
    <n v="-50.769999999999897"/>
    <x v="10"/>
  </r>
  <r>
    <s v="TRX-104275"/>
    <x v="763"/>
    <x v="0"/>
    <x v="7"/>
    <x v="2"/>
    <n v="230"/>
    <n v="300.35000000000002"/>
    <x v="0"/>
    <n v="5"/>
    <n v="70.349999999999994"/>
    <x v="4"/>
  </r>
  <r>
    <s v="TRX-104276"/>
    <x v="49"/>
    <x v="2"/>
    <x v="5"/>
    <x v="1"/>
    <n v="211"/>
    <n v="570.70000000000005"/>
    <x v="0"/>
    <n v="2"/>
    <n v="359.7"/>
    <x v="3"/>
  </r>
  <r>
    <s v="TRX-104277"/>
    <x v="610"/>
    <x v="2"/>
    <x v="7"/>
    <x v="1"/>
    <n v="217"/>
    <n v="714.32"/>
    <x v="3"/>
    <n v="30"/>
    <n v="497.32"/>
    <x v="5"/>
  </r>
  <r>
    <s v="TRX-104278"/>
    <x v="849"/>
    <x v="2"/>
    <x v="7"/>
    <x v="2"/>
    <n v="224"/>
    <n v="267.04000000000002"/>
    <x v="4"/>
    <n v="43"/>
    <n v="43.04"/>
    <x v="4"/>
  </r>
  <r>
    <s v="TRX-104279"/>
    <x v="861"/>
    <x v="0"/>
    <x v="7"/>
    <x v="1"/>
    <n v="226"/>
    <n v="634.1"/>
    <x v="2"/>
    <n v="48"/>
    <n v="408.1"/>
    <x v="7"/>
  </r>
  <r>
    <s v="TRX-104280"/>
    <x v="985"/>
    <x v="1"/>
    <x v="0"/>
    <x v="0"/>
    <n v="179"/>
    <n v="128.46"/>
    <x v="4"/>
    <n v="21"/>
    <n v="-50.5399999999999"/>
    <x v="7"/>
  </r>
  <r>
    <s v="TRX-104281"/>
    <x v="371"/>
    <x v="3"/>
    <x v="7"/>
    <x v="0"/>
    <n v="135"/>
    <n v="112.49"/>
    <x v="3"/>
    <n v="12"/>
    <n v="-22.51"/>
    <x v="5"/>
  </r>
  <r>
    <s v="TRX-104282"/>
    <x v="385"/>
    <x v="1"/>
    <x v="5"/>
    <x v="0"/>
    <n v="189"/>
    <n v="102.2"/>
    <x v="3"/>
    <n v="17"/>
    <n v="-86.8"/>
    <x v="4"/>
  </r>
  <r>
    <s v="TRX-104283"/>
    <x v="203"/>
    <x v="2"/>
    <x v="4"/>
    <x v="0"/>
    <n v="222"/>
    <n v="159.53"/>
    <x v="0"/>
    <n v="11"/>
    <n v="-62.47"/>
    <x v="0"/>
  </r>
  <r>
    <s v="TRX-104284"/>
    <x v="176"/>
    <x v="0"/>
    <x v="8"/>
    <x v="0"/>
    <n v="227"/>
    <n v="144.36000000000001"/>
    <x v="1"/>
    <n v="6"/>
    <n v="-82.639999999999901"/>
    <x v="7"/>
  </r>
  <r>
    <s v="TRX-104285"/>
    <x v="839"/>
    <x v="2"/>
    <x v="5"/>
    <x v="2"/>
    <n v="221"/>
    <n v="199.32"/>
    <x v="4"/>
    <n v="40"/>
    <n v="-21.68"/>
    <x v="11"/>
  </r>
  <r>
    <s v="TRX-104286"/>
    <x v="754"/>
    <x v="4"/>
    <x v="0"/>
    <x v="0"/>
    <n v="204"/>
    <n v="161.19"/>
    <x v="2"/>
    <n v="48"/>
    <n v="-42.81"/>
    <x v="11"/>
  </r>
  <r>
    <s v="TRX-104287"/>
    <x v="941"/>
    <x v="4"/>
    <x v="7"/>
    <x v="2"/>
    <n v="207"/>
    <n v="247.71"/>
    <x v="3"/>
    <n v="41"/>
    <n v="40.71"/>
    <x v="3"/>
  </r>
  <r>
    <s v="TRX-104288"/>
    <x v="986"/>
    <x v="0"/>
    <x v="3"/>
    <x v="1"/>
    <n v="227"/>
    <n v="729.03"/>
    <x v="1"/>
    <n v="2"/>
    <n v="502.03"/>
    <x v="3"/>
  </r>
  <r>
    <s v="TRX-104289"/>
    <x v="184"/>
    <x v="4"/>
    <x v="7"/>
    <x v="0"/>
    <n v="200"/>
    <n v="150.9"/>
    <x v="2"/>
    <n v="42"/>
    <n v="-49.099999999999902"/>
    <x v="8"/>
  </r>
  <r>
    <s v="TRX-104290"/>
    <x v="21"/>
    <x v="3"/>
    <x v="8"/>
    <x v="2"/>
    <n v="123"/>
    <n v="140.02000000000001"/>
    <x v="1"/>
    <n v="14"/>
    <n v="17.02"/>
    <x v="4"/>
  </r>
  <r>
    <s v="TRX-104291"/>
    <x v="39"/>
    <x v="4"/>
    <x v="2"/>
    <x v="1"/>
    <n v="202"/>
    <n v="637.22"/>
    <x v="4"/>
    <n v="47"/>
    <n v="435.22"/>
    <x v="11"/>
  </r>
  <r>
    <s v="TRX-104292"/>
    <x v="772"/>
    <x v="0"/>
    <x v="6"/>
    <x v="2"/>
    <n v="230"/>
    <n v="329.07"/>
    <x v="3"/>
    <n v="19"/>
    <n v="99.07"/>
    <x v="11"/>
  </r>
  <r>
    <s v="TRX-104293"/>
    <x v="236"/>
    <x v="2"/>
    <x v="1"/>
    <x v="1"/>
    <n v="222"/>
    <n v="357.51"/>
    <x v="4"/>
    <n v="17"/>
    <n v="135.51"/>
    <x v="8"/>
  </r>
  <r>
    <s v="TRX-104294"/>
    <x v="987"/>
    <x v="0"/>
    <x v="1"/>
    <x v="2"/>
    <n v="228"/>
    <n v="255.47"/>
    <x v="4"/>
    <n v="16"/>
    <n v="27.47"/>
    <x v="10"/>
  </r>
  <r>
    <s v="TRX-104295"/>
    <x v="355"/>
    <x v="4"/>
    <x v="5"/>
    <x v="1"/>
    <n v="204"/>
    <n v="613.77"/>
    <x v="1"/>
    <n v="12"/>
    <n v="409.77"/>
    <x v="11"/>
  </r>
  <r>
    <s v="TRX-104296"/>
    <x v="110"/>
    <x v="2"/>
    <x v="5"/>
    <x v="2"/>
    <n v="214"/>
    <n v="274.14999999999998"/>
    <x v="1"/>
    <n v="11"/>
    <n v="60.149999999999899"/>
    <x v="1"/>
  </r>
  <r>
    <s v="TRX-104297"/>
    <x v="643"/>
    <x v="2"/>
    <x v="1"/>
    <x v="2"/>
    <n v="210"/>
    <n v="218.8"/>
    <x v="0"/>
    <n v="11"/>
    <n v="8.8000000000000096"/>
    <x v="7"/>
  </r>
  <r>
    <s v="TRX-104298"/>
    <x v="106"/>
    <x v="3"/>
    <x v="8"/>
    <x v="1"/>
    <n v="124"/>
    <n v="170.83"/>
    <x v="0"/>
    <n v="6"/>
    <n v="46.83"/>
    <x v="8"/>
  </r>
  <r>
    <s v="TRX-104299"/>
    <x v="423"/>
    <x v="1"/>
    <x v="2"/>
    <x v="2"/>
    <n v="179"/>
    <n v="257.38"/>
    <x v="3"/>
    <n v="5"/>
    <n v="78.38"/>
    <x v="10"/>
  </r>
  <r>
    <s v="TRX-104300"/>
    <x v="502"/>
    <x v="3"/>
    <x v="0"/>
    <x v="2"/>
    <n v="115"/>
    <n v="127.37"/>
    <x v="2"/>
    <n v="43"/>
    <n v="12.37"/>
    <x v="0"/>
  </r>
  <r>
    <s v="TRX-104301"/>
    <x v="343"/>
    <x v="3"/>
    <x v="1"/>
    <x v="2"/>
    <n v="131"/>
    <n v="180.16"/>
    <x v="0"/>
    <n v="8"/>
    <n v="49.16"/>
    <x v="8"/>
  </r>
  <r>
    <s v="TRX-104302"/>
    <x v="895"/>
    <x v="0"/>
    <x v="3"/>
    <x v="2"/>
    <n v="230"/>
    <n v="337.91"/>
    <x v="4"/>
    <n v="18"/>
    <n v="107.91"/>
    <x v="4"/>
  </r>
  <r>
    <s v="TRX-104303"/>
    <x v="81"/>
    <x v="3"/>
    <x v="4"/>
    <x v="0"/>
    <n v="136"/>
    <n v="89"/>
    <x v="1"/>
    <n v="9"/>
    <n v="-47"/>
    <x v="10"/>
  </r>
  <r>
    <s v="TRX-104304"/>
    <x v="432"/>
    <x v="2"/>
    <x v="2"/>
    <x v="0"/>
    <n v="213"/>
    <n v="113.23"/>
    <x v="3"/>
    <n v="53"/>
    <n v="-99.77"/>
    <x v="5"/>
  </r>
  <r>
    <s v="TRX-104305"/>
    <x v="435"/>
    <x v="2"/>
    <x v="3"/>
    <x v="0"/>
    <n v="216"/>
    <n v="113.65"/>
    <x v="0"/>
    <n v="9"/>
    <n v="-102.35"/>
    <x v="10"/>
  </r>
  <r>
    <s v="TRX-104306"/>
    <x v="578"/>
    <x v="4"/>
    <x v="5"/>
    <x v="0"/>
    <n v="209"/>
    <n v="135.1"/>
    <x v="3"/>
    <n v="22"/>
    <n v="-73.900000000000006"/>
    <x v="8"/>
  </r>
  <r>
    <s v="TRX-104307"/>
    <x v="171"/>
    <x v="4"/>
    <x v="4"/>
    <x v="0"/>
    <n v="202"/>
    <n v="134.76"/>
    <x v="1"/>
    <n v="11"/>
    <n v="-67.239999999999995"/>
    <x v="11"/>
  </r>
  <r>
    <s v="TRX-104308"/>
    <x v="231"/>
    <x v="0"/>
    <x v="0"/>
    <x v="1"/>
    <n v="225"/>
    <n v="615.9"/>
    <x v="3"/>
    <n v="40"/>
    <n v="390.9"/>
    <x v="8"/>
  </r>
  <r>
    <s v="TRX-104309"/>
    <x v="590"/>
    <x v="1"/>
    <x v="3"/>
    <x v="2"/>
    <n v="189"/>
    <n v="222.14"/>
    <x v="4"/>
    <n v="47"/>
    <n v="33.139999999999901"/>
    <x v="6"/>
  </r>
  <r>
    <s v="TRX-104310"/>
    <x v="252"/>
    <x v="2"/>
    <x v="0"/>
    <x v="0"/>
    <n v="218"/>
    <n v="176.34"/>
    <x v="0"/>
    <n v="10"/>
    <n v="-41.66"/>
    <x v="4"/>
  </r>
  <r>
    <s v="TRX-104311"/>
    <x v="347"/>
    <x v="0"/>
    <x v="4"/>
    <x v="2"/>
    <n v="227"/>
    <n v="264.89999999999998"/>
    <x v="1"/>
    <n v="8"/>
    <n v="37.899999999999899"/>
    <x v="11"/>
  </r>
  <r>
    <s v="TRX-104312"/>
    <x v="158"/>
    <x v="3"/>
    <x v="8"/>
    <x v="2"/>
    <n v="111"/>
    <n v="119.81"/>
    <x v="2"/>
    <n v="24"/>
    <n v="8.81"/>
    <x v="10"/>
  </r>
  <r>
    <s v="TRX-104313"/>
    <x v="351"/>
    <x v="4"/>
    <x v="2"/>
    <x v="0"/>
    <n v="208"/>
    <n v="178.22"/>
    <x v="2"/>
    <n v="11"/>
    <n v="-29.78"/>
    <x v="5"/>
  </r>
  <r>
    <s v="TRX-104314"/>
    <x v="501"/>
    <x v="4"/>
    <x v="8"/>
    <x v="2"/>
    <n v="204"/>
    <n v="214.63"/>
    <x v="0"/>
    <n v="2"/>
    <n v="10.6299999999999"/>
    <x v="0"/>
  </r>
  <r>
    <s v="TRX-104315"/>
    <x v="44"/>
    <x v="0"/>
    <x v="2"/>
    <x v="1"/>
    <n v="228"/>
    <n v="310.67"/>
    <x v="4"/>
    <n v="19"/>
    <n v="82.67"/>
    <x v="5"/>
  </r>
  <r>
    <s v="TRX-104316"/>
    <x v="748"/>
    <x v="1"/>
    <x v="7"/>
    <x v="0"/>
    <n v="185"/>
    <n v="163.61000000000001"/>
    <x v="1"/>
    <n v="6"/>
    <n v="-21.389999999999901"/>
    <x v="9"/>
  </r>
  <r>
    <s v="TRX-104317"/>
    <x v="571"/>
    <x v="3"/>
    <x v="7"/>
    <x v="1"/>
    <n v="139"/>
    <n v="482.84"/>
    <x v="3"/>
    <n v="40"/>
    <n v="343.84"/>
    <x v="0"/>
  </r>
  <r>
    <s v="TRX-104318"/>
    <x v="818"/>
    <x v="2"/>
    <x v="5"/>
    <x v="2"/>
    <n v="218"/>
    <n v="236.17"/>
    <x v="4"/>
    <n v="22"/>
    <n v="18.169999999999899"/>
    <x v="2"/>
  </r>
  <r>
    <s v="TRX-104319"/>
    <x v="328"/>
    <x v="2"/>
    <x v="0"/>
    <x v="1"/>
    <n v="217"/>
    <n v="503.56"/>
    <x v="0"/>
    <n v="5"/>
    <n v="286.56"/>
    <x v="10"/>
  </r>
  <r>
    <s v="TRX-104320"/>
    <x v="922"/>
    <x v="1"/>
    <x v="4"/>
    <x v="1"/>
    <n v="190"/>
    <n v="318.42"/>
    <x v="1"/>
    <n v="2"/>
    <n v="128.41999999999999"/>
    <x v="5"/>
  </r>
  <r>
    <s v="TRX-104321"/>
    <x v="542"/>
    <x v="3"/>
    <x v="3"/>
    <x v="1"/>
    <n v="133"/>
    <n v="209.74"/>
    <x v="1"/>
    <n v="10"/>
    <n v="76.739999999999995"/>
    <x v="3"/>
  </r>
  <r>
    <s v="TRX-104322"/>
    <x v="823"/>
    <x v="1"/>
    <x v="3"/>
    <x v="1"/>
    <n v="171"/>
    <n v="413.64"/>
    <x v="1"/>
    <n v="3"/>
    <n v="242.64"/>
    <x v="4"/>
  </r>
  <r>
    <s v="TRX-104323"/>
    <x v="534"/>
    <x v="0"/>
    <x v="1"/>
    <x v="1"/>
    <n v="227"/>
    <n v="664.99"/>
    <x v="2"/>
    <n v="40"/>
    <n v="437.99"/>
    <x v="4"/>
  </r>
  <r>
    <s v="TRX-104324"/>
    <x v="533"/>
    <x v="0"/>
    <x v="5"/>
    <x v="0"/>
    <n v="227"/>
    <n v="168.46"/>
    <x v="3"/>
    <n v="41"/>
    <n v="-58.5399999999999"/>
    <x v="4"/>
  </r>
  <r>
    <s v="TRX-104325"/>
    <x v="595"/>
    <x v="1"/>
    <x v="1"/>
    <x v="2"/>
    <n v="182"/>
    <n v="221.66"/>
    <x v="2"/>
    <n v="20"/>
    <n v="39.659999999999997"/>
    <x v="0"/>
  </r>
  <r>
    <s v="TRX-104326"/>
    <x v="337"/>
    <x v="0"/>
    <x v="7"/>
    <x v="2"/>
    <n v="230"/>
    <n v="303.12"/>
    <x v="3"/>
    <n v="26"/>
    <n v="73.12"/>
    <x v="2"/>
  </r>
  <r>
    <s v="TRX-104327"/>
    <x v="353"/>
    <x v="2"/>
    <x v="0"/>
    <x v="1"/>
    <n v="220"/>
    <n v="364.86"/>
    <x v="3"/>
    <n v="33"/>
    <n v="144.86000000000001"/>
    <x v="1"/>
  </r>
  <r>
    <s v="TRX-104328"/>
    <x v="599"/>
    <x v="2"/>
    <x v="0"/>
    <x v="2"/>
    <n v="213"/>
    <n v="318.87"/>
    <x v="4"/>
    <n v="10"/>
    <n v="105.87"/>
    <x v="7"/>
  </r>
  <r>
    <s v="TRX-104329"/>
    <x v="527"/>
    <x v="2"/>
    <x v="5"/>
    <x v="1"/>
    <n v="219"/>
    <n v="464.54"/>
    <x v="3"/>
    <n v="26"/>
    <n v="245.54"/>
    <x v="4"/>
  </r>
  <r>
    <s v="TRX-104330"/>
    <x v="31"/>
    <x v="1"/>
    <x v="3"/>
    <x v="2"/>
    <n v="177"/>
    <n v="171.21"/>
    <x v="1"/>
    <n v="6"/>
    <n v="-5.7899999999999903"/>
    <x v="6"/>
  </r>
  <r>
    <s v="TRX-104331"/>
    <x v="877"/>
    <x v="0"/>
    <x v="7"/>
    <x v="0"/>
    <n v="228"/>
    <n v="175.66"/>
    <x v="3"/>
    <n v="7"/>
    <n v="-52.34"/>
    <x v="10"/>
  </r>
  <r>
    <s v="TRX-104332"/>
    <x v="921"/>
    <x v="2"/>
    <x v="7"/>
    <x v="2"/>
    <n v="213"/>
    <n v="289.70999999999998"/>
    <x v="2"/>
    <n v="48"/>
    <n v="76.709999999999894"/>
    <x v="0"/>
  </r>
  <r>
    <s v="TRX-104333"/>
    <x v="482"/>
    <x v="0"/>
    <x v="1"/>
    <x v="0"/>
    <n v="228"/>
    <n v="117.67"/>
    <x v="4"/>
    <n v="5"/>
    <n v="-110.33"/>
    <x v="1"/>
  </r>
  <r>
    <s v="TRX-104334"/>
    <x v="962"/>
    <x v="4"/>
    <x v="5"/>
    <x v="1"/>
    <n v="210"/>
    <n v="610.54999999999995"/>
    <x v="1"/>
    <n v="4"/>
    <n v="400.54999999999899"/>
    <x v="7"/>
  </r>
  <r>
    <s v="TRX-104335"/>
    <x v="795"/>
    <x v="0"/>
    <x v="4"/>
    <x v="2"/>
    <n v="226"/>
    <n v="249.59"/>
    <x v="0"/>
    <n v="8"/>
    <n v="23.59"/>
    <x v="10"/>
  </r>
  <r>
    <s v="TRX-104336"/>
    <x v="981"/>
    <x v="1"/>
    <x v="6"/>
    <x v="0"/>
    <n v="177"/>
    <n v="97.82"/>
    <x v="4"/>
    <n v="6"/>
    <n v="-79.180000000000007"/>
    <x v="4"/>
  </r>
  <r>
    <s v="TRX-104337"/>
    <x v="229"/>
    <x v="4"/>
    <x v="5"/>
    <x v="2"/>
    <n v="202"/>
    <n v="254.23"/>
    <x v="0"/>
    <n v="10"/>
    <n v="52.229999999999897"/>
    <x v="2"/>
  </r>
  <r>
    <s v="TRX-104338"/>
    <x v="387"/>
    <x v="3"/>
    <x v="5"/>
    <x v="0"/>
    <n v="120"/>
    <n v="71.63"/>
    <x v="2"/>
    <n v="59"/>
    <n v="-48.37"/>
    <x v="3"/>
  </r>
  <r>
    <s v="TRX-104339"/>
    <x v="75"/>
    <x v="2"/>
    <x v="3"/>
    <x v="0"/>
    <n v="214"/>
    <n v="121.61"/>
    <x v="1"/>
    <n v="13"/>
    <n v="-92.39"/>
    <x v="4"/>
  </r>
  <r>
    <s v="TRX-104340"/>
    <x v="643"/>
    <x v="4"/>
    <x v="6"/>
    <x v="2"/>
    <n v="209"/>
    <n v="245.06"/>
    <x v="0"/>
    <n v="9"/>
    <n v="36.06"/>
    <x v="7"/>
  </r>
  <r>
    <s v="TRX-104341"/>
    <x v="838"/>
    <x v="2"/>
    <x v="1"/>
    <x v="0"/>
    <n v="212"/>
    <n v="189.2"/>
    <x v="0"/>
    <n v="12"/>
    <n v="-22.8"/>
    <x v="2"/>
  </r>
  <r>
    <s v="TRX-104342"/>
    <x v="763"/>
    <x v="0"/>
    <x v="5"/>
    <x v="2"/>
    <n v="225"/>
    <n v="315.08"/>
    <x v="0"/>
    <n v="14"/>
    <n v="90.079999999999899"/>
    <x v="4"/>
  </r>
  <r>
    <s v="TRX-104343"/>
    <x v="354"/>
    <x v="4"/>
    <x v="8"/>
    <x v="2"/>
    <n v="205"/>
    <n v="218.51"/>
    <x v="0"/>
    <n v="9"/>
    <n v="13.5099999999999"/>
    <x v="10"/>
  </r>
  <r>
    <s v="TRX-104344"/>
    <x v="851"/>
    <x v="2"/>
    <x v="5"/>
    <x v="1"/>
    <n v="216"/>
    <n v="741.96"/>
    <x v="0"/>
    <n v="3"/>
    <n v="525.96"/>
    <x v="10"/>
  </r>
  <r>
    <s v="TRX-104345"/>
    <x v="678"/>
    <x v="3"/>
    <x v="0"/>
    <x v="2"/>
    <n v="138"/>
    <n v="192.75"/>
    <x v="1"/>
    <n v="14"/>
    <n v="54.75"/>
    <x v="2"/>
  </r>
  <r>
    <s v="TRX-104346"/>
    <x v="899"/>
    <x v="2"/>
    <x v="8"/>
    <x v="1"/>
    <n v="225"/>
    <n v="498.21"/>
    <x v="0"/>
    <n v="8"/>
    <n v="273.20999999999998"/>
    <x v="8"/>
  </r>
  <r>
    <s v="TRX-104347"/>
    <x v="956"/>
    <x v="2"/>
    <x v="3"/>
    <x v="2"/>
    <n v="222"/>
    <n v="295.58"/>
    <x v="3"/>
    <n v="46"/>
    <n v="73.579999999999899"/>
    <x v="2"/>
  </r>
  <r>
    <s v="TRX-104348"/>
    <x v="209"/>
    <x v="3"/>
    <x v="7"/>
    <x v="2"/>
    <n v="137"/>
    <n v="197.14"/>
    <x v="0"/>
    <n v="3"/>
    <n v="60.139999999999901"/>
    <x v="3"/>
  </r>
  <r>
    <s v="TRX-104349"/>
    <x v="881"/>
    <x v="4"/>
    <x v="7"/>
    <x v="1"/>
    <n v="200"/>
    <n v="497.82"/>
    <x v="4"/>
    <n v="29"/>
    <n v="297.82"/>
    <x v="5"/>
  </r>
  <r>
    <s v="TRX-104350"/>
    <x v="988"/>
    <x v="3"/>
    <x v="4"/>
    <x v="1"/>
    <n v="124"/>
    <n v="408.62"/>
    <x v="3"/>
    <n v="39"/>
    <n v="284.62"/>
    <x v="5"/>
  </r>
  <r>
    <s v="TRX-104351"/>
    <x v="940"/>
    <x v="2"/>
    <x v="4"/>
    <x v="1"/>
    <n v="222"/>
    <n v="661"/>
    <x v="0"/>
    <n v="5"/>
    <n v="439"/>
    <x v="2"/>
  </r>
  <r>
    <s v="TRX-104352"/>
    <x v="686"/>
    <x v="2"/>
    <x v="0"/>
    <x v="0"/>
    <n v="221"/>
    <n v="113.72"/>
    <x v="0"/>
    <n v="13"/>
    <n v="-107.28"/>
    <x v="0"/>
  </r>
  <r>
    <s v="TRX-104353"/>
    <x v="153"/>
    <x v="2"/>
    <x v="5"/>
    <x v="0"/>
    <n v="216"/>
    <n v="179.09"/>
    <x v="0"/>
    <n v="14"/>
    <n v="-36.909999999999997"/>
    <x v="2"/>
  </r>
  <r>
    <s v="TRX-104354"/>
    <x v="586"/>
    <x v="3"/>
    <x v="8"/>
    <x v="1"/>
    <n v="129"/>
    <n v="346.18"/>
    <x v="4"/>
    <n v="39"/>
    <n v="217.18"/>
    <x v="11"/>
  </r>
  <r>
    <s v="TRX-104355"/>
    <x v="248"/>
    <x v="4"/>
    <x v="0"/>
    <x v="2"/>
    <n v="204"/>
    <n v="231.42"/>
    <x v="4"/>
    <n v="23"/>
    <n v="27.419999999999899"/>
    <x v="2"/>
  </r>
  <r>
    <s v="TRX-104356"/>
    <x v="968"/>
    <x v="3"/>
    <x v="4"/>
    <x v="0"/>
    <n v="125"/>
    <n v="82.98"/>
    <x v="0"/>
    <n v="7"/>
    <n v="-42.019999999999897"/>
    <x v="6"/>
  </r>
  <r>
    <s v="TRX-104357"/>
    <x v="876"/>
    <x v="2"/>
    <x v="3"/>
    <x v="2"/>
    <n v="210"/>
    <n v="253.6"/>
    <x v="3"/>
    <n v="9"/>
    <n v="43.599999999999902"/>
    <x v="7"/>
  </r>
  <r>
    <s v="TRX-104358"/>
    <x v="945"/>
    <x v="2"/>
    <x v="5"/>
    <x v="1"/>
    <n v="225"/>
    <n v="736.31"/>
    <x v="0"/>
    <n v="11"/>
    <n v="511.30999999999898"/>
    <x v="4"/>
  </r>
  <r>
    <s v="TRX-104359"/>
    <x v="449"/>
    <x v="0"/>
    <x v="0"/>
    <x v="0"/>
    <n v="225"/>
    <n v="177.28"/>
    <x v="4"/>
    <n v="24"/>
    <n v="-47.72"/>
    <x v="5"/>
  </r>
  <r>
    <s v="TRX-104360"/>
    <x v="722"/>
    <x v="3"/>
    <x v="4"/>
    <x v="2"/>
    <n v="135"/>
    <n v="164.67"/>
    <x v="3"/>
    <n v="42"/>
    <n v="29.669999999999899"/>
    <x v="0"/>
  </r>
  <r>
    <s v="TRX-104361"/>
    <x v="659"/>
    <x v="1"/>
    <x v="0"/>
    <x v="2"/>
    <n v="174"/>
    <n v="209.22"/>
    <x v="4"/>
    <n v="12"/>
    <n v="35.22"/>
    <x v="3"/>
  </r>
  <r>
    <s v="TRX-104362"/>
    <x v="699"/>
    <x v="3"/>
    <x v="5"/>
    <x v="2"/>
    <n v="117"/>
    <n v="153.6"/>
    <x v="3"/>
    <n v="17"/>
    <n v="36.599999999999902"/>
    <x v="11"/>
  </r>
  <r>
    <s v="TRX-104363"/>
    <x v="199"/>
    <x v="4"/>
    <x v="8"/>
    <x v="0"/>
    <n v="205"/>
    <n v="137.26"/>
    <x v="1"/>
    <n v="12"/>
    <n v="-67.739999999999995"/>
    <x v="8"/>
  </r>
  <r>
    <s v="TRX-104364"/>
    <x v="859"/>
    <x v="0"/>
    <x v="0"/>
    <x v="1"/>
    <n v="225"/>
    <n v="568.91999999999996"/>
    <x v="0"/>
    <n v="10"/>
    <n v="343.91999999999899"/>
    <x v="10"/>
  </r>
  <r>
    <s v="TRX-104365"/>
    <x v="148"/>
    <x v="0"/>
    <x v="5"/>
    <x v="2"/>
    <n v="228"/>
    <n v="244.33"/>
    <x v="2"/>
    <n v="46"/>
    <n v="16.329999999999998"/>
    <x v="0"/>
  </r>
  <r>
    <s v="TRX-104366"/>
    <x v="802"/>
    <x v="2"/>
    <x v="1"/>
    <x v="1"/>
    <n v="220"/>
    <n v="284.52999999999997"/>
    <x v="3"/>
    <n v="5"/>
    <n v="64.529999999999902"/>
    <x v="10"/>
  </r>
  <r>
    <s v="TRX-104367"/>
    <x v="538"/>
    <x v="0"/>
    <x v="5"/>
    <x v="2"/>
    <n v="225"/>
    <n v="210.33"/>
    <x v="2"/>
    <n v="56"/>
    <n v="-14.6699999999999"/>
    <x v="1"/>
  </r>
  <r>
    <s v="TRX-104368"/>
    <x v="671"/>
    <x v="2"/>
    <x v="4"/>
    <x v="1"/>
    <n v="212"/>
    <n v="417.15"/>
    <x v="0"/>
    <n v="10"/>
    <n v="205.14999999999901"/>
    <x v="2"/>
  </r>
  <r>
    <s v="TRX-104369"/>
    <x v="545"/>
    <x v="4"/>
    <x v="7"/>
    <x v="2"/>
    <n v="203"/>
    <n v="269.64999999999998"/>
    <x v="4"/>
    <n v="49"/>
    <n v="66.649999999999906"/>
    <x v="3"/>
  </r>
  <r>
    <s v="TRX-104370"/>
    <x v="133"/>
    <x v="4"/>
    <x v="6"/>
    <x v="0"/>
    <n v="203"/>
    <n v="176.53"/>
    <x v="3"/>
    <n v="6"/>
    <n v="-26.47"/>
    <x v="3"/>
  </r>
  <r>
    <s v="TRX-104371"/>
    <x v="270"/>
    <x v="3"/>
    <x v="0"/>
    <x v="1"/>
    <n v="122"/>
    <n v="333.85"/>
    <x v="4"/>
    <n v="5"/>
    <n v="211.85"/>
    <x v="5"/>
  </r>
  <r>
    <s v="TRX-104372"/>
    <x v="265"/>
    <x v="4"/>
    <x v="1"/>
    <x v="0"/>
    <n v="206"/>
    <n v="106.69"/>
    <x v="0"/>
    <n v="1"/>
    <n v="-99.31"/>
    <x v="1"/>
  </r>
  <r>
    <s v="TRX-104373"/>
    <x v="615"/>
    <x v="1"/>
    <x v="7"/>
    <x v="2"/>
    <n v="190"/>
    <n v="227.19"/>
    <x v="1"/>
    <n v="13"/>
    <n v="37.19"/>
    <x v="9"/>
  </r>
  <r>
    <s v="TRX-104374"/>
    <x v="883"/>
    <x v="3"/>
    <x v="5"/>
    <x v="1"/>
    <n v="138"/>
    <n v="468.1"/>
    <x v="2"/>
    <n v="45"/>
    <n v="330.1"/>
    <x v="9"/>
  </r>
  <r>
    <s v="TRX-104375"/>
    <x v="326"/>
    <x v="2"/>
    <x v="8"/>
    <x v="1"/>
    <n v="225"/>
    <n v="433.72"/>
    <x v="0"/>
    <n v="5"/>
    <n v="208.72"/>
    <x v="11"/>
  </r>
  <r>
    <s v="TRX-104376"/>
    <x v="292"/>
    <x v="2"/>
    <x v="0"/>
    <x v="2"/>
    <n v="214"/>
    <n v="286.49"/>
    <x v="4"/>
    <n v="16"/>
    <n v="72.489999999999995"/>
    <x v="5"/>
  </r>
  <r>
    <s v="TRX-104377"/>
    <x v="11"/>
    <x v="2"/>
    <x v="0"/>
    <x v="2"/>
    <n v="215"/>
    <n v="232.42"/>
    <x v="3"/>
    <n v="60"/>
    <n v="17.419999999999899"/>
    <x v="6"/>
  </r>
  <r>
    <s v="TRX-104378"/>
    <x v="235"/>
    <x v="3"/>
    <x v="1"/>
    <x v="1"/>
    <n v="127"/>
    <n v="410.1"/>
    <x v="1"/>
    <n v="11"/>
    <n v="283.10000000000002"/>
    <x v="7"/>
  </r>
  <r>
    <s v="TRX-104379"/>
    <x v="10"/>
    <x v="0"/>
    <x v="5"/>
    <x v="2"/>
    <n v="228"/>
    <n v="251.81"/>
    <x v="2"/>
    <n v="5"/>
    <n v="23.81"/>
    <x v="5"/>
  </r>
  <r>
    <s v="TRX-104380"/>
    <x v="363"/>
    <x v="3"/>
    <x v="1"/>
    <x v="2"/>
    <n v="124"/>
    <n v="141.04"/>
    <x v="2"/>
    <n v="17"/>
    <n v="17.0399999999999"/>
    <x v="3"/>
  </r>
  <r>
    <s v="TRX-104381"/>
    <x v="847"/>
    <x v="4"/>
    <x v="7"/>
    <x v="2"/>
    <n v="206"/>
    <n v="233.7"/>
    <x v="1"/>
    <n v="3"/>
    <n v="27.6999999999999"/>
    <x v="3"/>
  </r>
  <r>
    <s v="TRX-104382"/>
    <x v="230"/>
    <x v="4"/>
    <x v="3"/>
    <x v="1"/>
    <n v="208"/>
    <n v="279.88"/>
    <x v="4"/>
    <n v="31"/>
    <n v="71.88"/>
    <x v="4"/>
  </r>
  <r>
    <s v="TRX-104383"/>
    <x v="503"/>
    <x v="0"/>
    <x v="7"/>
    <x v="2"/>
    <n v="225"/>
    <n v="333.88"/>
    <x v="3"/>
    <n v="32"/>
    <n v="108.88"/>
    <x v="8"/>
  </r>
  <r>
    <s v="TRX-104384"/>
    <x v="349"/>
    <x v="1"/>
    <x v="1"/>
    <x v="1"/>
    <n v="183"/>
    <n v="275.75"/>
    <x v="3"/>
    <n v="37"/>
    <n v="92.75"/>
    <x v="5"/>
  </r>
  <r>
    <s v="TRX-104385"/>
    <x v="240"/>
    <x v="2"/>
    <x v="7"/>
    <x v="0"/>
    <n v="217"/>
    <n v="172.85"/>
    <x v="3"/>
    <n v="44"/>
    <n v="-44.15"/>
    <x v="4"/>
  </r>
  <r>
    <s v="TRX-104386"/>
    <x v="203"/>
    <x v="4"/>
    <x v="1"/>
    <x v="2"/>
    <n v="210"/>
    <n v="251.48"/>
    <x v="4"/>
    <n v="21"/>
    <n v="41.479999999999897"/>
    <x v="0"/>
  </r>
  <r>
    <s v="TRX-104387"/>
    <x v="142"/>
    <x v="0"/>
    <x v="8"/>
    <x v="0"/>
    <n v="229"/>
    <n v="184.68"/>
    <x v="3"/>
    <n v="38"/>
    <n v="-44.319999999999901"/>
    <x v="3"/>
  </r>
  <r>
    <s v="TRX-104388"/>
    <x v="809"/>
    <x v="3"/>
    <x v="2"/>
    <x v="2"/>
    <n v="129"/>
    <n v="188.02"/>
    <x v="0"/>
    <n v="1"/>
    <n v="59.02"/>
    <x v="3"/>
  </r>
  <r>
    <s v="TRX-104389"/>
    <x v="82"/>
    <x v="4"/>
    <x v="6"/>
    <x v="1"/>
    <n v="207"/>
    <n v="584.96"/>
    <x v="3"/>
    <n v="52"/>
    <n v="377.96"/>
    <x v="5"/>
  </r>
  <r>
    <s v="TRX-104390"/>
    <x v="395"/>
    <x v="2"/>
    <x v="4"/>
    <x v="0"/>
    <n v="210"/>
    <n v="184.02"/>
    <x v="3"/>
    <n v="51"/>
    <n v="-25.979999999999901"/>
    <x v="6"/>
  </r>
  <r>
    <s v="TRX-104391"/>
    <x v="214"/>
    <x v="2"/>
    <x v="2"/>
    <x v="0"/>
    <n v="215"/>
    <n v="190.5"/>
    <x v="4"/>
    <n v="33"/>
    <n v="-24.5"/>
    <x v="1"/>
  </r>
  <r>
    <s v="TRX-104392"/>
    <x v="669"/>
    <x v="4"/>
    <x v="7"/>
    <x v="1"/>
    <n v="204"/>
    <n v="499.57"/>
    <x v="0"/>
    <n v="4"/>
    <n v="295.57"/>
    <x v="8"/>
  </r>
  <r>
    <s v="TRX-104393"/>
    <x v="580"/>
    <x v="0"/>
    <x v="4"/>
    <x v="2"/>
    <n v="226"/>
    <n v="250.05"/>
    <x v="0"/>
    <n v="12"/>
    <n v="24.05"/>
    <x v="2"/>
  </r>
  <r>
    <s v="TRX-104394"/>
    <x v="948"/>
    <x v="4"/>
    <x v="3"/>
    <x v="1"/>
    <n v="203"/>
    <n v="691.4"/>
    <x v="4"/>
    <n v="8"/>
    <n v="488.4"/>
    <x v="5"/>
  </r>
  <r>
    <s v="TRX-104395"/>
    <x v="692"/>
    <x v="0"/>
    <x v="5"/>
    <x v="1"/>
    <n v="225"/>
    <n v="274.87"/>
    <x v="0"/>
    <n v="13"/>
    <n v="49.87"/>
    <x v="3"/>
  </r>
  <r>
    <s v="TRX-104396"/>
    <x v="141"/>
    <x v="3"/>
    <x v="5"/>
    <x v="0"/>
    <n v="136"/>
    <n v="79.540000000000006"/>
    <x v="3"/>
    <n v="33"/>
    <n v="-56.459999999999901"/>
    <x v="3"/>
  </r>
  <r>
    <s v="TRX-104397"/>
    <x v="456"/>
    <x v="1"/>
    <x v="4"/>
    <x v="2"/>
    <n v="177"/>
    <n v="177.89"/>
    <x v="0"/>
    <n v="7"/>
    <n v="0.88999999999998602"/>
    <x v="1"/>
  </r>
  <r>
    <s v="TRX-104398"/>
    <x v="759"/>
    <x v="3"/>
    <x v="0"/>
    <x v="1"/>
    <n v="126"/>
    <n v="287.89"/>
    <x v="0"/>
    <n v="4"/>
    <n v="161.88999999999999"/>
    <x v="7"/>
  </r>
  <r>
    <s v="TRX-104399"/>
    <x v="381"/>
    <x v="3"/>
    <x v="1"/>
    <x v="2"/>
    <n v="120"/>
    <n v="127.23"/>
    <x v="2"/>
    <n v="41"/>
    <n v="7.23"/>
    <x v="1"/>
  </r>
  <r>
    <s v="TRX-104400"/>
    <x v="51"/>
    <x v="1"/>
    <x v="8"/>
    <x v="1"/>
    <n v="171"/>
    <n v="345.46"/>
    <x v="3"/>
    <n v="19"/>
    <n v="174.45999999999901"/>
    <x v="3"/>
  </r>
  <r>
    <s v="TRX-104401"/>
    <x v="504"/>
    <x v="1"/>
    <x v="3"/>
    <x v="0"/>
    <n v="171"/>
    <n v="109.29"/>
    <x v="0"/>
    <n v="10"/>
    <n v="-61.709999999999901"/>
    <x v="0"/>
  </r>
  <r>
    <s v="TRX-104402"/>
    <x v="722"/>
    <x v="3"/>
    <x v="2"/>
    <x v="1"/>
    <n v="126"/>
    <n v="313.86"/>
    <x v="4"/>
    <n v="19"/>
    <n v="187.86"/>
    <x v="0"/>
  </r>
  <r>
    <s v="TRX-104403"/>
    <x v="453"/>
    <x v="4"/>
    <x v="3"/>
    <x v="2"/>
    <n v="202"/>
    <n v="296.20999999999998"/>
    <x v="2"/>
    <n v="25"/>
    <n v="94.209999999999894"/>
    <x v="2"/>
  </r>
  <r>
    <s v="TRX-104404"/>
    <x v="639"/>
    <x v="3"/>
    <x v="8"/>
    <x v="0"/>
    <n v="117"/>
    <n v="102.61"/>
    <x v="1"/>
    <n v="10"/>
    <n v="-14.39"/>
    <x v="10"/>
  </r>
  <r>
    <s v="TRX-104405"/>
    <x v="382"/>
    <x v="3"/>
    <x v="8"/>
    <x v="1"/>
    <n v="139"/>
    <n v="450.78"/>
    <x v="2"/>
    <n v="29"/>
    <n v="311.77999999999997"/>
    <x v="7"/>
  </r>
  <r>
    <s v="TRX-104406"/>
    <x v="644"/>
    <x v="0"/>
    <x v="4"/>
    <x v="1"/>
    <n v="227"/>
    <n v="778.31"/>
    <x v="1"/>
    <n v="12"/>
    <n v="551.30999999999995"/>
    <x v="4"/>
  </r>
  <r>
    <s v="TRX-104407"/>
    <x v="580"/>
    <x v="0"/>
    <x v="3"/>
    <x v="0"/>
    <n v="229"/>
    <n v="143.35"/>
    <x v="4"/>
    <n v="53"/>
    <n v="-85.65"/>
    <x v="2"/>
  </r>
  <r>
    <s v="TRX-104408"/>
    <x v="534"/>
    <x v="3"/>
    <x v="6"/>
    <x v="1"/>
    <n v="126"/>
    <n v="213.36"/>
    <x v="4"/>
    <n v="12"/>
    <n v="87.36"/>
    <x v="4"/>
  </r>
  <r>
    <s v="TRX-104409"/>
    <x v="797"/>
    <x v="4"/>
    <x v="4"/>
    <x v="0"/>
    <n v="207"/>
    <n v="138.35"/>
    <x v="1"/>
    <n v="6"/>
    <n v="-68.650000000000006"/>
    <x v="9"/>
  </r>
  <r>
    <s v="TRX-104410"/>
    <x v="876"/>
    <x v="2"/>
    <x v="1"/>
    <x v="0"/>
    <n v="213"/>
    <n v="111.03"/>
    <x v="1"/>
    <n v="4"/>
    <n v="-101.97"/>
    <x v="7"/>
  </r>
  <r>
    <s v="TRX-104411"/>
    <x v="900"/>
    <x v="1"/>
    <x v="7"/>
    <x v="1"/>
    <n v="170"/>
    <n v="239.45"/>
    <x v="4"/>
    <n v="56"/>
    <n v="69.449999999999903"/>
    <x v="7"/>
  </r>
  <r>
    <s v="TRX-104412"/>
    <x v="973"/>
    <x v="4"/>
    <x v="8"/>
    <x v="2"/>
    <n v="207"/>
    <n v="277.8"/>
    <x v="0"/>
    <n v="4"/>
    <n v="70.8"/>
    <x v="9"/>
  </r>
  <r>
    <s v="TRX-104413"/>
    <x v="620"/>
    <x v="4"/>
    <x v="0"/>
    <x v="0"/>
    <n v="210"/>
    <n v="181.8"/>
    <x v="0"/>
    <n v="9"/>
    <n v="-28.1999999999999"/>
    <x v="9"/>
  </r>
  <r>
    <s v="TRX-104414"/>
    <x v="16"/>
    <x v="4"/>
    <x v="2"/>
    <x v="1"/>
    <n v="201"/>
    <n v="268.82"/>
    <x v="3"/>
    <n v="37"/>
    <n v="67.819999999999993"/>
    <x v="3"/>
  </r>
  <r>
    <s v="TRX-104415"/>
    <x v="133"/>
    <x v="2"/>
    <x v="1"/>
    <x v="0"/>
    <n v="225"/>
    <n v="194.37"/>
    <x v="1"/>
    <n v="1"/>
    <n v="-30.6299999999999"/>
    <x v="3"/>
  </r>
  <r>
    <s v="TRX-104416"/>
    <x v="791"/>
    <x v="1"/>
    <x v="5"/>
    <x v="1"/>
    <n v="186"/>
    <n v="407.17"/>
    <x v="4"/>
    <n v="56"/>
    <n v="221.17"/>
    <x v="4"/>
  </r>
  <r>
    <s v="TRX-104417"/>
    <x v="945"/>
    <x v="1"/>
    <x v="6"/>
    <x v="2"/>
    <n v="179"/>
    <n v="211.53"/>
    <x v="3"/>
    <n v="40"/>
    <n v="32.53"/>
    <x v="4"/>
  </r>
  <r>
    <s v="TRX-104418"/>
    <x v="748"/>
    <x v="1"/>
    <x v="6"/>
    <x v="1"/>
    <n v="176"/>
    <n v="297.27"/>
    <x v="1"/>
    <n v="6"/>
    <n v="121.269999999999"/>
    <x v="9"/>
  </r>
  <r>
    <s v="TRX-104419"/>
    <x v="723"/>
    <x v="4"/>
    <x v="7"/>
    <x v="1"/>
    <n v="209"/>
    <n v="275.51"/>
    <x v="1"/>
    <n v="12"/>
    <n v="66.509999999999906"/>
    <x v="8"/>
  </r>
  <r>
    <s v="TRX-104420"/>
    <x v="382"/>
    <x v="2"/>
    <x v="6"/>
    <x v="2"/>
    <n v="214"/>
    <n v="229.27"/>
    <x v="2"/>
    <n v="30"/>
    <n v="15.27"/>
    <x v="7"/>
  </r>
  <r>
    <s v="TRX-104421"/>
    <x v="573"/>
    <x v="0"/>
    <x v="6"/>
    <x v="1"/>
    <n v="225"/>
    <n v="553.96"/>
    <x v="1"/>
    <n v="2"/>
    <n v="328.96"/>
    <x v="2"/>
  </r>
  <r>
    <s v="TRX-104422"/>
    <x v="972"/>
    <x v="3"/>
    <x v="1"/>
    <x v="2"/>
    <n v="122"/>
    <n v="131.47999999999999"/>
    <x v="2"/>
    <n v="10"/>
    <n v="9.4799999999999898"/>
    <x v="1"/>
  </r>
  <r>
    <s v="TRX-104423"/>
    <x v="359"/>
    <x v="3"/>
    <x v="7"/>
    <x v="0"/>
    <n v="117"/>
    <n v="63.91"/>
    <x v="2"/>
    <n v="56"/>
    <n v="-53.09"/>
    <x v="7"/>
  </r>
  <r>
    <s v="TRX-104424"/>
    <x v="288"/>
    <x v="3"/>
    <x v="0"/>
    <x v="1"/>
    <n v="137"/>
    <n v="334.33"/>
    <x v="1"/>
    <n v="10"/>
    <n v="197.32999999999899"/>
    <x v="2"/>
  </r>
  <r>
    <s v="TRX-104425"/>
    <x v="975"/>
    <x v="2"/>
    <x v="2"/>
    <x v="2"/>
    <n v="213"/>
    <n v="249.46"/>
    <x v="1"/>
    <n v="1"/>
    <n v="36.46"/>
    <x v="11"/>
  </r>
  <r>
    <s v="TRX-104426"/>
    <x v="982"/>
    <x v="1"/>
    <x v="8"/>
    <x v="0"/>
    <n v="173"/>
    <n v="148.21"/>
    <x v="2"/>
    <n v="48"/>
    <n v="-24.7899999999999"/>
    <x v="6"/>
  </r>
  <r>
    <s v="TRX-104427"/>
    <x v="201"/>
    <x v="2"/>
    <x v="0"/>
    <x v="2"/>
    <n v="211"/>
    <n v="305.25"/>
    <x v="3"/>
    <n v="46"/>
    <n v="94.25"/>
    <x v="10"/>
  </r>
  <r>
    <s v="TRX-104428"/>
    <x v="271"/>
    <x v="0"/>
    <x v="7"/>
    <x v="0"/>
    <n v="230"/>
    <n v="181.52"/>
    <x v="1"/>
    <n v="10"/>
    <n v="-48.479999999999897"/>
    <x v="11"/>
  </r>
  <r>
    <s v="TRX-104429"/>
    <x v="627"/>
    <x v="1"/>
    <x v="1"/>
    <x v="2"/>
    <n v="188"/>
    <n v="211.48"/>
    <x v="1"/>
    <n v="13"/>
    <n v="23.479999999999901"/>
    <x v="5"/>
  </r>
  <r>
    <s v="TRX-104430"/>
    <x v="5"/>
    <x v="2"/>
    <x v="7"/>
    <x v="2"/>
    <n v="225"/>
    <n v="203.77"/>
    <x v="1"/>
    <n v="14"/>
    <n v="-21.229999999999901"/>
    <x v="3"/>
  </r>
  <r>
    <s v="TRX-104431"/>
    <x v="321"/>
    <x v="2"/>
    <x v="4"/>
    <x v="2"/>
    <n v="219"/>
    <n v="318.24"/>
    <x v="4"/>
    <n v="46"/>
    <n v="99.24"/>
    <x v="6"/>
  </r>
  <r>
    <s v="TRX-104432"/>
    <x v="986"/>
    <x v="4"/>
    <x v="5"/>
    <x v="2"/>
    <n v="203"/>
    <n v="286.44"/>
    <x v="4"/>
    <n v="42"/>
    <n v="83.44"/>
    <x v="3"/>
  </r>
  <r>
    <s v="TRX-104433"/>
    <x v="667"/>
    <x v="3"/>
    <x v="5"/>
    <x v="2"/>
    <n v="118"/>
    <n v="145.63999999999999"/>
    <x v="1"/>
    <n v="4"/>
    <n v="27.639999999999901"/>
    <x v="1"/>
  </r>
  <r>
    <s v="TRX-104434"/>
    <x v="152"/>
    <x v="4"/>
    <x v="8"/>
    <x v="0"/>
    <n v="206"/>
    <n v="153.97"/>
    <x v="4"/>
    <n v="55"/>
    <n v="-52.03"/>
    <x v="11"/>
  </r>
  <r>
    <s v="TRX-104435"/>
    <x v="938"/>
    <x v="4"/>
    <x v="3"/>
    <x v="0"/>
    <n v="203"/>
    <n v="131.30000000000001"/>
    <x v="0"/>
    <n v="14"/>
    <n v="-71.699999999999903"/>
    <x v="10"/>
  </r>
  <r>
    <s v="TRX-104436"/>
    <x v="173"/>
    <x v="3"/>
    <x v="8"/>
    <x v="2"/>
    <n v="121"/>
    <n v="172.74"/>
    <x v="1"/>
    <n v="8"/>
    <n v="51.74"/>
    <x v="6"/>
  </r>
  <r>
    <s v="TRX-104437"/>
    <x v="103"/>
    <x v="0"/>
    <x v="4"/>
    <x v="0"/>
    <n v="225"/>
    <n v="140.08000000000001"/>
    <x v="0"/>
    <n v="1"/>
    <n v="-84.919999999999902"/>
    <x v="3"/>
  </r>
  <r>
    <s v="TRX-104438"/>
    <x v="965"/>
    <x v="4"/>
    <x v="8"/>
    <x v="2"/>
    <n v="207"/>
    <n v="267.7"/>
    <x v="3"/>
    <n v="50"/>
    <n v="60.699999999999903"/>
    <x v="1"/>
  </r>
  <r>
    <s v="TRX-104439"/>
    <x v="879"/>
    <x v="2"/>
    <x v="8"/>
    <x v="1"/>
    <n v="220"/>
    <n v="631.41"/>
    <x v="1"/>
    <n v="4"/>
    <n v="411.409999999999"/>
    <x v="5"/>
  </r>
  <r>
    <s v="TRX-104440"/>
    <x v="168"/>
    <x v="3"/>
    <x v="2"/>
    <x v="1"/>
    <n v="140"/>
    <n v="275.33999999999997"/>
    <x v="2"/>
    <n v="52"/>
    <n v="135.33999999999901"/>
    <x v="5"/>
  </r>
  <r>
    <s v="TRX-104441"/>
    <x v="296"/>
    <x v="1"/>
    <x v="7"/>
    <x v="2"/>
    <n v="170"/>
    <n v="241.59"/>
    <x v="0"/>
    <n v="8"/>
    <n v="71.59"/>
    <x v="8"/>
  </r>
  <r>
    <s v="TRX-104442"/>
    <x v="663"/>
    <x v="3"/>
    <x v="6"/>
    <x v="2"/>
    <n v="118"/>
    <n v="134.26"/>
    <x v="2"/>
    <n v="29"/>
    <n v="16.259999999999899"/>
    <x v="10"/>
  </r>
  <r>
    <s v="TRX-104443"/>
    <x v="497"/>
    <x v="4"/>
    <x v="1"/>
    <x v="0"/>
    <n v="200"/>
    <n v="157.59"/>
    <x v="2"/>
    <n v="11"/>
    <n v="-42.41"/>
    <x v="9"/>
  </r>
  <r>
    <s v="TRX-104444"/>
    <x v="69"/>
    <x v="0"/>
    <x v="8"/>
    <x v="2"/>
    <n v="228"/>
    <n v="260.36"/>
    <x v="4"/>
    <n v="58"/>
    <n v="32.36"/>
    <x v="1"/>
  </r>
  <r>
    <s v="TRX-104445"/>
    <x v="602"/>
    <x v="2"/>
    <x v="6"/>
    <x v="1"/>
    <n v="219"/>
    <n v="424.57"/>
    <x v="2"/>
    <n v="44"/>
    <n v="205.57"/>
    <x v="7"/>
  </r>
  <r>
    <s v="TRX-104446"/>
    <x v="283"/>
    <x v="2"/>
    <x v="2"/>
    <x v="1"/>
    <n v="220"/>
    <n v="638.6"/>
    <x v="4"/>
    <n v="58"/>
    <n v="418.6"/>
    <x v="10"/>
  </r>
  <r>
    <s v="TRX-104447"/>
    <x v="537"/>
    <x v="3"/>
    <x v="5"/>
    <x v="2"/>
    <n v="124"/>
    <n v="158.43"/>
    <x v="1"/>
    <n v="8"/>
    <n v="34.43"/>
    <x v="8"/>
  </r>
  <r>
    <s v="TRX-104448"/>
    <x v="926"/>
    <x v="3"/>
    <x v="1"/>
    <x v="1"/>
    <n v="138"/>
    <n v="331.03"/>
    <x v="4"/>
    <n v="9"/>
    <n v="193.02999999999901"/>
    <x v="4"/>
  </r>
  <r>
    <s v="TRX-104449"/>
    <x v="31"/>
    <x v="0"/>
    <x v="0"/>
    <x v="2"/>
    <n v="225"/>
    <n v="275.92"/>
    <x v="1"/>
    <n v="5"/>
    <n v="50.92"/>
    <x v="6"/>
  </r>
  <r>
    <s v="TRX-104450"/>
    <x v="245"/>
    <x v="3"/>
    <x v="0"/>
    <x v="2"/>
    <n v="112"/>
    <n v="161.31"/>
    <x v="2"/>
    <n v="6"/>
    <n v="49.31"/>
    <x v="0"/>
  </r>
  <r>
    <s v="TRX-104451"/>
    <x v="249"/>
    <x v="2"/>
    <x v="6"/>
    <x v="1"/>
    <n v="225"/>
    <n v="568.51"/>
    <x v="3"/>
    <n v="32"/>
    <n v="343.51"/>
    <x v="2"/>
  </r>
  <r>
    <s v="TRX-104452"/>
    <x v="456"/>
    <x v="3"/>
    <x v="6"/>
    <x v="2"/>
    <n v="129"/>
    <n v="187.34"/>
    <x v="3"/>
    <n v="35"/>
    <n v="58.34"/>
    <x v="1"/>
  </r>
  <r>
    <s v="TRX-104453"/>
    <x v="146"/>
    <x v="2"/>
    <x v="2"/>
    <x v="0"/>
    <n v="219"/>
    <n v="143.02000000000001"/>
    <x v="0"/>
    <n v="6"/>
    <n v="-75.979999999999905"/>
    <x v="9"/>
  </r>
  <r>
    <s v="TRX-104454"/>
    <x v="954"/>
    <x v="4"/>
    <x v="0"/>
    <x v="0"/>
    <n v="205"/>
    <n v="111.68"/>
    <x v="3"/>
    <n v="25"/>
    <n v="-93.32"/>
    <x v="5"/>
  </r>
  <r>
    <s v="TRX-104455"/>
    <x v="385"/>
    <x v="1"/>
    <x v="6"/>
    <x v="0"/>
    <n v="181"/>
    <n v="132.96"/>
    <x v="2"/>
    <n v="45"/>
    <n v="-48.0399999999999"/>
    <x v="4"/>
  </r>
  <r>
    <s v="TRX-104456"/>
    <x v="567"/>
    <x v="4"/>
    <x v="6"/>
    <x v="1"/>
    <n v="205"/>
    <n v="429.82"/>
    <x v="2"/>
    <n v="13"/>
    <n v="224.82"/>
    <x v="5"/>
  </r>
  <r>
    <s v="TRX-104457"/>
    <x v="90"/>
    <x v="3"/>
    <x v="6"/>
    <x v="0"/>
    <n v="112"/>
    <n v="80.489999999999995"/>
    <x v="4"/>
    <n v="23"/>
    <n v="-31.51"/>
    <x v="4"/>
  </r>
  <r>
    <s v="TRX-104458"/>
    <x v="183"/>
    <x v="1"/>
    <x v="0"/>
    <x v="0"/>
    <n v="172"/>
    <n v="149.49"/>
    <x v="1"/>
    <n v="2"/>
    <n v="-22.509999999999899"/>
    <x v="1"/>
  </r>
  <r>
    <s v="TRX-104459"/>
    <x v="676"/>
    <x v="0"/>
    <x v="6"/>
    <x v="2"/>
    <n v="225"/>
    <n v="243.01"/>
    <x v="0"/>
    <n v="11"/>
    <n v="18.009999999999899"/>
    <x v="0"/>
  </r>
  <r>
    <s v="TRX-104460"/>
    <x v="634"/>
    <x v="2"/>
    <x v="2"/>
    <x v="1"/>
    <n v="221"/>
    <n v="761.38"/>
    <x v="4"/>
    <n v="17"/>
    <n v="540.38"/>
    <x v="7"/>
  </r>
  <r>
    <s v="TRX-104461"/>
    <x v="735"/>
    <x v="3"/>
    <x v="0"/>
    <x v="1"/>
    <n v="111"/>
    <n v="274.87"/>
    <x v="2"/>
    <n v="13"/>
    <n v="163.87"/>
    <x v="11"/>
  </r>
  <r>
    <s v="TRX-104462"/>
    <x v="148"/>
    <x v="4"/>
    <x v="0"/>
    <x v="1"/>
    <n v="200"/>
    <n v="462.13"/>
    <x v="1"/>
    <n v="14"/>
    <n v="262.13"/>
    <x v="0"/>
  </r>
  <r>
    <s v="TRX-104463"/>
    <x v="369"/>
    <x v="3"/>
    <x v="1"/>
    <x v="2"/>
    <n v="121"/>
    <n v="143.24"/>
    <x v="1"/>
    <n v="8"/>
    <n v="22.24"/>
    <x v="2"/>
  </r>
  <r>
    <s v="TRX-104464"/>
    <x v="61"/>
    <x v="3"/>
    <x v="5"/>
    <x v="2"/>
    <n v="130"/>
    <n v="184.03"/>
    <x v="2"/>
    <n v="42"/>
    <n v="54.03"/>
    <x v="6"/>
  </r>
  <r>
    <s v="TRX-104465"/>
    <x v="886"/>
    <x v="3"/>
    <x v="5"/>
    <x v="1"/>
    <n v="126"/>
    <n v="381.29"/>
    <x v="3"/>
    <n v="18"/>
    <n v="255.29"/>
    <x v="11"/>
  </r>
  <r>
    <s v="TRX-104466"/>
    <x v="287"/>
    <x v="0"/>
    <x v="4"/>
    <x v="0"/>
    <n v="227"/>
    <n v="165.96"/>
    <x v="4"/>
    <n v="56"/>
    <n v="-61.0399999999999"/>
    <x v="7"/>
  </r>
  <r>
    <s v="TRX-104467"/>
    <x v="726"/>
    <x v="3"/>
    <x v="4"/>
    <x v="2"/>
    <n v="112"/>
    <n v="167.71"/>
    <x v="3"/>
    <n v="58"/>
    <n v="55.71"/>
    <x v="0"/>
  </r>
  <r>
    <s v="TRX-104468"/>
    <x v="99"/>
    <x v="0"/>
    <x v="1"/>
    <x v="1"/>
    <n v="229"/>
    <n v="642.48"/>
    <x v="0"/>
    <n v="6"/>
    <n v="413.48"/>
    <x v="7"/>
  </r>
  <r>
    <s v="TRX-104469"/>
    <x v="675"/>
    <x v="4"/>
    <x v="3"/>
    <x v="0"/>
    <n v="205"/>
    <n v="128.16999999999999"/>
    <x v="1"/>
    <n v="4"/>
    <n v="-76.83"/>
    <x v="8"/>
  </r>
  <r>
    <s v="TRX-104470"/>
    <x v="277"/>
    <x v="2"/>
    <x v="8"/>
    <x v="0"/>
    <n v="220"/>
    <n v="162.08000000000001"/>
    <x v="2"/>
    <n v="27"/>
    <n v="-57.919999999999902"/>
    <x v="9"/>
  </r>
  <r>
    <s v="TRX-104471"/>
    <x v="421"/>
    <x v="1"/>
    <x v="5"/>
    <x v="0"/>
    <n v="177"/>
    <n v="137.12"/>
    <x v="3"/>
    <n v="28"/>
    <n v="-39.879999999999903"/>
    <x v="10"/>
  </r>
  <r>
    <s v="TRX-104472"/>
    <x v="958"/>
    <x v="2"/>
    <x v="3"/>
    <x v="2"/>
    <n v="224"/>
    <n v="266.44"/>
    <x v="0"/>
    <n v="10"/>
    <n v="42.44"/>
    <x v="7"/>
  </r>
  <r>
    <s v="TRX-104473"/>
    <x v="147"/>
    <x v="4"/>
    <x v="0"/>
    <x v="2"/>
    <n v="202"/>
    <n v="240.31"/>
    <x v="2"/>
    <n v="26"/>
    <n v="38.31"/>
    <x v="4"/>
  </r>
  <r>
    <s v="TRX-104474"/>
    <x v="690"/>
    <x v="2"/>
    <x v="5"/>
    <x v="0"/>
    <n v="220"/>
    <n v="169.47"/>
    <x v="1"/>
    <n v="13"/>
    <n v="-50.53"/>
    <x v="7"/>
  </r>
  <r>
    <s v="TRX-104475"/>
    <x v="636"/>
    <x v="0"/>
    <x v="1"/>
    <x v="2"/>
    <n v="226"/>
    <n v="292.85000000000002"/>
    <x v="4"/>
    <n v="48"/>
    <n v="66.849999999999994"/>
    <x v="4"/>
  </r>
  <r>
    <s v="TRX-104476"/>
    <x v="959"/>
    <x v="1"/>
    <x v="0"/>
    <x v="0"/>
    <n v="176"/>
    <n v="137.43"/>
    <x v="3"/>
    <n v="44"/>
    <n v="-38.569999999999901"/>
    <x v="11"/>
  </r>
  <r>
    <s v="TRX-104477"/>
    <x v="216"/>
    <x v="4"/>
    <x v="5"/>
    <x v="1"/>
    <n v="202"/>
    <n v="462.6"/>
    <x v="3"/>
    <n v="28"/>
    <n v="260.60000000000002"/>
    <x v="8"/>
  </r>
  <r>
    <s v="TRX-104478"/>
    <x v="48"/>
    <x v="2"/>
    <x v="8"/>
    <x v="2"/>
    <n v="217"/>
    <n v="270.31"/>
    <x v="0"/>
    <n v="6"/>
    <n v="53.31"/>
    <x v="9"/>
  </r>
  <r>
    <s v="TRX-104479"/>
    <x v="284"/>
    <x v="4"/>
    <x v="1"/>
    <x v="1"/>
    <n v="202"/>
    <n v="676.62"/>
    <x v="3"/>
    <n v="59"/>
    <n v="474.62"/>
    <x v="7"/>
  </r>
  <r>
    <s v="TRX-104480"/>
    <x v="855"/>
    <x v="0"/>
    <x v="6"/>
    <x v="2"/>
    <n v="228"/>
    <n v="213.44"/>
    <x v="0"/>
    <n v="14"/>
    <n v="-14.56"/>
    <x v="2"/>
  </r>
  <r>
    <s v="TRX-104481"/>
    <x v="861"/>
    <x v="4"/>
    <x v="2"/>
    <x v="2"/>
    <n v="205"/>
    <n v="298.64999999999998"/>
    <x v="2"/>
    <n v="32"/>
    <n v="93.649999999999906"/>
    <x v="7"/>
  </r>
  <r>
    <s v="TRX-104482"/>
    <x v="341"/>
    <x v="0"/>
    <x v="5"/>
    <x v="0"/>
    <n v="229"/>
    <n v="199.02"/>
    <x v="1"/>
    <n v="14"/>
    <n v="-29.979999999999901"/>
    <x v="6"/>
  </r>
  <r>
    <s v="TRX-104483"/>
    <x v="484"/>
    <x v="3"/>
    <x v="5"/>
    <x v="0"/>
    <n v="122"/>
    <n v="91.89"/>
    <x v="2"/>
    <n v="49"/>
    <n v="-30.11"/>
    <x v="4"/>
  </r>
  <r>
    <s v="TRX-104484"/>
    <x v="120"/>
    <x v="0"/>
    <x v="7"/>
    <x v="1"/>
    <n v="227"/>
    <n v="711.95"/>
    <x v="2"/>
    <n v="28"/>
    <n v="484.95"/>
    <x v="4"/>
  </r>
  <r>
    <s v="TRX-104485"/>
    <x v="931"/>
    <x v="1"/>
    <x v="3"/>
    <x v="0"/>
    <n v="181"/>
    <n v="97.08"/>
    <x v="0"/>
    <n v="4"/>
    <n v="-83.92"/>
    <x v="11"/>
  </r>
  <r>
    <s v="TRX-104486"/>
    <x v="288"/>
    <x v="4"/>
    <x v="4"/>
    <x v="1"/>
    <n v="208"/>
    <n v="644.95000000000005"/>
    <x v="0"/>
    <n v="13"/>
    <n v="436.95"/>
    <x v="2"/>
  </r>
  <r>
    <s v="TRX-104487"/>
    <x v="1"/>
    <x v="4"/>
    <x v="8"/>
    <x v="2"/>
    <n v="203"/>
    <n v="242.55"/>
    <x v="3"/>
    <n v="49"/>
    <n v="39.549999999999997"/>
    <x v="0"/>
  </r>
  <r>
    <s v="TRX-104488"/>
    <x v="434"/>
    <x v="1"/>
    <x v="6"/>
    <x v="0"/>
    <n v="174"/>
    <n v="128.1"/>
    <x v="0"/>
    <n v="7"/>
    <n v="-45.9"/>
    <x v="4"/>
  </r>
  <r>
    <s v="TRX-104489"/>
    <x v="28"/>
    <x v="4"/>
    <x v="8"/>
    <x v="1"/>
    <n v="204"/>
    <n v="271.8"/>
    <x v="0"/>
    <n v="11"/>
    <n v="67.8"/>
    <x v="4"/>
  </r>
  <r>
    <s v="TRX-104490"/>
    <x v="697"/>
    <x v="3"/>
    <x v="1"/>
    <x v="0"/>
    <n v="116"/>
    <n v="74.400000000000006"/>
    <x v="0"/>
    <n v="7"/>
    <n v="-41.599999999999902"/>
    <x v="1"/>
  </r>
  <r>
    <s v="TRX-104491"/>
    <x v="554"/>
    <x v="3"/>
    <x v="3"/>
    <x v="0"/>
    <n v="123"/>
    <n v="89.46"/>
    <x v="2"/>
    <n v="30"/>
    <n v="-33.54"/>
    <x v="6"/>
  </r>
  <r>
    <s v="TRX-104492"/>
    <x v="342"/>
    <x v="3"/>
    <x v="1"/>
    <x v="2"/>
    <n v="119"/>
    <n v="108.38"/>
    <x v="4"/>
    <n v="27"/>
    <n v="-10.62"/>
    <x v="2"/>
  </r>
  <r>
    <s v="TRX-104493"/>
    <x v="669"/>
    <x v="0"/>
    <x v="3"/>
    <x v="0"/>
    <n v="226"/>
    <n v="153.06"/>
    <x v="1"/>
    <n v="4"/>
    <n v="-72.94"/>
    <x v="8"/>
  </r>
  <r>
    <s v="TRX-104494"/>
    <x v="26"/>
    <x v="1"/>
    <x v="1"/>
    <x v="1"/>
    <n v="181"/>
    <n v="294.05"/>
    <x v="3"/>
    <n v="8"/>
    <n v="113.05"/>
    <x v="10"/>
  </r>
  <r>
    <s v="TRX-104495"/>
    <x v="214"/>
    <x v="4"/>
    <x v="4"/>
    <x v="0"/>
    <n v="202"/>
    <n v="102.05"/>
    <x v="0"/>
    <n v="7"/>
    <n v="-99.95"/>
    <x v="1"/>
  </r>
  <r>
    <s v="TRX-104496"/>
    <x v="931"/>
    <x v="0"/>
    <x v="8"/>
    <x v="0"/>
    <n v="228"/>
    <n v="133.63"/>
    <x v="3"/>
    <n v="20"/>
    <n v="-94.37"/>
    <x v="11"/>
  </r>
  <r>
    <s v="TRX-104497"/>
    <x v="188"/>
    <x v="0"/>
    <x v="5"/>
    <x v="2"/>
    <n v="230"/>
    <n v="294.60000000000002"/>
    <x v="1"/>
    <n v="7"/>
    <n v="64.599999999999994"/>
    <x v="9"/>
  </r>
  <r>
    <s v="TRX-104498"/>
    <x v="327"/>
    <x v="0"/>
    <x v="8"/>
    <x v="0"/>
    <n v="230"/>
    <n v="157.69999999999999"/>
    <x v="3"/>
    <n v="21"/>
    <n v="-72.3"/>
    <x v="3"/>
  </r>
  <r>
    <s v="TRX-104499"/>
    <x v="880"/>
    <x v="3"/>
    <x v="1"/>
    <x v="0"/>
    <n v="128"/>
    <n v="111.52"/>
    <x v="2"/>
    <n v="9"/>
    <n v="-16.48"/>
    <x v="5"/>
  </r>
  <r>
    <s v="TRX-104500"/>
    <x v="426"/>
    <x v="4"/>
    <x v="7"/>
    <x v="0"/>
    <n v="208"/>
    <n v="140.69999999999999"/>
    <x v="2"/>
    <n v="32"/>
    <n v="-67.3"/>
    <x v="3"/>
  </r>
  <r>
    <s v="TRX-104501"/>
    <x v="909"/>
    <x v="2"/>
    <x v="3"/>
    <x v="2"/>
    <n v="215"/>
    <n v="233.95"/>
    <x v="3"/>
    <n v="39"/>
    <n v="18.9499999999999"/>
    <x v="8"/>
  </r>
  <r>
    <s v="TRX-104502"/>
    <x v="872"/>
    <x v="0"/>
    <x v="0"/>
    <x v="1"/>
    <n v="229"/>
    <n v="463.23"/>
    <x v="0"/>
    <n v="2"/>
    <n v="234.23"/>
    <x v="6"/>
  </r>
  <r>
    <s v="TRX-104503"/>
    <x v="821"/>
    <x v="1"/>
    <x v="7"/>
    <x v="1"/>
    <n v="183"/>
    <n v="593.26"/>
    <x v="0"/>
    <n v="4"/>
    <n v="410.26"/>
    <x v="1"/>
  </r>
  <r>
    <s v="TRX-104504"/>
    <x v="644"/>
    <x v="0"/>
    <x v="8"/>
    <x v="0"/>
    <n v="225"/>
    <n v="150"/>
    <x v="2"/>
    <n v="36"/>
    <n v="-75"/>
    <x v="4"/>
  </r>
  <r>
    <s v="TRX-104505"/>
    <x v="667"/>
    <x v="2"/>
    <x v="5"/>
    <x v="0"/>
    <n v="223"/>
    <n v="189.48"/>
    <x v="3"/>
    <n v="14"/>
    <n v="-33.520000000000003"/>
    <x v="1"/>
  </r>
  <r>
    <s v="TRX-104506"/>
    <x v="827"/>
    <x v="3"/>
    <x v="2"/>
    <x v="2"/>
    <n v="114"/>
    <n v="148.94"/>
    <x v="4"/>
    <n v="36"/>
    <n v="34.94"/>
    <x v="1"/>
  </r>
  <r>
    <s v="TRX-104507"/>
    <x v="266"/>
    <x v="4"/>
    <x v="6"/>
    <x v="2"/>
    <n v="205"/>
    <n v="239.66"/>
    <x v="3"/>
    <n v="23"/>
    <n v="34.659999999999997"/>
    <x v="0"/>
  </r>
  <r>
    <s v="TRX-104508"/>
    <x v="989"/>
    <x v="1"/>
    <x v="1"/>
    <x v="0"/>
    <n v="185"/>
    <n v="120.91"/>
    <x v="2"/>
    <n v="41"/>
    <n v="-64.09"/>
    <x v="0"/>
  </r>
  <r>
    <s v="TRX-104509"/>
    <x v="251"/>
    <x v="2"/>
    <x v="4"/>
    <x v="2"/>
    <n v="218"/>
    <n v="198.1"/>
    <x v="1"/>
    <n v="2"/>
    <n v="-19.899999999999999"/>
    <x v="6"/>
  </r>
  <r>
    <s v="TRX-104510"/>
    <x v="748"/>
    <x v="4"/>
    <x v="5"/>
    <x v="2"/>
    <n v="203"/>
    <n v="187.33"/>
    <x v="1"/>
    <n v="6"/>
    <n v="-15.6699999999999"/>
    <x v="9"/>
  </r>
  <r>
    <s v="TRX-104511"/>
    <x v="725"/>
    <x v="3"/>
    <x v="7"/>
    <x v="0"/>
    <n v="132"/>
    <n v="112.56"/>
    <x v="1"/>
    <n v="6"/>
    <n v="-19.439999999999898"/>
    <x v="0"/>
  </r>
  <r>
    <s v="TRX-104512"/>
    <x v="631"/>
    <x v="4"/>
    <x v="3"/>
    <x v="0"/>
    <n v="207"/>
    <n v="110.59"/>
    <x v="1"/>
    <n v="10"/>
    <n v="-96.41"/>
    <x v="6"/>
  </r>
  <r>
    <s v="TRX-104513"/>
    <x v="843"/>
    <x v="1"/>
    <x v="7"/>
    <x v="0"/>
    <n v="189"/>
    <n v="162.07"/>
    <x v="0"/>
    <n v="4"/>
    <n v="-26.93"/>
    <x v="5"/>
  </r>
  <r>
    <s v="TRX-104514"/>
    <x v="140"/>
    <x v="4"/>
    <x v="2"/>
    <x v="1"/>
    <n v="205"/>
    <n v="620.07000000000005"/>
    <x v="0"/>
    <n v="2"/>
    <n v="415.07"/>
    <x v="2"/>
  </r>
  <r>
    <s v="TRX-104515"/>
    <x v="756"/>
    <x v="4"/>
    <x v="7"/>
    <x v="2"/>
    <n v="208"/>
    <n v="205.68"/>
    <x v="2"/>
    <n v="48"/>
    <n v="-2.3199999999999901"/>
    <x v="8"/>
  </r>
  <r>
    <s v="TRX-104516"/>
    <x v="430"/>
    <x v="0"/>
    <x v="1"/>
    <x v="2"/>
    <n v="225"/>
    <n v="296.47000000000003"/>
    <x v="2"/>
    <n v="10"/>
    <n v="71.47"/>
    <x v="3"/>
  </r>
  <r>
    <s v="TRX-104517"/>
    <x v="229"/>
    <x v="1"/>
    <x v="0"/>
    <x v="1"/>
    <n v="183"/>
    <n v="385.07"/>
    <x v="4"/>
    <n v="21"/>
    <n v="202.07"/>
    <x v="2"/>
  </r>
  <r>
    <s v="TRX-104518"/>
    <x v="103"/>
    <x v="2"/>
    <x v="0"/>
    <x v="0"/>
    <n v="224"/>
    <n v="148.32"/>
    <x v="0"/>
    <n v="7"/>
    <n v="-75.680000000000007"/>
    <x v="3"/>
  </r>
  <r>
    <s v="TRX-104519"/>
    <x v="965"/>
    <x v="0"/>
    <x v="0"/>
    <x v="2"/>
    <n v="229"/>
    <n v="326.73"/>
    <x v="3"/>
    <n v="23"/>
    <n v="97.73"/>
    <x v="1"/>
  </r>
  <r>
    <s v="TRX-104520"/>
    <x v="545"/>
    <x v="4"/>
    <x v="4"/>
    <x v="1"/>
    <n v="202"/>
    <n v="512.46"/>
    <x v="2"/>
    <n v="50"/>
    <n v="310.45999999999998"/>
    <x v="3"/>
  </r>
  <r>
    <s v="TRX-104521"/>
    <x v="489"/>
    <x v="3"/>
    <x v="7"/>
    <x v="1"/>
    <n v="116"/>
    <n v="317.41000000000003"/>
    <x v="0"/>
    <n v="6"/>
    <n v="201.41"/>
    <x v="4"/>
  </r>
  <r>
    <s v="TRX-104522"/>
    <x v="580"/>
    <x v="0"/>
    <x v="2"/>
    <x v="2"/>
    <n v="228"/>
    <n v="215.2"/>
    <x v="2"/>
    <n v="23"/>
    <n v="-12.8"/>
    <x v="2"/>
  </r>
  <r>
    <s v="TRX-104523"/>
    <x v="158"/>
    <x v="0"/>
    <x v="6"/>
    <x v="1"/>
    <n v="225"/>
    <n v="409.42"/>
    <x v="4"/>
    <n v="12"/>
    <n v="184.42"/>
    <x v="10"/>
  </r>
  <r>
    <s v="TRX-104524"/>
    <x v="837"/>
    <x v="2"/>
    <x v="5"/>
    <x v="0"/>
    <n v="213"/>
    <n v="117.57"/>
    <x v="4"/>
    <n v="9"/>
    <n v="-95.43"/>
    <x v="5"/>
  </r>
  <r>
    <s v="TRX-104525"/>
    <x v="551"/>
    <x v="2"/>
    <x v="3"/>
    <x v="1"/>
    <n v="220"/>
    <n v="437.6"/>
    <x v="3"/>
    <n v="32"/>
    <n v="217.6"/>
    <x v="8"/>
  </r>
  <r>
    <s v="TRX-104526"/>
    <x v="627"/>
    <x v="3"/>
    <x v="1"/>
    <x v="0"/>
    <n v="127"/>
    <n v="77.27"/>
    <x v="0"/>
    <n v="6"/>
    <n v="-49.73"/>
    <x v="5"/>
  </r>
  <r>
    <s v="TRX-104527"/>
    <x v="525"/>
    <x v="1"/>
    <x v="8"/>
    <x v="0"/>
    <n v="173"/>
    <n v="89.71"/>
    <x v="3"/>
    <n v="49"/>
    <n v="-83.29"/>
    <x v="3"/>
  </r>
  <r>
    <s v="TRX-104528"/>
    <x v="602"/>
    <x v="0"/>
    <x v="7"/>
    <x v="2"/>
    <n v="225"/>
    <n v="320.74"/>
    <x v="2"/>
    <n v="17"/>
    <n v="95.74"/>
    <x v="7"/>
  </r>
  <r>
    <s v="TRX-104529"/>
    <x v="28"/>
    <x v="3"/>
    <x v="3"/>
    <x v="0"/>
    <n v="122"/>
    <n v="75.099999999999994"/>
    <x v="0"/>
    <n v="3"/>
    <n v="-46.9"/>
    <x v="4"/>
  </r>
  <r>
    <s v="TRX-104530"/>
    <x v="813"/>
    <x v="1"/>
    <x v="2"/>
    <x v="1"/>
    <n v="176"/>
    <n v="388.65"/>
    <x v="2"/>
    <n v="6"/>
    <n v="212.64999999999901"/>
    <x v="2"/>
  </r>
  <r>
    <s v="TRX-104531"/>
    <x v="169"/>
    <x v="1"/>
    <x v="0"/>
    <x v="0"/>
    <n v="180"/>
    <n v="140.08000000000001"/>
    <x v="1"/>
    <n v="11"/>
    <n v="-39.919999999999902"/>
    <x v="4"/>
  </r>
  <r>
    <s v="TRX-104532"/>
    <x v="707"/>
    <x v="3"/>
    <x v="4"/>
    <x v="2"/>
    <n v="132"/>
    <n v="146.6"/>
    <x v="3"/>
    <n v="16"/>
    <n v="14.5999999999999"/>
    <x v="8"/>
  </r>
  <r>
    <s v="TRX-104533"/>
    <x v="90"/>
    <x v="3"/>
    <x v="6"/>
    <x v="0"/>
    <n v="138"/>
    <n v="98.61"/>
    <x v="2"/>
    <n v="38"/>
    <n v="-39.39"/>
    <x v="4"/>
  </r>
  <r>
    <s v="TRX-104534"/>
    <x v="848"/>
    <x v="4"/>
    <x v="6"/>
    <x v="2"/>
    <n v="207"/>
    <n v="257.45"/>
    <x v="0"/>
    <n v="3"/>
    <n v="50.449999999999903"/>
    <x v="1"/>
  </r>
  <r>
    <s v="TRX-104535"/>
    <x v="828"/>
    <x v="0"/>
    <x v="1"/>
    <x v="2"/>
    <n v="229"/>
    <n v="238.94"/>
    <x v="4"/>
    <n v="52"/>
    <n v="9.9399999999999906"/>
    <x v="4"/>
  </r>
  <r>
    <s v="TRX-104536"/>
    <x v="181"/>
    <x v="0"/>
    <x v="0"/>
    <x v="0"/>
    <n v="225"/>
    <n v="133.11000000000001"/>
    <x v="0"/>
    <n v="11"/>
    <n v="-91.889999999999901"/>
    <x v="4"/>
  </r>
  <r>
    <s v="TRX-104537"/>
    <x v="305"/>
    <x v="0"/>
    <x v="1"/>
    <x v="1"/>
    <n v="225"/>
    <n v="449.75"/>
    <x v="3"/>
    <n v="32"/>
    <n v="224.75"/>
    <x v="2"/>
  </r>
  <r>
    <s v="TRX-104538"/>
    <x v="147"/>
    <x v="1"/>
    <x v="5"/>
    <x v="1"/>
    <n v="184"/>
    <n v="384.04"/>
    <x v="0"/>
    <n v="5"/>
    <n v="200.04"/>
    <x v="4"/>
  </r>
  <r>
    <s v="TRX-104539"/>
    <x v="920"/>
    <x v="3"/>
    <x v="4"/>
    <x v="1"/>
    <n v="129"/>
    <n v="312.22000000000003"/>
    <x v="0"/>
    <n v="5"/>
    <n v="183.22"/>
    <x v="4"/>
  </r>
  <r>
    <s v="TRX-104540"/>
    <x v="964"/>
    <x v="4"/>
    <x v="0"/>
    <x v="2"/>
    <n v="205"/>
    <n v="271.95999999999998"/>
    <x v="4"/>
    <n v="58"/>
    <n v="66.959999999999894"/>
    <x v="3"/>
  </r>
  <r>
    <s v="TRX-104541"/>
    <x v="670"/>
    <x v="1"/>
    <x v="8"/>
    <x v="1"/>
    <n v="181"/>
    <n v="598.01"/>
    <x v="4"/>
    <n v="14"/>
    <n v="417.01"/>
    <x v="9"/>
  </r>
  <r>
    <s v="TRX-104542"/>
    <x v="985"/>
    <x v="1"/>
    <x v="8"/>
    <x v="2"/>
    <n v="179"/>
    <n v="195.36"/>
    <x v="0"/>
    <n v="2"/>
    <n v="16.36"/>
    <x v="7"/>
  </r>
  <r>
    <s v="TRX-104543"/>
    <x v="702"/>
    <x v="4"/>
    <x v="1"/>
    <x v="2"/>
    <n v="201"/>
    <n v="201.57"/>
    <x v="0"/>
    <n v="6"/>
    <n v="0.56999999999999296"/>
    <x v="7"/>
  </r>
  <r>
    <s v="TRX-104544"/>
    <x v="838"/>
    <x v="4"/>
    <x v="3"/>
    <x v="0"/>
    <n v="205"/>
    <n v="166.45"/>
    <x v="2"/>
    <n v="16"/>
    <n v="-38.549999999999997"/>
    <x v="2"/>
  </r>
  <r>
    <s v="TRX-104545"/>
    <x v="330"/>
    <x v="4"/>
    <x v="2"/>
    <x v="2"/>
    <n v="203"/>
    <n v="208.38"/>
    <x v="1"/>
    <n v="7"/>
    <n v="5.3799999999999901"/>
    <x v="10"/>
  </r>
  <r>
    <s v="TRX-104546"/>
    <x v="929"/>
    <x v="2"/>
    <x v="3"/>
    <x v="1"/>
    <n v="222"/>
    <n v="599.91999999999996"/>
    <x v="1"/>
    <n v="3"/>
    <n v="377.91999999999899"/>
    <x v="0"/>
  </r>
  <r>
    <s v="TRX-104547"/>
    <x v="386"/>
    <x v="4"/>
    <x v="7"/>
    <x v="0"/>
    <n v="209"/>
    <n v="121.12"/>
    <x v="0"/>
    <n v="12"/>
    <n v="-87.88"/>
    <x v="8"/>
  </r>
  <r>
    <s v="TRX-104548"/>
    <x v="760"/>
    <x v="3"/>
    <x v="5"/>
    <x v="0"/>
    <n v="120"/>
    <n v="94.36"/>
    <x v="1"/>
    <n v="1"/>
    <n v="-25.64"/>
    <x v="3"/>
  </r>
  <r>
    <s v="TRX-104549"/>
    <x v="292"/>
    <x v="4"/>
    <x v="1"/>
    <x v="2"/>
    <n v="201"/>
    <n v="191.04"/>
    <x v="3"/>
    <n v="27"/>
    <n v="-9.9600000000000009"/>
    <x v="5"/>
  </r>
  <r>
    <s v="TRX-104550"/>
    <x v="743"/>
    <x v="2"/>
    <x v="8"/>
    <x v="0"/>
    <n v="220"/>
    <n v="135.53"/>
    <x v="0"/>
    <n v="7"/>
    <n v="-84.47"/>
    <x v="1"/>
  </r>
  <r>
    <s v="TRX-104551"/>
    <x v="45"/>
    <x v="0"/>
    <x v="4"/>
    <x v="2"/>
    <n v="226"/>
    <n v="215.96"/>
    <x v="0"/>
    <n v="6"/>
    <n v="-10.0399999999999"/>
    <x v="6"/>
  </r>
  <r>
    <s v="TRX-104552"/>
    <x v="425"/>
    <x v="2"/>
    <x v="8"/>
    <x v="0"/>
    <n v="222"/>
    <n v="138.81"/>
    <x v="3"/>
    <n v="10"/>
    <n v="-83.19"/>
    <x v="6"/>
  </r>
  <r>
    <s v="TRX-104553"/>
    <x v="465"/>
    <x v="0"/>
    <x v="7"/>
    <x v="2"/>
    <n v="226"/>
    <n v="242.8"/>
    <x v="0"/>
    <n v="5"/>
    <n v="16.8"/>
    <x v="7"/>
  </r>
  <r>
    <s v="TRX-104554"/>
    <x v="686"/>
    <x v="2"/>
    <x v="4"/>
    <x v="0"/>
    <n v="215"/>
    <n v="145.30000000000001"/>
    <x v="2"/>
    <n v="55"/>
    <n v="-69.699999999999903"/>
    <x v="0"/>
  </r>
  <r>
    <s v="TRX-104555"/>
    <x v="806"/>
    <x v="3"/>
    <x v="6"/>
    <x v="1"/>
    <n v="136"/>
    <n v="182.94"/>
    <x v="2"/>
    <n v="56"/>
    <n v="46.94"/>
    <x v="0"/>
  </r>
  <r>
    <s v="TRX-104556"/>
    <x v="616"/>
    <x v="1"/>
    <x v="4"/>
    <x v="1"/>
    <n v="175"/>
    <n v="486.62"/>
    <x v="3"/>
    <n v="43"/>
    <n v="311.62"/>
    <x v="10"/>
  </r>
  <r>
    <s v="TRX-104557"/>
    <x v="950"/>
    <x v="3"/>
    <x v="0"/>
    <x v="0"/>
    <n v="123"/>
    <n v="95.33"/>
    <x v="0"/>
    <n v="2"/>
    <n v="-27.67"/>
    <x v="8"/>
  </r>
  <r>
    <s v="TRX-104558"/>
    <x v="418"/>
    <x v="4"/>
    <x v="4"/>
    <x v="2"/>
    <n v="207"/>
    <n v="289.08"/>
    <x v="1"/>
    <n v="5"/>
    <n v="82.079999999999899"/>
    <x v="11"/>
  </r>
  <r>
    <s v="TRX-104559"/>
    <x v="171"/>
    <x v="1"/>
    <x v="0"/>
    <x v="0"/>
    <n v="171"/>
    <n v="110.82"/>
    <x v="0"/>
    <n v="11"/>
    <n v="-60.18"/>
    <x v="11"/>
  </r>
  <r>
    <s v="TRX-104560"/>
    <x v="377"/>
    <x v="1"/>
    <x v="8"/>
    <x v="1"/>
    <n v="175"/>
    <n v="426.83"/>
    <x v="1"/>
    <n v="8"/>
    <n v="251.82999999999899"/>
    <x v="11"/>
  </r>
  <r>
    <s v="TRX-104561"/>
    <x v="139"/>
    <x v="3"/>
    <x v="2"/>
    <x v="2"/>
    <n v="135"/>
    <n v="126.92"/>
    <x v="3"/>
    <n v="29"/>
    <n v="-8.0799999999999894"/>
    <x v="5"/>
  </r>
  <r>
    <s v="TRX-104562"/>
    <x v="190"/>
    <x v="4"/>
    <x v="7"/>
    <x v="0"/>
    <n v="204"/>
    <n v="161.72"/>
    <x v="1"/>
    <n v="3"/>
    <n v="-42.28"/>
    <x v="3"/>
  </r>
  <r>
    <s v="TRX-104563"/>
    <x v="159"/>
    <x v="3"/>
    <x v="0"/>
    <x v="0"/>
    <n v="132"/>
    <n v="88.32"/>
    <x v="1"/>
    <n v="14"/>
    <n v="-43.68"/>
    <x v="8"/>
  </r>
  <r>
    <s v="TRX-104564"/>
    <x v="372"/>
    <x v="1"/>
    <x v="3"/>
    <x v="2"/>
    <n v="175"/>
    <n v="192.34"/>
    <x v="4"/>
    <n v="53"/>
    <n v="17.34"/>
    <x v="10"/>
  </r>
  <r>
    <s v="TRX-104565"/>
    <x v="165"/>
    <x v="4"/>
    <x v="2"/>
    <x v="0"/>
    <n v="202"/>
    <n v="121.85"/>
    <x v="4"/>
    <n v="57"/>
    <n v="-80.150000000000006"/>
    <x v="11"/>
  </r>
  <r>
    <s v="TRX-104566"/>
    <x v="185"/>
    <x v="0"/>
    <x v="2"/>
    <x v="2"/>
    <n v="230"/>
    <n v="317.3"/>
    <x v="0"/>
    <n v="11"/>
    <n v="87.3"/>
    <x v="6"/>
  </r>
  <r>
    <s v="TRX-104567"/>
    <x v="627"/>
    <x v="2"/>
    <x v="7"/>
    <x v="1"/>
    <n v="212"/>
    <n v="459.06"/>
    <x v="0"/>
    <n v="8"/>
    <n v="247.06"/>
    <x v="5"/>
  </r>
  <r>
    <s v="TRX-104568"/>
    <x v="77"/>
    <x v="4"/>
    <x v="8"/>
    <x v="1"/>
    <n v="203"/>
    <n v="661.91"/>
    <x v="3"/>
    <n v="32"/>
    <n v="458.909999999999"/>
    <x v="10"/>
  </r>
  <r>
    <s v="TRX-104569"/>
    <x v="383"/>
    <x v="4"/>
    <x v="6"/>
    <x v="1"/>
    <n v="203"/>
    <n v="366.1"/>
    <x v="4"/>
    <n v="34"/>
    <n v="163.1"/>
    <x v="3"/>
  </r>
  <r>
    <s v="TRX-104570"/>
    <x v="219"/>
    <x v="4"/>
    <x v="2"/>
    <x v="1"/>
    <n v="200"/>
    <n v="666.45"/>
    <x v="4"/>
    <n v="39"/>
    <n v="466.45"/>
    <x v="6"/>
  </r>
  <r>
    <s v="TRX-104571"/>
    <x v="536"/>
    <x v="1"/>
    <x v="5"/>
    <x v="2"/>
    <n v="187"/>
    <n v="169.32"/>
    <x v="4"/>
    <n v="52"/>
    <n v="-17.68"/>
    <x v="4"/>
  </r>
  <r>
    <s v="TRX-104572"/>
    <x v="558"/>
    <x v="3"/>
    <x v="8"/>
    <x v="2"/>
    <n v="121"/>
    <n v="132.27000000000001"/>
    <x v="4"/>
    <n v="6"/>
    <n v="11.27"/>
    <x v="11"/>
  </r>
  <r>
    <s v="TRX-104573"/>
    <x v="654"/>
    <x v="1"/>
    <x v="5"/>
    <x v="1"/>
    <n v="180"/>
    <n v="282.94"/>
    <x v="3"/>
    <n v="42"/>
    <n v="102.94"/>
    <x v="4"/>
  </r>
  <r>
    <s v="TRX-104574"/>
    <x v="106"/>
    <x v="2"/>
    <x v="3"/>
    <x v="0"/>
    <n v="215"/>
    <n v="184.94"/>
    <x v="3"/>
    <n v="11"/>
    <n v="-30.06"/>
    <x v="8"/>
  </r>
  <r>
    <s v="TRX-104575"/>
    <x v="781"/>
    <x v="0"/>
    <x v="5"/>
    <x v="0"/>
    <n v="228"/>
    <n v="176.22"/>
    <x v="0"/>
    <n v="14"/>
    <n v="-51.78"/>
    <x v="3"/>
  </r>
  <r>
    <s v="TRX-104576"/>
    <x v="724"/>
    <x v="1"/>
    <x v="6"/>
    <x v="1"/>
    <n v="190"/>
    <n v="557.14"/>
    <x v="3"/>
    <n v="33"/>
    <n v="367.14"/>
    <x v="9"/>
  </r>
  <r>
    <s v="TRX-104577"/>
    <x v="231"/>
    <x v="2"/>
    <x v="2"/>
    <x v="0"/>
    <n v="219"/>
    <n v="150.9"/>
    <x v="0"/>
    <n v="10"/>
    <n v="-68.099999999999994"/>
    <x v="8"/>
  </r>
  <r>
    <s v="TRX-104578"/>
    <x v="777"/>
    <x v="4"/>
    <x v="3"/>
    <x v="2"/>
    <n v="209"/>
    <n v="261.63"/>
    <x v="2"/>
    <n v="7"/>
    <n v="52.629999999999903"/>
    <x v="2"/>
  </r>
  <r>
    <s v="TRX-104579"/>
    <x v="757"/>
    <x v="2"/>
    <x v="6"/>
    <x v="2"/>
    <n v="222"/>
    <n v="261.13"/>
    <x v="0"/>
    <n v="14"/>
    <n v="39.129999999999903"/>
    <x v="2"/>
  </r>
  <r>
    <s v="TRX-104580"/>
    <x v="572"/>
    <x v="1"/>
    <x v="7"/>
    <x v="1"/>
    <n v="177"/>
    <n v="592.24"/>
    <x v="0"/>
    <n v="4"/>
    <n v="415.24"/>
    <x v="7"/>
  </r>
  <r>
    <s v="TRX-104581"/>
    <x v="271"/>
    <x v="2"/>
    <x v="6"/>
    <x v="1"/>
    <n v="218"/>
    <n v="412.21"/>
    <x v="2"/>
    <n v="13"/>
    <n v="194.20999999999901"/>
    <x v="11"/>
  </r>
  <r>
    <s v="TRX-104582"/>
    <x v="807"/>
    <x v="3"/>
    <x v="8"/>
    <x v="0"/>
    <n v="116"/>
    <n v="61"/>
    <x v="4"/>
    <n v="40"/>
    <n v="-55"/>
    <x v="3"/>
  </r>
  <r>
    <s v="TRX-104583"/>
    <x v="389"/>
    <x v="1"/>
    <x v="4"/>
    <x v="1"/>
    <n v="170"/>
    <n v="537.82000000000005"/>
    <x v="3"/>
    <n v="39"/>
    <n v="367.82"/>
    <x v="4"/>
  </r>
  <r>
    <s v="TRX-104584"/>
    <x v="395"/>
    <x v="3"/>
    <x v="2"/>
    <x v="0"/>
    <n v="112"/>
    <n v="84"/>
    <x v="1"/>
    <n v="9"/>
    <n v="-28"/>
    <x v="6"/>
  </r>
  <r>
    <s v="TRX-104585"/>
    <x v="859"/>
    <x v="3"/>
    <x v="5"/>
    <x v="2"/>
    <n v="130"/>
    <n v="186.6"/>
    <x v="3"/>
    <n v="17"/>
    <n v="56.599999999999902"/>
    <x v="10"/>
  </r>
  <r>
    <s v="TRX-104586"/>
    <x v="807"/>
    <x v="0"/>
    <x v="2"/>
    <x v="2"/>
    <n v="230"/>
    <n v="291.42"/>
    <x v="1"/>
    <n v="3"/>
    <n v="61.42"/>
    <x v="3"/>
  </r>
  <r>
    <s v="TRX-104587"/>
    <x v="774"/>
    <x v="1"/>
    <x v="6"/>
    <x v="1"/>
    <n v="184"/>
    <n v="555.12"/>
    <x v="1"/>
    <n v="12"/>
    <n v="371.12"/>
    <x v="3"/>
  </r>
  <r>
    <s v="TRX-104588"/>
    <x v="828"/>
    <x v="4"/>
    <x v="8"/>
    <x v="1"/>
    <n v="209"/>
    <n v="279.33"/>
    <x v="0"/>
    <n v="7"/>
    <n v="70.329999999999899"/>
    <x v="4"/>
  </r>
  <r>
    <s v="TRX-104589"/>
    <x v="812"/>
    <x v="1"/>
    <x v="7"/>
    <x v="1"/>
    <n v="183"/>
    <n v="275"/>
    <x v="4"/>
    <n v="6"/>
    <n v="92"/>
    <x v="5"/>
  </r>
  <r>
    <s v="TRX-104590"/>
    <x v="984"/>
    <x v="3"/>
    <x v="5"/>
    <x v="2"/>
    <n v="112"/>
    <n v="101.41"/>
    <x v="1"/>
    <n v="14"/>
    <n v="-10.59"/>
    <x v="5"/>
  </r>
  <r>
    <s v="TRX-104591"/>
    <x v="694"/>
    <x v="3"/>
    <x v="5"/>
    <x v="1"/>
    <n v="128"/>
    <n v="366.66"/>
    <x v="4"/>
    <n v="11"/>
    <n v="238.66"/>
    <x v="4"/>
  </r>
  <r>
    <s v="TRX-104592"/>
    <x v="332"/>
    <x v="1"/>
    <x v="2"/>
    <x v="0"/>
    <n v="177"/>
    <n v="104.46"/>
    <x v="3"/>
    <n v="41"/>
    <n v="-72.540000000000006"/>
    <x v="5"/>
  </r>
  <r>
    <s v="TRX-104593"/>
    <x v="294"/>
    <x v="2"/>
    <x v="6"/>
    <x v="1"/>
    <n v="215"/>
    <n v="743.14"/>
    <x v="2"/>
    <n v="15"/>
    <n v="528.14"/>
    <x v="4"/>
  </r>
  <r>
    <s v="TRX-104594"/>
    <x v="315"/>
    <x v="1"/>
    <x v="7"/>
    <x v="0"/>
    <n v="182"/>
    <n v="140.18"/>
    <x v="0"/>
    <n v="13"/>
    <n v="-41.819999999999901"/>
    <x v="3"/>
  </r>
  <r>
    <s v="TRX-104595"/>
    <x v="585"/>
    <x v="4"/>
    <x v="8"/>
    <x v="2"/>
    <n v="204"/>
    <n v="294.79000000000002"/>
    <x v="1"/>
    <n v="9"/>
    <n v="90.79"/>
    <x v="7"/>
  </r>
  <r>
    <s v="TRX-104596"/>
    <x v="616"/>
    <x v="1"/>
    <x v="0"/>
    <x v="0"/>
    <n v="190"/>
    <n v="125.22"/>
    <x v="0"/>
    <n v="8"/>
    <n v="-64.78"/>
    <x v="10"/>
  </r>
  <r>
    <s v="TRX-104597"/>
    <x v="649"/>
    <x v="4"/>
    <x v="7"/>
    <x v="0"/>
    <n v="208"/>
    <n v="117.87"/>
    <x v="1"/>
    <n v="1"/>
    <n v="-90.13"/>
    <x v="0"/>
  </r>
  <r>
    <s v="TRX-104598"/>
    <x v="335"/>
    <x v="0"/>
    <x v="0"/>
    <x v="2"/>
    <n v="229"/>
    <n v="279.41000000000003"/>
    <x v="4"/>
    <n v="49"/>
    <n v="50.41"/>
    <x v="11"/>
  </r>
  <r>
    <s v="TRX-104599"/>
    <x v="411"/>
    <x v="3"/>
    <x v="1"/>
    <x v="2"/>
    <n v="138"/>
    <n v="176.08"/>
    <x v="0"/>
    <n v="8"/>
    <n v="38.08"/>
    <x v="9"/>
  </r>
  <r>
    <s v="TRX-104600"/>
    <x v="695"/>
    <x v="3"/>
    <x v="1"/>
    <x v="2"/>
    <n v="135"/>
    <n v="162.66"/>
    <x v="4"/>
    <n v="54"/>
    <n v="27.659999999999901"/>
    <x v="4"/>
  </r>
  <r>
    <s v="TRX-104601"/>
    <x v="12"/>
    <x v="0"/>
    <x v="1"/>
    <x v="0"/>
    <n v="227"/>
    <n v="116.83"/>
    <x v="0"/>
    <n v="1"/>
    <n v="-110.17"/>
    <x v="7"/>
  </r>
  <r>
    <s v="TRX-104602"/>
    <x v="644"/>
    <x v="4"/>
    <x v="5"/>
    <x v="2"/>
    <n v="208"/>
    <n v="278.39999999999998"/>
    <x v="1"/>
    <n v="7"/>
    <n v="70.399999999999906"/>
    <x v="4"/>
  </r>
  <r>
    <s v="TRX-104603"/>
    <x v="487"/>
    <x v="2"/>
    <x v="2"/>
    <x v="1"/>
    <n v="210"/>
    <n v="490.35"/>
    <x v="0"/>
    <n v="10"/>
    <n v="280.35000000000002"/>
    <x v="5"/>
  </r>
  <r>
    <s v="TRX-104604"/>
    <x v="173"/>
    <x v="3"/>
    <x v="1"/>
    <x v="0"/>
    <n v="140"/>
    <n v="82.63"/>
    <x v="3"/>
    <n v="33"/>
    <n v="-57.37"/>
    <x v="6"/>
  </r>
  <r>
    <s v="TRX-104605"/>
    <x v="956"/>
    <x v="4"/>
    <x v="3"/>
    <x v="2"/>
    <n v="203"/>
    <n v="258.7"/>
    <x v="4"/>
    <n v="40"/>
    <n v="55.699999999999903"/>
    <x v="2"/>
  </r>
  <r>
    <s v="TRX-104606"/>
    <x v="245"/>
    <x v="1"/>
    <x v="2"/>
    <x v="2"/>
    <n v="183"/>
    <n v="258.3"/>
    <x v="2"/>
    <n v="40"/>
    <n v="75.3"/>
    <x v="0"/>
  </r>
  <r>
    <s v="TRX-104607"/>
    <x v="954"/>
    <x v="4"/>
    <x v="7"/>
    <x v="2"/>
    <n v="208"/>
    <n v="260.51"/>
    <x v="4"/>
    <n v="51"/>
    <n v="52.509999999999899"/>
    <x v="5"/>
  </r>
  <r>
    <s v="TRX-104608"/>
    <x v="221"/>
    <x v="4"/>
    <x v="2"/>
    <x v="2"/>
    <n v="204"/>
    <n v="233.73"/>
    <x v="4"/>
    <n v="31"/>
    <n v="29.729999999999901"/>
    <x v="3"/>
  </r>
  <r>
    <s v="TRX-104609"/>
    <x v="71"/>
    <x v="3"/>
    <x v="8"/>
    <x v="0"/>
    <n v="137"/>
    <n v="82.66"/>
    <x v="2"/>
    <n v="44"/>
    <n v="-54.34"/>
    <x v="10"/>
  </r>
  <r>
    <s v="TRX-104610"/>
    <x v="477"/>
    <x v="0"/>
    <x v="0"/>
    <x v="1"/>
    <n v="228"/>
    <n v="309.11"/>
    <x v="0"/>
    <n v="1"/>
    <n v="81.11"/>
    <x v="5"/>
  </r>
  <r>
    <s v="TRX-104611"/>
    <x v="565"/>
    <x v="0"/>
    <x v="3"/>
    <x v="0"/>
    <n v="229"/>
    <n v="190.19"/>
    <x v="2"/>
    <n v="60"/>
    <n v="-38.81"/>
    <x v="2"/>
  </r>
  <r>
    <s v="TRX-104612"/>
    <x v="372"/>
    <x v="1"/>
    <x v="5"/>
    <x v="2"/>
    <n v="181"/>
    <n v="167.58"/>
    <x v="1"/>
    <n v="13"/>
    <n v="-13.4199999999999"/>
    <x v="10"/>
  </r>
  <r>
    <s v="TRX-104613"/>
    <x v="780"/>
    <x v="0"/>
    <x v="4"/>
    <x v="2"/>
    <n v="230"/>
    <n v="213.67"/>
    <x v="4"/>
    <n v="31"/>
    <n v="-16.329999999999998"/>
    <x v="2"/>
  </r>
  <r>
    <s v="TRX-104614"/>
    <x v="31"/>
    <x v="1"/>
    <x v="4"/>
    <x v="1"/>
    <n v="183"/>
    <n v="420.69"/>
    <x v="4"/>
    <n v="44"/>
    <n v="237.69"/>
    <x v="6"/>
  </r>
  <r>
    <s v="TRX-104615"/>
    <x v="278"/>
    <x v="2"/>
    <x v="3"/>
    <x v="0"/>
    <n v="212"/>
    <n v="188.4"/>
    <x v="4"/>
    <n v="38"/>
    <n v="-23.599999999999898"/>
    <x v="4"/>
  </r>
  <r>
    <s v="TRX-104616"/>
    <x v="516"/>
    <x v="1"/>
    <x v="5"/>
    <x v="1"/>
    <n v="183"/>
    <n v="382.5"/>
    <x v="2"/>
    <n v="16"/>
    <n v="199.5"/>
    <x v="5"/>
  </r>
  <r>
    <s v="TRX-104617"/>
    <x v="655"/>
    <x v="1"/>
    <x v="7"/>
    <x v="0"/>
    <n v="189"/>
    <n v="103.23"/>
    <x v="2"/>
    <n v="8"/>
    <n v="-85.77"/>
    <x v="8"/>
  </r>
  <r>
    <s v="TRX-104618"/>
    <x v="601"/>
    <x v="1"/>
    <x v="4"/>
    <x v="2"/>
    <n v="183"/>
    <n v="218.18"/>
    <x v="0"/>
    <n v="7"/>
    <n v="35.18"/>
    <x v="6"/>
  </r>
  <r>
    <s v="TRX-104619"/>
    <x v="659"/>
    <x v="2"/>
    <x v="7"/>
    <x v="2"/>
    <n v="221"/>
    <n v="262.33999999999997"/>
    <x v="1"/>
    <n v="1"/>
    <n v="41.339999999999897"/>
    <x v="3"/>
  </r>
  <r>
    <s v="TRX-104620"/>
    <x v="135"/>
    <x v="3"/>
    <x v="3"/>
    <x v="0"/>
    <n v="137"/>
    <n v="104.57"/>
    <x v="0"/>
    <n v="14"/>
    <n v="-32.43"/>
    <x v="11"/>
  </r>
  <r>
    <s v="TRX-104621"/>
    <x v="869"/>
    <x v="1"/>
    <x v="2"/>
    <x v="1"/>
    <n v="185"/>
    <n v="593.63"/>
    <x v="1"/>
    <n v="6"/>
    <n v="408.63"/>
    <x v="1"/>
  </r>
  <r>
    <s v="TRX-104622"/>
    <x v="837"/>
    <x v="4"/>
    <x v="4"/>
    <x v="1"/>
    <n v="209"/>
    <n v="296.14"/>
    <x v="1"/>
    <n v="2"/>
    <n v="87.139999999999901"/>
    <x v="5"/>
  </r>
  <r>
    <s v="TRX-104623"/>
    <x v="600"/>
    <x v="1"/>
    <x v="2"/>
    <x v="0"/>
    <n v="179"/>
    <n v="122.83"/>
    <x v="0"/>
    <n v="8"/>
    <n v="-56.17"/>
    <x v="8"/>
  </r>
  <r>
    <s v="TRX-104624"/>
    <x v="145"/>
    <x v="0"/>
    <x v="2"/>
    <x v="2"/>
    <n v="225"/>
    <n v="310.95999999999998"/>
    <x v="2"/>
    <n v="14"/>
    <n v="85.959999999999894"/>
    <x v="8"/>
  </r>
  <r>
    <s v="TRX-104625"/>
    <x v="580"/>
    <x v="0"/>
    <x v="6"/>
    <x v="0"/>
    <n v="229"/>
    <n v="123.63"/>
    <x v="1"/>
    <n v="8"/>
    <n v="-105.37"/>
    <x v="2"/>
  </r>
  <r>
    <s v="TRX-104626"/>
    <x v="446"/>
    <x v="4"/>
    <x v="1"/>
    <x v="0"/>
    <n v="200"/>
    <n v="145.16"/>
    <x v="1"/>
    <n v="12"/>
    <n v="-54.84"/>
    <x v="7"/>
  </r>
  <r>
    <s v="TRX-104627"/>
    <x v="546"/>
    <x v="1"/>
    <x v="8"/>
    <x v="1"/>
    <n v="187"/>
    <n v="552.51"/>
    <x v="2"/>
    <n v="41"/>
    <n v="365.51"/>
    <x v="7"/>
  </r>
  <r>
    <s v="TRX-104628"/>
    <x v="406"/>
    <x v="1"/>
    <x v="0"/>
    <x v="2"/>
    <n v="188"/>
    <n v="272.74"/>
    <x v="3"/>
    <n v="20"/>
    <n v="84.74"/>
    <x v="3"/>
  </r>
  <r>
    <s v="TRX-104629"/>
    <x v="807"/>
    <x v="4"/>
    <x v="8"/>
    <x v="0"/>
    <n v="205"/>
    <n v="175.06"/>
    <x v="2"/>
    <n v="30"/>
    <n v="-29.939999999999898"/>
    <x v="3"/>
  </r>
  <r>
    <s v="TRX-104630"/>
    <x v="439"/>
    <x v="1"/>
    <x v="4"/>
    <x v="0"/>
    <n v="179"/>
    <n v="126.71"/>
    <x v="2"/>
    <n v="39"/>
    <n v="-52.29"/>
    <x v="11"/>
  </r>
  <r>
    <s v="TRX-104631"/>
    <x v="962"/>
    <x v="2"/>
    <x v="7"/>
    <x v="1"/>
    <n v="217"/>
    <n v="674.48"/>
    <x v="0"/>
    <n v="5"/>
    <n v="457.48"/>
    <x v="7"/>
  </r>
  <r>
    <s v="TRX-104632"/>
    <x v="85"/>
    <x v="3"/>
    <x v="3"/>
    <x v="0"/>
    <n v="132"/>
    <n v="71.09"/>
    <x v="3"/>
    <n v="32"/>
    <n v="-60.91"/>
    <x v="1"/>
  </r>
  <r>
    <s v="TRX-104633"/>
    <x v="425"/>
    <x v="0"/>
    <x v="4"/>
    <x v="1"/>
    <n v="229"/>
    <n v="294.39"/>
    <x v="0"/>
    <n v="10"/>
    <n v="65.389999999999901"/>
    <x v="6"/>
  </r>
  <r>
    <s v="TRX-104634"/>
    <x v="318"/>
    <x v="4"/>
    <x v="4"/>
    <x v="1"/>
    <n v="203"/>
    <n v="478.52"/>
    <x v="0"/>
    <n v="13"/>
    <n v="275.52"/>
    <x v="6"/>
  </r>
  <r>
    <s v="TRX-104635"/>
    <x v="625"/>
    <x v="3"/>
    <x v="2"/>
    <x v="0"/>
    <n v="127"/>
    <n v="114.18"/>
    <x v="3"/>
    <n v="12"/>
    <n v="-12.819999999999901"/>
    <x v="2"/>
  </r>
  <r>
    <s v="TRX-104636"/>
    <x v="843"/>
    <x v="0"/>
    <x v="5"/>
    <x v="0"/>
    <n v="227"/>
    <n v="192.44"/>
    <x v="1"/>
    <n v="2"/>
    <n v="-34.56"/>
    <x v="5"/>
  </r>
  <r>
    <s v="TRX-104637"/>
    <x v="464"/>
    <x v="0"/>
    <x v="6"/>
    <x v="1"/>
    <n v="226"/>
    <n v="384.63"/>
    <x v="4"/>
    <n v="33"/>
    <n v="158.63"/>
    <x v="0"/>
  </r>
  <r>
    <s v="TRX-104638"/>
    <x v="909"/>
    <x v="0"/>
    <x v="2"/>
    <x v="1"/>
    <n v="227"/>
    <n v="550.67999999999995"/>
    <x v="1"/>
    <n v="13"/>
    <n v="323.67999999999898"/>
    <x v="8"/>
  </r>
  <r>
    <s v="TRX-104639"/>
    <x v="255"/>
    <x v="3"/>
    <x v="5"/>
    <x v="2"/>
    <n v="129"/>
    <n v="125.82"/>
    <x v="2"/>
    <n v="55"/>
    <n v="-3.18"/>
    <x v="10"/>
  </r>
  <r>
    <s v="TRX-104640"/>
    <x v="887"/>
    <x v="0"/>
    <x v="0"/>
    <x v="0"/>
    <n v="225"/>
    <n v="128.34"/>
    <x v="2"/>
    <n v="40"/>
    <n v="-96.66"/>
    <x v="11"/>
  </r>
  <r>
    <s v="TRX-104641"/>
    <x v="833"/>
    <x v="3"/>
    <x v="6"/>
    <x v="1"/>
    <n v="125"/>
    <n v="384.3"/>
    <x v="2"/>
    <n v="12"/>
    <n v="259.3"/>
    <x v="1"/>
  </r>
  <r>
    <s v="TRX-104642"/>
    <x v="896"/>
    <x v="4"/>
    <x v="8"/>
    <x v="0"/>
    <n v="207"/>
    <n v="153.07"/>
    <x v="4"/>
    <n v="6"/>
    <n v="-53.93"/>
    <x v="8"/>
  </r>
  <r>
    <s v="TRX-104643"/>
    <x v="732"/>
    <x v="2"/>
    <x v="4"/>
    <x v="2"/>
    <n v="225"/>
    <n v="208.76"/>
    <x v="4"/>
    <n v="5"/>
    <n v="-16.239999999999998"/>
    <x v="10"/>
  </r>
  <r>
    <s v="TRX-104644"/>
    <x v="76"/>
    <x v="0"/>
    <x v="6"/>
    <x v="1"/>
    <n v="227"/>
    <n v="536.6"/>
    <x v="2"/>
    <n v="20"/>
    <n v="309.60000000000002"/>
    <x v="10"/>
  </r>
  <r>
    <s v="TRX-104645"/>
    <x v="205"/>
    <x v="2"/>
    <x v="6"/>
    <x v="1"/>
    <n v="211"/>
    <n v="507.49"/>
    <x v="2"/>
    <n v="40"/>
    <n v="296.49"/>
    <x v="1"/>
  </r>
  <r>
    <s v="TRX-104646"/>
    <x v="216"/>
    <x v="4"/>
    <x v="1"/>
    <x v="0"/>
    <n v="208"/>
    <n v="111.45"/>
    <x v="1"/>
    <n v="7"/>
    <n v="-96.55"/>
    <x v="8"/>
  </r>
  <r>
    <s v="TRX-104647"/>
    <x v="533"/>
    <x v="3"/>
    <x v="6"/>
    <x v="2"/>
    <n v="136"/>
    <n v="166.86"/>
    <x v="0"/>
    <n v="13"/>
    <n v="30.86"/>
    <x v="4"/>
  </r>
  <r>
    <s v="TRX-104648"/>
    <x v="4"/>
    <x v="1"/>
    <x v="1"/>
    <x v="0"/>
    <n v="180"/>
    <n v="122.11"/>
    <x v="1"/>
    <n v="9"/>
    <n v="-57.89"/>
    <x v="3"/>
  </r>
  <r>
    <s v="TRX-104649"/>
    <x v="139"/>
    <x v="3"/>
    <x v="2"/>
    <x v="0"/>
    <n v="118"/>
    <n v="69.61"/>
    <x v="0"/>
    <n v="8"/>
    <n v="-48.39"/>
    <x v="5"/>
  </r>
  <r>
    <s v="TRX-104650"/>
    <x v="645"/>
    <x v="0"/>
    <x v="0"/>
    <x v="1"/>
    <n v="230"/>
    <n v="297.93"/>
    <x v="3"/>
    <n v="25"/>
    <n v="67.930000000000007"/>
    <x v="5"/>
  </r>
  <r>
    <s v="TRX-104651"/>
    <x v="229"/>
    <x v="1"/>
    <x v="0"/>
    <x v="2"/>
    <n v="186"/>
    <n v="198.51"/>
    <x v="1"/>
    <n v="13"/>
    <n v="12.5099999999999"/>
    <x v="2"/>
  </r>
  <r>
    <s v="TRX-104652"/>
    <x v="226"/>
    <x v="1"/>
    <x v="3"/>
    <x v="2"/>
    <n v="189"/>
    <n v="233.21"/>
    <x v="0"/>
    <n v="4"/>
    <n v="44.21"/>
    <x v="10"/>
  </r>
  <r>
    <s v="TRX-104653"/>
    <x v="820"/>
    <x v="1"/>
    <x v="8"/>
    <x v="1"/>
    <n v="177"/>
    <n v="613.13"/>
    <x v="3"/>
    <n v="50"/>
    <n v="436.13"/>
    <x v="7"/>
  </r>
  <r>
    <s v="TRX-104654"/>
    <x v="815"/>
    <x v="1"/>
    <x v="4"/>
    <x v="2"/>
    <n v="182"/>
    <n v="247.95"/>
    <x v="0"/>
    <n v="9"/>
    <n v="65.949999999999903"/>
    <x v="11"/>
  </r>
  <r>
    <s v="TRX-104655"/>
    <x v="975"/>
    <x v="4"/>
    <x v="2"/>
    <x v="1"/>
    <n v="208"/>
    <n v="431.52"/>
    <x v="3"/>
    <n v="37"/>
    <n v="223.51999999999899"/>
    <x v="11"/>
  </r>
  <r>
    <s v="TRX-104656"/>
    <x v="739"/>
    <x v="3"/>
    <x v="3"/>
    <x v="0"/>
    <n v="120"/>
    <n v="78.459999999999994"/>
    <x v="3"/>
    <n v="53"/>
    <n v="-41.54"/>
    <x v="9"/>
  </r>
  <r>
    <s v="TRX-104657"/>
    <x v="957"/>
    <x v="0"/>
    <x v="4"/>
    <x v="0"/>
    <n v="229"/>
    <n v="124.93"/>
    <x v="3"/>
    <n v="9"/>
    <n v="-104.07"/>
    <x v="6"/>
  </r>
  <r>
    <s v="TRX-104658"/>
    <x v="499"/>
    <x v="1"/>
    <x v="2"/>
    <x v="0"/>
    <n v="182"/>
    <n v="103.09"/>
    <x v="3"/>
    <n v="33"/>
    <n v="-78.91"/>
    <x v="9"/>
  </r>
  <r>
    <s v="TRX-104659"/>
    <x v="89"/>
    <x v="0"/>
    <x v="6"/>
    <x v="1"/>
    <n v="228"/>
    <n v="760.69"/>
    <x v="4"/>
    <n v="10"/>
    <n v="532.69000000000005"/>
    <x v="10"/>
  </r>
  <r>
    <s v="TRX-104660"/>
    <x v="646"/>
    <x v="3"/>
    <x v="3"/>
    <x v="0"/>
    <n v="113"/>
    <n v="71.989999999999995"/>
    <x v="1"/>
    <n v="12"/>
    <n v="-41.01"/>
    <x v="5"/>
  </r>
  <r>
    <s v="TRX-104661"/>
    <x v="183"/>
    <x v="2"/>
    <x v="5"/>
    <x v="0"/>
    <n v="214"/>
    <n v="124.74"/>
    <x v="4"/>
    <n v="52"/>
    <n v="-89.26"/>
    <x v="1"/>
  </r>
  <r>
    <s v="TRX-104662"/>
    <x v="308"/>
    <x v="4"/>
    <x v="5"/>
    <x v="2"/>
    <n v="203"/>
    <n v="219.41"/>
    <x v="3"/>
    <n v="52"/>
    <n v="16.409999999999901"/>
    <x v="8"/>
  </r>
  <r>
    <s v="TRX-104663"/>
    <x v="602"/>
    <x v="4"/>
    <x v="0"/>
    <x v="1"/>
    <n v="200"/>
    <n v="550.28"/>
    <x v="0"/>
    <n v="5"/>
    <n v="350.28"/>
    <x v="7"/>
  </r>
  <r>
    <s v="TRX-104664"/>
    <x v="837"/>
    <x v="1"/>
    <x v="3"/>
    <x v="1"/>
    <n v="173"/>
    <n v="514.70000000000005"/>
    <x v="4"/>
    <n v="51"/>
    <n v="341.7"/>
    <x v="5"/>
  </r>
  <r>
    <s v="TRX-104665"/>
    <x v="420"/>
    <x v="4"/>
    <x v="4"/>
    <x v="1"/>
    <n v="202"/>
    <n v="407.18"/>
    <x v="3"/>
    <n v="48"/>
    <n v="205.18"/>
    <x v="1"/>
  </r>
  <r>
    <s v="TRX-104666"/>
    <x v="132"/>
    <x v="4"/>
    <x v="6"/>
    <x v="1"/>
    <n v="202"/>
    <n v="263.17"/>
    <x v="3"/>
    <n v="44"/>
    <n v="61.17"/>
    <x v="3"/>
  </r>
  <r>
    <s v="TRX-104667"/>
    <x v="357"/>
    <x v="1"/>
    <x v="0"/>
    <x v="2"/>
    <n v="189"/>
    <n v="220.14"/>
    <x v="4"/>
    <n v="20"/>
    <n v="31.139999999999901"/>
    <x v="8"/>
  </r>
  <r>
    <s v="TRX-104668"/>
    <x v="86"/>
    <x v="4"/>
    <x v="3"/>
    <x v="1"/>
    <n v="208"/>
    <n v="682.67"/>
    <x v="3"/>
    <n v="55"/>
    <n v="474.66999999999899"/>
    <x v="6"/>
  </r>
  <r>
    <s v="TRX-104669"/>
    <x v="895"/>
    <x v="4"/>
    <x v="1"/>
    <x v="2"/>
    <n v="202"/>
    <n v="254.28"/>
    <x v="2"/>
    <n v="8"/>
    <n v="52.28"/>
    <x v="4"/>
  </r>
  <r>
    <s v="TRX-104670"/>
    <x v="303"/>
    <x v="3"/>
    <x v="1"/>
    <x v="0"/>
    <n v="130"/>
    <n v="84.94"/>
    <x v="2"/>
    <n v="59"/>
    <n v="-45.06"/>
    <x v="11"/>
  </r>
  <r>
    <s v="TRX-104671"/>
    <x v="76"/>
    <x v="2"/>
    <x v="0"/>
    <x v="1"/>
    <n v="215"/>
    <n v="386.44"/>
    <x v="2"/>
    <n v="29"/>
    <n v="171.44"/>
    <x v="10"/>
  </r>
  <r>
    <s v="TRX-104672"/>
    <x v="458"/>
    <x v="2"/>
    <x v="7"/>
    <x v="2"/>
    <n v="225"/>
    <n v="219.27"/>
    <x v="3"/>
    <n v="30"/>
    <n v="-5.7299999999999898"/>
    <x v="10"/>
  </r>
  <r>
    <s v="TRX-104673"/>
    <x v="129"/>
    <x v="2"/>
    <x v="3"/>
    <x v="1"/>
    <n v="212"/>
    <n v="491.43"/>
    <x v="0"/>
    <n v="9"/>
    <n v="279.43"/>
    <x v="4"/>
  </r>
  <r>
    <s v="TRX-104674"/>
    <x v="216"/>
    <x v="3"/>
    <x v="4"/>
    <x v="0"/>
    <n v="124"/>
    <n v="96.87"/>
    <x v="3"/>
    <n v="24"/>
    <n v="-27.1299999999999"/>
    <x v="8"/>
  </r>
  <r>
    <s v="TRX-104675"/>
    <x v="878"/>
    <x v="0"/>
    <x v="6"/>
    <x v="2"/>
    <n v="226"/>
    <n v="213.94"/>
    <x v="4"/>
    <n v="42"/>
    <n v="-12.06"/>
    <x v="10"/>
  </r>
  <r>
    <s v="TRX-104676"/>
    <x v="799"/>
    <x v="2"/>
    <x v="6"/>
    <x v="1"/>
    <n v="216"/>
    <n v="635.49"/>
    <x v="0"/>
    <n v="12"/>
    <n v="419.49"/>
    <x v="8"/>
  </r>
  <r>
    <s v="TRX-104677"/>
    <x v="952"/>
    <x v="2"/>
    <x v="7"/>
    <x v="2"/>
    <n v="225"/>
    <n v="262.33"/>
    <x v="2"/>
    <n v="25"/>
    <n v="37.329999999999899"/>
    <x v="4"/>
  </r>
  <r>
    <s v="TRX-104678"/>
    <x v="483"/>
    <x v="4"/>
    <x v="4"/>
    <x v="0"/>
    <n v="202"/>
    <n v="148.66"/>
    <x v="0"/>
    <n v="2"/>
    <n v="-53.34"/>
    <x v="0"/>
  </r>
  <r>
    <s v="TRX-104679"/>
    <x v="922"/>
    <x v="4"/>
    <x v="1"/>
    <x v="2"/>
    <n v="202"/>
    <n v="232.71"/>
    <x v="3"/>
    <n v="17"/>
    <n v="30.71"/>
    <x v="5"/>
  </r>
  <r>
    <s v="TRX-104680"/>
    <x v="124"/>
    <x v="4"/>
    <x v="8"/>
    <x v="2"/>
    <n v="205"/>
    <n v="205.76"/>
    <x v="3"/>
    <n v="54"/>
    <n v="0.75999999999999002"/>
    <x v="4"/>
  </r>
  <r>
    <s v="TRX-104681"/>
    <x v="544"/>
    <x v="0"/>
    <x v="6"/>
    <x v="0"/>
    <n v="229"/>
    <n v="171.21"/>
    <x v="1"/>
    <n v="1"/>
    <n v="-57.7899999999999"/>
    <x v="5"/>
  </r>
  <r>
    <s v="TRX-104682"/>
    <x v="58"/>
    <x v="1"/>
    <x v="7"/>
    <x v="0"/>
    <n v="189"/>
    <n v="110.31"/>
    <x v="1"/>
    <n v="4"/>
    <n v="-78.69"/>
    <x v="4"/>
  </r>
  <r>
    <s v="TRX-104683"/>
    <x v="757"/>
    <x v="1"/>
    <x v="4"/>
    <x v="0"/>
    <n v="174"/>
    <n v="140.69999999999999"/>
    <x v="3"/>
    <n v="24"/>
    <n v="-33.299999999999997"/>
    <x v="2"/>
  </r>
  <r>
    <s v="TRX-104684"/>
    <x v="343"/>
    <x v="2"/>
    <x v="8"/>
    <x v="0"/>
    <n v="223"/>
    <n v="119.18"/>
    <x v="1"/>
    <n v="5"/>
    <n v="-103.82"/>
    <x v="8"/>
  </r>
  <r>
    <s v="TRX-104685"/>
    <x v="147"/>
    <x v="3"/>
    <x v="1"/>
    <x v="0"/>
    <n v="115"/>
    <n v="77.12"/>
    <x v="3"/>
    <n v="10"/>
    <n v="-37.879999999999903"/>
    <x v="4"/>
  </r>
  <r>
    <s v="TRX-104686"/>
    <x v="961"/>
    <x v="3"/>
    <x v="3"/>
    <x v="1"/>
    <n v="111"/>
    <n v="300.31"/>
    <x v="2"/>
    <n v="27"/>
    <n v="189.31"/>
    <x v="5"/>
  </r>
  <r>
    <s v="TRX-104687"/>
    <x v="566"/>
    <x v="2"/>
    <x v="8"/>
    <x v="0"/>
    <n v="216"/>
    <n v="122.8"/>
    <x v="4"/>
    <n v="5"/>
    <n v="-93.2"/>
    <x v="8"/>
  </r>
  <r>
    <s v="TRX-104688"/>
    <x v="206"/>
    <x v="2"/>
    <x v="7"/>
    <x v="0"/>
    <n v="214"/>
    <n v="162.4"/>
    <x v="4"/>
    <n v="5"/>
    <n v="-51.599999999999902"/>
    <x v="0"/>
  </r>
  <r>
    <s v="TRX-104689"/>
    <x v="819"/>
    <x v="3"/>
    <x v="2"/>
    <x v="1"/>
    <n v="114"/>
    <n v="152.96"/>
    <x v="1"/>
    <n v="6"/>
    <n v="38.96"/>
    <x v="5"/>
  </r>
  <r>
    <s v="TRX-104690"/>
    <x v="255"/>
    <x v="3"/>
    <x v="5"/>
    <x v="2"/>
    <n v="110"/>
    <n v="163.08000000000001"/>
    <x v="3"/>
    <n v="45"/>
    <n v="53.08"/>
    <x v="10"/>
  </r>
  <r>
    <s v="TRX-104691"/>
    <x v="659"/>
    <x v="3"/>
    <x v="4"/>
    <x v="1"/>
    <n v="123"/>
    <n v="345.01"/>
    <x v="2"/>
    <n v="49"/>
    <n v="222.01"/>
    <x v="3"/>
  </r>
  <r>
    <s v="TRX-104692"/>
    <x v="399"/>
    <x v="0"/>
    <x v="8"/>
    <x v="1"/>
    <n v="227"/>
    <n v="521.27"/>
    <x v="2"/>
    <n v="16"/>
    <n v="294.27"/>
    <x v="4"/>
  </r>
  <r>
    <s v="TRX-104693"/>
    <x v="311"/>
    <x v="4"/>
    <x v="0"/>
    <x v="2"/>
    <n v="208"/>
    <n v="251.46"/>
    <x v="2"/>
    <n v="6"/>
    <n v="43.46"/>
    <x v="1"/>
  </r>
  <r>
    <s v="TRX-104694"/>
    <x v="869"/>
    <x v="2"/>
    <x v="4"/>
    <x v="0"/>
    <n v="221"/>
    <n v="167.94"/>
    <x v="4"/>
    <n v="50"/>
    <n v="-53.06"/>
    <x v="1"/>
  </r>
  <r>
    <s v="TRX-104695"/>
    <x v="618"/>
    <x v="2"/>
    <x v="4"/>
    <x v="2"/>
    <n v="225"/>
    <n v="230.37"/>
    <x v="4"/>
    <n v="26"/>
    <n v="5.37"/>
    <x v="11"/>
  </r>
  <r>
    <s v="TRX-104696"/>
    <x v="749"/>
    <x v="1"/>
    <x v="7"/>
    <x v="1"/>
    <n v="176"/>
    <n v="455.52"/>
    <x v="3"/>
    <n v="49"/>
    <n v="279.52"/>
    <x v="7"/>
  </r>
  <r>
    <s v="TRX-104697"/>
    <x v="474"/>
    <x v="3"/>
    <x v="1"/>
    <x v="1"/>
    <n v="125"/>
    <n v="323.14999999999998"/>
    <x v="3"/>
    <n v="5"/>
    <n v="198.14999999999901"/>
    <x v="5"/>
  </r>
  <r>
    <s v="TRX-104698"/>
    <x v="696"/>
    <x v="1"/>
    <x v="5"/>
    <x v="0"/>
    <n v="184"/>
    <n v="114.31"/>
    <x v="1"/>
    <n v="5"/>
    <n v="-69.69"/>
    <x v="11"/>
  </r>
  <r>
    <s v="TRX-104699"/>
    <x v="535"/>
    <x v="4"/>
    <x v="0"/>
    <x v="2"/>
    <n v="203"/>
    <n v="225.48"/>
    <x v="3"/>
    <n v="44"/>
    <n v="22.479999999999901"/>
    <x v="7"/>
  </r>
  <r>
    <s v="TRX-104700"/>
    <x v="549"/>
    <x v="0"/>
    <x v="3"/>
    <x v="2"/>
    <n v="227"/>
    <n v="337.43"/>
    <x v="4"/>
    <n v="8"/>
    <n v="110.43"/>
    <x v="9"/>
  </r>
  <r>
    <s v="TRX-104701"/>
    <x v="222"/>
    <x v="1"/>
    <x v="3"/>
    <x v="2"/>
    <n v="183"/>
    <n v="175.73"/>
    <x v="0"/>
    <n v="5"/>
    <n v="-7.2700000000000102"/>
    <x v="9"/>
  </r>
  <r>
    <s v="TRX-104702"/>
    <x v="858"/>
    <x v="2"/>
    <x v="8"/>
    <x v="0"/>
    <n v="215"/>
    <n v="187.27"/>
    <x v="4"/>
    <n v="42"/>
    <n v="-27.729999999999901"/>
    <x v="2"/>
  </r>
  <r>
    <s v="TRX-104703"/>
    <x v="699"/>
    <x v="4"/>
    <x v="5"/>
    <x v="1"/>
    <n v="209"/>
    <n v="510.46"/>
    <x v="2"/>
    <n v="48"/>
    <n v="301.45999999999998"/>
    <x v="11"/>
  </r>
  <r>
    <s v="TRX-104704"/>
    <x v="854"/>
    <x v="3"/>
    <x v="4"/>
    <x v="2"/>
    <n v="132"/>
    <n v="154.72999999999999"/>
    <x v="4"/>
    <n v="35"/>
    <n v="22.729999999999901"/>
    <x v="2"/>
  </r>
  <r>
    <s v="TRX-104705"/>
    <x v="371"/>
    <x v="3"/>
    <x v="1"/>
    <x v="0"/>
    <n v="114"/>
    <n v="95.11"/>
    <x v="3"/>
    <n v="30"/>
    <n v="-18.89"/>
    <x v="5"/>
  </r>
  <r>
    <s v="TRX-104706"/>
    <x v="103"/>
    <x v="0"/>
    <x v="3"/>
    <x v="0"/>
    <n v="226"/>
    <n v="157.87"/>
    <x v="4"/>
    <n v="54"/>
    <n v="-68.13"/>
    <x v="3"/>
  </r>
  <r>
    <s v="TRX-104707"/>
    <x v="832"/>
    <x v="2"/>
    <x v="6"/>
    <x v="1"/>
    <n v="221"/>
    <n v="457.72"/>
    <x v="4"/>
    <n v="37"/>
    <n v="236.72"/>
    <x v="8"/>
  </r>
  <r>
    <s v="TRX-104708"/>
    <x v="957"/>
    <x v="0"/>
    <x v="5"/>
    <x v="2"/>
    <n v="230"/>
    <n v="236.08"/>
    <x v="1"/>
    <n v="6"/>
    <n v="6.0800000000000098"/>
    <x v="6"/>
  </r>
  <r>
    <s v="TRX-104709"/>
    <x v="427"/>
    <x v="0"/>
    <x v="3"/>
    <x v="2"/>
    <n v="230"/>
    <n v="290.7"/>
    <x v="0"/>
    <n v="13"/>
    <n v="60.699999999999903"/>
    <x v="4"/>
  </r>
  <r>
    <s v="TRX-104710"/>
    <x v="89"/>
    <x v="4"/>
    <x v="5"/>
    <x v="0"/>
    <n v="205"/>
    <n v="128.55000000000001"/>
    <x v="1"/>
    <n v="12"/>
    <n v="-76.449999999999903"/>
    <x v="10"/>
  </r>
  <r>
    <s v="TRX-104711"/>
    <x v="223"/>
    <x v="1"/>
    <x v="8"/>
    <x v="0"/>
    <n v="182"/>
    <n v="112.1"/>
    <x v="0"/>
    <n v="5"/>
    <n v="-69.900000000000006"/>
    <x v="9"/>
  </r>
  <r>
    <s v="TRX-104712"/>
    <x v="486"/>
    <x v="1"/>
    <x v="1"/>
    <x v="0"/>
    <n v="172"/>
    <n v="153.19"/>
    <x v="0"/>
    <n v="4"/>
    <n v="-18.809999999999999"/>
    <x v="11"/>
  </r>
  <r>
    <s v="TRX-104713"/>
    <x v="773"/>
    <x v="0"/>
    <x v="6"/>
    <x v="0"/>
    <n v="230"/>
    <n v="197.36"/>
    <x v="1"/>
    <n v="7"/>
    <n v="-32.639999999999901"/>
    <x v="6"/>
  </r>
  <r>
    <s v="TRX-104714"/>
    <x v="633"/>
    <x v="4"/>
    <x v="7"/>
    <x v="0"/>
    <n v="201"/>
    <n v="153.16999999999999"/>
    <x v="4"/>
    <n v="57"/>
    <n v="-47.83"/>
    <x v="3"/>
  </r>
  <r>
    <s v="TRX-104715"/>
    <x v="857"/>
    <x v="2"/>
    <x v="3"/>
    <x v="0"/>
    <n v="222"/>
    <n v="168.83"/>
    <x v="2"/>
    <n v="5"/>
    <n v="-53.169999999999902"/>
    <x v="2"/>
  </r>
  <r>
    <s v="TRX-104716"/>
    <x v="839"/>
    <x v="2"/>
    <x v="7"/>
    <x v="1"/>
    <n v="211"/>
    <n v="558.94000000000005"/>
    <x v="4"/>
    <n v="35"/>
    <n v="347.94"/>
    <x v="11"/>
  </r>
  <r>
    <s v="TRX-104717"/>
    <x v="898"/>
    <x v="3"/>
    <x v="5"/>
    <x v="2"/>
    <n v="119"/>
    <n v="124.04"/>
    <x v="3"/>
    <n v="21"/>
    <n v="5.04"/>
    <x v="10"/>
  </r>
  <r>
    <s v="TRX-104718"/>
    <x v="191"/>
    <x v="0"/>
    <x v="1"/>
    <x v="1"/>
    <n v="225"/>
    <n v="635.61"/>
    <x v="1"/>
    <n v="8"/>
    <n v="410.61"/>
    <x v="8"/>
  </r>
  <r>
    <s v="TRX-104719"/>
    <x v="446"/>
    <x v="3"/>
    <x v="7"/>
    <x v="1"/>
    <n v="124"/>
    <n v="155.54"/>
    <x v="2"/>
    <n v="21"/>
    <n v="31.5399999999999"/>
    <x v="7"/>
  </r>
  <r>
    <s v="TRX-104720"/>
    <x v="833"/>
    <x v="3"/>
    <x v="0"/>
    <x v="1"/>
    <n v="128"/>
    <n v="162.75"/>
    <x v="3"/>
    <n v="60"/>
    <n v="34.75"/>
    <x v="1"/>
  </r>
  <r>
    <s v="TRX-104721"/>
    <x v="391"/>
    <x v="0"/>
    <x v="2"/>
    <x v="2"/>
    <n v="230"/>
    <n v="282.52"/>
    <x v="1"/>
    <n v="12"/>
    <n v="52.519999999999897"/>
    <x v="7"/>
  </r>
  <r>
    <s v="TRX-104722"/>
    <x v="68"/>
    <x v="2"/>
    <x v="8"/>
    <x v="2"/>
    <n v="214"/>
    <n v="233.47"/>
    <x v="1"/>
    <n v="5"/>
    <n v="19.47"/>
    <x v="4"/>
  </r>
  <r>
    <s v="TRX-104723"/>
    <x v="573"/>
    <x v="2"/>
    <x v="7"/>
    <x v="0"/>
    <n v="215"/>
    <n v="156.41999999999999"/>
    <x v="0"/>
    <n v="6"/>
    <n v="-58.58"/>
    <x v="2"/>
  </r>
  <r>
    <s v="TRX-104724"/>
    <x v="403"/>
    <x v="0"/>
    <x v="0"/>
    <x v="0"/>
    <n v="228"/>
    <n v="201.34"/>
    <x v="1"/>
    <n v="10"/>
    <n v="-26.659999999999901"/>
    <x v="11"/>
  </r>
  <r>
    <s v="TRX-104725"/>
    <x v="963"/>
    <x v="2"/>
    <x v="7"/>
    <x v="2"/>
    <n v="223"/>
    <n v="240.79"/>
    <x v="0"/>
    <n v="8"/>
    <n v="17.7899999999999"/>
    <x v="11"/>
  </r>
  <r>
    <s v="TRX-104726"/>
    <x v="609"/>
    <x v="2"/>
    <x v="4"/>
    <x v="0"/>
    <n v="214"/>
    <n v="119.21"/>
    <x v="2"/>
    <n v="43"/>
    <n v="-94.79"/>
    <x v="8"/>
  </r>
  <r>
    <s v="TRX-104727"/>
    <x v="116"/>
    <x v="0"/>
    <x v="1"/>
    <x v="2"/>
    <n v="229"/>
    <n v="278.04000000000002"/>
    <x v="2"/>
    <n v="13"/>
    <n v="49.04"/>
    <x v="8"/>
  </r>
  <r>
    <s v="TRX-104728"/>
    <x v="417"/>
    <x v="0"/>
    <x v="1"/>
    <x v="0"/>
    <n v="226"/>
    <n v="139.56"/>
    <x v="0"/>
    <n v="11"/>
    <n v="-86.44"/>
    <x v="10"/>
  </r>
  <r>
    <s v="TRX-104729"/>
    <x v="771"/>
    <x v="3"/>
    <x v="5"/>
    <x v="1"/>
    <n v="138"/>
    <n v="423.71"/>
    <x v="1"/>
    <n v="6"/>
    <n v="285.70999999999998"/>
    <x v="9"/>
  </r>
  <r>
    <s v="TRX-104730"/>
    <x v="122"/>
    <x v="3"/>
    <x v="1"/>
    <x v="2"/>
    <n v="120"/>
    <n v="110.21"/>
    <x v="3"/>
    <n v="36"/>
    <n v="-9.7899999999999991"/>
    <x v="11"/>
  </r>
  <r>
    <s v="TRX-104731"/>
    <x v="95"/>
    <x v="2"/>
    <x v="3"/>
    <x v="1"/>
    <n v="221"/>
    <n v="524.70000000000005"/>
    <x v="0"/>
    <n v="7"/>
    <n v="303.7"/>
    <x v="8"/>
  </r>
  <r>
    <s v="TRX-104732"/>
    <x v="46"/>
    <x v="2"/>
    <x v="1"/>
    <x v="2"/>
    <n v="223"/>
    <n v="331.86"/>
    <x v="0"/>
    <n v="12"/>
    <n v="108.86"/>
    <x v="0"/>
  </r>
  <r>
    <s v="TRX-104733"/>
    <x v="139"/>
    <x v="0"/>
    <x v="7"/>
    <x v="2"/>
    <n v="229"/>
    <n v="303.17"/>
    <x v="2"/>
    <n v="31"/>
    <n v="74.17"/>
    <x v="5"/>
  </r>
  <r>
    <s v="TRX-104734"/>
    <x v="977"/>
    <x v="4"/>
    <x v="1"/>
    <x v="0"/>
    <n v="208"/>
    <n v="126.27"/>
    <x v="0"/>
    <n v="11"/>
    <n v="-81.73"/>
    <x v="5"/>
  </r>
  <r>
    <s v="TRX-104735"/>
    <x v="337"/>
    <x v="3"/>
    <x v="4"/>
    <x v="1"/>
    <n v="124"/>
    <n v="316.77"/>
    <x v="2"/>
    <n v="17"/>
    <n v="192.76999999999899"/>
    <x v="2"/>
  </r>
  <r>
    <s v="TRX-104736"/>
    <x v="948"/>
    <x v="3"/>
    <x v="0"/>
    <x v="0"/>
    <n v="111"/>
    <n v="55.91"/>
    <x v="3"/>
    <n v="28"/>
    <n v="-55.09"/>
    <x v="5"/>
  </r>
  <r>
    <s v="TRX-104737"/>
    <x v="236"/>
    <x v="2"/>
    <x v="6"/>
    <x v="2"/>
    <n v="224"/>
    <n v="213.7"/>
    <x v="2"/>
    <n v="44"/>
    <n v="-10.3"/>
    <x v="8"/>
  </r>
  <r>
    <s v="TRX-104738"/>
    <x v="139"/>
    <x v="2"/>
    <x v="0"/>
    <x v="2"/>
    <n v="212"/>
    <n v="227.56"/>
    <x v="1"/>
    <n v="5"/>
    <n v="15.56"/>
    <x v="5"/>
  </r>
  <r>
    <s v="TRX-104739"/>
    <x v="738"/>
    <x v="4"/>
    <x v="3"/>
    <x v="1"/>
    <n v="210"/>
    <n v="471.79"/>
    <x v="3"/>
    <n v="25"/>
    <n v="261.79000000000002"/>
    <x v="10"/>
  </r>
  <r>
    <s v="TRX-104740"/>
    <x v="412"/>
    <x v="0"/>
    <x v="1"/>
    <x v="1"/>
    <n v="230"/>
    <n v="741.51"/>
    <x v="2"/>
    <n v="24"/>
    <n v="511.51"/>
    <x v="6"/>
  </r>
  <r>
    <s v="TRX-104741"/>
    <x v="206"/>
    <x v="0"/>
    <x v="0"/>
    <x v="1"/>
    <n v="229"/>
    <n v="501.05"/>
    <x v="0"/>
    <n v="2"/>
    <n v="272.05"/>
    <x v="0"/>
  </r>
  <r>
    <s v="TRX-104742"/>
    <x v="375"/>
    <x v="3"/>
    <x v="4"/>
    <x v="0"/>
    <n v="112"/>
    <n v="92.17"/>
    <x v="4"/>
    <n v="24"/>
    <n v="-19.829999999999998"/>
    <x v="0"/>
  </r>
  <r>
    <s v="TRX-104743"/>
    <x v="140"/>
    <x v="1"/>
    <x v="7"/>
    <x v="0"/>
    <n v="187"/>
    <n v="145.38999999999999"/>
    <x v="1"/>
    <n v="9"/>
    <n v="-41.61"/>
    <x v="2"/>
  </r>
  <r>
    <s v="TRX-104744"/>
    <x v="356"/>
    <x v="1"/>
    <x v="2"/>
    <x v="0"/>
    <n v="175"/>
    <n v="122.79"/>
    <x v="3"/>
    <n v="42"/>
    <n v="-52.209999999999901"/>
    <x v="8"/>
  </r>
  <r>
    <s v="TRX-104745"/>
    <x v="46"/>
    <x v="4"/>
    <x v="2"/>
    <x v="1"/>
    <n v="208"/>
    <n v="529.92999999999995"/>
    <x v="1"/>
    <n v="5"/>
    <n v="321.92999999999898"/>
    <x v="0"/>
  </r>
  <r>
    <s v="TRX-104746"/>
    <x v="922"/>
    <x v="0"/>
    <x v="2"/>
    <x v="1"/>
    <n v="227"/>
    <n v="498.86"/>
    <x v="1"/>
    <n v="7"/>
    <n v="271.86"/>
    <x v="5"/>
  </r>
  <r>
    <s v="TRX-104747"/>
    <x v="731"/>
    <x v="4"/>
    <x v="6"/>
    <x v="2"/>
    <n v="208"/>
    <n v="289.63"/>
    <x v="3"/>
    <n v="40"/>
    <n v="81.63"/>
    <x v="7"/>
  </r>
  <r>
    <s v="TRX-104748"/>
    <x v="990"/>
    <x v="3"/>
    <x v="6"/>
    <x v="0"/>
    <n v="130"/>
    <n v="87.2"/>
    <x v="3"/>
    <n v="14"/>
    <n v="-42.8"/>
    <x v="7"/>
  </r>
  <r>
    <s v="TRX-104749"/>
    <x v="153"/>
    <x v="4"/>
    <x v="8"/>
    <x v="0"/>
    <n v="209"/>
    <n v="121.66"/>
    <x v="1"/>
    <n v="2"/>
    <n v="-87.34"/>
    <x v="2"/>
  </r>
  <r>
    <s v="TRX-104750"/>
    <x v="266"/>
    <x v="1"/>
    <x v="0"/>
    <x v="0"/>
    <n v="184"/>
    <n v="140.80000000000001"/>
    <x v="3"/>
    <n v="49"/>
    <n v="-43.199999999999903"/>
    <x v="0"/>
  </r>
  <r>
    <s v="TRX-104751"/>
    <x v="809"/>
    <x v="4"/>
    <x v="3"/>
    <x v="0"/>
    <n v="203"/>
    <n v="172.03"/>
    <x v="2"/>
    <n v="57"/>
    <n v="-30.97"/>
    <x v="3"/>
  </r>
  <r>
    <s v="TRX-104752"/>
    <x v="735"/>
    <x v="2"/>
    <x v="8"/>
    <x v="1"/>
    <n v="219"/>
    <n v="320.86"/>
    <x v="2"/>
    <n v="27"/>
    <n v="101.86"/>
    <x v="11"/>
  </r>
  <r>
    <s v="TRX-104753"/>
    <x v="201"/>
    <x v="2"/>
    <x v="0"/>
    <x v="1"/>
    <n v="213"/>
    <n v="285.89999999999998"/>
    <x v="4"/>
    <n v="13"/>
    <n v="72.899999999999906"/>
    <x v="10"/>
  </r>
  <r>
    <s v="TRX-104754"/>
    <x v="572"/>
    <x v="1"/>
    <x v="1"/>
    <x v="2"/>
    <n v="173"/>
    <n v="223.99"/>
    <x v="3"/>
    <n v="40"/>
    <n v="50.99"/>
    <x v="7"/>
  </r>
  <r>
    <s v="TRX-104755"/>
    <x v="62"/>
    <x v="2"/>
    <x v="3"/>
    <x v="0"/>
    <n v="221"/>
    <n v="112.67"/>
    <x v="3"/>
    <n v="49"/>
    <n v="-108.33"/>
    <x v="9"/>
  </r>
  <r>
    <s v="TRX-104756"/>
    <x v="254"/>
    <x v="0"/>
    <x v="8"/>
    <x v="2"/>
    <n v="227"/>
    <n v="248.98"/>
    <x v="0"/>
    <n v="1"/>
    <n v="21.979999999999901"/>
    <x v="8"/>
  </r>
  <r>
    <s v="TRX-104757"/>
    <x v="692"/>
    <x v="3"/>
    <x v="4"/>
    <x v="0"/>
    <n v="121"/>
    <n v="70.8"/>
    <x v="3"/>
    <n v="38"/>
    <n v="-50.2"/>
    <x v="3"/>
  </r>
  <r>
    <s v="TRX-104758"/>
    <x v="664"/>
    <x v="2"/>
    <x v="3"/>
    <x v="2"/>
    <n v="215"/>
    <n v="232.3"/>
    <x v="1"/>
    <n v="9"/>
    <n v="17.3"/>
    <x v="5"/>
  </r>
  <r>
    <s v="TRX-104759"/>
    <x v="357"/>
    <x v="2"/>
    <x v="3"/>
    <x v="1"/>
    <n v="218"/>
    <n v="719.48"/>
    <x v="0"/>
    <n v="13"/>
    <n v="501.48"/>
    <x v="8"/>
  </r>
  <r>
    <s v="TRX-104760"/>
    <x v="280"/>
    <x v="1"/>
    <x v="7"/>
    <x v="1"/>
    <n v="173"/>
    <n v="557.34"/>
    <x v="2"/>
    <n v="47"/>
    <n v="384.34"/>
    <x v="4"/>
  </r>
  <r>
    <s v="TRX-104761"/>
    <x v="316"/>
    <x v="4"/>
    <x v="6"/>
    <x v="2"/>
    <n v="205"/>
    <n v="295.94"/>
    <x v="1"/>
    <n v="10"/>
    <n v="90.94"/>
    <x v="8"/>
  </r>
  <r>
    <s v="TRX-104762"/>
    <x v="35"/>
    <x v="0"/>
    <x v="1"/>
    <x v="0"/>
    <n v="230"/>
    <n v="119.08"/>
    <x v="0"/>
    <n v="1"/>
    <n v="-110.92"/>
    <x v="11"/>
  </r>
  <r>
    <s v="TRX-104763"/>
    <x v="666"/>
    <x v="3"/>
    <x v="1"/>
    <x v="1"/>
    <n v="139"/>
    <n v="376.45"/>
    <x v="3"/>
    <n v="13"/>
    <n v="237.45"/>
    <x v="10"/>
  </r>
  <r>
    <s v="TRX-104764"/>
    <x v="708"/>
    <x v="2"/>
    <x v="4"/>
    <x v="1"/>
    <n v="223"/>
    <n v="567.22"/>
    <x v="0"/>
    <n v="6"/>
    <n v="344.22"/>
    <x v="9"/>
  </r>
  <r>
    <s v="TRX-104765"/>
    <x v="394"/>
    <x v="4"/>
    <x v="4"/>
    <x v="2"/>
    <n v="206"/>
    <n v="284.51"/>
    <x v="4"/>
    <n v="13"/>
    <n v="78.509999999999906"/>
    <x v="2"/>
  </r>
  <r>
    <s v="TRX-104766"/>
    <x v="267"/>
    <x v="3"/>
    <x v="8"/>
    <x v="2"/>
    <n v="120"/>
    <n v="136.16"/>
    <x v="0"/>
    <n v="11"/>
    <n v="16.159999999999901"/>
    <x v="2"/>
  </r>
  <r>
    <s v="TRX-104767"/>
    <x v="800"/>
    <x v="3"/>
    <x v="6"/>
    <x v="0"/>
    <n v="110"/>
    <n v="62.61"/>
    <x v="3"/>
    <n v="25"/>
    <n v="-47.39"/>
    <x v="1"/>
  </r>
  <r>
    <s v="TRX-104768"/>
    <x v="357"/>
    <x v="0"/>
    <x v="1"/>
    <x v="0"/>
    <n v="229"/>
    <n v="136.86000000000001"/>
    <x v="4"/>
    <n v="54"/>
    <n v="-92.139999999999901"/>
    <x v="8"/>
  </r>
  <r>
    <s v="TRX-104769"/>
    <x v="876"/>
    <x v="3"/>
    <x v="8"/>
    <x v="1"/>
    <n v="135"/>
    <n v="322.3"/>
    <x v="3"/>
    <n v="13"/>
    <n v="187.3"/>
    <x v="7"/>
  </r>
  <r>
    <s v="TRX-104770"/>
    <x v="68"/>
    <x v="1"/>
    <x v="3"/>
    <x v="0"/>
    <n v="176"/>
    <n v="102.17"/>
    <x v="0"/>
    <n v="3"/>
    <n v="-73.83"/>
    <x v="4"/>
  </r>
  <r>
    <s v="TRX-104771"/>
    <x v="333"/>
    <x v="2"/>
    <x v="4"/>
    <x v="1"/>
    <n v="224"/>
    <n v="621.01"/>
    <x v="1"/>
    <n v="5"/>
    <n v="397.01"/>
    <x v="10"/>
  </r>
  <r>
    <s v="TRX-104772"/>
    <x v="894"/>
    <x v="2"/>
    <x v="5"/>
    <x v="0"/>
    <n v="224"/>
    <n v="175.08"/>
    <x v="3"/>
    <n v="17"/>
    <n v="-48.919999999999902"/>
    <x v="9"/>
  </r>
  <r>
    <s v="TRX-104773"/>
    <x v="34"/>
    <x v="3"/>
    <x v="0"/>
    <x v="0"/>
    <n v="113"/>
    <n v="60.66"/>
    <x v="4"/>
    <n v="42"/>
    <n v="-52.34"/>
    <x v="0"/>
  </r>
  <r>
    <s v="TRX-104774"/>
    <x v="930"/>
    <x v="1"/>
    <x v="7"/>
    <x v="0"/>
    <n v="180"/>
    <n v="144.78"/>
    <x v="4"/>
    <n v="12"/>
    <n v="-35.22"/>
    <x v="9"/>
  </r>
  <r>
    <s v="TRX-104775"/>
    <x v="309"/>
    <x v="0"/>
    <x v="6"/>
    <x v="1"/>
    <n v="230"/>
    <n v="376.4"/>
    <x v="1"/>
    <n v="1"/>
    <n v="146.39999999999901"/>
    <x v="4"/>
  </r>
  <r>
    <s v="TRX-104776"/>
    <x v="119"/>
    <x v="1"/>
    <x v="6"/>
    <x v="0"/>
    <n v="187"/>
    <n v="96.11"/>
    <x v="4"/>
    <n v="20"/>
    <n v="-90.89"/>
    <x v="6"/>
  </r>
  <r>
    <s v="TRX-104777"/>
    <x v="411"/>
    <x v="4"/>
    <x v="2"/>
    <x v="0"/>
    <n v="208"/>
    <n v="117.18"/>
    <x v="0"/>
    <n v="4"/>
    <n v="-90.82"/>
    <x v="9"/>
  </r>
  <r>
    <s v="TRX-104778"/>
    <x v="877"/>
    <x v="1"/>
    <x v="7"/>
    <x v="1"/>
    <n v="189"/>
    <n v="372.14"/>
    <x v="4"/>
    <n v="58"/>
    <n v="183.14"/>
    <x v="10"/>
  </r>
  <r>
    <s v="TRX-104779"/>
    <x v="495"/>
    <x v="2"/>
    <x v="5"/>
    <x v="2"/>
    <n v="225"/>
    <n v="232.33"/>
    <x v="3"/>
    <n v="22"/>
    <n v="7.3300000000000098"/>
    <x v="10"/>
  </r>
  <r>
    <s v="TRX-104780"/>
    <x v="544"/>
    <x v="2"/>
    <x v="3"/>
    <x v="2"/>
    <n v="223"/>
    <n v="218.14"/>
    <x v="2"/>
    <n v="24"/>
    <n v="-4.8600000000000101"/>
    <x v="5"/>
  </r>
  <r>
    <s v="TRX-104781"/>
    <x v="96"/>
    <x v="4"/>
    <x v="5"/>
    <x v="0"/>
    <n v="210"/>
    <n v="159.79"/>
    <x v="4"/>
    <n v="29"/>
    <n v="-50.21"/>
    <x v="1"/>
  </r>
  <r>
    <s v="TRX-104782"/>
    <x v="801"/>
    <x v="3"/>
    <x v="1"/>
    <x v="0"/>
    <n v="114"/>
    <n v="81.239999999999995"/>
    <x v="0"/>
    <n v="6"/>
    <n v="-32.76"/>
    <x v="2"/>
  </r>
  <r>
    <s v="TRX-104783"/>
    <x v="984"/>
    <x v="1"/>
    <x v="0"/>
    <x v="2"/>
    <n v="185"/>
    <n v="228.38"/>
    <x v="1"/>
    <n v="3"/>
    <n v="43.379999999999903"/>
    <x v="5"/>
  </r>
  <r>
    <s v="TRX-104784"/>
    <x v="703"/>
    <x v="4"/>
    <x v="1"/>
    <x v="2"/>
    <n v="207"/>
    <n v="288.32"/>
    <x v="0"/>
    <n v="12"/>
    <n v="81.319999999999993"/>
    <x v="10"/>
  </r>
  <r>
    <s v="TRX-104785"/>
    <x v="582"/>
    <x v="3"/>
    <x v="1"/>
    <x v="1"/>
    <n v="132"/>
    <n v="444.3"/>
    <x v="1"/>
    <n v="2"/>
    <n v="312.3"/>
    <x v="1"/>
  </r>
  <r>
    <s v="TRX-104786"/>
    <x v="357"/>
    <x v="4"/>
    <x v="5"/>
    <x v="2"/>
    <n v="204"/>
    <n v="270.43"/>
    <x v="0"/>
    <n v="1"/>
    <n v="66.430000000000007"/>
    <x v="8"/>
  </r>
  <r>
    <s v="TRX-104787"/>
    <x v="70"/>
    <x v="1"/>
    <x v="3"/>
    <x v="1"/>
    <n v="173"/>
    <n v="265.76"/>
    <x v="2"/>
    <n v="55"/>
    <n v="92.759999999999906"/>
    <x v="2"/>
  </r>
  <r>
    <s v="TRX-104788"/>
    <x v="764"/>
    <x v="2"/>
    <x v="6"/>
    <x v="0"/>
    <n v="222"/>
    <n v="162.94"/>
    <x v="0"/>
    <n v="6"/>
    <n v="-59.06"/>
    <x v="5"/>
  </r>
  <r>
    <s v="TRX-104789"/>
    <x v="269"/>
    <x v="2"/>
    <x v="5"/>
    <x v="0"/>
    <n v="210"/>
    <n v="149.34"/>
    <x v="0"/>
    <n v="8"/>
    <n v="-60.66"/>
    <x v="6"/>
  </r>
  <r>
    <s v="TRX-104790"/>
    <x v="757"/>
    <x v="4"/>
    <x v="3"/>
    <x v="0"/>
    <n v="203"/>
    <n v="160.75"/>
    <x v="4"/>
    <n v="22"/>
    <n v="-42.25"/>
    <x v="2"/>
  </r>
  <r>
    <s v="TRX-104791"/>
    <x v="122"/>
    <x v="2"/>
    <x v="2"/>
    <x v="2"/>
    <n v="213"/>
    <n v="308.49"/>
    <x v="2"/>
    <n v="28"/>
    <n v="95.49"/>
    <x v="11"/>
  </r>
  <r>
    <s v="TRX-104792"/>
    <x v="984"/>
    <x v="2"/>
    <x v="1"/>
    <x v="0"/>
    <n v="221"/>
    <n v="160.97"/>
    <x v="4"/>
    <n v="23"/>
    <n v="-60.03"/>
    <x v="5"/>
  </r>
  <r>
    <s v="TRX-104793"/>
    <x v="974"/>
    <x v="2"/>
    <x v="6"/>
    <x v="0"/>
    <n v="220"/>
    <n v="162.29"/>
    <x v="2"/>
    <n v="52"/>
    <n v="-57.71"/>
    <x v="8"/>
  </r>
  <r>
    <s v="TRX-104794"/>
    <x v="741"/>
    <x v="1"/>
    <x v="6"/>
    <x v="0"/>
    <n v="188"/>
    <n v="147.56"/>
    <x v="3"/>
    <n v="49"/>
    <n v="-40.44"/>
    <x v="11"/>
  </r>
  <r>
    <s v="TRX-104795"/>
    <x v="770"/>
    <x v="1"/>
    <x v="3"/>
    <x v="2"/>
    <n v="180"/>
    <n v="248.84"/>
    <x v="2"/>
    <n v="14"/>
    <n v="68.84"/>
    <x v="0"/>
  </r>
  <r>
    <s v="TRX-104796"/>
    <x v="102"/>
    <x v="1"/>
    <x v="6"/>
    <x v="0"/>
    <n v="188"/>
    <n v="107.07"/>
    <x v="2"/>
    <n v="33"/>
    <n v="-80.930000000000007"/>
    <x v="1"/>
  </r>
  <r>
    <s v="TRX-104797"/>
    <x v="787"/>
    <x v="0"/>
    <x v="2"/>
    <x v="1"/>
    <n v="225"/>
    <n v="307.47000000000003"/>
    <x v="1"/>
    <n v="8"/>
    <n v="82.47"/>
    <x v="2"/>
  </r>
  <r>
    <s v="TRX-104798"/>
    <x v="594"/>
    <x v="3"/>
    <x v="3"/>
    <x v="1"/>
    <n v="136"/>
    <n v="426.98"/>
    <x v="2"/>
    <n v="31"/>
    <n v="290.98"/>
    <x v="1"/>
  </r>
  <r>
    <s v="TRX-104799"/>
    <x v="551"/>
    <x v="0"/>
    <x v="1"/>
    <x v="1"/>
    <n v="226"/>
    <n v="453.12"/>
    <x v="3"/>
    <n v="53"/>
    <n v="227.12"/>
    <x v="8"/>
  </r>
  <r>
    <s v="TRX-104800"/>
    <x v="987"/>
    <x v="3"/>
    <x v="5"/>
    <x v="2"/>
    <n v="125"/>
    <n v="123.67"/>
    <x v="1"/>
    <n v="13"/>
    <n v="-1.3299999999999901"/>
    <x v="10"/>
  </r>
  <r>
    <s v="TRX-104801"/>
    <x v="544"/>
    <x v="3"/>
    <x v="7"/>
    <x v="0"/>
    <n v="117"/>
    <n v="101.73"/>
    <x v="0"/>
    <n v="11"/>
    <n v="-15.2699999999999"/>
    <x v="5"/>
  </r>
  <r>
    <s v="TRX-104802"/>
    <x v="742"/>
    <x v="0"/>
    <x v="1"/>
    <x v="1"/>
    <n v="230"/>
    <n v="596.57000000000005"/>
    <x v="0"/>
    <n v="14"/>
    <n v="366.57"/>
    <x v="1"/>
  </r>
  <r>
    <s v="TRX-104803"/>
    <x v="454"/>
    <x v="0"/>
    <x v="8"/>
    <x v="2"/>
    <n v="225"/>
    <n v="255.01"/>
    <x v="0"/>
    <n v="3"/>
    <n v="30.009999999999899"/>
    <x v="8"/>
  </r>
  <r>
    <s v="TRX-104804"/>
    <x v="929"/>
    <x v="0"/>
    <x v="7"/>
    <x v="1"/>
    <n v="230"/>
    <n v="654.07000000000005"/>
    <x v="4"/>
    <n v="5"/>
    <n v="424.07"/>
    <x v="0"/>
  </r>
  <r>
    <s v="TRX-104805"/>
    <x v="518"/>
    <x v="1"/>
    <x v="4"/>
    <x v="1"/>
    <n v="187"/>
    <n v="283.48"/>
    <x v="2"/>
    <n v="38"/>
    <n v="96.48"/>
    <x v="4"/>
  </r>
  <r>
    <s v="TRX-104806"/>
    <x v="889"/>
    <x v="2"/>
    <x v="6"/>
    <x v="2"/>
    <n v="218"/>
    <n v="204.52"/>
    <x v="3"/>
    <n v="12"/>
    <n v="-13.479999999999899"/>
    <x v="7"/>
  </r>
  <r>
    <s v="TRX-104807"/>
    <x v="805"/>
    <x v="0"/>
    <x v="4"/>
    <x v="2"/>
    <n v="229"/>
    <n v="342.06"/>
    <x v="2"/>
    <n v="43"/>
    <n v="113.06"/>
    <x v="3"/>
  </r>
  <r>
    <s v="TRX-104808"/>
    <x v="510"/>
    <x v="4"/>
    <x v="1"/>
    <x v="1"/>
    <n v="208"/>
    <n v="512.20000000000005"/>
    <x v="3"/>
    <n v="51"/>
    <n v="304.2"/>
    <x v="2"/>
  </r>
  <r>
    <s v="TRX-104809"/>
    <x v="409"/>
    <x v="4"/>
    <x v="7"/>
    <x v="1"/>
    <n v="205"/>
    <n v="623.78"/>
    <x v="1"/>
    <n v="5"/>
    <n v="418.78"/>
    <x v="11"/>
  </r>
  <r>
    <s v="TRX-104810"/>
    <x v="668"/>
    <x v="4"/>
    <x v="3"/>
    <x v="2"/>
    <n v="205"/>
    <n v="257.68"/>
    <x v="0"/>
    <n v="11"/>
    <n v="52.68"/>
    <x v="2"/>
  </r>
  <r>
    <s v="TRX-104811"/>
    <x v="357"/>
    <x v="2"/>
    <x v="1"/>
    <x v="0"/>
    <n v="221"/>
    <n v="193.21"/>
    <x v="3"/>
    <n v="25"/>
    <n v="-27.7899999999999"/>
    <x v="8"/>
  </r>
  <r>
    <s v="TRX-104812"/>
    <x v="888"/>
    <x v="1"/>
    <x v="3"/>
    <x v="1"/>
    <n v="186"/>
    <n v="531.98"/>
    <x v="4"/>
    <n v="32"/>
    <n v="345.98"/>
    <x v="5"/>
  </r>
  <r>
    <s v="TRX-104813"/>
    <x v="159"/>
    <x v="1"/>
    <x v="6"/>
    <x v="1"/>
    <n v="170"/>
    <n v="308.72000000000003"/>
    <x v="4"/>
    <n v="18"/>
    <n v="138.72"/>
    <x v="8"/>
  </r>
  <r>
    <s v="TRX-104814"/>
    <x v="378"/>
    <x v="4"/>
    <x v="7"/>
    <x v="1"/>
    <n v="207"/>
    <n v="343.3"/>
    <x v="3"/>
    <n v="60"/>
    <n v="136.30000000000001"/>
    <x v="3"/>
  </r>
  <r>
    <s v="TRX-104815"/>
    <x v="931"/>
    <x v="2"/>
    <x v="0"/>
    <x v="0"/>
    <n v="220"/>
    <n v="174.01"/>
    <x v="3"/>
    <n v="22"/>
    <n v="-45.99"/>
    <x v="11"/>
  </r>
  <r>
    <s v="TRX-104816"/>
    <x v="530"/>
    <x v="3"/>
    <x v="3"/>
    <x v="2"/>
    <n v="116"/>
    <n v="173.84"/>
    <x v="4"/>
    <n v="39"/>
    <n v="57.84"/>
    <x v="3"/>
  </r>
  <r>
    <s v="TRX-104817"/>
    <x v="156"/>
    <x v="1"/>
    <x v="6"/>
    <x v="2"/>
    <n v="181"/>
    <n v="193.78"/>
    <x v="0"/>
    <n v="9"/>
    <n v="12.78"/>
    <x v="10"/>
  </r>
  <r>
    <s v="TRX-104818"/>
    <x v="41"/>
    <x v="2"/>
    <x v="1"/>
    <x v="0"/>
    <n v="224"/>
    <n v="178.15"/>
    <x v="3"/>
    <n v="55"/>
    <n v="-45.849999999999902"/>
    <x v="5"/>
  </r>
  <r>
    <s v="TRX-104819"/>
    <x v="614"/>
    <x v="4"/>
    <x v="8"/>
    <x v="1"/>
    <n v="202"/>
    <n v="630.25"/>
    <x v="0"/>
    <n v="13"/>
    <n v="428.25"/>
    <x v="9"/>
  </r>
  <r>
    <s v="TRX-104820"/>
    <x v="964"/>
    <x v="1"/>
    <x v="2"/>
    <x v="1"/>
    <n v="173"/>
    <n v="393.08"/>
    <x v="4"/>
    <n v="39"/>
    <n v="220.07999999999899"/>
    <x v="3"/>
  </r>
  <r>
    <s v="TRX-104821"/>
    <x v="150"/>
    <x v="3"/>
    <x v="3"/>
    <x v="0"/>
    <n v="135"/>
    <n v="109.05"/>
    <x v="1"/>
    <n v="6"/>
    <n v="-25.95"/>
    <x v="2"/>
  </r>
  <r>
    <s v="TRX-104822"/>
    <x v="448"/>
    <x v="0"/>
    <x v="8"/>
    <x v="0"/>
    <n v="225"/>
    <n v="141.41"/>
    <x v="0"/>
    <n v="14"/>
    <n v="-83.59"/>
    <x v="4"/>
  </r>
  <r>
    <s v="TRX-104823"/>
    <x v="40"/>
    <x v="0"/>
    <x v="3"/>
    <x v="0"/>
    <n v="227"/>
    <n v="129.97"/>
    <x v="2"/>
    <n v="60"/>
    <n v="-97.03"/>
    <x v="6"/>
  </r>
  <r>
    <s v="TRX-104824"/>
    <x v="724"/>
    <x v="1"/>
    <x v="0"/>
    <x v="1"/>
    <n v="172"/>
    <n v="585.21"/>
    <x v="1"/>
    <n v="12"/>
    <n v="413.21"/>
    <x v="9"/>
  </r>
  <r>
    <s v="TRX-104825"/>
    <x v="657"/>
    <x v="4"/>
    <x v="6"/>
    <x v="1"/>
    <n v="206"/>
    <n v="485.19"/>
    <x v="1"/>
    <n v="10"/>
    <n v="279.19"/>
    <x v="9"/>
  </r>
  <r>
    <s v="TRX-104826"/>
    <x v="890"/>
    <x v="2"/>
    <x v="4"/>
    <x v="2"/>
    <n v="211"/>
    <n v="244.33"/>
    <x v="2"/>
    <n v="10"/>
    <n v="33.33"/>
    <x v="8"/>
  </r>
  <r>
    <s v="TRX-104827"/>
    <x v="611"/>
    <x v="0"/>
    <x v="7"/>
    <x v="2"/>
    <n v="227"/>
    <n v="265.25"/>
    <x v="0"/>
    <n v="2"/>
    <n v="38.25"/>
    <x v="4"/>
  </r>
  <r>
    <s v="TRX-104828"/>
    <x v="435"/>
    <x v="2"/>
    <x v="3"/>
    <x v="0"/>
    <n v="214"/>
    <n v="111.79"/>
    <x v="3"/>
    <n v="60"/>
    <n v="-102.21"/>
    <x v="10"/>
  </r>
  <r>
    <s v="TRX-104829"/>
    <x v="297"/>
    <x v="0"/>
    <x v="7"/>
    <x v="1"/>
    <n v="226"/>
    <n v="771.02"/>
    <x v="2"/>
    <n v="34"/>
    <n v="545.02"/>
    <x v="3"/>
  </r>
  <r>
    <s v="TRX-104830"/>
    <x v="933"/>
    <x v="1"/>
    <x v="6"/>
    <x v="1"/>
    <n v="190"/>
    <n v="437.97"/>
    <x v="2"/>
    <n v="16"/>
    <n v="247.97"/>
    <x v="6"/>
  </r>
  <r>
    <s v="TRX-104831"/>
    <x v="68"/>
    <x v="2"/>
    <x v="0"/>
    <x v="1"/>
    <n v="217"/>
    <n v="401.71"/>
    <x v="3"/>
    <n v="22"/>
    <n v="184.70999999999901"/>
    <x v="4"/>
  </r>
  <r>
    <s v="TRX-104832"/>
    <x v="934"/>
    <x v="2"/>
    <x v="0"/>
    <x v="0"/>
    <n v="220"/>
    <n v="140.69"/>
    <x v="3"/>
    <n v="28"/>
    <n v="-79.31"/>
    <x v="0"/>
  </r>
  <r>
    <s v="TRX-104833"/>
    <x v="893"/>
    <x v="0"/>
    <x v="2"/>
    <x v="0"/>
    <n v="225"/>
    <n v="126.05"/>
    <x v="2"/>
    <n v="30"/>
    <n v="-98.95"/>
    <x v="4"/>
  </r>
  <r>
    <s v="TRX-104834"/>
    <x v="835"/>
    <x v="3"/>
    <x v="4"/>
    <x v="1"/>
    <n v="114"/>
    <n v="138.65"/>
    <x v="1"/>
    <n v="4"/>
    <n v="24.65"/>
    <x v="11"/>
  </r>
  <r>
    <s v="TRX-104835"/>
    <x v="633"/>
    <x v="1"/>
    <x v="3"/>
    <x v="2"/>
    <n v="170"/>
    <n v="154"/>
    <x v="0"/>
    <n v="8"/>
    <n v="-16"/>
    <x v="3"/>
  </r>
  <r>
    <s v="TRX-104836"/>
    <x v="296"/>
    <x v="2"/>
    <x v="4"/>
    <x v="1"/>
    <n v="216"/>
    <n v="657.85"/>
    <x v="1"/>
    <n v="9"/>
    <n v="441.85"/>
    <x v="8"/>
  </r>
  <r>
    <s v="TRX-104837"/>
    <x v="708"/>
    <x v="0"/>
    <x v="1"/>
    <x v="2"/>
    <n v="225"/>
    <n v="229.13"/>
    <x v="2"/>
    <n v="17"/>
    <n v="4.1299999999999901"/>
    <x v="9"/>
  </r>
  <r>
    <s v="TRX-104838"/>
    <x v="671"/>
    <x v="2"/>
    <x v="2"/>
    <x v="1"/>
    <n v="211"/>
    <n v="550.23"/>
    <x v="0"/>
    <n v="4"/>
    <n v="339.23"/>
    <x v="2"/>
  </r>
  <r>
    <s v="TRX-104839"/>
    <x v="406"/>
    <x v="0"/>
    <x v="1"/>
    <x v="0"/>
    <n v="225"/>
    <n v="141.80000000000001"/>
    <x v="3"/>
    <n v="20"/>
    <n v="-83.199999999999903"/>
    <x v="3"/>
  </r>
  <r>
    <s v="TRX-104840"/>
    <x v="45"/>
    <x v="2"/>
    <x v="7"/>
    <x v="0"/>
    <n v="219"/>
    <n v="162.37"/>
    <x v="2"/>
    <n v="26"/>
    <n v="-56.629999999999903"/>
    <x v="6"/>
  </r>
  <r>
    <s v="TRX-104841"/>
    <x v="473"/>
    <x v="0"/>
    <x v="7"/>
    <x v="2"/>
    <n v="225"/>
    <n v="308.57"/>
    <x v="1"/>
    <n v="4"/>
    <n v="83.57"/>
    <x v="3"/>
  </r>
  <r>
    <s v="TRX-104842"/>
    <x v="625"/>
    <x v="3"/>
    <x v="0"/>
    <x v="0"/>
    <n v="117"/>
    <n v="90.34"/>
    <x v="1"/>
    <n v="2"/>
    <n v="-26.659999999999901"/>
    <x v="2"/>
  </r>
  <r>
    <s v="TRX-104843"/>
    <x v="595"/>
    <x v="4"/>
    <x v="7"/>
    <x v="1"/>
    <n v="200"/>
    <n v="317.08999999999997"/>
    <x v="3"/>
    <n v="43"/>
    <n v="117.08999999999899"/>
    <x v="0"/>
  </r>
  <r>
    <s v="TRX-104844"/>
    <x v="572"/>
    <x v="3"/>
    <x v="6"/>
    <x v="1"/>
    <n v="134"/>
    <n v="325.41000000000003"/>
    <x v="2"/>
    <n v="24"/>
    <n v="191.41"/>
    <x v="7"/>
  </r>
  <r>
    <s v="TRX-104845"/>
    <x v="0"/>
    <x v="3"/>
    <x v="3"/>
    <x v="1"/>
    <n v="114"/>
    <n v="175.14"/>
    <x v="3"/>
    <n v="5"/>
    <n v="61.139999999999901"/>
    <x v="0"/>
  </r>
  <r>
    <s v="TRX-104846"/>
    <x v="650"/>
    <x v="3"/>
    <x v="4"/>
    <x v="2"/>
    <n v="125"/>
    <n v="184.87"/>
    <x v="2"/>
    <n v="44"/>
    <n v="59.87"/>
    <x v="5"/>
  </r>
  <r>
    <s v="TRX-104847"/>
    <x v="912"/>
    <x v="1"/>
    <x v="0"/>
    <x v="2"/>
    <n v="171"/>
    <n v="249.77"/>
    <x v="2"/>
    <n v="47"/>
    <n v="78.77"/>
    <x v="1"/>
  </r>
  <r>
    <s v="TRX-104848"/>
    <x v="63"/>
    <x v="0"/>
    <x v="8"/>
    <x v="2"/>
    <n v="226"/>
    <n v="307.63"/>
    <x v="0"/>
    <n v="10"/>
    <n v="81.63"/>
    <x v="11"/>
  </r>
  <r>
    <s v="TRX-104849"/>
    <x v="743"/>
    <x v="0"/>
    <x v="2"/>
    <x v="1"/>
    <n v="226"/>
    <n v="454.69"/>
    <x v="3"/>
    <n v="11"/>
    <n v="228.69"/>
    <x v="1"/>
  </r>
  <r>
    <s v="TRX-104850"/>
    <x v="75"/>
    <x v="3"/>
    <x v="7"/>
    <x v="1"/>
    <n v="115"/>
    <n v="141.63"/>
    <x v="2"/>
    <n v="47"/>
    <n v="26.6299999999999"/>
    <x v="4"/>
  </r>
  <r>
    <s v="TRX-104851"/>
    <x v="557"/>
    <x v="1"/>
    <x v="0"/>
    <x v="2"/>
    <n v="180"/>
    <n v="197.45"/>
    <x v="3"/>
    <n v="46"/>
    <n v="17.4499999999999"/>
    <x v="0"/>
  </r>
  <r>
    <s v="TRX-104852"/>
    <x v="504"/>
    <x v="2"/>
    <x v="8"/>
    <x v="2"/>
    <n v="220"/>
    <n v="318.60000000000002"/>
    <x v="4"/>
    <n v="33"/>
    <n v="98.6"/>
    <x v="0"/>
  </r>
  <r>
    <s v="TRX-104853"/>
    <x v="67"/>
    <x v="1"/>
    <x v="0"/>
    <x v="2"/>
    <n v="171"/>
    <n v="224.88"/>
    <x v="0"/>
    <n v="14"/>
    <n v="53.879999999999903"/>
    <x v="10"/>
  </r>
  <r>
    <s v="TRX-104854"/>
    <x v="578"/>
    <x v="1"/>
    <x v="7"/>
    <x v="1"/>
    <n v="174"/>
    <n v="596.79"/>
    <x v="4"/>
    <n v="47"/>
    <n v="422.789999999999"/>
    <x v="8"/>
  </r>
  <r>
    <s v="TRX-104855"/>
    <x v="844"/>
    <x v="0"/>
    <x v="7"/>
    <x v="1"/>
    <n v="226"/>
    <n v="316.42"/>
    <x v="3"/>
    <n v="54"/>
    <n v="90.42"/>
    <x v="3"/>
  </r>
  <r>
    <s v="TRX-104856"/>
    <x v="964"/>
    <x v="0"/>
    <x v="3"/>
    <x v="0"/>
    <n v="226"/>
    <n v="161.38999999999999"/>
    <x v="3"/>
    <n v="21"/>
    <n v="-64.61"/>
    <x v="3"/>
  </r>
  <r>
    <s v="TRX-104857"/>
    <x v="209"/>
    <x v="3"/>
    <x v="4"/>
    <x v="1"/>
    <n v="135"/>
    <n v="329.59"/>
    <x v="3"/>
    <n v="24"/>
    <n v="194.58999999999901"/>
    <x v="3"/>
  </r>
  <r>
    <s v="TRX-104858"/>
    <x v="155"/>
    <x v="3"/>
    <x v="4"/>
    <x v="0"/>
    <n v="116"/>
    <n v="82.04"/>
    <x v="2"/>
    <n v="27"/>
    <n v="-33.959999999999901"/>
    <x v="7"/>
  </r>
  <r>
    <s v="TRX-104859"/>
    <x v="453"/>
    <x v="2"/>
    <x v="8"/>
    <x v="1"/>
    <n v="213"/>
    <n v="490.79"/>
    <x v="2"/>
    <n v="39"/>
    <n v="277.79000000000002"/>
    <x v="2"/>
  </r>
  <r>
    <s v="TRX-104860"/>
    <x v="216"/>
    <x v="4"/>
    <x v="7"/>
    <x v="1"/>
    <n v="206"/>
    <n v="708.42"/>
    <x v="1"/>
    <n v="2"/>
    <n v="502.41999999999899"/>
    <x v="8"/>
  </r>
  <r>
    <s v="TRX-104861"/>
    <x v="558"/>
    <x v="0"/>
    <x v="2"/>
    <x v="2"/>
    <n v="229"/>
    <n v="276.11"/>
    <x v="0"/>
    <n v="11"/>
    <n v="47.11"/>
    <x v="11"/>
  </r>
  <r>
    <s v="TRX-104862"/>
    <x v="335"/>
    <x v="3"/>
    <x v="1"/>
    <x v="0"/>
    <n v="116"/>
    <n v="86.02"/>
    <x v="4"/>
    <n v="57"/>
    <n v="-29.98"/>
    <x v="11"/>
  </r>
  <r>
    <s v="TRX-104863"/>
    <x v="957"/>
    <x v="4"/>
    <x v="6"/>
    <x v="1"/>
    <n v="209"/>
    <n v="639.46"/>
    <x v="4"/>
    <n v="37"/>
    <n v="430.46"/>
    <x v="6"/>
  </r>
  <r>
    <s v="TRX-104864"/>
    <x v="303"/>
    <x v="4"/>
    <x v="7"/>
    <x v="1"/>
    <n v="208"/>
    <n v="619.66999999999996"/>
    <x v="3"/>
    <n v="25"/>
    <n v="411.66999999999899"/>
    <x v="11"/>
  </r>
  <r>
    <s v="TRX-104865"/>
    <x v="3"/>
    <x v="3"/>
    <x v="4"/>
    <x v="2"/>
    <n v="124"/>
    <n v="135.99"/>
    <x v="3"/>
    <n v="21"/>
    <n v="11.99"/>
    <x v="2"/>
  </r>
  <r>
    <s v="TRX-104866"/>
    <x v="258"/>
    <x v="1"/>
    <x v="4"/>
    <x v="0"/>
    <n v="172"/>
    <n v="153.4"/>
    <x v="1"/>
    <n v="8"/>
    <n v="-18.599999999999898"/>
    <x v="3"/>
  </r>
  <r>
    <s v="TRX-104867"/>
    <x v="87"/>
    <x v="3"/>
    <x v="1"/>
    <x v="0"/>
    <n v="110"/>
    <n v="61.07"/>
    <x v="3"/>
    <n v="14"/>
    <n v="-48.93"/>
    <x v="3"/>
  </r>
  <r>
    <s v="TRX-104868"/>
    <x v="189"/>
    <x v="3"/>
    <x v="2"/>
    <x v="2"/>
    <n v="137"/>
    <n v="164.8"/>
    <x v="3"/>
    <n v="17"/>
    <n v="27.8"/>
    <x v="0"/>
  </r>
  <r>
    <s v="TRX-104869"/>
    <x v="27"/>
    <x v="2"/>
    <x v="0"/>
    <x v="2"/>
    <n v="210"/>
    <n v="215.13"/>
    <x v="3"/>
    <n v="36"/>
    <n v="5.1299999999999901"/>
    <x v="9"/>
  </r>
  <r>
    <s v="TRX-104870"/>
    <x v="386"/>
    <x v="1"/>
    <x v="6"/>
    <x v="1"/>
    <n v="181"/>
    <n v="402.14"/>
    <x v="0"/>
    <n v="9"/>
    <n v="221.14"/>
    <x v="8"/>
  </r>
  <r>
    <s v="TRX-104871"/>
    <x v="496"/>
    <x v="4"/>
    <x v="1"/>
    <x v="2"/>
    <n v="208"/>
    <n v="296.64"/>
    <x v="0"/>
    <n v="4"/>
    <n v="88.639999999999901"/>
    <x v="9"/>
  </r>
  <r>
    <s v="TRX-104872"/>
    <x v="673"/>
    <x v="3"/>
    <x v="2"/>
    <x v="1"/>
    <n v="130"/>
    <n v="189.06"/>
    <x v="1"/>
    <n v="13"/>
    <n v="59.06"/>
    <x v="5"/>
  </r>
  <r>
    <s v="TRX-104873"/>
    <x v="854"/>
    <x v="4"/>
    <x v="7"/>
    <x v="0"/>
    <n v="206"/>
    <n v="106.02"/>
    <x v="1"/>
    <n v="4"/>
    <n v="-99.98"/>
    <x v="2"/>
  </r>
  <r>
    <s v="TRX-104874"/>
    <x v="726"/>
    <x v="4"/>
    <x v="4"/>
    <x v="2"/>
    <n v="204"/>
    <n v="291.2"/>
    <x v="3"/>
    <n v="9"/>
    <n v="87.199999999999903"/>
    <x v="0"/>
  </r>
  <r>
    <s v="TRX-104875"/>
    <x v="48"/>
    <x v="2"/>
    <x v="3"/>
    <x v="2"/>
    <n v="211"/>
    <n v="272.86"/>
    <x v="0"/>
    <n v="7"/>
    <n v="61.86"/>
    <x v="9"/>
  </r>
  <r>
    <s v="TRX-104876"/>
    <x v="195"/>
    <x v="4"/>
    <x v="0"/>
    <x v="1"/>
    <n v="208"/>
    <n v="559.63"/>
    <x v="1"/>
    <n v="8"/>
    <n v="351.63"/>
    <x v="5"/>
  </r>
  <r>
    <s v="TRX-104877"/>
    <x v="377"/>
    <x v="1"/>
    <x v="7"/>
    <x v="1"/>
    <n v="182"/>
    <n v="413.18"/>
    <x v="1"/>
    <n v="8"/>
    <n v="231.18"/>
    <x v="11"/>
  </r>
  <r>
    <s v="TRX-104878"/>
    <x v="264"/>
    <x v="3"/>
    <x v="5"/>
    <x v="2"/>
    <n v="133"/>
    <n v="123.46"/>
    <x v="4"/>
    <n v="40"/>
    <n v="-9.5399999999999991"/>
    <x v="6"/>
  </r>
  <r>
    <s v="TRX-104879"/>
    <x v="30"/>
    <x v="4"/>
    <x v="0"/>
    <x v="2"/>
    <n v="206"/>
    <n v="241.41"/>
    <x v="1"/>
    <n v="8"/>
    <n v="35.409999999999997"/>
    <x v="6"/>
  </r>
  <r>
    <s v="TRX-104880"/>
    <x v="287"/>
    <x v="4"/>
    <x v="2"/>
    <x v="1"/>
    <n v="203"/>
    <n v="539.78"/>
    <x v="4"/>
    <n v="17"/>
    <n v="336.78"/>
    <x v="7"/>
  </r>
  <r>
    <s v="TRX-104881"/>
    <x v="695"/>
    <x v="1"/>
    <x v="4"/>
    <x v="2"/>
    <n v="181"/>
    <n v="209.1"/>
    <x v="0"/>
    <n v="14"/>
    <n v="28.099999999999898"/>
    <x v="4"/>
  </r>
  <r>
    <s v="TRX-104882"/>
    <x v="321"/>
    <x v="0"/>
    <x v="3"/>
    <x v="1"/>
    <n v="230"/>
    <n v="522.9"/>
    <x v="3"/>
    <n v="60"/>
    <n v="292.89999999999998"/>
    <x v="6"/>
  </r>
  <r>
    <s v="TRX-104883"/>
    <x v="682"/>
    <x v="0"/>
    <x v="7"/>
    <x v="1"/>
    <n v="230"/>
    <n v="795.99"/>
    <x v="2"/>
    <n v="12"/>
    <n v="565.99"/>
    <x v="10"/>
  </r>
  <r>
    <s v="TRX-104884"/>
    <x v="647"/>
    <x v="4"/>
    <x v="8"/>
    <x v="1"/>
    <n v="203"/>
    <n v="558.25"/>
    <x v="2"/>
    <n v="12"/>
    <n v="355.25"/>
    <x v="4"/>
  </r>
  <r>
    <s v="TRX-104885"/>
    <x v="215"/>
    <x v="0"/>
    <x v="2"/>
    <x v="2"/>
    <n v="227"/>
    <n v="233.35"/>
    <x v="2"/>
    <n v="8"/>
    <n v="6.3499999999999899"/>
    <x v="7"/>
  </r>
  <r>
    <s v="TRX-104886"/>
    <x v="824"/>
    <x v="0"/>
    <x v="6"/>
    <x v="2"/>
    <n v="227"/>
    <n v="331.85"/>
    <x v="1"/>
    <n v="12"/>
    <n v="104.85"/>
    <x v="7"/>
  </r>
  <r>
    <s v="TRX-104887"/>
    <x v="768"/>
    <x v="1"/>
    <x v="5"/>
    <x v="0"/>
    <n v="172"/>
    <n v="106.13"/>
    <x v="1"/>
    <n v="1"/>
    <n v="-65.87"/>
    <x v="4"/>
  </r>
  <r>
    <s v="TRX-104888"/>
    <x v="620"/>
    <x v="2"/>
    <x v="1"/>
    <x v="0"/>
    <n v="218"/>
    <n v="113.01"/>
    <x v="4"/>
    <n v="55"/>
    <n v="-104.99"/>
    <x v="9"/>
  </r>
  <r>
    <s v="TRX-104889"/>
    <x v="226"/>
    <x v="0"/>
    <x v="8"/>
    <x v="2"/>
    <n v="227"/>
    <n v="205.19"/>
    <x v="3"/>
    <n v="42"/>
    <n v="-21.81"/>
    <x v="10"/>
  </r>
  <r>
    <s v="TRX-104890"/>
    <x v="954"/>
    <x v="4"/>
    <x v="1"/>
    <x v="1"/>
    <n v="208"/>
    <n v="688.61"/>
    <x v="2"/>
    <n v="24"/>
    <n v="480.61"/>
    <x v="5"/>
  </r>
  <r>
    <s v="TRX-104891"/>
    <x v="7"/>
    <x v="4"/>
    <x v="4"/>
    <x v="1"/>
    <n v="200"/>
    <n v="392.4"/>
    <x v="1"/>
    <n v="2"/>
    <n v="192.39999999999901"/>
    <x v="3"/>
  </r>
  <r>
    <s v="TRX-104892"/>
    <x v="616"/>
    <x v="4"/>
    <x v="4"/>
    <x v="1"/>
    <n v="200"/>
    <n v="576.4"/>
    <x v="4"/>
    <n v="28"/>
    <n v="376.4"/>
    <x v="10"/>
  </r>
  <r>
    <s v="TRX-104893"/>
    <x v="414"/>
    <x v="0"/>
    <x v="7"/>
    <x v="0"/>
    <n v="226"/>
    <n v="200"/>
    <x v="3"/>
    <n v="20"/>
    <n v="-26"/>
    <x v="11"/>
  </r>
  <r>
    <s v="TRX-104894"/>
    <x v="161"/>
    <x v="4"/>
    <x v="6"/>
    <x v="1"/>
    <n v="200"/>
    <n v="381.2"/>
    <x v="0"/>
    <n v="12"/>
    <n v="181.2"/>
    <x v="7"/>
  </r>
  <r>
    <s v="TRX-104895"/>
    <x v="710"/>
    <x v="4"/>
    <x v="3"/>
    <x v="1"/>
    <n v="200"/>
    <n v="411.04"/>
    <x v="0"/>
    <n v="7"/>
    <n v="211.04"/>
    <x v="7"/>
  </r>
  <r>
    <s v="TRX-104896"/>
    <x v="808"/>
    <x v="0"/>
    <x v="6"/>
    <x v="2"/>
    <n v="228"/>
    <n v="328.34"/>
    <x v="3"/>
    <n v="30"/>
    <n v="100.33999999999899"/>
    <x v="10"/>
  </r>
  <r>
    <s v="TRX-104897"/>
    <x v="123"/>
    <x v="3"/>
    <x v="0"/>
    <x v="0"/>
    <n v="139"/>
    <n v="86.17"/>
    <x v="0"/>
    <n v="12"/>
    <n v="-52.83"/>
    <x v="9"/>
  </r>
  <r>
    <s v="TRX-104898"/>
    <x v="65"/>
    <x v="1"/>
    <x v="2"/>
    <x v="2"/>
    <n v="174"/>
    <n v="161.36000000000001"/>
    <x v="2"/>
    <n v="29"/>
    <n v="-12.639999999999899"/>
    <x v="7"/>
  </r>
  <r>
    <s v="TRX-104899"/>
    <x v="58"/>
    <x v="3"/>
    <x v="4"/>
    <x v="1"/>
    <n v="118"/>
    <n v="342.74"/>
    <x v="4"/>
    <n v="50"/>
    <n v="224.74"/>
    <x v="4"/>
  </r>
  <r>
    <s v="TRX-104900"/>
    <x v="488"/>
    <x v="0"/>
    <x v="2"/>
    <x v="1"/>
    <n v="228"/>
    <n v="358.9"/>
    <x v="2"/>
    <n v="45"/>
    <n v="130.89999999999901"/>
    <x v="2"/>
  </r>
  <r>
    <s v="TRX-104901"/>
    <x v="91"/>
    <x v="2"/>
    <x v="4"/>
    <x v="2"/>
    <n v="216"/>
    <n v="304.27999999999997"/>
    <x v="2"/>
    <n v="41"/>
    <n v="88.279999999999902"/>
    <x v="11"/>
  </r>
  <r>
    <s v="TRX-104902"/>
    <x v="699"/>
    <x v="4"/>
    <x v="4"/>
    <x v="1"/>
    <n v="202"/>
    <n v="369"/>
    <x v="2"/>
    <n v="54"/>
    <n v="167"/>
    <x v="11"/>
  </r>
  <r>
    <s v="TRX-104903"/>
    <x v="921"/>
    <x v="3"/>
    <x v="2"/>
    <x v="1"/>
    <n v="124"/>
    <n v="188.04"/>
    <x v="3"/>
    <n v="23"/>
    <n v="64.039999999999907"/>
    <x v="0"/>
  </r>
  <r>
    <s v="TRX-104904"/>
    <x v="771"/>
    <x v="0"/>
    <x v="0"/>
    <x v="0"/>
    <n v="226"/>
    <n v="136.19999999999999"/>
    <x v="1"/>
    <n v="13"/>
    <n v="-89.8"/>
    <x v="9"/>
  </r>
  <r>
    <s v="TRX-104905"/>
    <x v="668"/>
    <x v="1"/>
    <x v="0"/>
    <x v="0"/>
    <n v="175"/>
    <n v="146.69999999999999"/>
    <x v="2"/>
    <n v="14"/>
    <n v="-28.3"/>
    <x v="2"/>
  </r>
  <r>
    <s v="TRX-104906"/>
    <x v="100"/>
    <x v="2"/>
    <x v="4"/>
    <x v="2"/>
    <n v="219"/>
    <n v="326.98"/>
    <x v="1"/>
    <n v="13"/>
    <n v="107.98"/>
    <x v="11"/>
  </r>
  <r>
    <s v="TRX-104907"/>
    <x v="855"/>
    <x v="4"/>
    <x v="4"/>
    <x v="1"/>
    <n v="200"/>
    <n v="412.19"/>
    <x v="0"/>
    <n v="7"/>
    <n v="212.19"/>
    <x v="2"/>
  </r>
  <r>
    <s v="TRX-104908"/>
    <x v="513"/>
    <x v="1"/>
    <x v="6"/>
    <x v="2"/>
    <n v="190"/>
    <n v="181.54"/>
    <x v="3"/>
    <n v="35"/>
    <n v="-8.4600000000000009"/>
    <x v="3"/>
  </r>
  <r>
    <s v="TRX-104909"/>
    <x v="513"/>
    <x v="0"/>
    <x v="7"/>
    <x v="0"/>
    <n v="226"/>
    <n v="131.76"/>
    <x v="2"/>
    <n v="32"/>
    <n v="-94.24"/>
    <x v="3"/>
  </r>
  <r>
    <s v="TRX-104910"/>
    <x v="259"/>
    <x v="3"/>
    <x v="4"/>
    <x v="2"/>
    <n v="126"/>
    <n v="173.68"/>
    <x v="0"/>
    <n v="6"/>
    <n v="47.68"/>
    <x v="2"/>
  </r>
  <r>
    <s v="TRX-104911"/>
    <x v="532"/>
    <x v="2"/>
    <x v="5"/>
    <x v="0"/>
    <n v="218"/>
    <n v="164.3"/>
    <x v="3"/>
    <n v="39"/>
    <n v="-53.699999999999903"/>
    <x v="8"/>
  </r>
  <r>
    <s v="TRX-104912"/>
    <x v="149"/>
    <x v="1"/>
    <x v="0"/>
    <x v="2"/>
    <n v="177"/>
    <n v="222.09"/>
    <x v="3"/>
    <n v="25"/>
    <n v="45.09"/>
    <x v="10"/>
  </r>
  <r>
    <s v="TRX-104913"/>
    <x v="630"/>
    <x v="4"/>
    <x v="3"/>
    <x v="0"/>
    <n v="201"/>
    <n v="142.6"/>
    <x v="1"/>
    <n v="13"/>
    <n v="-58.4"/>
    <x v="8"/>
  </r>
  <r>
    <s v="TRX-104914"/>
    <x v="70"/>
    <x v="2"/>
    <x v="7"/>
    <x v="2"/>
    <n v="210"/>
    <n v="195.2"/>
    <x v="3"/>
    <n v="53"/>
    <n v="-14.8"/>
    <x v="2"/>
  </r>
  <r>
    <s v="TRX-104915"/>
    <x v="293"/>
    <x v="4"/>
    <x v="6"/>
    <x v="2"/>
    <n v="201"/>
    <n v="298.42"/>
    <x v="1"/>
    <n v="12"/>
    <n v="97.42"/>
    <x v="1"/>
  </r>
  <r>
    <s v="TRX-104916"/>
    <x v="619"/>
    <x v="4"/>
    <x v="1"/>
    <x v="1"/>
    <n v="207"/>
    <n v="447.86"/>
    <x v="3"/>
    <n v="41"/>
    <n v="240.86"/>
    <x v="5"/>
  </r>
  <r>
    <s v="TRX-104917"/>
    <x v="863"/>
    <x v="1"/>
    <x v="0"/>
    <x v="2"/>
    <n v="183"/>
    <n v="240.89"/>
    <x v="2"/>
    <n v="43"/>
    <n v="57.889999999999901"/>
    <x v="3"/>
  </r>
  <r>
    <s v="TRX-104918"/>
    <x v="751"/>
    <x v="3"/>
    <x v="3"/>
    <x v="1"/>
    <n v="122"/>
    <n v="163.44999999999999"/>
    <x v="3"/>
    <n v="22"/>
    <n v="41.449999999999903"/>
    <x v="6"/>
  </r>
  <r>
    <s v="TRX-104919"/>
    <x v="760"/>
    <x v="4"/>
    <x v="5"/>
    <x v="0"/>
    <n v="209"/>
    <n v="151.44"/>
    <x v="1"/>
    <n v="11"/>
    <n v="-57.56"/>
    <x v="3"/>
  </r>
  <r>
    <s v="TRX-104920"/>
    <x v="50"/>
    <x v="4"/>
    <x v="1"/>
    <x v="2"/>
    <n v="210"/>
    <n v="295.04000000000002"/>
    <x v="0"/>
    <n v="1"/>
    <n v="85.04"/>
    <x v="0"/>
  </r>
  <r>
    <s v="TRX-104921"/>
    <x v="594"/>
    <x v="3"/>
    <x v="1"/>
    <x v="1"/>
    <n v="137"/>
    <n v="359.91"/>
    <x v="1"/>
    <n v="14"/>
    <n v="222.91"/>
    <x v="1"/>
  </r>
  <r>
    <s v="TRX-104922"/>
    <x v="26"/>
    <x v="1"/>
    <x v="3"/>
    <x v="0"/>
    <n v="182"/>
    <n v="131.61000000000001"/>
    <x v="1"/>
    <n v="4"/>
    <n v="-50.389999999999901"/>
    <x v="10"/>
  </r>
  <r>
    <s v="TRX-104923"/>
    <x v="624"/>
    <x v="1"/>
    <x v="3"/>
    <x v="2"/>
    <n v="187"/>
    <n v="237.42"/>
    <x v="2"/>
    <n v="36"/>
    <n v="50.419999999999902"/>
    <x v="3"/>
  </r>
  <r>
    <s v="TRX-104924"/>
    <x v="415"/>
    <x v="2"/>
    <x v="1"/>
    <x v="2"/>
    <n v="217"/>
    <n v="208.89"/>
    <x v="0"/>
    <n v="8"/>
    <n v="-8.1100000000000101"/>
    <x v="5"/>
  </r>
  <r>
    <s v="TRX-104925"/>
    <x v="593"/>
    <x v="2"/>
    <x v="1"/>
    <x v="0"/>
    <n v="214"/>
    <n v="161.31"/>
    <x v="0"/>
    <n v="14"/>
    <n v="-52.69"/>
    <x v="4"/>
  </r>
  <r>
    <s v="TRX-104926"/>
    <x v="234"/>
    <x v="4"/>
    <x v="5"/>
    <x v="1"/>
    <n v="210"/>
    <n v="667.9"/>
    <x v="2"/>
    <n v="19"/>
    <n v="457.9"/>
    <x v="6"/>
  </r>
  <r>
    <s v="TRX-104927"/>
    <x v="989"/>
    <x v="1"/>
    <x v="3"/>
    <x v="1"/>
    <n v="187"/>
    <n v="578.36"/>
    <x v="2"/>
    <n v="33"/>
    <n v="391.36"/>
    <x v="0"/>
  </r>
  <r>
    <s v="TRX-104928"/>
    <x v="100"/>
    <x v="1"/>
    <x v="5"/>
    <x v="2"/>
    <n v="183"/>
    <n v="249.5"/>
    <x v="0"/>
    <n v="12"/>
    <n v="66.5"/>
    <x v="11"/>
  </r>
  <r>
    <s v="TRX-104929"/>
    <x v="586"/>
    <x v="3"/>
    <x v="0"/>
    <x v="1"/>
    <n v="124"/>
    <n v="361.44"/>
    <x v="3"/>
    <n v="39"/>
    <n v="237.44"/>
    <x v="11"/>
  </r>
  <r>
    <s v="TRX-104930"/>
    <x v="970"/>
    <x v="4"/>
    <x v="8"/>
    <x v="2"/>
    <n v="208"/>
    <n v="283.73"/>
    <x v="0"/>
    <n v="6"/>
    <n v="75.73"/>
    <x v="8"/>
  </r>
  <r>
    <s v="TRX-104931"/>
    <x v="297"/>
    <x v="4"/>
    <x v="1"/>
    <x v="2"/>
    <n v="210"/>
    <n v="233.19"/>
    <x v="1"/>
    <n v="4"/>
    <n v="23.189999999999898"/>
    <x v="3"/>
  </r>
  <r>
    <s v="TRX-104932"/>
    <x v="651"/>
    <x v="1"/>
    <x v="1"/>
    <x v="0"/>
    <n v="178"/>
    <n v="133.91"/>
    <x v="2"/>
    <n v="40"/>
    <n v="-44.09"/>
    <x v="7"/>
  </r>
  <r>
    <s v="TRX-104933"/>
    <x v="34"/>
    <x v="0"/>
    <x v="2"/>
    <x v="1"/>
    <n v="228"/>
    <n v="723.31"/>
    <x v="2"/>
    <n v="10"/>
    <n v="495.30999999999898"/>
    <x v="0"/>
  </r>
  <r>
    <s v="TRX-104934"/>
    <x v="970"/>
    <x v="2"/>
    <x v="2"/>
    <x v="0"/>
    <n v="215"/>
    <n v="137.81"/>
    <x v="3"/>
    <n v="34"/>
    <n v="-77.19"/>
    <x v="8"/>
  </r>
  <r>
    <s v="TRX-104935"/>
    <x v="610"/>
    <x v="2"/>
    <x v="5"/>
    <x v="2"/>
    <n v="215"/>
    <n v="297.42"/>
    <x v="3"/>
    <n v="18"/>
    <n v="82.42"/>
    <x v="5"/>
  </r>
  <r>
    <s v="TRX-104936"/>
    <x v="665"/>
    <x v="1"/>
    <x v="2"/>
    <x v="2"/>
    <n v="175"/>
    <n v="201.43"/>
    <x v="3"/>
    <n v="58"/>
    <n v="26.43"/>
    <x v="6"/>
  </r>
  <r>
    <s v="TRX-104937"/>
    <x v="583"/>
    <x v="4"/>
    <x v="1"/>
    <x v="2"/>
    <n v="201"/>
    <n v="197.8"/>
    <x v="1"/>
    <n v="5"/>
    <n v="-3.1999999999999802"/>
    <x v="8"/>
  </r>
  <r>
    <s v="TRX-104938"/>
    <x v="524"/>
    <x v="2"/>
    <x v="1"/>
    <x v="1"/>
    <n v="214"/>
    <n v="637.51"/>
    <x v="1"/>
    <n v="6"/>
    <n v="423.51"/>
    <x v="8"/>
  </r>
  <r>
    <s v="TRX-104939"/>
    <x v="384"/>
    <x v="2"/>
    <x v="2"/>
    <x v="0"/>
    <n v="224"/>
    <n v="157.16999999999999"/>
    <x v="3"/>
    <n v="56"/>
    <n v="-66.83"/>
    <x v="4"/>
  </r>
  <r>
    <s v="TRX-104940"/>
    <x v="150"/>
    <x v="2"/>
    <x v="8"/>
    <x v="1"/>
    <n v="218"/>
    <n v="636.32000000000005"/>
    <x v="3"/>
    <n v="36"/>
    <n v="418.32"/>
    <x v="2"/>
  </r>
  <r>
    <s v="TRX-104941"/>
    <x v="661"/>
    <x v="4"/>
    <x v="2"/>
    <x v="0"/>
    <n v="202"/>
    <n v="177.1"/>
    <x v="3"/>
    <n v="56"/>
    <n v="-24.9"/>
    <x v="7"/>
  </r>
  <r>
    <s v="TRX-104942"/>
    <x v="11"/>
    <x v="3"/>
    <x v="1"/>
    <x v="2"/>
    <n v="110"/>
    <n v="155.47999999999999"/>
    <x v="3"/>
    <n v="6"/>
    <n v="45.479999999999897"/>
    <x v="6"/>
  </r>
  <r>
    <s v="TRX-104943"/>
    <x v="807"/>
    <x v="2"/>
    <x v="6"/>
    <x v="2"/>
    <n v="218"/>
    <n v="280.14"/>
    <x v="3"/>
    <n v="59"/>
    <n v="62.139999999999901"/>
    <x v="3"/>
  </r>
  <r>
    <s v="TRX-104944"/>
    <x v="82"/>
    <x v="3"/>
    <x v="0"/>
    <x v="0"/>
    <n v="127"/>
    <n v="93.82"/>
    <x v="3"/>
    <n v="9"/>
    <n v="-33.18"/>
    <x v="5"/>
  </r>
  <r>
    <s v="TRX-104945"/>
    <x v="252"/>
    <x v="2"/>
    <x v="5"/>
    <x v="1"/>
    <n v="219"/>
    <n v="299.17"/>
    <x v="0"/>
    <n v="3"/>
    <n v="80.17"/>
    <x v="4"/>
  </r>
  <r>
    <s v="TRX-104946"/>
    <x v="463"/>
    <x v="0"/>
    <x v="3"/>
    <x v="2"/>
    <n v="226"/>
    <n v="257.13"/>
    <x v="1"/>
    <n v="13"/>
    <n v="31.1299999999999"/>
    <x v="10"/>
  </r>
  <r>
    <s v="TRX-104947"/>
    <x v="930"/>
    <x v="1"/>
    <x v="2"/>
    <x v="0"/>
    <n v="189"/>
    <n v="114.11"/>
    <x v="2"/>
    <n v="44"/>
    <n v="-74.89"/>
    <x v="9"/>
  </r>
  <r>
    <s v="TRX-104948"/>
    <x v="133"/>
    <x v="0"/>
    <x v="5"/>
    <x v="1"/>
    <n v="226"/>
    <n v="636.84"/>
    <x v="1"/>
    <n v="13"/>
    <n v="410.84"/>
    <x v="3"/>
  </r>
  <r>
    <s v="TRX-104949"/>
    <x v="657"/>
    <x v="0"/>
    <x v="7"/>
    <x v="0"/>
    <n v="226"/>
    <n v="192.66"/>
    <x v="4"/>
    <n v="34"/>
    <n v="-33.340000000000003"/>
    <x v="9"/>
  </r>
  <r>
    <s v="TRX-104950"/>
    <x v="826"/>
    <x v="0"/>
    <x v="3"/>
    <x v="2"/>
    <n v="225"/>
    <n v="276.38"/>
    <x v="2"/>
    <n v="39"/>
    <n v="51.379999999999903"/>
    <x v="0"/>
  </r>
  <r>
    <s v="TRX-104951"/>
    <x v="126"/>
    <x v="4"/>
    <x v="4"/>
    <x v="1"/>
    <n v="205"/>
    <n v="465.03"/>
    <x v="4"/>
    <n v="7"/>
    <n v="260.02999999999997"/>
    <x v="9"/>
  </r>
  <r>
    <s v="TRX-104952"/>
    <x v="155"/>
    <x v="0"/>
    <x v="1"/>
    <x v="1"/>
    <n v="227"/>
    <n v="575.57000000000005"/>
    <x v="2"/>
    <n v="18"/>
    <n v="348.57"/>
    <x v="7"/>
  </r>
  <r>
    <s v="TRX-104953"/>
    <x v="660"/>
    <x v="0"/>
    <x v="2"/>
    <x v="0"/>
    <n v="227"/>
    <n v="159.26"/>
    <x v="4"/>
    <n v="56"/>
    <n v="-67.739999999999995"/>
    <x v="4"/>
  </r>
  <r>
    <s v="TRX-104954"/>
    <x v="188"/>
    <x v="4"/>
    <x v="5"/>
    <x v="2"/>
    <n v="209"/>
    <n v="197.49"/>
    <x v="4"/>
    <n v="27"/>
    <n v="-11.5099999999999"/>
    <x v="9"/>
  </r>
  <r>
    <s v="TRX-104955"/>
    <x v="593"/>
    <x v="1"/>
    <x v="3"/>
    <x v="1"/>
    <n v="190"/>
    <n v="591.98"/>
    <x v="2"/>
    <n v="44"/>
    <n v="401.98"/>
    <x v="4"/>
  </r>
  <r>
    <s v="TRX-104956"/>
    <x v="207"/>
    <x v="3"/>
    <x v="3"/>
    <x v="0"/>
    <n v="122"/>
    <n v="92"/>
    <x v="2"/>
    <n v="29"/>
    <n v="-30"/>
    <x v="8"/>
  </r>
  <r>
    <s v="TRX-104957"/>
    <x v="216"/>
    <x v="1"/>
    <x v="7"/>
    <x v="0"/>
    <n v="185"/>
    <n v="114.87"/>
    <x v="1"/>
    <n v="2"/>
    <n v="-70.13"/>
    <x v="8"/>
  </r>
  <r>
    <s v="TRX-104958"/>
    <x v="47"/>
    <x v="3"/>
    <x v="7"/>
    <x v="0"/>
    <n v="114"/>
    <n v="60.28"/>
    <x v="2"/>
    <n v="16"/>
    <n v="-53.72"/>
    <x v="10"/>
  </r>
  <r>
    <s v="TRX-104959"/>
    <x v="522"/>
    <x v="3"/>
    <x v="4"/>
    <x v="0"/>
    <n v="129"/>
    <n v="95.25"/>
    <x v="4"/>
    <n v="15"/>
    <n v="-33.75"/>
    <x v="2"/>
  </r>
  <r>
    <s v="TRX-104960"/>
    <x v="46"/>
    <x v="2"/>
    <x v="4"/>
    <x v="2"/>
    <n v="216"/>
    <n v="294.81"/>
    <x v="0"/>
    <n v="3"/>
    <n v="78.81"/>
    <x v="0"/>
  </r>
  <r>
    <s v="TRX-104961"/>
    <x v="88"/>
    <x v="4"/>
    <x v="2"/>
    <x v="1"/>
    <n v="209"/>
    <n v="503.29"/>
    <x v="2"/>
    <n v="47"/>
    <n v="294.29000000000002"/>
    <x v="4"/>
  </r>
  <r>
    <s v="TRX-104962"/>
    <x v="691"/>
    <x v="4"/>
    <x v="3"/>
    <x v="0"/>
    <n v="204"/>
    <n v="112.19"/>
    <x v="1"/>
    <n v="1"/>
    <n v="-91.81"/>
    <x v="8"/>
  </r>
  <r>
    <s v="TRX-104963"/>
    <x v="910"/>
    <x v="2"/>
    <x v="2"/>
    <x v="1"/>
    <n v="223"/>
    <n v="648.51"/>
    <x v="4"/>
    <n v="7"/>
    <n v="425.51"/>
    <x v="4"/>
  </r>
  <r>
    <s v="TRX-104964"/>
    <x v="844"/>
    <x v="2"/>
    <x v="7"/>
    <x v="2"/>
    <n v="211"/>
    <n v="198.86"/>
    <x v="3"/>
    <n v="30"/>
    <n v="-12.139999999999899"/>
    <x v="3"/>
  </r>
  <r>
    <s v="TRX-104965"/>
    <x v="853"/>
    <x v="3"/>
    <x v="2"/>
    <x v="0"/>
    <n v="138"/>
    <n v="83.11"/>
    <x v="0"/>
    <n v="6"/>
    <n v="-54.89"/>
    <x v="0"/>
  </r>
  <r>
    <s v="TRX-104966"/>
    <x v="868"/>
    <x v="3"/>
    <x v="0"/>
    <x v="1"/>
    <n v="122"/>
    <n v="197.22"/>
    <x v="2"/>
    <n v="60"/>
    <n v="75.22"/>
    <x v="8"/>
  </r>
  <r>
    <s v="TRX-104967"/>
    <x v="874"/>
    <x v="1"/>
    <x v="1"/>
    <x v="1"/>
    <n v="180"/>
    <n v="256.63"/>
    <x v="3"/>
    <n v="59"/>
    <n v="76.63"/>
    <x v="3"/>
  </r>
  <r>
    <s v="TRX-104968"/>
    <x v="350"/>
    <x v="4"/>
    <x v="4"/>
    <x v="0"/>
    <n v="200"/>
    <n v="116.67"/>
    <x v="0"/>
    <n v="7"/>
    <n v="-83.33"/>
    <x v="11"/>
  </r>
  <r>
    <s v="TRX-104969"/>
    <x v="423"/>
    <x v="1"/>
    <x v="8"/>
    <x v="2"/>
    <n v="175"/>
    <n v="172.68"/>
    <x v="4"/>
    <n v="11"/>
    <n v="-2.3199999999999901"/>
    <x v="10"/>
  </r>
  <r>
    <s v="TRX-104970"/>
    <x v="650"/>
    <x v="0"/>
    <x v="7"/>
    <x v="1"/>
    <n v="229"/>
    <n v="750.46"/>
    <x v="1"/>
    <n v="13"/>
    <n v="521.46"/>
    <x v="5"/>
  </r>
  <r>
    <s v="TRX-104971"/>
    <x v="20"/>
    <x v="2"/>
    <x v="3"/>
    <x v="0"/>
    <n v="220"/>
    <n v="131.09"/>
    <x v="4"/>
    <n v="32"/>
    <n v="-88.91"/>
    <x v="10"/>
  </r>
  <r>
    <s v="TRX-104972"/>
    <x v="178"/>
    <x v="4"/>
    <x v="1"/>
    <x v="0"/>
    <n v="204"/>
    <n v="104.25"/>
    <x v="1"/>
    <n v="12"/>
    <n v="-99.75"/>
    <x v="10"/>
  </r>
  <r>
    <s v="TRX-104973"/>
    <x v="159"/>
    <x v="0"/>
    <x v="8"/>
    <x v="0"/>
    <n v="227"/>
    <n v="141.9"/>
    <x v="0"/>
    <n v="14"/>
    <n v="-85.1"/>
    <x v="8"/>
  </r>
  <r>
    <s v="TRX-104974"/>
    <x v="613"/>
    <x v="3"/>
    <x v="8"/>
    <x v="1"/>
    <n v="115"/>
    <n v="300.14"/>
    <x v="3"/>
    <n v="31"/>
    <n v="185.14"/>
    <x v="10"/>
  </r>
  <r>
    <s v="TRX-104975"/>
    <x v="124"/>
    <x v="0"/>
    <x v="3"/>
    <x v="2"/>
    <n v="225"/>
    <n v="313.11"/>
    <x v="0"/>
    <n v="10"/>
    <n v="88.11"/>
    <x v="4"/>
  </r>
  <r>
    <s v="TRX-104976"/>
    <x v="192"/>
    <x v="0"/>
    <x v="6"/>
    <x v="0"/>
    <n v="226"/>
    <n v="122.98"/>
    <x v="0"/>
    <n v="6"/>
    <n v="-103.02"/>
    <x v="3"/>
  </r>
  <r>
    <s v="TRX-104977"/>
    <x v="781"/>
    <x v="3"/>
    <x v="2"/>
    <x v="1"/>
    <n v="124"/>
    <n v="313.63"/>
    <x v="3"/>
    <n v="49"/>
    <n v="189.63"/>
    <x v="3"/>
  </r>
  <r>
    <s v="TRX-104978"/>
    <x v="861"/>
    <x v="1"/>
    <x v="5"/>
    <x v="2"/>
    <n v="190"/>
    <n v="243.45"/>
    <x v="1"/>
    <n v="5"/>
    <n v="53.449999999999903"/>
    <x v="7"/>
  </r>
  <r>
    <s v="TRX-104979"/>
    <x v="968"/>
    <x v="1"/>
    <x v="2"/>
    <x v="1"/>
    <n v="185"/>
    <n v="603.35"/>
    <x v="1"/>
    <n v="14"/>
    <n v="418.35"/>
    <x v="6"/>
  </r>
  <r>
    <s v="TRX-104980"/>
    <x v="991"/>
    <x v="0"/>
    <x v="8"/>
    <x v="0"/>
    <n v="225"/>
    <n v="168"/>
    <x v="0"/>
    <n v="6"/>
    <n v="-57"/>
    <x v="8"/>
  </r>
  <r>
    <s v="TRX-104981"/>
    <x v="845"/>
    <x v="2"/>
    <x v="6"/>
    <x v="1"/>
    <n v="225"/>
    <n v="446.72"/>
    <x v="3"/>
    <n v="22"/>
    <n v="221.72"/>
    <x v="2"/>
  </r>
  <r>
    <s v="TRX-104982"/>
    <x v="325"/>
    <x v="2"/>
    <x v="5"/>
    <x v="2"/>
    <n v="215"/>
    <n v="226.62"/>
    <x v="1"/>
    <n v="8"/>
    <n v="11.62"/>
    <x v="3"/>
  </r>
  <r>
    <s v="TRX-104983"/>
    <x v="229"/>
    <x v="2"/>
    <x v="6"/>
    <x v="1"/>
    <n v="216"/>
    <n v="391.35"/>
    <x v="1"/>
    <n v="11"/>
    <n v="175.35"/>
    <x v="2"/>
  </r>
  <r>
    <s v="TRX-104984"/>
    <x v="837"/>
    <x v="4"/>
    <x v="0"/>
    <x v="1"/>
    <n v="200"/>
    <n v="376.62"/>
    <x v="1"/>
    <n v="12"/>
    <n v="176.62"/>
    <x v="5"/>
  </r>
  <r>
    <s v="TRX-104985"/>
    <x v="865"/>
    <x v="1"/>
    <x v="0"/>
    <x v="0"/>
    <n v="176"/>
    <n v="151.71"/>
    <x v="0"/>
    <n v="9"/>
    <n v="-24.2899999999999"/>
    <x v="6"/>
  </r>
  <r>
    <s v="TRX-104986"/>
    <x v="441"/>
    <x v="1"/>
    <x v="8"/>
    <x v="0"/>
    <n v="178"/>
    <n v="125.09"/>
    <x v="0"/>
    <n v="10"/>
    <n v="-52.91"/>
    <x v="11"/>
  </r>
  <r>
    <s v="TRX-104987"/>
    <x v="693"/>
    <x v="2"/>
    <x v="6"/>
    <x v="1"/>
    <n v="221"/>
    <n v="481.73"/>
    <x v="1"/>
    <n v="1"/>
    <n v="260.73"/>
    <x v="6"/>
  </r>
  <r>
    <s v="TRX-104988"/>
    <x v="973"/>
    <x v="0"/>
    <x v="6"/>
    <x v="2"/>
    <n v="227"/>
    <n v="214.56"/>
    <x v="2"/>
    <n v="17"/>
    <n v="-12.4399999999999"/>
    <x v="9"/>
  </r>
  <r>
    <s v="TRX-104989"/>
    <x v="868"/>
    <x v="4"/>
    <x v="0"/>
    <x v="0"/>
    <n v="209"/>
    <n v="107.57"/>
    <x v="2"/>
    <n v="27"/>
    <n v="-101.43"/>
    <x v="8"/>
  </r>
  <r>
    <s v="TRX-104990"/>
    <x v="357"/>
    <x v="3"/>
    <x v="0"/>
    <x v="0"/>
    <n v="133"/>
    <n v="95.36"/>
    <x v="2"/>
    <n v="60"/>
    <n v="-37.64"/>
    <x v="8"/>
  </r>
  <r>
    <s v="TRX-104991"/>
    <x v="586"/>
    <x v="3"/>
    <x v="7"/>
    <x v="1"/>
    <n v="128"/>
    <n v="197.72"/>
    <x v="3"/>
    <n v="47"/>
    <n v="69.72"/>
    <x v="11"/>
  </r>
  <r>
    <s v="TRX-104992"/>
    <x v="262"/>
    <x v="2"/>
    <x v="4"/>
    <x v="0"/>
    <n v="214"/>
    <n v="170.58"/>
    <x v="2"/>
    <n v="46"/>
    <n v="-43.419999999999902"/>
    <x v="10"/>
  </r>
  <r>
    <s v="TRX-104993"/>
    <x v="126"/>
    <x v="0"/>
    <x v="2"/>
    <x v="1"/>
    <n v="225"/>
    <n v="601.85"/>
    <x v="4"/>
    <n v="33"/>
    <n v="376.85"/>
    <x v="9"/>
  </r>
  <r>
    <s v="TRX-104994"/>
    <x v="523"/>
    <x v="4"/>
    <x v="7"/>
    <x v="2"/>
    <n v="209"/>
    <n v="272.10000000000002"/>
    <x v="1"/>
    <n v="1"/>
    <n v="63.1"/>
    <x v="5"/>
  </r>
  <r>
    <s v="TRX-104995"/>
    <x v="99"/>
    <x v="2"/>
    <x v="0"/>
    <x v="1"/>
    <n v="217"/>
    <n v="659.05"/>
    <x v="1"/>
    <n v="4"/>
    <n v="442.04999999999899"/>
    <x v="7"/>
  </r>
  <r>
    <s v="TRX-104996"/>
    <x v="140"/>
    <x v="3"/>
    <x v="8"/>
    <x v="0"/>
    <n v="130"/>
    <n v="65.150000000000006"/>
    <x v="0"/>
    <n v="11"/>
    <n v="-64.849999999999994"/>
    <x v="2"/>
  </r>
  <r>
    <s v="TRX-104997"/>
    <x v="12"/>
    <x v="3"/>
    <x v="5"/>
    <x v="1"/>
    <n v="114"/>
    <n v="268.05"/>
    <x v="0"/>
    <n v="9"/>
    <n v="154.05000000000001"/>
    <x v="7"/>
  </r>
  <r>
    <s v="TRX-104998"/>
    <x v="535"/>
    <x v="2"/>
    <x v="7"/>
    <x v="1"/>
    <n v="222"/>
    <n v="405.55"/>
    <x v="1"/>
    <n v="9"/>
    <n v="183.55"/>
    <x v="7"/>
  </r>
  <r>
    <s v="TRX-104999"/>
    <x v="731"/>
    <x v="1"/>
    <x v="3"/>
    <x v="0"/>
    <n v="171"/>
    <n v="137.27000000000001"/>
    <x v="4"/>
    <n v="24"/>
    <n v="-33.729999999999897"/>
    <x v="7"/>
  </r>
  <r>
    <s v="TRX-105000"/>
    <x v="72"/>
    <x v="4"/>
    <x v="0"/>
    <x v="0"/>
    <n v="205"/>
    <n v="151.32"/>
    <x v="2"/>
    <n v="25"/>
    <n v="-53.68"/>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2D9E7FD-76EC-482B-A854-F8E833AC47A2}" name="PivotTable2" cacheId="21"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4">
  <location ref="I6:L19" firstHeaderRow="1" firstDataRow="2" firstDataCol="1"/>
  <pivotFields count="13">
    <pivotField showAll="0"/>
    <pivotField axis="axisRow" numFmtId="14" showAll="0">
      <items count="15">
        <item x="0"/>
        <item x="1"/>
        <item x="2"/>
        <item x="3"/>
        <item x="4"/>
        <item x="5"/>
        <item x="6"/>
        <item x="7"/>
        <item x="8"/>
        <item x="9"/>
        <item x="10"/>
        <item x="11"/>
        <item x="12"/>
        <item x="13"/>
        <item t="default"/>
      </items>
    </pivotField>
    <pivotField showAll="0"/>
    <pivotField showAll="0"/>
    <pivotField showAll="0"/>
    <pivotField showAll="0"/>
    <pivotField dataField="1" showAll="0"/>
    <pivotField showAll="0"/>
    <pivotField showAll="0"/>
    <pivotField showAll="0"/>
    <pivotField showAll="0"/>
    <pivotField showAll="0" defaultSubtotal="0"/>
    <pivotField axis="axisCol" showAll="0" defaultSubtotal="0">
      <items count="5">
        <item x="0"/>
        <item x="1"/>
        <item x="2"/>
        <item x="3"/>
        <item x="4"/>
      </items>
    </pivotField>
  </pivotFields>
  <rowFields count="1">
    <field x="1"/>
  </rowFields>
  <rowItems count="12">
    <i>
      <x v="1"/>
    </i>
    <i>
      <x v="2"/>
    </i>
    <i>
      <x v="3"/>
    </i>
    <i>
      <x v="4"/>
    </i>
    <i>
      <x v="5"/>
    </i>
    <i>
      <x v="6"/>
    </i>
    <i>
      <x v="7"/>
    </i>
    <i>
      <x v="8"/>
    </i>
    <i>
      <x v="9"/>
    </i>
    <i>
      <x v="10"/>
    </i>
    <i>
      <x v="11"/>
    </i>
    <i>
      <x v="12"/>
    </i>
  </rowItems>
  <colFields count="1">
    <field x="12"/>
  </colFields>
  <colItems count="3">
    <i>
      <x v="1"/>
    </i>
    <i>
      <x v="2"/>
    </i>
    <i>
      <x v="3"/>
    </i>
  </colItems>
  <dataFields count="1">
    <dataField name="Sum of Resale_Price_USD" fld="6" baseField="0" baseItem="0"/>
  </dataFields>
  <chartFormats count="3">
    <chartFormat chart="3" format="6" series="1">
      <pivotArea type="data" outline="0" fieldPosition="0">
        <references count="2">
          <reference field="4294967294" count="1" selected="0">
            <x v="0"/>
          </reference>
          <reference field="12" count="1" selected="0">
            <x v="1"/>
          </reference>
        </references>
      </pivotArea>
    </chartFormat>
    <chartFormat chart="3" format="7" series="1">
      <pivotArea type="data" outline="0" fieldPosition="0">
        <references count="2">
          <reference field="4294967294" count="1" selected="0">
            <x v="0"/>
          </reference>
          <reference field="12" count="1" selected="0">
            <x v="2"/>
          </reference>
        </references>
      </pivotArea>
    </chartFormat>
    <chartFormat chart="3" format="8" series="1">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4BF5AFA-19A9-48C1-BC73-B12921DC8B99}" name="PivotTable1" cacheId="21"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47">
  <location ref="A51:B60" firstHeaderRow="1" firstDataRow="1" firstDataCol="1"/>
  <pivotFields count="13">
    <pivotField showAll="0"/>
    <pivotField numFmtId="14" showAll="0">
      <items count="15">
        <item x="0"/>
        <item x="1"/>
        <item x="2"/>
        <item x="3"/>
        <item x="4"/>
        <item x="5"/>
        <item x="6"/>
        <item x="7"/>
        <item x="8"/>
        <item x="9"/>
        <item x="10"/>
        <item x="11"/>
        <item x="12"/>
        <item x="13"/>
        <item t="default"/>
      </items>
    </pivotField>
    <pivotField showAll="0">
      <items count="6">
        <item x="1"/>
        <item x="3"/>
        <item x="0"/>
        <item x="4"/>
        <item x="2"/>
        <item t="default"/>
      </items>
    </pivotField>
    <pivotField axis="axisRow" showAll="0">
      <items count="10">
        <item x="3"/>
        <item x="4"/>
        <item x="5"/>
        <item x="2"/>
        <item x="7"/>
        <item x="6"/>
        <item x="1"/>
        <item x="8"/>
        <item x="0"/>
        <item t="default"/>
      </items>
    </pivotField>
    <pivotField showAll="0"/>
    <pivotField showAll="0"/>
    <pivotField dataField="1" showAll="0"/>
    <pivotField showAll="0"/>
    <pivotField showAll="0"/>
    <pivotField showAll="0"/>
    <pivotField showAll="0"/>
    <pivotField showAll="0" defaultSubtotal="0">
      <items count="6">
        <item x="0"/>
        <item x="1"/>
        <item x="2"/>
        <item x="3"/>
        <item x="4"/>
        <item x="5"/>
      </items>
    </pivotField>
    <pivotField showAll="0" defaultSubtotal="0">
      <items count="5">
        <item x="0"/>
        <item x="1"/>
        <item x="2"/>
        <item x="3"/>
        <item x="4"/>
      </items>
    </pivotField>
  </pivotFields>
  <rowFields count="1">
    <field x="3"/>
  </rowFields>
  <rowItems count="9">
    <i>
      <x/>
    </i>
    <i>
      <x v="1"/>
    </i>
    <i>
      <x v="2"/>
    </i>
    <i>
      <x v="3"/>
    </i>
    <i>
      <x v="4"/>
    </i>
    <i>
      <x v="5"/>
    </i>
    <i>
      <x v="6"/>
    </i>
    <i>
      <x v="7"/>
    </i>
    <i>
      <x v="8"/>
    </i>
  </rowItems>
  <colItems count="1">
    <i/>
  </colItems>
  <dataFields count="1">
    <dataField name="Sum of Resale_Price_USD" fld="6" baseField="0" baseItem="0"/>
  </dataFields>
  <chartFormats count="1">
    <chartFormat chart="4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000-000002000000}" name="KPIS" cacheId="2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C4" firstHeaderRow="0" firstDataRow="1" firstDataCol="0"/>
  <pivotFields count="13">
    <pivotField showAll="0"/>
    <pivotField numFmtId="14" showAll="0">
      <items count="15">
        <item x="0"/>
        <item x="1"/>
        <item x="2"/>
        <item x="3"/>
        <item x="4"/>
        <item x="5"/>
        <item x="6"/>
        <item x="7"/>
        <item x="8"/>
        <item x="9"/>
        <item x="10"/>
        <item x="11"/>
        <item x="12"/>
        <item x="13"/>
        <item t="default"/>
      </items>
    </pivotField>
    <pivotField showAll="0">
      <items count="6">
        <item x="1"/>
        <item x="3"/>
        <item x="0"/>
        <item x="4"/>
        <item x="2"/>
        <item t="default"/>
      </items>
    </pivotField>
    <pivotField showAll="0"/>
    <pivotField showAll="0"/>
    <pivotField showAll="0"/>
    <pivotField dataField="1" showAll="0"/>
    <pivotField showAll="0">
      <items count="6">
        <item x="0"/>
        <item x="2"/>
        <item x="3"/>
        <item x="1"/>
        <item x="4"/>
        <item t="default"/>
      </items>
    </pivotField>
    <pivotField showAll="0"/>
    <pivotField dataField="1" showAll="0"/>
    <pivotField showAll="0"/>
    <pivotField showAll="0">
      <items count="7">
        <item x="0"/>
        <item x="1"/>
        <item x="2"/>
        <item x="3"/>
        <item x="4"/>
        <item x="5"/>
        <item t="default"/>
      </items>
    </pivotField>
    <pivotField showAll="0">
      <items count="6">
        <item x="0"/>
        <item x="1"/>
        <item x="2"/>
        <item x="3"/>
        <item x="4"/>
        <item t="default"/>
      </items>
    </pivotField>
  </pivotFields>
  <rowItems count="1">
    <i/>
  </rowItems>
  <colFields count="1">
    <field x="-2"/>
  </colFields>
  <colItems count="3">
    <i>
      <x/>
    </i>
    <i i="1">
      <x v="1"/>
    </i>
    <i i="2">
      <x v="2"/>
    </i>
  </colItems>
  <dataFields count="3">
    <dataField name="Average Profit" fld="9" subtotal="average" baseField="0" baseItem="1" numFmtId="164"/>
    <dataField name="Total_Profit" fld="9" baseField="0" baseItem="1" numFmtId="164"/>
    <dataField name="Total Sales" fld="6" baseField="0" baseItem="3" numFmtId="164"/>
  </dataFields>
  <formats count="3">
    <format dxfId="2">
      <pivotArea outline="0" collapsedLevelsAreSubtotals="1" fieldPosition="0">
        <references count="1">
          <reference field="4294967294" count="1" selected="0">
            <x v="0"/>
          </reference>
        </references>
      </pivotArea>
    </format>
    <format dxfId="3">
      <pivotArea outline="0" collapsedLevelsAreSubtotals="1" fieldPosition="0">
        <references count="1">
          <reference field="4294967294" count="1" selected="0">
            <x v="2"/>
          </reference>
        </references>
      </pivotArea>
    </format>
    <format dxfId="4">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000-000003000000}" name="Model and Condition numbers" cacheId="2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4">
  <location ref="A41:B47" firstHeaderRow="1" firstDataRow="1" firstDataCol="1"/>
  <pivotFields count="13">
    <pivotField showAll="0"/>
    <pivotField numFmtId="14" showAll="0"/>
    <pivotField axis="axisRow" showAll="0" sortType="descending">
      <items count="6">
        <item x="1"/>
        <item x="3"/>
        <item x="0"/>
        <item x="4"/>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6">
        <item x="0"/>
        <item x="2"/>
        <item x="3"/>
        <item x="1"/>
        <item x="4"/>
        <item t="default"/>
      </items>
    </pivotField>
    <pivotField dataField="1" showAll="0"/>
    <pivotField showAll="0"/>
    <pivotField showAll="0"/>
    <pivotField showAll="0" defaultSubtotal="0"/>
    <pivotField showAll="0" defaultSubtotal="0">
      <items count="5">
        <item x="0"/>
        <item x="1"/>
        <item x="2"/>
        <item x="3"/>
        <item x="4"/>
      </items>
    </pivotField>
  </pivotFields>
  <rowFields count="1">
    <field x="2"/>
  </rowFields>
  <rowItems count="6">
    <i>
      <x v="1"/>
    </i>
    <i>
      <x v="4"/>
    </i>
    <i>
      <x/>
    </i>
    <i>
      <x v="3"/>
    </i>
    <i>
      <x v="2"/>
    </i>
    <i t="grand">
      <x/>
    </i>
  </rowItems>
  <colItems count="1">
    <i/>
  </colItems>
  <dataFields count="1">
    <dataField name="Average of Days_in_Inventory" fld="8" subtotal="average" baseField="2" baseItem="0"/>
  </dataFields>
  <formats count="1">
    <format dxfId="0">
      <pivotArea collapsedLevelsAreSubtotals="1" fieldPosition="0">
        <references count="1">
          <reference field="2" count="0"/>
        </references>
      </pivotArea>
    </format>
  </formats>
  <chartFormats count="1">
    <chartFormat chart="2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Condition orders" cacheId="21"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19">
  <location ref="A34:B37" firstHeaderRow="1" firstDataRow="1" firstDataCol="1"/>
  <pivotFields count="13">
    <pivotField showAll="0"/>
    <pivotField numFmtId="14" showAll="0"/>
    <pivotField showAll="0">
      <items count="6">
        <item x="1"/>
        <item x="3"/>
        <item x="0"/>
        <item x="4"/>
        <item x="2"/>
        <item t="default"/>
      </items>
    </pivotField>
    <pivotField showAll="0"/>
    <pivotField axis="axisRow" showAll="0">
      <items count="4">
        <item x="1"/>
        <item x="0"/>
        <item x="2"/>
        <item t="default"/>
      </items>
    </pivotField>
    <pivotField showAll="0"/>
    <pivotField showAll="0"/>
    <pivotField showAll="0">
      <items count="6">
        <item x="0"/>
        <item x="2"/>
        <item x="3"/>
        <item x="1"/>
        <item x="4"/>
        <item t="default"/>
      </items>
    </pivotField>
    <pivotField showAll="0"/>
    <pivotField dataField="1" showAll="0"/>
    <pivotField showAll="0"/>
    <pivotField showAll="0" defaultSubtotal="0"/>
    <pivotField showAll="0" defaultSubtotal="0">
      <items count="5">
        <item x="0"/>
        <item x="1"/>
        <item x="2"/>
        <item x="3"/>
        <item x="4"/>
      </items>
    </pivotField>
  </pivotFields>
  <rowFields count="1">
    <field x="4"/>
  </rowFields>
  <rowItems count="3">
    <i>
      <x/>
    </i>
    <i>
      <x v="1"/>
    </i>
    <i>
      <x v="2"/>
    </i>
  </rowItems>
  <colItems count="1">
    <i/>
  </colItems>
  <dataFields count="1">
    <dataField name="Average of Profit_Margin_USD" fld="9" subtotal="average" baseField="4" baseItem="0"/>
  </dataFields>
  <chartFormats count="4">
    <chartFormat chart="3" format="9" series="1">
      <pivotArea type="data" outline="0" fieldPosition="0">
        <references count="1">
          <reference field="4294967294" count="1" selected="0">
            <x v="0"/>
          </reference>
        </references>
      </pivotArea>
    </chartFormat>
    <chartFormat chart="3" format="10">
      <pivotArea type="data" outline="0" fieldPosition="0">
        <references count="2">
          <reference field="4294967294" count="1" selected="0">
            <x v="0"/>
          </reference>
          <reference field="4" count="1" selected="0">
            <x v="0"/>
          </reference>
        </references>
      </pivotArea>
    </chartFormat>
    <chartFormat chart="3" format="11">
      <pivotArea type="data" outline="0" fieldPosition="0">
        <references count="2">
          <reference field="4294967294" count="1" selected="0">
            <x v="0"/>
          </reference>
          <reference field="4" count="1" selected="0">
            <x v="1"/>
          </reference>
        </references>
      </pivotArea>
    </chartFormat>
    <chartFormat chart="3" format="12">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000-000004000000}" name="Model Sales" cacheId="21"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52">
  <location ref="A24:C29" firstHeaderRow="0" firstDataRow="1" firstDataCol="1"/>
  <pivotFields count="13">
    <pivotField dataField="1" showAll="0"/>
    <pivotField numFmtId="14" showAll="0"/>
    <pivotField axis="axisRow" showAll="0" sortType="descending">
      <items count="6">
        <item x="2"/>
        <item x="4"/>
        <item x="0"/>
        <item x="3"/>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6">
        <item x="0"/>
        <item x="2"/>
        <item x="3"/>
        <item x="1"/>
        <item x="4"/>
        <item t="default"/>
      </items>
    </pivotField>
    <pivotField showAll="0"/>
    <pivotField dataField="1" showAll="0"/>
    <pivotField showAll="0"/>
    <pivotField showAll="0" defaultSubtotal="0"/>
    <pivotField showAll="0" defaultSubtotal="0">
      <items count="5">
        <item x="0"/>
        <item x="1"/>
        <item x="2"/>
        <item x="3"/>
        <item x="4"/>
      </items>
    </pivotField>
  </pivotFields>
  <rowFields count="1">
    <field x="2"/>
  </rowFields>
  <rowItems count="5">
    <i>
      <x/>
    </i>
    <i>
      <x v="2"/>
    </i>
    <i>
      <x v="1"/>
    </i>
    <i>
      <x v="4"/>
    </i>
    <i>
      <x v="3"/>
    </i>
  </rowItems>
  <colFields count="1">
    <field x="-2"/>
  </colFields>
  <colItems count="2">
    <i>
      <x/>
    </i>
    <i i="1">
      <x v="1"/>
    </i>
  </colItems>
  <dataFields count="2">
    <dataField name="Sum of Profit_Margin_USD" fld="9" baseField="0" baseItem="0"/>
    <dataField name="Count of Transaction_ID" fld="0" subtotal="count" baseField="0" baseItem="0"/>
  </dataFields>
  <chartFormats count="2">
    <chartFormat chart="51" format="4" series="1">
      <pivotArea type="data" outline="0" fieldPosition="0">
        <references count="1">
          <reference field="4294967294" count="1" selected="0">
            <x v="0"/>
          </reference>
        </references>
      </pivotArea>
    </chartFormat>
    <chartFormat chart="51"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channel sales" cacheId="21"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10">
  <location ref="A13:C18" firstHeaderRow="0" firstDataRow="1" firstDataCol="1"/>
  <pivotFields count="13">
    <pivotField dataField="1" showAll="0"/>
    <pivotField numFmtId="14" showAll="0"/>
    <pivotField showAll="0">
      <items count="6">
        <item x="1"/>
        <item x="3"/>
        <item x="0"/>
        <item x="4"/>
        <item x="2"/>
        <item t="default"/>
      </items>
    </pivotField>
    <pivotField showAll="0"/>
    <pivotField showAll="0"/>
    <pivotField showAll="0"/>
    <pivotField showAll="0"/>
    <pivotField axis="axisRow" showAll="0">
      <items count="6">
        <item x="0"/>
        <item x="2"/>
        <item x="3"/>
        <item x="1"/>
        <item x="4"/>
        <item t="default"/>
      </items>
    </pivotField>
    <pivotField showAll="0"/>
    <pivotField dataField="1" showAll="0"/>
    <pivotField showAll="0">
      <items count="13">
        <item x="6"/>
        <item x="2"/>
        <item x="10"/>
        <item x="5"/>
        <item x="3"/>
        <item x="7"/>
        <item x="4"/>
        <item x="11"/>
        <item x="8"/>
        <item x="0"/>
        <item x="1"/>
        <item x="9"/>
        <item t="default"/>
      </items>
    </pivotField>
    <pivotField showAll="0" defaultSubtotal="0"/>
    <pivotField showAll="0" defaultSubtotal="0">
      <items count="5">
        <item x="0"/>
        <item x="1"/>
        <item x="2"/>
        <item x="3"/>
        <item x="4"/>
      </items>
    </pivotField>
  </pivotFields>
  <rowFields count="1">
    <field x="7"/>
  </rowFields>
  <rowItems count="5">
    <i>
      <x/>
    </i>
    <i>
      <x v="1"/>
    </i>
    <i>
      <x v="2"/>
    </i>
    <i>
      <x v="3"/>
    </i>
    <i>
      <x v="4"/>
    </i>
  </rowItems>
  <colFields count="1">
    <field x="-2"/>
  </colFields>
  <colItems count="2">
    <i>
      <x/>
    </i>
    <i i="1">
      <x v="1"/>
    </i>
  </colItems>
  <dataFields count="2">
    <dataField name="Sum of Profit_Margin_USD" fld="9" baseField="0" baseItem="0"/>
    <dataField name="Count of Transaction_ID" fld="0" subtotal="count" baseField="0" baseItem="0"/>
  </dataFields>
  <chartFormats count="4">
    <chartFormat chart="3" format="3"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1"/>
          </reference>
        </references>
      </pivotArea>
    </chartFormat>
    <chartFormat chart="9" format="7" series="1">
      <pivotArea type="data" outline="0" fieldPosition="0">
        <references count="1">
          <reference field="4294967294" count="1" selected="0">
            <x v="0"/>
          </reference>
        </references>
      </pivotArea>
    </chartFormat>
    <chartFormat chart="9" format="8"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00000000-0013-0000-FFFF-FFFF01000000}" sourceName="Sales_Channel">
  <pivotTables>
    <pivotTable tabId="2" name="Model and Condition numbers"/>
    <pivotTable tabId="2" name="channel sales"/>
    <pivotTable tabId="2" name="Condition orders"/>
    <pivotTable tabId="2" name="Model Sales"/>
    <pivotTable tabId="2" name="KPIS"/>
  </pivotTables>
  <data>
    <tabular pivotCacheId="449854148">
      <items count="5">
        <i x="0" s="1"/>
        <i x="2" s="1"/>
        <i x="3"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oe_Model" xr10:uid="{00000000-0013-0000-FFFF-FFFF02000000}" sourceName="Shoe_Model">
  <pivotTables>
    <pivotTable tabId="2" name="channel sales"/>
    <pivotTable tabId="2" name="Condition orders"/>
    <pivotTable tabId="2" name="Model and Condition numbers"/>
    <pivotTable tabId="2" name="Model Sales"/>
    <pivotTable tabId="2" name="KPIS"/>
  </pivotTables>
  <data>
    <tabular pivotCacheId="449854148">
      <items count="5">
        <i x="1" s="1"/>
        <i x="3" s="1"/>
        <i x="0" s="1"/>
        <i x="4"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 xr10:uid="{7827A256-0F8C-4BB1-A872-E2D9AC8919A4}" sourceName="Years">
  <pivotTables>
    <pivotTable tabId="2" name="PivotTable1"/>
    <pivotTable tabId="2" name="channel sales"/>
    <pivotTable tabId="2" name="Condition orders"/>
    <pivotTable tabId="2" name="KPIS"/>
    <pivotTable tabId="2" name="Model and Condition numbers"/>
    <pivotTable tabId="2" name="Model Sales"/>
    <pivotTable tabId="2" name="PivotTable2"/>
  </pivotTables>
  <data>
    <tabular pivotCacheId="449854148">
      <items count="5">
        <i x="1" s="1"/>
        <i x="2" s="1"/>
        <i x="3" s="1"/>
        <i x="0" s="1" nd="1"/>
        <i x="4"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 xr10:uid="{90302B84-F27A-4BD4-AD47-D6BC94EEF45D}" sourceName="Months">
  <pivotTables>
    <pivotTable tabId="2" name="channel sales"/>
  </pivotTables>
  <data>
    <tabular pivotCacheId="449854148">
      <items count="12">
        <i x="6" s="1"/>
        <i x="2" s="1"/>
        <i x="10" s="1"/>
        <i x="5" s="1"/>
        <i x="3" s="1"/>
        <i x="7" s="1"/>
        <i x="4" s="1"/>
        <i x="11" s="1"/>
        <i x="8" s="1"/>
        <i x="0" s="1"/>
        <i x="1" s="1"/>
        <i x="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_Channel 1" xr10:uid="{00000000-0014-0000-FFFF-FFFF02000000}" cache="Slicer_Sales_Channel" caption="Sales_Channel" style="SlicerStyleDark3" rowHeight="241300"/>
  <slicer name="Shoe_Model 1" xr10:uid="{00000000-0014-0000-FFFF-FFFF03000000}" cache="Slicer_Shoe_Model" caption="Shoe_Model" style="SlicerStyleDark3" rowHeight="241300"/>
  <slicer name="Years" xr10:uid="{C76ACFC6-0839-4EED-B951-D7E950B12356}" cache="Slicer_Years" caption="Years" style="SlicerStyleDark3" rowHeight="241300"/>
  <slicer name="Months 1" xr10:uid="{F6EDECD6-DCAE-4BC6-B146-82AF3230E99B}" cache="Slicer_Months" caption="Months" startItem="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ales_of_Jordan" displayName="Sales_of_Jordan" ref="A1:K5001" totalsRowShown="0" headerRowDxfId="19" dataDxfId="17" headerRowBorderDxfId="18" tableBorderDxfId="16" totalsRowBorderDxfId="15">
  <autoFilter ref="A1:K5001" xr:uid="{00000000-0009-0000-0100-000001000000}"/>
  <tableColumns count="11">
    <tableColumn id="1" xr3:uid="{00000000-0010-0000-0000-000001000000}" name="Transaction_ID" dataDxfId="14"/>
    <tableColumn id="2" xr3:uid="{00000000-0010-0000-0000-000002000000}" name="Sale_Date" dataDxfId="13"/>
    <tableColumn id="3" xr3:uid="{00000000-0010-0000-0000-000003000000}" name="Shoe_Model" dataDxfId="12"/>
    <tableColumn id="4" xr3:uid="{00000000-0010-0000-0000-000004000000}" name="Colorway" dataDxfId="11"/>
    <tableColumn id="5" xr3:uid="{00000000-0010-0000-0000-000005000000}" name="Condition" dataDxfId="10"/>
    <tableColumn id="6" xr3:uid="{00000000-0010-0000-0000-000006000000}" name="Retail_Price_USD" dataDxfId="9"/>
    <tableColumn id="7" xr3:uid="{00000000-0010-0000-0000-000007000000}" name="Resale_Price_USD" dataDxfId="8"/>
    <tableColumn id="8" xr3:uid="{00000000-0010-0000-0000-000008000000}" name="Sales_Channel" dataDxfId="7"/>
    <tableColumn id="9" xr3:uid="{00000000-0010-0000-0000-000009000000}" name="Days_in_Inventory" dataDxfId="6"/>
    <tableColumn id="10" xr3:uid="{00000000-0010-0000-0000-00000A000000}" name="Profit_Margin_USD" dataDxfId="5"/>
    <tableColumn id="11" xr3:uid="{B70A3833-668D-4AA2-BB44-7254D297A02F}" name="Months" dataDxfId="1">
      <calculatedColumnFormula>TEXT(Sales_of_Jordan[[#This Row],[Sale_Date]],"mmm")</calculatedColumnFormula>
    </tableColumn>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S60"/>
  <sheetViews>
    <sheetView tabSelected="1" zoomScale="77" workbookViewId="0">
      <selection activeCell="E8" sqref="E8"/>
    </sheetView>
  </sheetViews>
  <sheetFormatPr defaultRowHeight="14.5" x14ac:dyDescent="0.35"/>
  <cols>
    <col min="1" max="1" width="24.6328125" bestFit="1" customWidth="1"/>
    <col min="2" max="2" width="26.6328125" bestFit="1" customWidth="1"/>
    <col min="3" max="3" width="21.453125" bestFit="1" customWidth="1"/>
    <col min="4" max="4" width="22.7265625" bestFit="1" customWidth="1"/>
    <col min="5" max="5" width="25.6328125" bestFit="1" customWidth="1"/>
    <col min="6" max="6" width="24" bestFit="1" customWidth="1"/>
    <col min="7" max="7" width="22.26953125" bestFit="1" customWidth="1"/>
    <col min="8" max="8" width="24" bestFit="1" customWidth="1"/>
    <col min="9" max="9" width="22.26953125" bestFit="1" customWidth="1"/>
    <col min="10" max="10" width="16.453125" bestFit="1" customWidth="1"/>
    <col min="11" max="12" width="9.36328125" bestFit="1" customWidth="1"/>
    <col min="13" max="13" width="11.08984375" bestFit="1" customWidth="1"/>
    <col min="14" max="14" width="24" bestFit="1" customWidth="1"/>
    <col min="15" max="15" width="22.26953125" bestFit="1" customWidth="1"/>
    <col min="16" max="16" width="24" bestFit="1" customWidth="1"/>
    <col min="17" max="17" width="22.26953125" bestFit="1" customWidth="1"/>
    <col min="18" max="18" width="24" bestFit="1" customWidth="1"/>
    <col min="19" max="19" width="22.26953125" bestFit="1" customWidth="1"/>
    <col min="20" max="20" width="24" bestFit="1" customWidth="1"/>
    <col min="21" max="21" width="22.26953125" bestFit="1" customWidth="1"/>
    <col min="22" max="22" width="24" bestFit="1" customWidth="1"/>
    <col min="23" max="23" width="22.26953125" bestFit="1" customWidth="1"/>
    <col min="24" max="24" width="24" bestFit="1" customWidth="1"/>
    <col min="25" max="25" width="22.26953125" bestFit="1" customWidth="1"/>
    <col min="26" max="26" width="28.81640625" bestFit="1" customWidth="1"/>
    <col min="27" max="27" width="27.1796875" bestFit="1" customWidth="1"/>
    <col min="28" max="28" width="26.81640625" bestFit="1" customWidth="1"/>
    <col min="29" max="29" width="3.81640625" bestFit="1" customWidth="1"/>
    <col min="30" max="30" width="4.26953125" bestFit="1" customWidth="1"/>
    <col min="31" max="31" width="3.81640625" bestFit="1" customWidth="1"/>
    <col min="32" max="32" width="4.453125" bestFit="1" customWidth="1"/>
    <col min="33" max="33" width="3.6328125" bestFit="1" customWidth="1"/>
    <col min="34" max="34" width="3" bestFit="1" customWidth="1"/>
    <col min="35" max="35" width="4" bestFit="1" customWidth="1"/>
    <col min="36" max="36" width="3.81640625" bestFit="1" customWidth="1"/>
    <col min="37" max="37" width="3.7265625" bestFit="1" customWidth="1"/>
    <col min="38" max="38" width="4.08984375" bestFit="1" customWidth="1"/>
    <col min="39" max="39" width="3.90625" bestFit="1" customWidth="1"/>
    <col min="40" max="40" width="29.90625" bestFit="1" customWidth="1"/>
    <col min="41" max="41" width="10.7265625" bestFit="1" customWidth="1"/>
    <col min="42" max="42" width="8.81640625" bestFit="1" customWidth="1"/>
    <col min="43" max="45" width="7.81640625" bestFit="1" customWidth="1"/>
    <col min="46" max="46" width="8.81640625" bestFit="1" customWidth="1"/>
    <col min="47" max="47" width="7.81640625" bestFit="1" customWidth="1"/>
    <col min="48" max="48" width="8.81640625" bestFit="1" customWidth="1"/>
    <col min="49" max="50" width="7.81640625" bestFit="1" customWidth="1"/>
    <col min="51" max="53" width="8.81640625" bestFit="1" customWidth="1"/>
    <col min="54" max="54" width="7.81640625" bestFit="1" customWidth="1"/>
    <col min="55" max="84" width="8.81640625" bestFit="1" customWidth="1"/>
    <col min="85" max="85" width="10.81640625" bestFit="1" customWidth="1"/>
    <col min="86" max="91" width="6.81640625" bestFit="1" customWidth="1"/>
    <col min="92" max="92" width="8.54296875" bestFit="1" customWidth="1"/>
    <col min="93" max="100" width="5.81640625" bestFit="1" customWidth="1"/>
    <col min="101" max="102" width="4.81640625" bestFit="1" customWidth="1"/>
    <col min="103" max="120" width="6.81640625" bestFit="1" customWidth="1"/>
    <col min="121" max="121" width="5.81640625" bestFit="1" customWidth="1"/>
    <col min="122" max="122" width="8.54296875" bestFit="1" customWidth="1"/>
    <col min="123" max="126" width="5.81640625" bestFit="1" customWidth="1"/>
    <col min="127" max="127" width="4.81640625" bestFit="1" customWidth="1"/>
    <col min="128" max="134" width="5.81640625" bestFit="1" customWidth="1"/>
    <col min="135" max="135" width="6.81640625" bestFit="1" customWidth="1"/>
    <col min="136" max="136" width="3.81640625" bestFit="1" customWidth="1"/>
    <col min="137" max="151" width="6.81640625" bestFit="1" customWidth="1"/>
    <col min="152" max="152" width="5.81640625" bestFit="1" customWidth="1"/>
    <col min="153" max="156" width="6.81640625" bestFit="1" customWidth="1"/>
    <col min="157" max="157" width="5.81640625" bestFit="1" customWidth="1"/>
    <col min="158" max="158" width="8.54296875" bestFit="1" customWidth="1"/>
    <col min="159" max="159" width="5.81640625" bestFit="1" customWidth="1"/>
    <col min="160" max="160" width="4.81640625" bestFit="1" customWidth="1"/>
    <col min="161" max="169" width="5.81640625" bestFit="1" customWidth="1"/>
    <col min="170" max="170" width="4.81640625" bestFit="1" customWidth="1"/>
    <col min="171" max="174" width="5.81640625" bestFit="1" customWidth="1"/>
    <col min="175" max="180" width="6.81640625" bestFit="1" customWidth="1"/>
    <col min="181" max="181" width="5.81640625" bestFit="1" customWidth="1"/>
    <col min="182" max="184" width="6.81640625" bestFit="1" customWidth="1"/>
    <col min="185" max="185" width="5.81640625" bestFit="1" customWidth="1"/>
    <col min="186" max="193" width="6.81640625" bestFit="1" customWidth="1"/>
    <col min="194" max="194" width="5.81640625" bestFit="1" customWidth="1"/>
    <col min="195" max="195" width="8.54296875" bestFit="1" customWidth="1"/>
    <col min="196" max="196" width="5.81640625" bestFit="1" customWidth="1"/>
    <col min="197" max="197" width="2.81640625" bestFit="1" customWidth="1"/>
    <col min="198" max="201" width="5.81640625" bestFit="1" customWidth="1"/>
    <col min="202" max="202" width="4.81640625" bestFit="1" customWidth="1"/>
    <col min="203" max="212" width="5.81640625" bestFit="1" customWidth="1"/>
    <col min="213" max="213" width="4.81640625" bestFit="1" customWidth="1"/>
    <col min="214" max="216" width="6.81640625" bestFit="1" customWidth="1"/>
    <col min="217" max="217" width="5.81640625" bestFit="1" customWidth="1"/>
    <col min="218" max="228" width="6.81640625" bestFit="1" customWidth="1"/>
    <col min="229" max="229" width="5.81640625" bestFit="1" customWidth="1"/>
    <col min="230" max="233" width="6.81640625" bestFit="1" customWidth="1"/>
    <col min="234" max="234" width="8.54296875" bestFit="1" customWidth="1"/>
    <col min="235" max="244" width="5.81640625" bestFit="1" customWidth="1"/>
    <col min="245" max="247" width="6.81640625" bestFit="1" customWidth="1"/>
    <col min="248" max="248" width="5.81640625" bestFit="1" customWidth="1"/>
    <col min="249" max="250" width="6.81640625" bestFit="1" customWidth="1"/>
    <col min="251" max="251" width="5.81640625" bestFit="1" customWidth="1"/>
    <col min="252" max="252" width="6.81640625" bestFit="1" customWidth="1"/>
    <col min="253" max="253" width="3.81640625" bestFit="1" customWidth="1"/>
    <col min="254" max="254" width="6.81640625" bestFit="1" customWidth="1"/>
    <col min="255" max="256" width="5.81640625" bestFit="1" customWidth="1"/>
    <col min="257" max="266" width="6.81640625" bestFit="1" customWidth="1"/>
    <col min="267" max="267" width="8.54296875" bestFit="1" customWidth="1"/>
    <col min="268" max="276" width="5.81640625" bestFit="1" customWidth="1"/>
    <col min="277" max="285" width="6.81640625" bestFit="1" customWidth="1"/>
    <col min="286" max="286" width="5.81640625" bestFit="1" customWidth="1"/>
    <col min="287" max="290" width="6.81640625" bestFit="1" customWidth="1"/>
    <col min="291" max="291" width="8.54296875" bestFit="1" customWidth="1"/>
    <col min="292" max="294" width="5.81640625" bestFit="1" customWidth="1"/>
    <col min="295" max="295" width="4.81640625" bestFit="1" customWidth="1"/>
    <col min="296" max="303" width="6.81640625" bestFit="1" customWidth="1"/>
    <col min="304" max="304" width="5.81640625" bestFit="1" customWidth="1"/>
    <col min="305" max="318" width="6.81640625" bestFit="1" customWidth="1"/>
    <col min="319" max="319" width="8.54296875" bestFit="1" customWidth="1"/>
    <col min="320" max="320" width="5.6328125" bestFit="1" customWidth="1"/>
    <col min="321" max="327" width="5.81640625" bestFit="1" customWidth="1"/>
    <col min="328" max="334" width="6.81640625" bestFit="1" customWidth="1"/>
    <col min="335" max="336" width="5.81640625" bestFit="1" customWidth="1"/>
    <col min="337" max="350" width="6.81640625" bestFit="1" customWidth="1"/>
    <col min="351" max="351" width="8.54296875" bestFit="1" customWidth="1"/>
    <col min="352" max="352" width="5.6328125" bestFit="1" customWidth="1"/>
    <col min="353" max="357" width="5.81640625" bestFit="1" customWidth="1"/>
    <col min="358" max="358" width="4.81640625" bestFit="1" customWidth="1"/>
    <col min="359" max="359" width="5.81640625" bestFit="1" customWidth="1"/>
    <col min="360" max="360" width="6.81640625" bestFit="1" customWidth="1"/>
    <col min="361" max="361" width="5.81640625" bestFit="1" customWidth="1"/>
    <col min="362" max="368" width="6.81640625" bestFit="1" customWidth="1"/>
    <col min="369" max="369" width="5.81640625" bestFit="1" customWidth="1"/>
    <col min="370" max="370" width="6.81640625" bestFit="1" customWidth="1"/>
    <col min="371" max="372" width="5.81640625" bestFit="1" customWidth="1"/>
    <col min="373" max="381" width="6.81640625" bestFit="1" customWidth="1"/>
    <col min="382" max="382" width="5.81640625" bestFit="1" customWidth="1"/>
    <col min="383" max="383" width="8.54296875" bestFit="1" customWidth="1"/>
    <col min="384" max="386" width="5.81640625" bestFit="1" customWidth="1"/>
    <col min="387" max="387" width="4.81640625" bestFit="1" customWidth="1"/>
    <col min="388" max="392" width="5.81640625" bestFit="1" customWidth="1"/>
    <col min="393" max="393" width="2.81640625" bestFit="1" customWidth="1"/>
    <col min="394" max="394" width="4.81640625" bestFit="1" customWidth="1"/>
    <col min="395" max="396" width="5.81640625" bestFit="1" customWidth="1"/>
    <col min="397" max="418" width="6.81640625" bestFit="1" customWidth="1"/>
    <col min="419" max="419" width="8.54296875" bestFit="1" customWidth="1"/>
    <col min="420" max="424" width="5.81640625" bestFit="1" customWidth="1"/>
    <col min="425" max="425" width="4.81640625" bestFit="1" customWidth="1"/>
    <col min="426" max="426" width="5.81640625" bestFit="1" customWidth="1"/>
    <col min="427" max="439" width="6.81640625" bestFit="1" customWidth="1"/>
    <col min="440" max="440" width="8.54296875" bestFit="1" customWidth="1"/>
    <col min="441" max="441" width="5.81640625" bestFit="1" customWidth="1"/>
    <col min="442" max="442" width="4.81640625" bestFit="1" customWidth="1"/>
    <col min="443" max="449" width="5.81640625" bestFit="1" customWidth="1"/>
    <col min="450" max="450" width="6.81640625" bestFit="1" customWidth="1"/>
    <col min="451" max="451" width="5.81640625" bestFit="1" customWidth="1"/>
    <col min="452" max="461" width="6.81640625" bestFit="1" customWidth="1"/>
    <col min="462" max="462" width="5.81640625" bestFit="1" customWidth="1"/>
    <col min="463" max="466" width="6.81640625" bestFit="1" customWidth="1"/>
    <col min="467" max="467" width="5.81640625" bestFit="1" customWidth="1"/>
    <col min="468" max="473" width="6.81640625" bestFit="1" customWidth="1"/>
    <col min="474" max="474" width="5.81640625" bestFit="1" customWidth="1"/>
    <col min="475" max="485" width="6.81640625" bestFit="1" customWidth="1"/>
    <col min="486" max="486" width="8.54296875" bestFit="1" customWidth="1"/>
    <col min="487" max="487" width="5.6328125" bestFit="1" customWidth="1"/>
    <col min="488" max="491" width="5.81640625" bestFit="1" customWidth="1"/>
    <col min="492" max="492" width="4.81640625" bestFit="1" customWidth="1"/>
    <col min="493" max="493" width="5.81640625" bestFit="1" customWidth="1"/>
    <col min="494" max="495" width="6.81640625" bestFit="1" customWidth="1"/>
    <col min="496" max="496" width="5.81640625" bestFit="1" customWidth="1"/>
    <col min="497" max="500" width="6.81640625" bestFit="1" customWidth="1"/>
    <col min="501" max="501" width="5.81640625" bestFit="1" customWidth="1"/>
    <col min="502" max="510" width="6.81640625" bestFit="1" customWidth="1"/>
    <col min="511" max="511" width="5.81640625" bestFit="1" customWidth="1"/>
    <col min="512" max="513" width="6.81640625" bestFit="1" customWidth="1"/>
    <col min="514" max="514" width="8.54296875" bestFit="1" customWidth="1"/>
    <col min="515" max="516" width="5.81640625" bestFit="1" customWidth="1"/>
    <col min="517" max="517" width="4.81640625" bestFit="1" customWidth="1"/>
    <col min="518" max="521" width="5.81640625" bestFit="1" customWidth="1"/>
    <col min="522" max="523" width="6.81640625" bestFit="1" customWidth="1"/>
    <col min="524" max="524" width="5.81640625" bestFit="1" customWidth="1"/>
    <col min="525" max="531" width="6.81640625" bestFit="1" customWidth="1"/>
    <col min="532" max="532" width="5.81640625" bestFit="1" customWidth="1"/>
    <col min="533" max="539" width="6.81640625" bestFit="1" customWidth="1"/>
    <col min="540" max="540" width="3.81640625" bestFit="1" customWidth="1"/>
    <col min="541" max="549" width="6.81640625" bestFit="1" customWidth="1"/>
    <col min="550" max="550" width="8.54296875" bestFit="1" customWidth="1"/>
    <col min="551" max="560" width="5.81640625" bestFit="1" customWidth="1"/>
    <col min="561" max="562" width="6.81640625" bestFit="1" customWidth="1"/>
    <col min="563" max="563" width="3.81640625" bestFit="1" customWidth="1"/>
    <col min="564" max="565" width="5.81640625" bestFit="1" customWidth="1"/>
    <col min="566" max="566" width="6.81640625" bestFit="1" customWidth="1"/>
    <col min="567" max="567" width="5.81640625" bestFit="1" customWidth="1"/>
    <col min="568" max="579" width="6.81640625" bestFit="1" customWidth="1"/>
    <col min="580" max="580" width="5.81640625" bestFit="1" customWidth="1"/>
    <col min="581" max="592" width="6.81640625" bestFit="1" customWidth="1"/>
    <col min="593" max="593" width="5.81640625" bestFit="1" customWidth="1"/>
    <col min="594" max="594" width="8.54296875" bestFit="1" customWidth="1"/>
    <col min="595" max="595" width="5.6328125" bestFit="1" customWidth="1"/>
    <col min="596" max="601" width="5.81640625" bestFit="1" customWidth="1"/>
    <col min="602" max="604" width="6.81640625" bestFit="1" customWidth="1"/>
    <col min="605" max="605" width="5.81640625" bestFit="1" customWidth="1"/>
    <col min="606" max="621" width="6.81640625" bestFit="1" customWidth="1"/>
    <col min="622" max="622" width="8.54296875" bestFit="1" customWidth="1"/>
    <col min="623" max="628" width="5.81640625" bestFit="1" customWidth="1"/>
    <col min="629" max="629" width="4.81640625" bestFit="1" customWidth="1"/>
    <col min="630" max="633" width="5.81640625" bestFit="1" customWidth="1"/>
    <col min="634" max="634" width="6.81640625" bestFit="1" customWidth="1"/>
    <col min="635" max="635" width="5.81640625" bestFit="1" customWidth="1"/>
    <col min="636" max="639" width="6.81640625" bestFit="1" customWidth="1"/>
    <col min="640" max="640" width="5.81640625" bestFit="1" customWidth="1"/>
    <col min="641" max="641" width="6.81640625" bestFit="1" customWidth="1"/>
    <col min="642" max="643" width="5.81640625" bestFit="1" customWidth="1"/>
    <col min="644" max="644" width="6.81640625" bestFit="1" customWidth="1"/>
    <col min="645" max="645" width="5.81640625" bestFit="1" customWidth="1"/>
    <col min="646" max="651" width="6.81640625" bestFit="1" customWidth="1"/>
    <col min="652" max="652" width="5.81640625" bestFit="1" customWidth="1"/>
    <col min="653" max="660" width="6.81640625" bestFit="1" customWidth="1"/>
    <col min="661" max="661" width="8.54296875" bestFit="1" customWidth="1"/>
    <col min="662" max="668" width="5.81640625" bestFit="1" customWidth="1"/>
    <col min="669" max="669" width="4.81640625" bestFit="1" customWidth="1"/>
    <col min="670" max="671" width="5.81640625" bestFit="1" customWidth="1"/>
    <col min="672" max="684" width="6.81640625" bestFit="1" customWidth="1"/>
    <col min="685" max="685" width="5.81640625" bestFit="1" customWidth="1"/>
    <col min="686" max="694" width="6.81640625" bestFit="1" customWidth="1"/>
    <col min="695" max="695" width="8.54296875" bestFit="1" customWidth="1"/>
    <col min="696" max="699" width="5.81640625" bestFit="1" customWidth="1"/>
    <col min="700" max="700" width="4.81640625" bestFit="1" customWidth="1"/>
    <col min="701" max="705" width="5.81640625" bestFit="1" customWidth="1"/>
    <col min="706" max="717" width="6.81640625" bestFit="1" customWidth="1"/>
    <col min="718" max="718" width="5.81640625" bestFit="1" customWidth="1"/>
    <col min="719" max="742" width="6.81640625" bestFit="1" customWidth="1"/>
    <col min="743" max="743" width="8.54296875" bestFit="1" customWidth="1"/>
    <col min="744" max="750" width="5.81640625" bestFit="1" customWidth="1"/>
    <col min="751" max="751" width="6.81640625" bestFit="1" customWidth="1"/>
    <col min="752" max="752" width="5.81640625" bestFit="1" customWidth="1"/>
    <col min="753" max="758" width="6.81640625" bestFit="1" customWidth="1"/>
    <col min="759" max="759" width="5.81640625" bestFit="1" customWidth="1"/>
    <col min="760" max="770" width="6.81640625" bestFit="1" customWidth="1"/>
    <col min="771" max="771" width="5.81640625" bestFit="1" customWidth="1"/>
    <col min="772" max="777" width="6.81640625" bestFit="1" customWidth="1"/>
    <col min="778" max="778" width="5.81640625" bestFit="1" customWidth="1"/>
    <col min="779" max="779" width="6.81640625" bestFit="1" customWidth="1"/>
    <col min="780" max="780" width="8.54296875" bestFit="1" customWidth="1"/>
    <col min="781" max="789" width="5.81640625" bestFit="1" customWidth="1"/>
    <col min="790" max="799" width="6.81640625" bestFit="1" customWidth="1"/>
    <col min="800" max="800" width="5.81640625" bestFit="1" customWidth="1"/>
    <col min="801" max="810" width="6.81640625" bestFit="1" customWidth="1"/>
    <col min="811" max="811" width="5.81640625" bestFit="1" customWidth="1"/>
    <col min="812" max="813" width="6.81640625" bestFit="1" customWidth="1"/>
    <col min="814" max="814" width="8.54296875" bestFit="1" customWidth="1"/>
    <col min="815" max="816" width="5.81640625" bestFit="1" customWidth="1"/>
    <col min="817" max="817" width="4.81640625" bestFit="1" customWidth="1"/>
    <col min="818" max="818" width="5.81640625" bestFit="1" customWidth="1"/>
    <col min="819" max="832" width="6.81640625" bestFit="1" customWidth="1"/>
    <col min="833" max="833" width="5.81640625" bestFit="1" customWidth="1"/>
    <col min="834" max="836" width="6.81640625" bestFit="1" customWidth="1"/>
    <col min="837" max="837" width="8.54296875" bestFit="1" customWidth="1"/>
    <col min="838" max="840" width="5.81640625" bestFit="1" customWidth="1"/>
    <col min="841" max="842" width="4.81640625" bestFit="1" customWidth="1"/>
    <col min="843" max="844" width="5.81640625" bestFit="1" customWidth="1"/>
    <col min="845" max="845" width="4.81640625" bestFit="1" customWidth="1"/>
    <col min="846" max="846" width="5.81640625" bestFit="1" customWidth="1"/>
    <col min="847" max="869" width="6.81640625" bestFit="1" customWidth="1"/>
    <col min="870" max="870" width="5.81640625" bestFit="1" customWidth="1"/>
    <col min="871" max="872" width="6.81640625" bestFit="1" customWidth="1"/>
    <col min="873" max="873" width="5.81640625" bestFit="1" customWidth="1"/>
    <col min="874" max="880" width="6.81640625" bestFit="1" customWidth="1"/>
    <col min="881" max="881" width="8.54296875" bestFit="1" customWidth="1"/>
    <col min="882" max="885" width="5.81640625" bestFit="1" customWidth="1"/>
    <col min="886" max="886" width="2.81640625" bestFit="1" customWidth="1"/>
    <col min="887" max="889" width="5.81640625" bestFit="1" customWidth="1"/>
    <col min="890" max="894" width="6.81640625" bestFit="1" customWidth="1"/>
    <col min="895" max="895" width="5.81640625" bestFit="1" customWidth="1"/>
    <col min="896" max="915" width="6.81640625" bestFit="1" customWidth="1"/>
    <col min="916" max="916" width="8.54296875" bestFit="1" customWidth="1"/>
    <col min="917" max="917" width="5.6328125" bestFit="1" customWidth="1"/>
    <col min="918" max="923" width="5.81640625" bestFit="1" customWidth="1"/>
    <col min="924" max="930" width="6.81640625" bestFit="1" customWidth="1"/>
    <col min="931" max="931" width="5.81640625" bestFit="1" customWidth="1"/>
    <col min="932" max="937" width="6.81640625" bestFit="1" customWidth="1"/>
    <col min="938" max="939" width="5.81640625" bestFit="1" customWidth="1"/>
    <col min="940" max="942" width="6.81640625" bestFit="1" customWidth="1"/>
    <col min="943" max="943" width="5.81640625" bestFit="1" customWidth="1"/>
    <col min="944" max="945" width="6.81640625" bestFit="1" customWidth="1"/>
    <col min="946" max="946" width="5.81640625" bestFit="1" customWidth="1"/>
    <col min="947" max="951" width="6.81640625" bestFit="1" customWidth="1"/>
    <col min="952" max="952" width="5.81640625" bestFit="1" customWidth="1"/>
    <col min="953" max="953" width="8.54296875" bestFit="1" customWidth="1"/>
    <col min="954" max="955" width="5.81640625" bestFit="1" customWidth="1"/>
    <col min="956" max="956" width="4.81640625" bestFit="1" customWidth="1"/>
    <col min="957" max="961" width="5.81640625" bestFit="1" customWidth="1"/>
    <col min="962" max="991" width="6.81640625" bestFit="1" customWidth="1"/>
    <col min="992" max="992" width="3.81640625" bestFit="1" customWidth="1"/>
    <col min="993" max="994" width="6.81640625" bestFit="1" customWidth="1"/>
    <col min="995" max="995" width="5.81640625" bestFit="1" customWidth="1"/>
    <col min="996" max="996" width="8.54296875" bestFit="1" customWidth="1"/>
    <col min="997" max="998" width="5.81640625" bestFit="1" customWidth="1"/>
    <col min="999" max="999" width="4.81640625" bestFit="1" customWidth="1"/>
    <col min="1000" max="1001" width="5.81640625" bestFit="1" customWidth="1"/>
    <col min="1002" max="1006" width="6.81640625" bestFit="1" customWidth="1"/>
    <col min="1007" max="1007" width="5.81640625" bestFit="1" customWidth="1"/>
    <col min="1008" max="1012" width="6.81640625" bestFit="1" customWidth="1"/>
    <col min="1013" max="1013" width="5.81640625" bestFit="1" customWidth="1"/>
    <col min="1014" max="1022" width="6.81640625" bestFit="1" customWidth="1"/>
    <col min="1023" max="1023" width="8.54296875" bestFit="1" customWidth="1"/>
    <col min="1024" max="1027" width="5.81640625" bestFit="1" customWidth="1"/>
    <col min="1028" max="1033" width="6.81640625" bestFit="1" customWidth="1"/>
    <col min="1034" max="1034" width="5.81640625" bestFit="1" customWidth="1"/>
    <col min="1035" max="1035" width="6.81640625" bestFit="1" customWidth="1"/>
    <col min="1036" max="1036" width="5.81640625" bestFit="1" customWidth="1"/>
    <col min="1037" max="1041" width="6.81640625" bestFit="1" customWidth="1"/>
    <col min="1042" max="1042" width="5.81640625" bestFit="1" customWidth="1"/>
    <col min="1043" max="1044" width="6.81640625" bestFit="1" customWidth="1"/>
    <col min="1045" max="1045" width="5.81640625" bestFit="1" customWidth="1"/>
    <col min="1046" max="1051" width="6.81640625" bestFit="1" customWidth="1"/>
    <col min="1052" max="1052" width="8.54296875" bestFit="1" customWidth="1"/>
    <col min="1053" max="1055" width="5.81640625" bestFit="1" customWidth="1"/>
    <col min="1056" max="1056" width="6.81640625" bestFit="1" customWidth="1"/>
    <col min="1057" max="1057" width="5.81640625" bestFit="1" customWidth="1"/>
    <col min="1058" max="1063" width="6.81640625" bestFit="1" customWidth="1"/>
    <col min="1064" max="1064" width="5.81640625" bestFit="1" customWidth="1"/>
    <col min="1065" max="1065" width="6.81640625" bestFit="1" customWidth="1"/>
    <col min="1066" max="1066" width="5.81640625" bestFit="1" customWidth="1"/>
    <col min="1067" max="1067" width="6.81640625" bestFit="1" customWidth="1"/>
    <col min="1068" max="1068" width="3.81640625" bestFit="1" customWidth="1"/>
    <col min="1069" max="1069" width="6.81640625" bestFit="1" customWidth="1"/>
    <col min="1070" max="1070" width="5.81640625" bestFit="1" customWidth="1"/>
    <col min="1071" max="1072" width="6.81640625" bestFit="1" customWidth="1"/>
    <col min="1073" max="1073" width="5.81640625" bestFit="1" customWidth="1"/>
    <col min="1074" max="1092" width="6.81640625" bestFit="1" customWidth="1"/>
    <col min="1093" max="1094" width="5.81640625" bestFit="1" customWidth="1"/>
    <col min="1095" max="1096" width="6.81640625" bestFit="1" customWidth="1"/>
    <col min="1097" max="1098" width="5.81640625" bestFit="1" customWidth="1"/>
    <col min="1099" max="1100" width="6.81640625" bestFit="1" customWidth="1"/>
    <col min="1101" max="1101" width="8.54296875" bestFit="1" customWidth="1"/>
    <col min="1102" max="1104" width="5.81640625" bestFit="1" customWidth="1"/>
    <col min="1105" max="1115" width="6.81640625" bestFit="1" customWidth="1"/>
    <col min="1116" max="1116" width="5.81640625" bestFit="1" customWidth="1"/>
    <col min="1117" max="1117" width="6.81640625" bestFit="1" customWidth="1"/>
    <col min="1118" max="1118" width="5.81640625" bestFit="1" customWidth="1"/>
    <col min="1119" max="1119" width="6.81640625" bestFit="1" customWidth="1"/>
    <col min="1120" max="1120" width="5.81640625" bestFit="1" customWidth="1"/>
    <col min="1121" max="1127" width="6.81640625" bestFit="1" customWidth="1"/>
    <col min="1128" max="1128" width="5.81640625" bestFit="1" customWidth="1"/>
    <col min="1129" max="1135" width="6.81640625" bestFit="1" customWidth="1"/>
    <col min="1136" max="1136" width="8.54296875" bestFit="1" customWidth="1"/>
    <col min="1137" max="1137" width="5.81640625" bestFit="1" customWidth="1"/>
    <col min="1138" max="1141" width="6.81640625" bestFit="1" customWidth="1"/>
    <col min="1142" max="1142" width="5.81640625" bestFit="1" customWidth="1"/>
    <col min="1143" max="1145" width="6.81640625" bestFit="1" customWidth="1"/>
    <col min="1146" max="1146" width="5.81640625" bestFit="1" customWidth="1"/>
    <col min="1147" max="1151" width="6.81640625" bestFit="1" customWidth="1"/>
    <col min="1152" max="1152" width="5.81640625" bestFit="1" customWidth="1"/>
    <col min="1153" max="1157" width="6.81640625" bestFit="1" customWidth="1"/>
    <col min="1158" max="1158" width="5.81640625" bestFit="1" customWidth="1"/>
    <col min="1159" max="1170" width="6.81640625" bestFit="1" customWidth="1"/>
    <col min="1171" max="1171" width="8.54296875" bestFit="1" customWidth="1"/>
    <col min="1172" max="1173" width="5.81640625" bestFit="1" customWidth="1"/>
    <col min="1174" max="1182" width="6.81640625" bestFit="1" customWidth="1"/>
    <col min="1183" max="1183" width="5.81640625" bestFit="1" customWidth="1"/>
    <col min="1184" max="1195" width="6.81640625" bestFit="1" customWidth="1"/>
    <col min="1196" max="1196" width="5.81640625" bestFit="1" customWidth="1"/>
    <col min="1197" max="1202" width="6.81640625" bestFit="1" customWidth="1"/>
    <col min="1203" max="1203" width="5.81640625" bestFit="1" customWidth="1"/>
    <col min="1204" max="1210" width="6.81640625" bestFit="1" customWidth="1"/>
    <col min="1211" max="1211" width="5.81640625" bestFit="1" customWidth="1"/>
    <col min="1212" max="1221" width="6.81640625" bestFit="1" customWidth="1"/>
    <col min="1222" max="1223" width="5.81640625" bestFit="1" customWidth="1"/>
    <col min="1224" max="1225" width="6.81640625" bestFit="1" customWidth="1"/>
    <col min="1226" max="1226" width="8.54296875" bestFit="1" customWidth="1"/>
    <col min="1227" max="1230" width="5.81640625" bestFit="1" customWidth="1"/>
    <col min="1231" max="1236" width="6.81640625" bestFit="1" customWidth="1"/>
    <col min="1237" max="1239" width="5.81640625" bestFit="1" customWidth="1"/>
    <col min="1240" max="1250" width="6.81640625" bestFit="1" customWidth="1"/>
    <col min="1251" max="1251" width="5.81640625" bestFit="1" customWidth="1"/>
    <col min="1252" max="1252" width="6.81640625" bestFit="1" customWidth="1"/>
    <col min="1253" max="1253" width="5.81640625" bestFit="1" customWidth="1"/>
    <col min="1254" max="1263" width="6.81640625" bestFit="1" customWidth="1"/>
    <col min="1264" max="1264" width="5.81640625" bestFit="1" customWidth="1"/>
    <col min="1265" max="1265" width="6.81640625" bestFit="1" customWidth="1"/>
    <col min="1266" max="1266" width="8.54296875" bestFit="1" customWidth="1"/>
    <col min="1267" max="1268" width="5.81640625" bestFit="1" customWidth="1"/>
    <col min="1269" max="1269" width="6.81640625" bestFit="1" customWidth="1"/>
    <col min="1270" max="1270" width="3.81640625" bestFit="1" customWidth="1"/>
    <col min="1271" max="1272" width="6.81640625" bestFit="1" customWidth="1"/>
    <col min="1273" max="1273" width="5.81640625" bestFit="1" customWidth="1"/>
    <col min="1274" max="1276" width="6.81640625" bestFit="1" customWidth="1"/>
    <col min="1277" max="1278" width="5.81640625" bestFit="1" customWidth="1"/>
    <col min="1279" max="1279" width="3.81640625" bestFit="1" customWidth="1"/>
    <col min="1280" max="1304" width="6.81640625" bestFit="1" customWidth="1"/>
    <col min="1305" max="1305" width="8.54296875" bestFit="1" customWidth="1"/>
    <col min="1306" max="1306" width="5.6328125" bestFit="1" customWidth="1"/>
    <col min="1307" max="1307" width="5.81640625" bestFit="1" customWidth="1"/>
    <col min="1308" max="1314" width="6.81640625" bestFit="1" customWidth="1"/>
    <col min="1315" max="1315" width="5.81640625" bestFit="1" customWidth="1"/>
    <col min="1316" max="1316" width="6.81640625" bestFit="1" customWidth="1"/>
    <col min="1317" max="1317" width="5.81640625" bestFit="1" customWidth="1"/>
    <col min="1318" max="1323" width="6.81640625" bestFit="1" customWidth="1"/>
    <col min="1324" max="1324" width="5.81640625" bestFit="1" customWidth="1"/>
    <col min="1325" max="1344" width="6.81640625" bestFit="1" customWidth="1"/>
    <col min="1345" max="1345" width="5.81640625" bestFit="1" customWidth="1"/>
    <col min="1346" max="1350" width="6.81640625" bestFit="1" customWidth="1"/>
    <col min="1351" max="1351" width="8.54296875" bestFit="1" customWidth="1"/>
    <col min="1352" max="1353" width="5.81640625" bestFit="1" customWidth="1"/>
    <col min="1354" max="1370" width="6.81640625" bestFit="1" customWidth="1"/>
    <col min="1371" max="1371" width="5.81640625" bestFit="1" customWidth="1"/>
    <col min="1372" max="1396" width="6.81640625" bestFit="1" customWidth="1"/>
    <col min="1397" max="1397" width="8.54296875" bestFit="1" customWidth="1"/>
    <col min="1398" max="1398" width="5.81640625" bestFit="1" customWidth="1"/>
    <col min="1399" max="1404" width="6.81640625" bestFit="1" customWidth="1"/>
    <col min="1405" max="1405" width="5.81640625" bestFit="1" customWidth="1"/>
    <col min="1406" max="1408" width="6.81640625" bestFit="1" customWidth="1"/>
    <col min="1409" max="1409" width="3.81640625" bestFit="1" customWidth="1"/>
    <col min="1410" max="1426" width="6.81640625" bestFit="1" customWidth="1"/>
    <col min="1427" max="1427" width="5.81640625" bestFit="1" customWidth="1"/>
    <col min="1428" max="1429" width="6.81640625" bestFit="1" customWidth="1"/>
    <col min="1430" max="1431" width="5.81640625" bestFit="1" customWidth="1"/>
    <col min="1432" max="1441" width="6.81640625" bestFit="1" customWidth="1"/>
    <col min="1442" max="1442" width="8.54296875" bestFit="1" customWidth="1"/>
    <col min="1443" max="1444" width="6.81640625" bestFit="1" customWidth="1"/>
    <col min="1445" max="1445" width="5.81640625" bestFit="1" customWidth="1"/>
    <col min="1446" max="1453" width="6.81640625" bestFit="1" customWidth="1"/>
    <col min="1454" max="1454" width="5.81640625" bestFit="1" customWidth="1"/>
    <col min="1455" max="1457" width="6.81640625" bestFit="1" customWidth="1"/>
    <col min="1458" max="1458" width="5.81640625" bestFit="1" customWidth="1"/>
    <col min="1459" max="1465" width="6.81640625" bestFit="1" customWidth="1"/>
    <col min="1466" max="1466" width="5.81640625" bestFit="1" customWidth="1"/>
    <col min="1467" max="1474" width="6.81640625" bestFit="1" customWidth="1"/>
    <col min="1475" max="1475" width="5.81640625" bestFit="1" customWidth="1"/>
    <col min="1476" max="1480" width="6.81640625" bestFit="1" customWidth="1"/>
    <col min="1481" max="1481" width="5.81640625" bestFit="1" customWidth="1"/>
    <col min="1482" max="1486" width="6.81640625" bestFit="1" customWidth="1"/>
    <col min="1487" max="1487" width="8.54296875" bestFit="1" customWidth="1"/>
    <col min="1488" max="1499" width="6.81640625" bestFit="1" customWidth="1"/>
    <col min="1500" max="1500" width="5.81640625" bestFit="1" customWidth="1"/>
    <col min="1501" max="1506" width="6.81640625" bestFit="1" customWidth="1"/>
    <col min="1507" max="1507" width="5.81640625" bestFit="1" customWidth="1"/>
    <col min="1508" max="1530" width="6.81640625" bestFit="1" customWidth="1"/>
    <col min="1531" max="1531" width="8.54296875" bestFit="1" customWidth="1"/>
    <col min="1532" max="1533" width="5.81640625" bestFit="1" customWidth="1"/>
    <col min="1534" max="1545" width="6.81640625" bestFit="1" customWidth="1"/>
    <col min="1546" max="1546" width="5.81640625" bestFit="1" customWidth="1"/>
    <col min="1547" max="1547" width="6.81640625" bestFit="1" customWidth="1"/>
    <col min="1548" max="1549" width="5.81640625" bestFit="1" customWidth="1"/>
    <col min="1550" max="1551" width="6.81640625" bestFit="1" customWidth="1"/>
    <col min="1552" max="1553" width="5.81640625" bestFit="1" customWidth="1"/>
    <col min="1554" max="1565" width="6.81640625" bestFit="1" customWidth="1"/>
    <col min="1566" max="1567" width="5.81640625" bestFit="1" customWidth="1"/>
    <col min="1568" max="1568" width="6.81640625" bestFit="1" customWidth="1"/>
    <col min="1569" max="1569" width="8.54296875" bestFit="1" customWidth="1"/>
    <col min="1570" max="1572" width="5.81640625" bestFit="1" customWidth="1"/>
    <col min="1573" max="1573" width="4.81640625" bestFit="1" customWidth="1"/>
    <col min="1574" max="1574" width="5.81640625" bestFit="1" customWidth="1"/>
    <col min="1575" max="1576" width="6.81640625" bestFit="1" customWidth="1"/>
    <col min="1577" max="1577" width="5.81640625" bestFit="1" customWidth="1"/>
    <col min="1578" max="1603" width="6.81640625" bestFit="1" customWidth="1"/>
    <col min="1604" max="1604" width="5.81640625" bestFit="1" customWidth="1"/>
    <col min="1605" max="1610" width="6.81640625" bestFit="1" customWidth="1"/>
    <col min="1611" max="1611" width="5.81640625" bestFit="1" customWidth="1"/>
    <col min="1612" max="1614" width="6.81640625" bestFit="1" customWidth="1"/>
    <col min="1615" max="1615" width="8.54296875" bestFit="1" customWidth="1"/>
    <col min="1616" max="1617" width="5.81640625" bestFit="1" customWidth="1"/>
    <col min="1618" max="1618" width="6.81640625" bestFit="1" customWidth="1"/>
    <col min="1619" max="1619" width="5.81640625" bestFit="1" customWidth="1"/>
    <col min="1620" max="1626" width="6.81640625" bestFit="1" customWidth="1"/>
    <col min="1627" max="1627" width="5.81640625" bestFit="1" customWidth="1"/>
    <col min="1628" max="1639" width="6.81640625" bestFit="1" customWidth="1"/>
    <col min="1640" max="1641" width="5.81640625" bestFit="1" customWidth="1"/>
    <col min="1642" max="1642" width="6.81640625" bestFit="1" customWidth="1"/>
    <col min="1643" max="1643" width="5.81640625" bestFit="1" customWidth="1"/>
    <col min="1644" max="1644" width="6.81640625" bestFit="1" customWidth="1"/>
    <col min="1645" max="1645" width="3.81640625" bestFit="1" customWidth="1"/>
    <col min="1646" max="1650" width="6.81640625" bestFit="1" customWidth="1"/>
    <col min="1651" max="1651" width="5.81640625" bestFit="1" customWidth="1"/>
    <col min="1652" max="1660" width="6.81640625" bestFit="1" customWidth="1"/>
    <col min="1661" max="1661" width="5.81640625" bestFit="1" customWidth="1"/>
    <col min="1662" max="1662" width="8.54296875" bestFit="1" customWidth="1"/>
    <col min="1663" max="1664" width="5.81640625" bestFit="1" customWidth="1"/>
    <col min="1665" max="1671" width="6.81640625" bestFit="1" customWidth="1"/>
    <col min="1672" max="1672" width="5.81640625" bestFit="1" customWidth="1"/>
    <col min="1673" max="1674" width="6.81640625" bestFit="1" customWidth="1"/>
    <col min="1675" max="1675" width="5.81640625" bestFit="1" customWidth="1"/>
    <col min="1676" max="1699" width="6.81640625" bestFit="1" customWidth="1"/>
    <col min="1700" max="1700" width="3.81640625" bestFit="1" customWidth="1"/>
    <col min="1701" max="1708" width="6.81640625" bestFit="1" customWidth="1"/>
    <col min="1709" max="1709" width="5.81640625" bestFit="1" customWidth="1"/>
    <col min="1710" max="1711" width="6.81640625" bestFit="1" customWidth="1"/>
    <col min="1712" max="1712" width="8.54296875" bestFit="1" customWidth="1"/>
    <col min="1713" max="1713" width="5.81640625" bestFit="1" customWidth="1"/>
    <col min="1714" max="1719" width="6.81640625" bestFit="1" customWidth="1"/>
    <col min="1720" max="1721" width="5.81640625" bestFit="1" customWidth="1"/>
    <col min="1722" max="1738" width="6.81640625" bestFit="1" customWidth="1"/>
    <col min="1739" max="1739" width="5.81640625" bestFit="1" customWidth="1"/>
    <col min="1740" max="1743" width="6.81640625" bestFit="1" customWidth="1"/>
    <col min="1744" max="1744" width="5.81640625" bestFit="1" customWidth="1"/>
    <col min="1745" max="1748" width="6.81640625" bestFit="1" customWidth="1"/>
    <col min="1749" max="1749" width="8.54296875" bestFit="1" customWidth="1"/>
    <col min="1750" max="1750" width="5.81640625" bestFit="1" customWidth="1"/>
    <col min="1751" max="1774" width="6.81640625" bestFit="1" customWidth="1"/>
    <col min="1775" max="1775" width="5.81640625" bestFit="1" customWidth="1"/>
    <col min="1776" max="1779" width="6.81640625" bestFit="1" customWidth="1"/>
    <col min="1780" max="1781" width="5.81640625" bestFit="1" customWidth="1"/>
    <col min="1782" max="1783" width="6.81640625" bestFit="1" customWidth="1"/>
    <col min="1784" max="1784" width="5.81640625" bestFit="1" customWidth="1"/>
    <col min="1785" max="1787" width="6.81640625" bestFit="1" customWidth="1"/>
    <col min="1788" max="1788" width="5.81640625" bestFit="1" customWidth="1"/>
    <col min="1789" max="1790" width="6.81640625" bestFit="1" customWidth="1"/>
    <col min="1791" max="1791" width="5.81640625" bestFit="1" customWidth="1"/>
    <col min="1792" max="1794" width="6.81640625" bestFit="1" customWidth="1"/>
    <col min="1795" max="1795" width="5.81640625" bestFit="1" customWidth="1"/>
    <col min="1796" max="1796" width="8.54296875" bestFit="1" customWidth="1"/>
    <col min="1797" max="1798" width="5.81640625" bestFit="1" customWidth="1"/>
    <col min="1799" max="1801" width="6.81640625" bestFit="1" customWidth="1"/>
    <col min="1802" max="1802" width="5.81640625" bestFit="1" customWidth="1"/>
    <col min="1803" max="1817" width="6.81640625" bestFit="1" customWidth="1"/>
    <col min="1818" max="1818" width="5.81640625" bestFit="1" customWidth="1"/>
    <col min="1819" max="1820" width="6.81640625" bestFit="1" customWidth="1"/>
    <col min="1821" max="1821" width="5.81640625" bestFit="1" customWidth="1"/>
    <col min="1822" max="1825" width="6.81640625" bestFit="1" customWidth="1"/>
    <col min="1826" max="1826" width="5.81640625" bestFit="1" customWidth="1"/>
    <col min="1827" max="1842" width="6.81640625" bestFit="1" customWidth="1"/>
    <col min="1843" max="1843" width="8.54296875" bestFit="1" customWidth="1"/>
    <col min="1844" max="1844" width="5.81640625" bestFit="1" customWidth="1"/>
    <col min="1845" max="1855" width="6.81640625" bestFit="1" customWidth="1"/>
    <col min="1856" max="1856" width="5.81640625" bestFit="1" customWidth="1"/>
    <col min="1857" max="1878" width="6.81640625" bestFit="1" customWidth="1"/>
    <col min="1879" max="1879" width="5.81640625" bestFit="1" customWidth="1"/>
    <col min="1880" max="1884" width="6.81640625" bestFit="1" customWidth="1"/>
    <col min="1885" max="1885" width="8.54296875" bestFit="1" customWidth="1"/>
    <col min="1886" max="1887" width="5.81640625" bestFit="1" customWidth="1"/>
    <col min="1888" max="1891" width="6.81640625" bestFit="1" customWidth="1"/>
    <col min="1892" max="1893" width="5.81640625" bestFit="1" customWidth="1"/>
    <col min="1894" max="1918" width="6.81640625" bestFit="1" customWidth="1"/>
    <col min="1919" max="1919" width="5.81640625" bestFit="1" customWidth="1"/>
    <col min="1920" max="1921" width="6.81640625" bestFit="1" customWidth="1"/>
    <col min="1922" max="1922" width="5.81640625" bestFit="1" customWidth="1"/>
    <col min="1923" max="1939" width="6.81640625" bestFit="1" customWidth="1"/>
    <col min="1940" max="1940" width="5.81640625" bestFit="1" customWidth="1"/>
    <col min="1941" max="1949" width="6.81640625" bestFit="1" customWidth="1"/>
    <col min="1950" max="1950" width="8.54296875" bestFit="1" customWidth="1"/>
    <col min="1951" max="1951" width="5.81640625" bestFit="1" customWidth="1"/>
    <col min="1952" max="1965" width="6.81640625" bestFit="1" customWidth="1"/>
    <col min="1966" max="1966" width="5.81640625" bestFit="1" customWidth="1"/>
    <col min="1967" max="1972" width="6.81640625" bestFit="1" customWidth="1"/>
    <col min="1973" max="1973" width="3.81640625" bestFit="1" customWidth="1"/>
    <col min="1974" max="1981" width="6.81640625" bestFit="1" customWidth="1"/>
    <col min="1982" max="1982" width="5.81640625" bestFit="1" customWidth="1"/>
    <col min="1983" max="1997" width="6.81640625" bestFit="1" customWidth="1"/>
    <col min="1998" max="1998" width="8.54296875" bestFit="1" customWidth="1"/>
    <col min="1999" max="2002" width="6.81640625" bestFit="1" customWidth="1"/>
    <col min="2003" max="2004" width="5.81640625" bestFit="1" customWidth="1"/>
    <col min="2005" max="2020" width="6.81640625" bestFit="1" customWidth="1"/>
    <col min="2021" max="2021" width="5.81640625" bestFit="1" customWidth="1"/>
    <col min="2022" max="2029" width="6.81640625" bestFit="1" customWidth="1"/>
    <col min="2030" max="2030" width="5.81640625" bestFit="1" customWidth="1"/>
    <col min="2031" max="2033" width="6.81640625" bestFit="1" customWidth="1"/>
    <col min="2034" max="2034" width="5.81640625" bestFit="1" customWidth="1"/>
    <col min="2035" max="2039" width="6.81640625" bestFit="1" customWidth="1"/>
    <col min="2040" max="2040" width="5.81640625" bestFit="1" customWidth="1"/>
    <col min="2041" max="2045" width="6.81640625" bestFit="1" customWidth="1"/>
    <col min="2046" max="2046" width="5.81640625" bestFit="1" customWidth="1"/>
    <col min="2047" max="2084" width="6.81640625" bestFit="1" customWidth="1"/>
    <col min="2085" max="2085" width="5.81640625" bestFit="1" customWidth="1"/>
    <col min="2086" max="2086" width="6.81640625" bestFit="1" customWidth="1"/>
    <col min="2087" max="2087" width="5.81640625" bestFit="1" customWidth="1"/>
    <col min="2088" max="2098" width="6.81640625" bestFit="1" customWidth="1"/>
    <col min="2099" max="2099" width="5.81640625" bestFit="1" customWidth="1"/>
    <col min="2100" max="2101" width="6.81640625" bestFit="1" customWidth="1"/>
    <col min="2102" max="2102" width="5.81640625" bestFit="1" customWidth="1"/>
    <col min="2103" max="2104" width="6.81640625" bestFit="1" customWidth="1"/>
    <col min="2105" max="2105" width="5.81640625" bestFit="1" customWidth="1"/>
    <col min="2106" max="2110" width="6.81640625" bestFit="1" customWidth="1"/>
    <col min="2111" max="2111" width="8.54296875" bestFit="1" customWidth="1"/>
    <col min="2112" max="2122" width="6.81640625" bestFit="1" customWidth="1"/>
    <col min="2123" max="2123" width="5.81640625" bestFit="1" customWidth="1"/>
    <col min="2124" max="2126" width="6.81640625" bestFit="1" customWidth="1"/>
    <col min="2127" max="2127" width="5.81640625" bestFit="1" customWidth="1"/>
    <col min="2128" max="2133" width="6.81640625" bestFit="1" customWidth="1"/>
    <col min="2134" max="2134" width="5.81640625" bestFit="1" customWidth="1"/>
    <col min="2135" max="2136" width="6.81640625" bestFit="1" customWidth="1"/>
    <col min="2137" max="2137" width="5.81640625" bestFit="1" customWidth="1"/>
    <col min="2138" max="2139" width="6.81640625" bestFit="1" customWidth="1"/>
    <col min="2140" max="2142" width="5.81640625" bestFit="1" customWidth="1"/>
    <col min="2143" max="2146" width="6.81640625" bestFit="1" customWidth="1"/>
    <col min="2147" max="2147" width="5.81640625" bestFit="1" customWidth="1"/>
    <col min="2148" max="2159" width="6.81640625" bestFit="1" customWidth="1"/>
    <col min="2160" max="2160" width="5.81640625" bestFit="1" customWidth="1"/>
    <col min="2161" max="2162" width="6.81640625" bestFit="1" customWidth="1"/>
    <col min="2163" max="2163" width="5.81640625" bestFit="1" customWidth="1"/>
    <col min="2164" max="2173" width="6.81640625" bestFit="1" customWidth="1"/>
    <col min="2174" max="2174" width="5.81640625" bestFit="1" customWidth="1"/>
    <col min="2175" max="2176" width="6.81640625" bestFit="1" customWidth="1"/>
    <col min="2177" max="2177" width="5.81640625" bestFit="1" customWidth="1"/>
    <col min="2178" max="2178" width="6.81640625" bestFit="1" customWidth="1"/>
    <col min="2179" max="2180" width="5.81640625" bestFit="1" customWidth="1"/>
    <col min="2181" max="2186" width="6.81640625" bestFit="1" customWidth="1"/>
    <col min="2187" max="2187" width="8.54296875" bestFit="1" customWidth="1"/>
    <col min="2188" max="2188" width="6.81640625" bestFit="1" customWidth="1"/>
    <col min="2189" max="2189" width="5.81640625" bestFit="1" customWidth="1"/>
    <col min="2190" max="2217" width="6.81640625" bestFit="1" customWidth="1"/>
    <col min="2218" max="2218" width="5.81640625" bestFit="1" customWidth="1"/>
    <col min="2219" max="2222" width="6.81640625" bestFit="1" customWidth="1"/>
    <col min="2223" max="2223" width="5.81640625" bestFit="1" customWidth="1"/>
    <col min="2224" max="2240" width="6.81640625" bestFit="1" customWidth="1"/>
    <col min="2241" max="2241" width="5.81640625" bestFit="1" customWidth="1"/>
    <col min="2242" max="2264" width="6.81640625" bestFit="1" customWidth="1"/>
    <col min="2265" max="2265" width="3.81640625" bestFit="1" customWidth="1"/>
    <col min="2266" max="2268" width="6.81640625" bestFit="1" customWidth="1"/>
    <col min="2269" max="2270" width="5.81640625" bestFit="1" customWidth="1"/>
    <col min="2271" max="2284" width="6.81640625" bestFit="1" customWidth="1"/>
    <col min="2285" max="2285" width="8.54296875" bestFit="1" customWidth="1"/>
    <col min="2286" max="2295" width="6.81640625" bestFit="1" customWidth="1"/>
    <col min="2296" max="2296" width="5.81640625" bestFit="1" customWidth="1"/>
    <col min="2297" max="2304" width="6.81640625" bestFit="1" customWidth="1"/>
    <col min="2305" max="2305" width="5.81640625" bestFit="1" customWidth="1"/>
    <col min="2306" max="2328" width="6.81640625" bestFit="1" customWidth="1"/>
    <col min="2329" max="2329" width="5.81640625" bestFit="1" customWidth="1"/>
    <col min="2330" max="2335" width="6.81640625" bestFit="1" customWidth="1"/>
    <col min="2336" max="2336" width="5.81640625" bestFit="1" customWidth="1"/>
    <col min="2337" max="2341" width="6.81640625" bestFit="1" customWidth="1"/>
    <col min="2342" max="2342" width="5.81640625" bestFit="1" customWidth="1"/>
    <col min="2343" max="2352" width="6.81640625" bestFit="1" customWidth="1"/>
    <col min="2353" max="2355" width="5.81640625" bestFit="1" customWidth="1"/>
    <col min="2356" max="2357" width="6.81640625" bestFit="1" customWidth="1"/>
    <col min="2358" max="2358" width="5.81640625" bestFit="1" customWidth="1"/>
    <col min="2359" max="2372" width="6.81640625" bestFit="1" customWidth="1"/>
    <col min="2373" max="2373" width="5.81640625" bestFit="1" customWidth="1"/>
    <col min="2374" max="2375" width="6.81640625" bestFit="1" customWidth="1"/>
    <col min="2376" max="2376" width="8.54296875" bestFit="1" customWidth="1"/>
    <col min="2377" max="2414" width="6.81640625" bestFit="1" customWidth="1"/>
    <col min="2415" max="2415" width="3.81640625" bestFit="1" customWidth="1"/>
    <col min="2416" max="2416" width="5.81640625" bestFit="1" customWidth="1"/>
    <col min="2417" max="2419" width="6.81640625" bestFit="1" customWidth="1"/>
    <col min="2420" max="2420" width="5.81640625" bestFit="1" customWidth="1"/>
    <col min="2421" max="2421" width="6.81640625" bestFit="1" customWidth="1"/>
    <col min="2422" max="2422" width="5.81640625" bestFit="1" customWidth="1"/>
    <col min="2423" max="2427" width="6.81640625" bestFit="1" customWidth="1"/>
    <col min="2428" max="2428" width="5.81640625" bestFit="1" customWidth="1"/>
    <col min="2429" max="2430" width="6.81640625" bestFit="1" customWidth="1"/>
    <col min="2431" max="2431" width="5.81640625" bestFit="1" customWidth="1"/>
    <col min="2432" max="2432" width="6.81640625" bestFit="1" customWidth="1"/>
    <col min="2433" max="2433" width="5.81640625" bestFit="1" customWidth="1"/>
    <col min="2434" max="2434" width="6.81640625" bestFit="1" customWidth="1"/>
    <col min="2435" max="2435" width="5.81640625" bestFit="1" customWidth="1"/>
    <col min="2436" max="2440" width="6.81640625" bestFit="1" customWidth="1"/>
    <col min="2441" max="2441" width="5.81640625" bestFit="1" customWidth="1"/>
    <col min="2442" max="2443" width="6.81640625" bestFit="1" customWidth="1"/>
    <col min="2444" max="2445" width="5.81640625" bestFit="1" customWidth="1"/>
    <col min="2446" max="2457" width="6.81640625" bestFit="1" customWidth="1"/>
    <col min="2458" max="2458" width="3.81640625" bestFit="1" customWidth="1"/>
    <col min="2459" max="2460" width="6.81640625" bestFit="1" customWidth="1"/>
    <col min="2461" max="2461" width="5.81640625" bestFit="1" customWidth="1"/>
    <col min="2462" max="2469" width="6.81640625" bestFit="1" customWidth="1"/>
    <col min="2470" max="2470" width="8.54296875" bestFit="1" customWidth="1"/>
    <col min="2471" max="2477" width="6.81640625" bestFit="1" customWidth="1"/>
    <col min="2478" max="2478" width="5.81640625" bestFit="1" customWidth="1"/>
    <col min="2479" max="2491" width="6.81640625" bestFit="1" customWidth="1"/>
    <col min="2492" max="2492" width="3.81640625" bestFit="1" customWidth="1"/>
    <col min="2493" max="2514" width="6.81640625" bestFit="1" customWidth="1"/>
    <col min="2515" max="2515" width="5.81640625" bestFit="1" customWidth="1"/>
    <col min="2516" max="2523" width="6.81640625" bestFit="1" customWidth="1"/>
    <col min="2524" max="2524" width="5.81640625" bestFit="1" customWidth="1"/>
    <col min="2525" max="2533" width="6.81640625" bestFit="1" customWidth="1"/>
    <col min="2534" max="2534" width="5.81640625" bestFit="1" customWidth="1"/>
    <col min="2535" max="2540" width="6.81640625" bestFit="1" customWidth="1"/>
    <col min="2541" max="2541" width="5.81640625" bestFit="1" customWidth="1"/>
    <col min="2542" max="2564" width="6.81640625" bestFit="1" customWidth="1"/>
    <col min="2565" max="2565" width="5.81640625" bestFit="1" customWidth="1"/>
    <col min="2566" max="2566" width="8.54296875" bestFit="1" customWidth="1"/>
    <col min="2567" max="2589" width="6.81640625" bestFit="1" customWidth="1"/>
    <col min="2590" max="2590" width="5.81640625" bestFit="1" customWidth="1"/>
    <col min="2591" max="2600" width="6.81640625" bestFit="1" customWidth="1"/>
    <col min="2601" max="2601" width="5.81640625" bestFit="1" customWidth="1"/>
    <col min="2602" max="2606" width="6.81640625" bestFit="1" customWidth="1"/>
    <col min="2607" max="2607" width="5.81640625" bestFit="1" customWidth="1"/>
    <col min="2608" max="2617" width="6.81640625" bestFit="1" customWidth="1"/>
    <col min="2618" max="2618" width="5.81640625" bestFit="1" customWidth="1"/>
    <col min="2619" max="2626" width="6.81640625" bestFit="1" customWidth="1"/>
    <col min="2627" max="2627" width="5.81640625" bestFit="1" customWidth="1"/>
    <col min="2628" max="2639" width="6.81640625" bestFit="1" customWidth="1"/>
    <col min="2640" max="2640" width="5.81640625" bestFit="1" customWidth="1"/>
    <col min="2641" max="2649" width="6.81640625" bestFit="1" customWidth="1"/>
    <col min="2650" max="2650" width="8.54296875" bestFit="1" customWidth="1"/>
    <col min="2651" max="2652" width="6.81640625" bestFit="1" customWidth="1"/>
    <col min="2653" max="2653" width="5.81640625" bestFit="1" customWidth="1"/>
    <col min="2654" max="2664" width="6.81640625" bestFit="1" customWidth="1"/>
    <col min="2665" max="2665" width="5.81640625" bestFit="1" customWidth="1"/>
    <col min="2666" max="2680" width="6.81640625" bestFit="1" customWidth="1"/>
    <col min="2681" max="2681" width="5.81640625" bestFit="1" customWidth="1"/>
    <col min="2682" max="2696" width="6.81640625" bestFit="1" customWidth="1"/>
    <col min="2697" max="2697" width="5.81640625" bestFit="1" customWidth="1"/>
    <col min="2698" max="2699" width="6.81640625" bestFit="1" customWidth="1"/>
    <col min="2700" max="2700" width="5.81640625" bestFit="1" customWidth="1"/>
    <col min="2701" max="2710" width="6.81640625" bestFit="1" customWidth="1"/>
    <col min="2711" max="2711" width="5.81640625" bestFit="1" customWidth="1"/>
    <col min="2712" max="2712" width="6.81640625" bestFit="1" customWidth="1"/>
    <col min="2713" max="2713" width="5.81640625" bestFit="1" customWidth="1"/>
    <col min="2714" max="2714" width="6.81640625" bestFit="1" customWidth="1"/>
    <col min="2715" max="2715" width="5.81640625" bestFit="1" customWidth="1"/>
    <col min="2716" max="2727" width="6.81640625" bestFit="1" customWidth="1"/>
    <col min="2728" max="2728" width="5.81640625" bestFit="1" customWidth="1"/>
    <col min="2729" max="2735" width="6.81640625" bestFit="1" customWidth="1"/>
    <col min="2736" max="2736" width="5.81640625" bestFit="1" customWidth="1"/>
    <col min="2737" max="2739" width="6.81640625" bestFit="1" customWidth="1"/>
    <col min="2740" max="2740" width="5.81640625" bestFit="1" customWidth="1"/>
    <col min="2741" max="2741" width="8.54296875" bestFit="1" customWidth="1"/>
    <col min="2742" max="2751" width="6.81640625" bestFit="1" customWidth="1"/>
    <col min="2752" max="2752" width="5.81640625" bestFit="1" customWidth="1"/>
    <col min="2753" max="2760" width="6.81640625" bestFit="1" customWidth="1"/>
    <col min="2761" max="2762" width="5.81640625" bestFit="1" customWidth="1"/>
    <col min="2763" max="2780" width="6.81640625" bestFit="1" customWidth="1"/>
    <col min="2781" max="2781" width="5.81640625" bestFit="1" customWidth="1"/>
    <col min="2782" max="2783" width="6.81640625" bestFit="1" customWidth="1"/>
    <col min="2784" max="2785" width="5.81640625" bestFit="1" customWidth="1"/>
    <col min="2786" max="2788" width="6.81640625" bestFit="1" customWidth="1"/>
    <col min="2789" max="2789" width="5.81640625" bestFit="1" customWidth="1"/>
    <col min="2790" max="2792" width="6.81640625" bestFit="1" customWidth="1"/>
    <col min="2793" max="2793" width="5.81640625" bestFit="1" customWidth="1"/>
    <col min="2794" max="2809" width="6.81640625" bestFit="1" customWidth="1"/>
    <col min="2810" max="2810" width="5.81640625" bestFit="1" customWidth="1"/>
    <col min="2811" max="2826" width="6.81640625" bestFit="1" customWidth="1"/>
    <col min="2827" max="2827" width="5.81640625" bestFit="1" customWidth="1"/>
    <col min="2828" max="2830" width="6.81640625" bestFit="1" customWidth="1"/>
    <col min="2831" max="2831" width="5.81640625" bestFit="1" customWidth="1"/>
    <col min="2832" max="2833" width="6.81640625" bestFit="1" customWidth="1"/>
    <col min="2834" max="2834" width="5.81640625" bestFit="1" customWidth="1"/>
    <col min="2835" max="2849" width="6.81640625" bestFit="1" customWidth="1"/>
    <col min="2850" max="2850" width="8.54296875" bestFit="1" customWidth="1"/>
    <col min="2851" max="2861" width="6.81640625" bestFit="1" customWidth="1"/>
    <col min="2862" max="2862" width="5.81640625" bestFit="1" customWidth="1"/>
    <col min="2863" max="2874" width="6.81640625" bestFit="1" customWidth="1"/>
    <col min="2875" max="2875" width="5.81640625" bestFit="1" customWidth="1"/>
    <col min="2876" max="2900" width="6.81640625" bestFit="1" customWidth="1"/>
    <col min="2901" max="2901" width="5.81640625" bestFit="1" customWidth="1"/>
    <col min="2902" max="2902" width="6.81640625" bestFit="1" customWidth="1"/>
    <col min="2903" max="2903" width="5.81640625" bestFit="1" customWidth="1"/>
    <col min="2904" max="2905" width="6.81640625" bestFit="1" customWidth="1"/>
    <col min="2906" max="2906" width="5.81640625" bestFit="1" customWidth="1"/>
    <col min="2907" max="2913" width="6.81640625" bestFit="1" customWidth="1"/>
    <col min="2914" max="2914" width="5.81640625" bestFit="1" customWidth="1"/>
    <col min="2915" max="2930" width="6.81640625" bestFit="1" customWidth="1"/>
    <col min="2931" max="2931" width="5.81640625" bestFit="1" customWidth="1"/>
    <col min="2932" max="2938" width="6.81640625" bestFit="1" customWidth="1"/>
    <col min="2939" max="2939" width="8.54296875" bestFit="1" customWidth="1"/>
    <col min="2940" max="2944" width="6.81640625" bestFit="1" customWidth="1"/>
    <col min="2945" max="2945" width="3.81640625" bestFit="1" customWidth="1"/>
    <col min="2946" max="2948" width="6.81640625" bestFit="1" customWidth="1"/>
    <col min="2949" max="2949" width="3.81640625" bestFit="1" customWidth="1"/>
    <col min="2950" max="2965" width="6.81640625" bestFit="1" customWidth="1"/>
    <col min="2966" max="2966" width="5.81640625" bestFit="1" customWidth="1"/>
    <col min="2967" max="2993" width="6.81640625" bestFit="1" customWidth="1"/>
    <col min="2994" max="2994" width="5.81640625" bestFit="1" customWidth="1"/>
    <col min="2995" max="3002" width="6.81640625" bestFit="1" customWidth="1"/>
    <col min="3003" max="3003" width="5.81640625" bestFit="1" customWidth="1"/>
    <col min="3004" max="3005" width="6.81640625" bestFit="1" customWidth="1"/>
    <col min="3006" max="3006" width="3.81640625" bestFit="1" customWidth="1"/>
    <col min="3007" max="3007" width="6.81640625" bestFit="1" customWidth="1"/>
    <col min="3008" max="3008" width="5.81640625" bestFit="1" customWidth="1"/>
    <col min="3009" max="3014" width="6.81640625" bestFit="1" customWidth="1"/>
    <col min="3015" max="3015" width="5.81640625" bestFit="1" customWidth="1"/>
    <col min="3016" max="3023" width="6.81640625" bestFit="1" customWidth="1"/>
    <col min="3024" max="3025" width="5.81640625" bestFit="1" customWidth="1"/>
    <col min="3026" max="3032" width="6.81640625" bestFit="1" customWidth="1"/>
    <col min="3033" max="3033" width="5.81640625" bestFit="1" customWidth="1"/>
    <col min="3034" max="3038" width="6.81640625" bestFit="1" customWidth="1"/>
    <col min="3039" max="3039" width="5.81640625" bestFit="1" customWidth="1"/>
    <col min="3040" max="3059" width="6.81640625" bestFit="1" customWidth="1"/>
    <col min="3060" max="3060" width="5.81640625" bestFit="1" customWidth="1"/>
    <col min="3061" max="3067" width="6.81640625" bestFit="1" customWidth="1"/>
    <col min="3068" max="3068" width="5.81640625" bestFit="1" customWidth="1"/>
    <col min="3069" max="3074" width="6.81640625" bestFit="1" customWidth="1"/>
    <col min="3075" max="3075" width="5.81640625" bestFit="1" customWidth="1"/>
    <col min="3076" max="3079" width="6.81640625" bestFit="1" customWidth="1"/>
    <col min="3080" max="3080" width="5.81640625" bestFit="1" customWidth="1"/>
    <col min="3081" max="3082" width="6.81640625" bestFit="1" customWidth="1"/>
    <col min="3083" max="3083" width="5.81640625" bestFit="1" customWidth="1"/>
    <col min="3084" max="3085" width="6.81640625" bestFit="1" customWidth="1"/>
    <col min="3086" max="3086" width="5.81640625" bestFit="1" customWidth="1"/>
    <col min="3087" max="3094" width="6.81640625" bestFit="1" customWidth="1"/>
    <col min="3095" max="3095" width="8.54296875" bestFit="1" customWidth="1"/>
    <col min="3096" max="3096" width="5.81640625" bestFit="1" customWidth="1"/>
    <col min="3097" max="3113" width="6.81640625" bestFit="1" customWidth="1"/>
    <col min="3114" max="3114" width="5.81640625" bestFit="1" customWidth="1"/>
    <col min="3115" max="3123" width="6.81640625" bestFit="1" customWidth="1"/>
    <col min="3124" max="3124" width="3.81640625" bestFit="1" customWidth="1"/>
    <col min="3125" max="3133" width="6.81640625" bestFit="1" customWidth="1"/>
    <col min="3134" max="3134" width="5.81640625" bestFit="1" customWidth="1"/>
    <col min="3135" max="3139" width="6.81640625" bestFit="1" customWidth="1"/>
    <col min="3140" max="3141" width="5.81640625" bestFit="1" customWidth="1"/>
    <col min="3142" max="3148" width="6.81640625" bestFit="1" customWidth="1"/>
    <col min="3149" max="3149" width="5.81640625" bestFit="1" customWidth="1"/>
    <col min="3150" max="3155" width="6.81640625" bestFit="1" customWidth="1"/>
    <col min="3156" max="3156" width="5.81640625" bestFit="1" customWidth="1"/>
    <col min="3157" max="3157" width="6.81640625" bestFit="1" customWidth="1"/>
    <col min="3158" max="3158" width="5.81640625" bestFit="1" customWidth="1"/>
    <col min="3159" max="3159" width="8.54296875" bestFit="1" customWidth="1"/>
    <col min="3160" max="3166" width="6.81640625" bestFit="1" customWidth="1"/>
    <col min="3167" max="3167" width="3.81640625" bestFit="1" customWidth="1"/>
    <col min="3168" max="3170" width="6.81640625" bestFit="1" customWidth="1"/>
    <col min="3171" max="3171" width="5.81640625" bestFit="1" customWidth="1"/>
    <col min="3172" max="3173" width="6.81640625" bestFit="1" customWidth="1"/>
    <col min="3174" max="3175" width="5.81640625" bestFit="1" customWidth="1"/>
    <col min="3176" max="3179" width="6.81640625" bestFit="1" customWidth="1"/>
    <col min="3180" max="3180" width="5.81640625" bestFit="1" customWidth="1"/>
    <col min="3181" max="3201" width="6.81640625" bestFit="1" customWidth="1"/>
    <col min="3202" max="3202" width="5.81640625" bestFit="1" customWidth="1"/>
    <col min="3203" max="3211" width="6.81640625" bestFit="1" customWidth="1"/>
    <col min="3212" max="3212" width="5.81640625" bestFit="1" customWidth="1"/>
    <col min="3213" max="3215" width="6.81640625" bestFit="1" customWidth="1"/>
    <col min="3216" max="3216" width="5.81640625" bestFit="1" customWidth="1"/>
    <col min="3217" max="3225" width="6.81640625" bestFit="1" customWidth="1"/>
    <col min="3226" max="3226" width="8.54296875" bestFit="1" customWidth="1"/>
    <col min="3227" max="3228" width="6.81640625" bestFit="1" customWidth="1"/>
    <col min="3229" max="3229" width="3.81640625" bestFit="1" customWidth="1"/>
    <col min="3230" max="3240" width="6.81640625" bestFit="1" customWidth="1"/>
    <col min="3241" max="3241" width="5.81640625" bestFit="1" customWidth="1"/>
    <col min="3242" max="3243" width="6.81640625" bestFit="1" customWidth="1"/>
    <col min="3244" max="3244" width="5.81640625" bestFit="1" customWidth="1"/>
    <col min="3245" max="3247" width="6.81640625" bestFit="1" customWidth="1"/>
    <col min="3248" max="3248" width="5.81640625" bestFit="1" customWidth="1"/>
    <col min="3249" max="3249" width="6.81640625" bestFit="1" customWidth="1"/>
    <col min="3250" max="3250" width="5.81640625" bestFit="1" customWidth="1"/>
    <col min="3251" max="3252" width="6.81640625" bestFit="1" customWidth="1"/>
    <col min="3253" max="3253" width="5.81640625" bestFit="1" customWidth="1"/>
    <col min="3254" max="3272" width="6.81640625" bestFit="1" customWidth="1"/>
    <col min="3273" max="3273" width="5.81640625" bestFit="1" customWidth="1"/>
    <col min="3274" max="3275" width="6.81640625" bestFit="1" customWidth="1"/>
    <col min="3276" max="3276" width="3.81640625" bestFit="1" customWidth="1"/>
    <col min="3277" max="3284" width="6.81640625" bestFit="1" customWidth="1"/>
    <col min="3285" max="3285" width="5.81640625" bestFit="1" customWidth="1"/>
    <col min="3286" max="3292" width="6.81640625" bestFit="1" customWidth="1"/>
    <col min="3293" max="3293" width="5.81640625" bestFit="1" customWidth="1"/>
    <col min="3294" max="3295" width="6.81640625" bestFit="1" customWidth="1"/>
    <col min="3296" max="3296" width="5.81640625" bestFit="1" customWidth="1"/>
    <col min="3297" max="3301" width="6.81640625" bestFit="1" customWidth="1"/>
    <col min="3302" max="3302" width="5.81640625" bestFit="1" customWidth="1"/>
    <col min="3303" max="3307" width="6.81640625" bestFit="1" customWidth="1"/>
    <col min="3308" max="3308" width="5.81640625" bestFit="1" customWidth="1"/>
    <col min="3309" max="3313" width="6.81640625" bestFit="1" customWidth="1"/>
    <col min="3314" max="3314" width="8.54296875" bestFit="1" customWidth="1"/>
    <col min="3315" max="3323" width="6.81640625" bestFit="1" customWidth="1"/>
    <col min="3324" max="3324" width="5.81640625" bestFit="1" customWidth="1"/>
    <col min="3325" max="3328" width="6.81640625" bestFit="1" customWidth="1"/>
    <col min="3329" max="3329" width="5.81640625" bestFit="1" customWidth="1"/>
    <col min="3330" max="3343" width="6.81640625" bestFit="1" customWidth="1"/>
    <col min="3344" max="3344" width="5.81640625" bestFit="1" customWidth="1"/>
    <col min="3345" max="3351" width="6.81640625" bestFit="1" customWidth="1"/>
    <col min="3352" max="3352" width="5.81640625" bestFit="1" customWidth="1"/>
    <col min="3353" max="3363" width="6.81640625" bestFit="1" customWidth="1"/>
    <col min="3364" max="3364" width="5.81640625" bestFit="1" customWidth="1"/>
    <col min="3365" max="3366" width="6.81640625" bestFit="1" customWidth="1"/>
    <col min="3367" max="3367" width="3.81640625" bestFit="1" customWidth="1"/>
    <col min="3368" max="3368" width="6.81640625" bestFit="1" customWidth="1"/>
    <col min="3369" max="3369" width="5.81640625" bestFit="1" customWidth="1"/>
    <col min="3370" max="3377" width="6.81640625" bestFit="1" customWidth="1"/>
    <col min="3378" max="3378" width="5.81640625" bestFit="1" customWidth="1"/>
    <col min="3379" max="3380" width="6.81640625" bestFit="1" customWidth="1"/>
    <col min="3381" max="3381" width="8.54296875" bestFit="1" customWidth="1"/>
    <col min="3382" max="3382" width="5.6328125" bestFit="1" customWidth="1"/>
    <col min="3383" max="3388" width="6.81640625" bestFit="1" customWidth="1"/>
    <col min="3389" max="3389" width="5.81640625" bestFit="1" customWidth="1"/>
    <col min="3390" max="3391" width="6.81640625" bestFit="1" customWidth="1"/>
    <col min="3392" max="3392" width="5.81640625" bestFit="1" customWidth="1"/>
    <col min="3393" max="3396" width="6.81640625" bestFit="1" customWidth="1"/>
    <col min="3397" max="3397" width="5.81640625" bestFit="1" customWidth="1"/>
    <col min="3398" max="3399" width="6.81640625" bestFit="1" customWidth="1"/>
    <col min="3400" max="3400" width="5.81640625" bestFit="1" customWidth="1"/>
    <col min="3401" max="3407" width="6.81640625" bestFit="1" customWidth="1"/>
    <col min="3408" max="3408" width="5.81640625" bestFit="1" customWidth="1"/>
    <col min="3409" max="3409" width="6.81640625" bestFit="1" customWidth="1"/>
    <col min="3410" max="3410" width="5.81640625" bestFit="1" customWidth="1"/>
    <col min="3411" max="3423" width="6.81640625" bestFit="1" customWidth="1"/>
    <col min="3424" max="3424" width="5.81640625" bestFit="1" customWidth="1"/>
    <col min="3425" max="3425" width="6.81640625" bestFit="1" customWidth="1"/>
    <col min="3426" max="3426" width="5.81640625" bestFit="1" customWidth="1"/>
    <col min="3427" max="3437" width="6.81640625" bestFit="1" customWidth="1"/>
    <col min="3438" max="3438" width="8.54296875" bestFit="1" customWidth="1"/>
    <col min="3439" max="3441" width="6.81640625" bestFit="1" customWidth="1"/>
    <col min="3442" max="3443" width="5.81640625" bestFit="1" customWidth="1"/>
    <col min="3444" max="3447" width="6.81640625" bestFit="1" customWidth="1"/>
    <col min="3448" max="3449" width="5.81640625" bestFit="1" customWidth="1"/>
    <col min="3450" max="3462" width="6.81640625" bestFit="1" customWidth="1"/>
    <col min="3463" max="3463" width="5.81640625" bestFit="1" customWidth="1"/>
    <col min="3464" max="3465" width="6.81640625" bestFit="1" customWidth="1"/>
    <col min="3466" max="3466" width="5.81640625" bestFit="1" customWidth="1"/>
    <col min="3467" max="3470" width="6.81640625" bestFit="1" customWidth="1"/>
    <col min="3471" max="3471" width="5.81640625" bestFit="1" customWidth="1"/>
    <col min="3472" max="3472" width="3.81640625" bestFit="1" customWidth="1"/>
    <col min="3473" max="3473" width="5.81640625" bestFit="1" customWidth="1"/>
    <col min="3474" max="3489" width="6.81640625" bestFit="1" customWidth="1"/>
    <col min="3490" max="3490" width="3.81640625" bestFit="1" customWidth="1"/>
    <col min="3491" max="3498" width="6.81640625" bestFit="1" customWidth="1"/>
    <col min="3499" max="3499" width="5.81640625" bestFit="1" customWidth="1"/>
    <col min="3500" max="3501" width="6.81640625" bestFit="1" customWidth="1"/>
    <col min="3502" max="3502" width="8.54296875" bestFit="1" customWidth="1"/>
    <col min="3503" max="3517" width="6.81640625" bestFit="1" customWidth="1"/>
    <col min="3518" max="3518" width="5.81640625" bestFit="1" customWidth="1"/>
    <col min="3519" max="3529" width="6.81640625" bestFit="1" customWidth="1"/>
    <col min="3530" max="3531" width="5.81640625" bestFit="1" customWidth="1"/>
    <col min="3532" max="3540" width="6.81640625" bestFit="1" customWidth="1"/>
    <col min="3541" max="3541" width="5.81640625" bestFit="1" customWidth="1"/>
    <col min="3542" max="3563" width="6.81640625" bestFit="1" customWidth="1"/>
    <col min="3564" max="3564" width="8.54296875" bestFit="1" customWidth="1"/>
    <col min="3565" max="3576" width="6.81640625" bestFit="1" customWidth="1"/>
    <col min="3577" max="3577" width="5.81640625" bestFit="1" customWidth="1"/>
    <col min="3578" max="3580" width="6.81640625" bestFit="1" customWidth="1"/>
    <col min="3581" max="3581" width="5.81640625" bestFit="1" customWidth="1"/>
    <col min="3582" max="3586" width="6.81640625" bestFit="1" customWidth="1"/>
    <col min="3587" max="3587" width="5.81640625" bestFit="1" customWidth="1"/>
    <col min="3588" max="3588" width="6.81640625" bestFit="1" customWidth="1"/>
    <col min="3589" max="3589" width="5.81640625" bestFit="1" customWidth="1"/>
    <col min="3590" max="3605" width="6.81640625" bestFit="1" customWidth="1"/>
    <col min="3606" max="3606" width="5.81640625" bestFit="1" customWidth="1"/>
    <col min="3607" max="3608" width="6.81640625" bestFit="1" customWidth="1"/>
    <col min="3609" max="3609" width="5.81640625" bestFit="1" customWidth="1"/>
    <col min="3610" max="3626" width="6.81640625" bestFit="1" customWidth="1"/>
    <col min="3627" max="3627" width="5.81640625" bestFit="1" customWidth="1"/>
    <col min="3628" max="3629" width="6.81640625" bestFit="1" customWidth="1"/>
    <col min="3630" max="3630" width="5.81640625" bestFit="1" customWidth="1"/>
    <col min="3631" max="3637" width="6.81640625" bestFit="1" customWidth="1"/>
    <col min="3638" max="3639" width="5.81640625" bestFit="1" customWidth="1"/>
    <col min="3640" max="3640" width="6.81640625" bestFit="1" customWidth="1"/>
    <col min="3641" max="3641" width="8.54296875" bestFit="1" customWidth="1"/>
    <col min="3642" max="3648" width="6.81640625" bestFit="1" customWidth="1"/>
    <col min="3649" max="3649" width="5.81640625" bestFit="1" customWidth="1"/>
    <col min="3650" max="3656" width="6.81640625" bestFit="1" customWidth="1"/>
    <col min="3657" max="3657" width="5.81640625" bestFit="1" customWidth="1"/>
    <col min="3658" max="3676" width="6.81640625" bestFit="1" customWidth="1"/>
    <col min="3677" max="3677" width="3.81640625" bestFit="1" customWidth="1"/>
    <col min="3678" max="3685" width="6.81640625" bestFit="1" customWidth="1"/>
    <col min="3686" max="3686" width="5.81640625" bestFit="1" customWidth="1"/>
    <col min="3687" max="3702" width="6.81640625" bestFit="1" customWidth="1"/>
    <col min="3703" max="3703" width="8.54296875" bestFit="1" customWidth="1"/>
    <col min="3704" max="3704" width="6.81640625" bestFit="1" customWidth="1"/>
    <col min="3705" max="3705" width="5.81640625" bestFit="1" customWidth="1"/>
    <col min="3706" max="3743" width="6.81640625" bestFit="1" customWidth="1"/>
    <col min="3744" max="3744" width="5.81640625" bestFit="1" customWidth="1"/>
    <col min="3745" max="3752" width="6.81640625" bestFit="1" customWidth="1"/>
    <col min="3753" max="3753" width="5.81640625" bestFit="1" customWidth="1"/>
    <col min="3754" max="3760" width="6.81640625" bestFit="1" customWidth="1"/>
    <col min="3761" max="3761" width="5.81640625" bestFit="1" customWidth="1"/>
    <col min="3762" max="3764" width="6.81640625" bestFit="1" customWidth="1"/>
    <col min="3765" max="3765" width="5.81640625" bestFit="1" customWidth="1"/>
    <col min="3766" max="3770" width="6.81640625" bestFit="1" customWidth="1"/>
    <col min="3771" max="3771" width="5.81640625" bestFit="1" customWidth="1"/>
    <col min="3772" max="3773" width="6.81640625" bestFit="1" customWidth="1"/>
    <col min="3774" max="3774" width="5.81640625" bestFit="1" customWidth="1"/>
    <col min="3775" max="3780" width="6.81640625" bestFit="1" customWidth="1"/>
    <col min="3781" max="3781" width="8.54296875" bestFit="1" customWidth="1"/>
    <col min="3782" max="3787" width="6.81640625" bestFit="1" customWidth="1"/>
    <col min="3788" max="3788" width="5.81640625" bestFit="1" customWidth="1"/>
    <col min="3789" max="3797" width="6.81640625" bestFit="1" customWidth="1"/>
    <col min="3798" max="3798" width="3.81640625" bestFit="1" customWidth="1"/>
    <col min="3799" max="3804" width="6.81640625" bestFit="1" customWidth="1"/>
    <col min="3805" max="3805" width="5.81640625" bestFit="1" customWidth="1"/>
    <col min="3806" max="3807" width="6.81640625" bestFit="1" customWidth="1"/>
    <col min="3808" max="3808" width="5.81640625" bestFit="1" customWidth="1"/>
    <col min="3809" max="3811" width="6.81640625" bestFit="1" customWidth="1"/>
    <col min="3812" max="3812" width="5.81640625" bestFit="1" customWidth="1"/>
    <col min="3813" max="3825" width="6.81640625" bestFit="1" customWidth="1"/>
    <col min="3826" max="3826" width="5.81640625" bestFit="1" customWidth="1"/>
    <col min="3827" max="3829" width="6.81640625" bestFit="1" customWidth="1"/>
    <col min="3830" max="3830" width="5.81640625" bestFit="1" customWidth="1"/>
    <col min="3831" max="3832" width="6.81640625" bestFit="1" customWidth="1"/>
    <col min="3833" max="3833" width="5.81640625" bestFit="1" customWidth="1"/>
    <col min="3834" max="3834" width="6.81640625" bestFit="1" customWidth="1"/>
    <col min="3835" max="3835" width="3.81640625" bestFit="1" customWidth="1"/>
    <col min="3836" max="3841" width="6.81640625" bestFit="1" customWidth="1"/>
    <col min="3842" max="3842" width="5.81640625" bestFit="1" customWidth="1"/>
    <col min="3843" max="3846" width="6.81640625" bestFit="1" customWidth="1"/>
    <col min="3847" max="3847" width="5.81640625" bestFit="1" customWidth="1"/>
    <col min="3848" max="3848" width="6.81640625" bestFit="1" customWidth="1"/>
    <col min="3849" max="3849" width="5.81640625" bestFit="1" customWidth="1"/>
    <col min="3850" max="3852" width="6.81640625" bestFit="1" customWidth="1"/>
    <col min="3853" max="3853" width="3.81640625" bestFit="1" customWidth="1"/>
    <col min="3854" max="3854" width="8.54296875" bestFit="1" customWidth="1"/>
    <col min="3855" max="3866" width="6.81640625" bestFit="1" customWidth="1"/>
    <col min="3867" max="3867" width="5.81640625" bestFit="1" customWidth="1"/>
    <col min="3868" max="3875" width="6.81640625" bestFit="1" customWidth="1"/>
    <col min="3876" max="3876" width="5.81640625" bestFit="1" customWidth="1"/>
    <col min="3877" max="3881" width="6.81640625" bestFit="1" customWidth="1"/>
    <col min="3882" max="3882" width="5.81640625" bestFit="1" customWidth="1"/>
    <col min="3883" max="3893" width="6.81640625" bestFit="1" customWidth="1"/>
    <col min="3894" max="3894" width="5.81640625" bestFit="1" customWidth="1"/>
    <col min="3895" max="3897" width="6.81640625" bestFit="1" customWidth="1"/>
    <col min="3898" max="3898" width="3.81640625" bestFit="1" customWidth="1"/>
    <col min="3899" max="3900" width="6.81640625" bestFit="1" customWidth="1"/>
    <col min="3901" max="3901" width="3.81640625" bestFit="1" customWidth="1"/>
    <col min="3902" max="3907" width="6.81640625" bestFit="1" customWidth="1"/>
    <col min="3908" max="3908" width="5.81640625" bestFit="1" customWidth="1"/>
    <col min="3909" max="3922" width="6.81640625" bestFit="1" customWidth="1"/>
    <col min="3923" max="3923" width="3.81640625" bestFit="1" customWidth="1"/>
    <col min="3924" max="3925" width="6.81640625" bestFit="1" customWidth="1"/>
    <col min="3926" max="3926" width="8.54296875" bestFit="1" customWidth="1"/>
    <col min="3927" max="3952" width="6.81640625" bestFit="1" customWidth="1"/>
    <col min="3953" max="3953" width="5.81640625" bestFit="1" customWidth="1"/>
    <col min="3954" max="3967" width="6.81640625" bestFit="1" customWidth="1"/>
    <col min="3968" max="3968" width="5.81640625" bestFit="1" customWidth="1"/>
    <col min="3969" max="3980" width="6.81640625" bestFit="1" customWidth="1"/>
    <col min="3981" max="3981" width="5.81640625" bestFit="1" customWidth="1"/>
    <col min="3982" max="3983" width="6.81640625" bestFit="1" customWidth="1"/>
    <col min="3984" max="3984" width="8.54296875" bestFit="1" customWidth="1"/>
    <col min="3985" max="4007" width="6.81640625" bestFit="1" customWidth="1"/>
    <col min="4008" max="4008" width="5.81640625" bestFit="1" customWidth="1"/>
    <col min="4009" max="4012" width="6.81640625" bestFit="1" customWidth="1"/>
    <col min="4013" max="4013" width="5.81640625" bestFit="1" customWidth="1"/>
    <col min="4014" max="4015" width="6.81640625" bestFit="1" customWidth="1"/>
    <col min="4016" max="4016" width="3.81640625" bestFit="1" customWidth="1"/>
    <col min="4017" max="4033" width="6.81640625" bestFit="1" customWidth="1"/>
    <col min="4034" max="4034" width="5.81640625" bestFit="1" customWidth="1"/>
    <col min="4035" max="4035" width="6.81640625" bestFit="1" customWidth="1"/>
    <col min="4036" max="4037" width="5.81640625" bestFit="1" customWidth="1"/>
    <col min="4038" max="4039" width="6.81640625" bestFit="1" customWidth="1"/>
    <col min="4040" max="4040" width="8.54296875" bestFit="1" customWidth="1"/>
    <col min="4041" max="4061" width="6.81640625" bestFit="1" customWidth="1"/>
    <col min="4062" max="4062" width="5.81640625" bestFit="1" customWidth="1"/>
    <col min="4063" max="4067" width="6.81640625" bestFit="1" customWidth="1"/>
    <col min="4068" max="4068" width="3.81640625" bestFit="1" customWidth="1"/>
    <col min="4069" max="4072" width="6.81640625" bestFit="1" customWidth="1"/>
    <col min="4073" max="4073" width="3.81640625" bestFit="1" customWidth="1"/>
    <col min="4074" max="4074" width="5.81640625" bestFit="1" customWidth="1"/>
    <col min="4075" max="4083" width="6.81640625" bestFit="1" customWidth="1"/>
    <col min="4084" max="4085" width="5.81640625" bestFit="1" customWidth="1"/>
    <col min="4086" max="4092" width="6.81640625" bestFit="1" customWidth="1"/>
    <col min="4093" max="4093" width="5.81640625" bestFit="1" customWidth="1"/>
    <col min="4094" max="4098" width="6.81640625" bestFit="1" customWidth="1"/>
    <col min="4099" max="4099" width="5.81640625" bestFit="1" customWidth="1"/>
    <col min="4100" max="4138" width="6.81640625" bestFit="1" customWidth="1"/>
    <col min="4139" max="4139" width="5.81640625" bestFit="1" customWidth="1"/>
    <col min="4140" max="4141" width="6.81640625" bestFit="1" customWidth="1"/>
    <col min="4142" max="4142" width="5.81640625" bestFit="1" customWidth="1"/>
    <col min="4143" max="4157" width="6.81640625" bestFit="1" customWidth="1"/>
    <col min="4158" max="4158" width="5.81640625" bestFit="1" customWidth="1"/>
    <col min="4159" max="4185" width="6.81640625" bestFit="1" customWidth="1"/>
    <col min="4186" max="4186" width="3.81640625" bestFit="1" customWidth="1"/>
    <col min="4187" max="4194" width="6.81640625" bestFit="1" customWidth="1"/>
    <col min="4195" max="4195" width="5.81640625" bestFit="1" customWidth="1"/>
    <col min="4196" max="4205" width="6.81640625" bestFit="1" customWidth="1"/>
    <col min="4206" max="4206" width="5.81640625" bestFit="1" customWidth="1"/>
    <col min="4207" max="4210" width="6.81640625" bestFit="1" customWidth="1"/>
    <col min="4211" max="4212" width="5.81640625" bestFit="1" customWidth="1"/>
    <col min="4213" max="4216" width="6.81640625" bestFit="1" customWidth="1"/>
    <col min="4217" max="4217" width="5.81640625" bestFit="1" customWidth="1"/>
    <col min="4218" max="4218" width="6.81640625" bestFit="1" customWidth="1"/>
    <col min="4219" max="4219" width="5.81640625" bestFit="1" customWidth="1"/>
    <col min="4220" max="4221" width="6.81640625" bestFit="1" customWidth="1"/>
    <col min="4222" max="4222" width="5.81640625" bestFit="1" customWidth="1"/>
    <col min="4223" max="4238" width="6.81640625" bestFit="1" customWidth="1"/>
    <col min="4239" max="4239" width="5.81640625" bestFit="1" customWidth="1"/>
    <col min="4240" max="4259" width="6.81640625" bestFit="1" customWidth="1"/>
    <col min="4260" max="4260" width="8.54296875" bestFit="1" customWidth="1"/>
    <col min="4261" max="4269" width="6.81640625" bestFit="1" customWidth="1"/>
    <col min="4270" max="4270" width="5.81640625" bestFit="1" customWidth="1"/>
    <col min="4271" max="4272" width="6.81640625" bestFit="1" customWidth="1"/>
    <col min="4273" max="4273" width="5.81640625" bestFit="1" customWidth="1"/>
    <col min="4274" max="4295" width="6.81640625" bestFit="1" customWidth="1"/>
    <col min="4296" max="4296" width="5.81640625" bestFit="1" customWidth="1"/>
    <col min="4297" max="4298" width="6.81640625" bestFit="1" customWidth="1"/>
    <col min="4299" max="4299" width="5.81640625" bestFit="1" customWidth="1"/>
    <col min="4300" max="4301" width="6.81640625" bestFit="1" customWidth="1"/>
    <col min="4302" max="4302" width="5.81640625" bestFit="1" customWidth="1"/>
    <col min="4303" max="4307" width="6.81640625" bestFit="1" customWidth="1"/>
    <col min="4308" max="4308" width="5.81640625" bestFit="1" customWidth="1"/>
    <col min="4309" max="4312" width="6.81640625" bestFit="1" customWidth="1"/>
    <col min="4313" max="4313" width="3.81640625" bestFit="1" customWidth="1"/>
    <col min="4314" max="4320" width="6.81640625" bestFit="1" customWidth="1"/>
    <col min="4321" max="4321" width="5.81640625" bestFit="1" customWidth="1"/>
    <col min="4322" max="4322" width="6.81640625" bestFit="1" customWidth="1"/>
    <col min="4323" max="4323" width="5.81640625" bestFit="1" customWidth="1"/>
    <col min="4324" max="4332" width="6.81640625" bestFit="1" customWidth="1"/>
    <col min="4333" max="4333" width="5.81640625" bestFit="1" customWidth="1"/>
    <col min="4334" max="4346" width="6.81640625" bestFit="1" customWidth="1"/>
    <col min="4347" max="4347" width="5.81640625" bestFit="1" customWidth="1"/>
    <col min="4348" max="4350" width="6.81640625" bestFit="1" customWidth="1"/>
    <col min="4351" max="4351" width="5.81640625" bestFit="1" customWidth="1"/>
    <col min="4352" max="4354" width="6.81640625" bestFit="1" customWidth="1"/>
    <col min="4355" max="4355" width="3.81640625" bestFit="1" customWidth="1"/>
    <col min="4356" max="4376" width="6.81640625" bestFit="1" customWidth="1"/>
    <col min="4377" max="4377" width="5.81640625" bestFit="1" customWidth="1"/>
    <col min="4378" max="4401" width="6.81640625" bestFit="1" customWidth="1"/>
    <col min="4402" max="4402" width="5.81640625" bestFit="1" customWidth="1"/>
    <col min="4403" max="4409" width="6.81640625" bestFit="1" customWidth="1"/>
    <col min="4410" max="4410" width="5.81640625" bestFit="1" customWidth="1"/>
    <col min="4411" max="4416" width="6.81640625" bestFit="1" customWidth="1"/>
    <col min="4417" max="4417" width="5.81640625" bestFit="1" customWidth="1"/>
    <col min="4418" max="4419" width="6.81640625" bestFit="1" customWidth="1"/>
    <col min="4420" max="4420" width="5.81640625" bestFit="1" customWidth="1"/>
    <col min="4421" max="4424" width="6.81640625" bestFit="1" customWidth="1"/>
    <col min="4425" max="4425" width="5.81640625" bestFit="1" customWidth="1"/>
    <col min="4426" max="4428" width="6.81640625" bestFit="1" customWidth="1"/>
    <col min="4429" max="4429" width="3.81640625" bestFit="1" customWidth="1"/>
    <col min="4430" max="4435" width="6.81640625" bestFit="1" customWidth="1"/>
    <col min="4436" max="4436" width="8.54296875" bestFit="1" customWidth="1"/>
    <col min="4437" max="4442" width="6.81640625" bestFit="1" customWidth="1"/>
    <col min="4443" max="4443" width="5.81640625" bestFit="1" customWidth="1"/>
    <col min="4444" max="4444" width="6.81640625" bestFit="1" customWidth="1"/>
    <col min="4445" max="4445" width="5.81640625" bestFit="1" customWidth="1"/>
    <col min="4446" max="4451" width="6.81640625" bestFit="1" customWidth="1"/>
    <col min="4452" max="4452" width="5.81640625" bestFit="1" customWidth="1"/>
    <col min="4453" max="4455" width="6.81640625" bestFit="1" customWidth="1"/>
    <col min="4456" max="4456" width="5.81640625" bestFit="1" customWidth="1"/>
    <col min="4457" max="4464" width="6.81640625" bestFit="1" customWidth="1"/>
    <col min="4465" max="4465" width="5.81640625" bestFit="1" customWidth="1"/>
    <col min="4466" max="4474" width="6.81640625" bestFit="1" customWidth="1"/>
    <col min="4475" max="4475" width="3.81640625" bestFit="1" customWidth="1"/>
    <col min="4476" max="4477" width="6.81640625" bestFit="1" customWidth="1"/>
    <col min="4478" max="4478" width="5.81640625" bestFit="1" customWidth="1"/>
    <col min="4479" max="4485" width="6.81640625" bestFit="1" customWidth="1"/>
    <col min="4486" max="4486" width="5.81640625" bestFit="1" customWidth="1"/>
    <col min="4487" max="4491" width="6.81640625" bestFit="1" customWidth="1"/>
    <col min="4492" max="4492" width="3.81640625" bestFit="1" customWidth="1"/>
    <col min="4493" max="4499" width="6.81640625" bestFit="1" customWidth="1"/>
    <col min="4500" max="4500" width="5.81640625" bestFit="1" customWidth="1"/>
    <col min="4501" max="4501" width="6.81640625" bestFit="1" customWidth="1"/>
    <col min="4502" max="4502" width="3.81640625" bestFit="1" customWidth="1"/>
    <col min="4503" max="4526" width="6.81640625" bestFit="1" customWidth="1"/>
    <col min="4527" max="4527" width="5.81640625" bestFit="1" customWidth="1"/>
    <col min="4528" max="4541" width="6.81640625" bestFit="1" customWidth="1"/>
    <col min="4542" max="4544" width="5.81640625" bestFit="1" customWidth="1"/>
    <col min="4545" max="4545" width="6.81640625" bestFit="1" customWidth="1"/>
    <col min="4546" max="4546" width="5.81640625" bestFit="1" customWidth="1"/>
    <col min="4547" max="4547" width="6.81640625" bestFit="1" customWidth="1"/>
    <col min="4548" max="4548" width="3.81640625" bestFit="1" customWidth="1"/>
    <col min="4549" max="4554" width="6.81640625" bestFit="1" customWidth="1"/>
    <col min="4555" max="4555" width="5.81640625" bestFit="1" customWidth="1"/>
    <col min="4556" max="4561" width="6.81640625" bestFit="1" customWidth="1"/>
    <col min="4562" max="4563" width="5.81640625" bestFit="1" customWidth="1"/>
    <col min="4564" max="4570" width="6.81640625" bestFit="1" customWidth="1"/>
    <col min="4571" max="4571" width="5.81640625" bestFit="1" customWidth="1"/>
    <col min="4572" max="4582" width="6.81640625" bestFit="1" customWidth="1"/>
    <col min="4583" max="4583" width="5.81640625" bestFit="1" customWidth="1"/>
    <col min="4584" max="4589" width="6.81640625" bestFit="1" customWidth="1"/>
    <col min="4590" max="4590" width="5.81640625" bestFit="1" customWidth="1"/>
    <col min="4591" max="4607" width="6.81640625" bestFit="1" customWidth="1"/>
    <col min="4608" max="4608" width="8.54296875" bestFit="1" customWidth="1"/>
    <col min="4609" max="4616" width="6.81640625" bestFit="1" customWidth="1"/>
    <col min="4617" max="4617" width="5.81640625" bestFit="1" customWidth="1"/>
    <col min="4618" max="4618" width="6.81640625" bestFit="1" customWidth="1"/>
    <col min="4619" max="4619" width="5.81640625" bestFit="1" customWidth="1"/>
    <col min="4620" max="4644" width="6.81640625" bestFit="1" customWidth="1"/>
    <col min="4645" max="4645" width="5.81640625" bestFit="1" customWidth="1"/>
    <col min="4646" max="4648" width="6.81640625" bestFit="1" customWidth="1"/>
    <col min="4649" max="4649" width="5.81640625" bestFit="1" customWidth="1"/>
    <col min="4650" max="4659" width="6.81640625" bestFit="1" customWidth="1"/>
    <col min="4660" max="4660" width="5.81640625" bestFit="1" customWidth="1"/>
    <col min="4661" max="4673" width="6.81640625" bestFit="1" customWidth="1"/>
    <col min="4674" max="4674" width="5.81640625" bestFit="1" customWidth="1"/>
    <col min="4675" max="4675" width="6.81640625" bestFit="1" customWidth="1"/>
    <col min="4676" max="4676" width="5.81640625" bestFit="1" customWidth="1"/>
    <col min="4677" max="4687" width="6.81640625" bestFit="1" customWidth="1"/>
    <col min="4688" max="4688" width="5.81640625" bestFit="1" customWidth="1"/>
    <col min="4689" max="4710" width="6.81640625" bestFit="1" customWidth="1"/>
    <col min="4711" max="4711" width="5.81640625" bestFit="1" customWidth="1"/>
    <col min="4712" max="4721" width="6.81640625" bestFit="1" customWidth="1"/>
    <col min="4722" max="4722" width="5.81640625" bestFit="1" customWidth="1"/>
    <col min="4723" max="4743" width="6.81640625" bestFit="1" customWidth="1"/>
    <col min="4744" max="4744" width="5.81640625" bestFit="1" customWidth="1"/>
    <col min="4745" max="4754" width="6.81640625" bestFit="1" customWidth="1"/>
    <col min="4755" max="4755" width="8.54296875" bestFit="1" customWidth="1"/>
    <col min="4756" max="4772" width="6.81640625" bestFit="1" customWidth="1"/>
    <col min="4773" max="4773" width="5.81640625" bestFit="1" customWidth="1"/>
    <col min="4774" max="4785" width="6.81640625" bestFit="1" customWidth="1"/>
    <col min="4786" max="4786" width="3.81640625" bestFit="1" customWidth="1"/>
    <col min="4787" max="4787" width="6.81640625" bestFit="1" customWidth="1"/>
    <col min="4788" max="4788" width="5.81640625" bestFit="1" customWidth="1"/>
    <col min="4789" max="4813" width="6.81640625" bestFit="1" customWidth="1"/>
    <col min="4814" max="4814" width="5.81640625" bestFit="1" customWidth="1"/>
    <col min="4815" max="4821" width="6.81640625" bestFit="1" customWidth="1"/>
    <col min="4822" max="4822" width="5.81640625" bestFit="1" customWidth="1"/>
    <col min="4823" max="4858" width="6.81640625" bestFit="1" customWidth="1"/>
    <col min="4859" max="4859" width="5.81640625" bestFit="1" customWidth="1"/>
    <col min="4860" max="4890" width="6.81640625" bestFit="1" customWidth="1"/>
    <col min="4891" max="4891" width="5.81640625" bestFit="1" customWidth="1"/>
    <col min="4892" max="4899" width="6.81640625" bestFit="1" customWidth="1"/>
    <col min="4900" max="4900" width="5.81640625" bestFit="1" customWidth="1"/>
    <col min="4901" max="4908" width="6.81640625" bestFit="1" customWidth="1"/>
    <col min="4909" max="4909" width="5.81640625" bestFit="1" customWidth="1"/>
    <col min="4910" max="4917" width="6.81640625" bestFit="1" customWidth="1"/>
    <col min="4918" max="4918" width="8.54296875" bestFit="1" customWidth="1"/>
    <col min="4919" max="4937" width="6.81640625" bestFit="1" customWidth="1"/>
    <col min="4938" max="4938" width="5.81640625" bestFit="1" customWidth="1"/>
    <col min="4939" max="4942" width="6.81640625" bestFit="1" customWidth="1"/>
    <col min="4943" max="4943" width="5.81640625" bestFit="1" customWidth="1"/>
    <col min="4944" max="4946" width="6.81640625" bestFit="1" customWidth="1"/>
    <col min="4947" max="4948" width="5.81640625" bestFit="1" customWidth="1"/>
    <col min="4949" max="4973" width="6.81640625" bestFit="1" customWidth="1"/>
    <col min="4974" max="4974" width="5.81640625" bestFit="1" customWidth="1"/>
    <col min="4975" max="4981" width="6.81640625" bestFit="1" customWidth="1"/>
    <col min="4982" max="4983" width="5.81640625" bestFit="1" customWidth="1"/>
    <col min="4984" max="5000" width="6.81640625" bestFit="1" customWidth="1"/>
    <col min="5001" max="5001" width="3.81640625" bestFit="1" customWidth="1"/>
    <col min="5002" max="5005" width="6.81640625" bestFit="1" customWidth="1"/>
    <col min="5006" max="5006" width="5.81640625" bestFit="1" customWidth="1"/>
    <col min="5007" max="5009" width="6.81640625" bestFit="1" customWidth="1"/>
    <col min="5010" max="5010" width="5.81640625" bestFit="1" customWidth="1"/>
    <col min="5011" max="5019" width="6.81640625" bestFit="1" customWidth="1"/>
    <col min="5020" max="5020" width="5.81640625" bestFit="1" customWidth="1"/>
    <col min="5021" max="5035" width="6.81640625" bestFit="1" customWidth="1"/>
    <col min="5036" max="5036" width="5.81640625" bestFit="1" customWidth="1"/>
    <col min="5037" max="5047" width="6.81640625" bestFit="1" customWidth="1"/>
    <col min="5048" max="5048" width="5.81640625" bestFit="1" customWidth="1"/>
    <col min="5049" max="5070" width="6.81640625" bestFit="1" customWidth="1"/>
    <col min="5071" max="5071" width="5.81640625" bestFit="1" customWidth="1"/>
    <col min="5072" max="5072" width="6.81640625" bestFit="1" customWidth="1"/>
    <col min="5073" max="5074" width="5.81640625" bestFit="1" customWidth="1"/>
    <col min="5075" max="5078" width="6.81640625" bestFit="1" customWidth="1"/>
    <col min="5079" max="5079" width="8.54296875" bestFit="1" customWidth="1"/>
    <col min="5080" max="5080" width="10.7265625" bestFit="1" customWidth="1"/>
  </cols>
  <sheetData>
    <row r="3" spans="1:19" x14ac:dyDescent="0.35">
      <c r="A3" t="s">
        <v>5058</v>
      </c>
      <c r="B3" t="s">
        <v>5034</v>
      </c>
      <c r="C3" t="s">
        <v>5057</v>
      </c>
    </row>
    <row r="4" spans="1:19" x14ac:dyDescent="0.35">
      <c r="A4" s="15">
        <v>82.058111999999994</v>
      </c>
      <c r="B4" s="15">
        <v>410290.55999999994</v>
      </c>
      <c r="C4" s="15">
        <v>1366152.5599999982</v>
      </c>
    </row>
    <row r="6" spans="1:19" x14ac:dyDescent="0.35">
      <c r="A6" t="s">
        <v>5059</v>
      </c>
      <c r="B6">
        <f>SUM(B25:B29)</f>
        <v>410290.55999999953</v>
      </c>
      <c r="I6" s="2" t="s">
        <v>5033</v>
      </c>
      <c r="J6" s="2" t="s">
        <v>5037</v>
      </c>
      <c r="O6" t="str" cm="1">
        <f t="array" aca="1" ref="O6:O17" ca="1">OFFSET($I$7,1,0,COUNT($J$7:$J$20))</f>
        <v>Jan</v>
      </c>
      <c r="P6" cm="1">
        <f t="array" aca="1" ref="P6:P17" ca="1">OFFSET($I$7,1,1,COUNT($J$7:$J$20))</f>
        <v>43279.799999999974</v>
      </c>
      <c r="Q6" cm="1">
        <f t="array" aca="1" ref="Q6:Q17" ca="1">OFFSET($I$7,1,2,COUNT($J$7:$J$20))</f>
        <v>43668.099999999984</v>
      </c>
      <c r="R6" cm="1">
        <f t="array" aca="1" ref="R6:R17" ca="1">OFFSET($I$7,1,3,COUNT($J$7:$J$20))</f>
        <v>37594.590000000004</v>
      </c>
      <c r="S6" cm="1">
        <f t="array" aca="1" ref="S6:S17" ca="1">OFFSET($I$7,1,4,COUNT($J$7:$J$20))</f>
        <v>0</v>
      </c>
    </row>
    <row r="7" spans="1:19" x14ac:dyDescent="0.35">
      <c r="A7" t="s">
        <v>5057</v>
      </c>
      <c r="B7">
        <f>SUM(B52:B60)</f>
        <v>1366152.5600000003</v>
      </c>
      <c r="I7" s="2" t="s">
        <v>5035</v>
      </c>
      <c r="J7" t="s">
        <v>5038</v>
      </c>
      <c r="K7" t="s">
        <v>5039</v>
      </c>
      <c r="L7" t="s">
        <v>5040</v>
      </c>
      <c r="O7" t="str">
        <f ca="1"/>
        <v>Feb</v>
      </c>
      <c r="P7">
        <f ca="1"/>
        <v>41096.32999999998</v>
      </c>
      <c r="Q7">
        <f ca="1"/>
        <v>40761.54000000003</v>
      </c>
      <c r="R7">
        <f ca="1"/>
        <v>36673.390000000007</v>
      </c>
      <c r="S7">
        <f ca="1"/>
        <v>0</v>
      </c>
    </row>
    <row r="8" spans="1:19" x14ac:dyDescent="0.35">
      <c r="A8" t="s">
        <v>5060</v>
      </c>
      <c r="B8" s="18">
        <f>B6/B7</f>
        <v>0.30032558003624388</v>
      </c>
      <c r="I8" s="17" t="s">
        <v>5042</v>
      </c>
      <c r="J8" s="1">
        <v>43279.799999999974</v>
      </c>
      <c r="K8" s="1">
        <v>43668.099999999984</v>
      </c>
      <c r="L8" s="1">
        <v>37594.590000000004</v>
      </c>
      <c r="O8" t="str">
        <f ca="1"/>
        <v>Mar</v>
      </c>
      <c r="P8">
        <f ca="1"/>
        <v>39988.169999999984</v>
      </c>
      <c r="Q8">
        <f ca="1"/>
        <v>44244.990000000013</v>
      </c>
      <c r="R8">
        <f ca="1"/>
        <v>36439.040000000008</v>
      </c>
      <c r="S8">
        <f ca="1"/>
        <v>0</v>
      </c>
    </row>
    <row r="9" spans="1:19" x14ac:dyDescent="0.35">
      <c r="I9" s="17" t="s">
        <v>5043</v>
      </c>
      <c r="J9" s="1">
        <v>41096.32999999998</v>
      </c>
      <c r="K9" s="1">
        <v>40761.54000000003</v>
      </c>
      <c r="L9" s="1">
        <v>36673.390000000007</v>
      </c>
      <c r="O9" t="str">
        <f ca="1"/>
        <v>Apr</v>
      </c>
      <c r="P9">
        <f ca="1"/>
        <v>37015.56</v>
      </c>
      <c r="Q9">
        <f ca="1"/>
        <v>39186.309999999983</v>
      </c>
      <c r="R9">
        <f ca="1"/>
        <v>39242.54</v>
      </c>
      <c r="S9">
        <f ca="1"/>
        <v>0</v>
      </c>
    </row>
    <row r="10" spans="1:19" x14ac:dyDescent="0.35">
      <c r="I10" s="17" t="s">
        <v>5044</v>
      </c>
      <c r="J10" s="1">
        <v>39988.169999999984</v>
      </c>
      <c r="K10" s="1">
        <v>44244.990000000013</v>
      </c>
      <c r="L10" s="1">
        <v>36439.040000000008</v>
      </c>
      <c r="O10" t="str">
        <f ca="1"/>
        <v>May</v>
      </c>
      <c r="P10">
        <f ca="1"/>
        <v>38922.069999999985</v>
      </c>
      <c r="Q10">
        <f ca="1"/>
        <v>48917.330000000009</v>
      </c>
      <c r="R10">
        <f ca="1"/>
        <v>48341.339999999975</v>
      </c>
      <c r="S10">
        <f ca="1"/>
        <v>0</v>
      </c>
    </row>
    <row r="11" spans="1:19" x14ac:dyDescent="0.35">
      <c r="I11" s="17" t="s">
        <v>5045</v>
      </c>
      <c r="J11" s="1">
        <v>37015.56</v>
      </c>
      <c r="K11" s="1">
        <v>39186.309999999983</v>
      </c>
      <c r="L11" s="1">
        <v>39242.54</v>
      </c>
      <c r="O11" t="str">
        <f ca="1"/>
        <v>Jun</v>
      </c>
      <c r="P11">
        <f ca="1"/>
        <v>37661.410000000003</v>
      </c>
      <c r="Q11">
        <f ca="1"/>
        <v>41454.279999999984</v>
      </c>
      <c r="R11">
        <f ca="1"/>
        <v>31441.480000000007</v>
      </c>
      <c r="S11">
        <f ca="1"/>
        <v>0</v>
      </c>
    </row>
    <row r="12" spans="1:19" x14ac:dyDescent="0.35">
      <c r="I12" s="17" t="s">
        <v>5046</v>
      </c>
      <c r="J12" s="1">
        <v>38922.069999999985</v>
      </c>
      <c r="K12" s="1">
        <v>48917.330000000009</v>
      </c>
      <c r="L12" s="1">
        <v>48341.339999999975</v>
      </c>
      <c r="O12" t="str">
        <f ca="1"/>
        <v>Jul</v>
      </c>
      <c r="P12">
        <f ca="1"/>
        <v>38500.130000000012</v>
      </c>
      <c r="Q12">
        <f ca="1"/>
        <v>49274.899999999987</v>
      </c>
      <c r="R12">
        <f ca="1"/>
        <v>47548.119999999995</v>
      </c>
      <c r="S12">
        <f ca="1"/>
        <v>0</v>
      </c>
    </row>
    <row r="13" spans="1:19" x14ac:dyDescent="0.35">
      <c r="A13" s="2" t="s">
        <v>5035</v>
      </c>
      <c r="B13" t="s">
        <v>5041</v>
      </c>
      <c r="C13" t="s">
        <v>5032</v>
      </c>
      <c r="E13" t="str" cm="1">
        <f t="array" aca="1" ref="E13:E17" ca="1">OFFSET($A$13,1,0,COUNT($B$13:$B$19))</f>
        <v>GOAT</v>
      </c>
      <c r="F13" cm="1">
        <f t="array" aca="1" ref="F13:F17" ca="1">OFFSET($A$13,1,1,COUNT($B$13:$B$19))</f>
        <v>85054.019999999829</v>
      </c>
      <c r="G13" cm="1">
        <f t="array" aca="1" ref="G13:G17" ca="1">OFFSET($A$13,1,2,COUNT($B$13:$B$19))</f>
        <v>1032</v>
      </c>
      <c r="I13" s="17" t="s">
        <v>5047</v>
      </c>
      <c r="J13" s="1">
        <v>37661.410000000003</v>
      </c>
      <c r="K13" s="1">
        <v>41454.279999999984</v>
      </c>
      <c r="L13" s="1">
        <v>31441.480000000007</v>
      </c>
      <c r="O13" t="str">
        <f ca="1"/>
        <v>Aug</v>
      </c>
      <c r="P13">
        <f ca="1"/>
        <v>43404.339999999989</v>
      </c>
      <c r="Q13">
        <f ca="1"/>
        <v>42055.77</v>
      </c>
      <c r="R13">
        <f ca="1"/>
        <v>38610.169999999991</v>
      </c>
      <c r="S13">
        <f ca="1"/>
        <v>0</v>
      </c>
    </row>
    <row r="14" spans="1:19" x14ac:dyDescent="0.35">
      <c r="A14" s="3" t="s">
        <v>14</v>
      </c>
      <c r="B14" s="1">
        <v>85054.019999999829</v>
      </c>
      <c r="C14" s="1">
        <v>1032</v>
      </c>
      <c r="E14" t="str">
        <f ca="1"/>
        <v>kick hub 2026</v>
      </c>
      <c r="F14">
        <f ca="1"/>
        <v>78912.629999999932</v>
      </c>
      <c r="G14">
        <f ca="1"/>
        <v>962</v>
      </c>
      <c r="I14" s="17" t="s">
        <v>5048</v>
      </c>
      <c r="J14" s="1">
        <v>38500.130000000012</v>
      </c>
      <c r="K14" s="1">
        <v>49274.899999999987</v>
      </c>
      <c r="L14" s="1">
        <v>47548.119999999995</v>
      </c>
      <c r="O14" t="str">
        <f ca="1"/>
        <v>Sep</v>
      </c>
      <c r="P14">
        <f ca="1"/>
        <v>43486.97000000003</v>
      </c>
      <c r="Q14">
        <f ca="1"/>
        <v>43347.010000000009</v>
      </c>
      <c r="R14">
        <f ca="1"/>
        <v>31128.809999999998</v>
      </c>
      <c r="S14">
        <f ca="1"/>
        <v>0</v>
      </c>
    </row>
    <row r="15" spans="1:19" x14ac:dyDescent="0.35">
      <c r="A15" s="3" t="s">
        <v>23</v>
      </c>
      <c r="B15" s="1">
        <v>78912.629999999932</v>
      </c>
      <c r="C15" s="1">
        <v>962</v>
      </c>
      <c r="E15" t="str">
        <f ca="1"/>
        <v>Stadium Goods</v>
      </c>
      <c r="F15">
        <f ca="1"/>
        <v>81122.499999999884</v>
      </c>
      <c r="G15">
        <f ca="1"/>
        <v>982</v>
      </c>
      <c r="I15" s="17" t="s">
        <v>5049</v>
      </c>
      <c r="J15" s="1">
        <v>43404.339999999989</v>
      </c>
      <c r="K15" s="1">
        <v>42055.77</v>
      </c>
      <c r="L15" s="1">
        <v>38610.169999999991</v>
      </c>
      <c r="O15" t="str">
        <f ca="1"/>
        <v>Oct</v>
      </c>
      <c r="P15">
        <f ca="1"/>
        <v>42438.500000000029</v>
      </c>
      <c r="Q15">
        <f ca="1"/>
        <v>42579.449999999983</v>
      </c>
      <c r="R15">
        <f ca="1"/>
        <v>0</v>
      </c>
      <c r="S15">
        <f ca="1"/>
        <v>0</v>
      </c>
    </row>
    <row r="16" spans="1:19" x14ac:dyDescent="0.35">
      <c r="A16" s="3" t="s">
        <v>25</v>
      </c>
      <c r="B16" s="1">
        <v>81122.499999999884</v>
      </c>
      <c r="C16" s="1">
        <v>982</v>
      </c>
      <c r="E16" t="str">
        <f ca="1"/>
        <v>StockX</v>
      </c>
      <c r="F16">
        <f ca="1"/>
        <v>75920.020000000033</v>
      </c>
      <c r="G16">
        <f ca="1"/>
        <v>1027</v>
      </c>
      <c r="I16" s="17" t="s">
        <v>5050</v>
      </c>
      <c r="J16" s="1">
        <v>43486.97000000003</v>
      </c>
      <c r="K16" s="1">
        <v>43347.010000000009</v>
      </c>
      <c r="L16" s="1">
        <v>31128.809999999998</v>
      </c>
      <c r="O16" t="str">
        <f ca="1"/>
        <v>Nov</v>
      </c>
      <c r="P16">
        <f ca="1"/>
        <v>43936.710000000014</v>
      </c>
      <c r="Q16">
        <f ca="1"/>
        <v>43979.500000000022</v>
      </c>
      <c r="R16">
        <f ca="1"/>
        <v>0</v>
      </c>
      <c r="S16">
        <f ca="1"/>
        <v>0</v>
      </c>
    </row>
    <row r="17" spans="1:19" x14ac:dyDescent="0.35">
      <c r="A17" s="3" t="s">
        <v>19</v>
      </c>
      <c r="B17" s="1">
        <v>75920.020000000033</v>
      </c>
      <c r="C17" s="1">
        <v>1027</v>
      </c>
      <c r="E17" t="str">
        <f ca="1"/>
        <v>Walk-in Retail</v>
      </c>
      <c r="F17">
        <f ca="1"/>
        <v>89281.389999999956</v>
      </c>
      <c r="G17">
        <f ca="1"/>
        <v>997</v>
      </c>
      <c r="I17" s="17" t="s">
        <v>5051</v>
      </c>
      <c r="J17" s="1">
        <v>42438.500000000029</v>
      </c>
      <c r="K17" s="1">
        <v>42579.449999999983</v>
      </c>
      <c r="L17" s="1"/>
      <c r="O17" t="str">
        <f ca="1"/>
        <v>Dec</v>
      </c>
      <c r="P17">
        <f ca="1"/>
        <v>45128.939999999988</v>
      </c>
      <c r="Q17">
        <f ca="1"/>
        <v>44804.969999999987</v>
      </c>
      <c r="R17">
        <f ca="1"/>
        <v>0</v>
      </c>
      <c r="S17">
        <f ca="1"/>
        <v>0</v>
      </c>
    </row>
    <row r="18" spans="1:19" x14ac:dyDescent="0.35">
      <c r="A18" s="3" t="s">
        <v>32</v>
      </c>
      <c r="B18" s="1">
        <v>89281.389999999956</v>
      </c>
      <c r="C18" s="1">
        <v>997</v>
      </c>
      <c r="I18" s="17" t="s">
        <v>5052</v>
      </c>
      <c r="J18" s="1">
        <v>43936.710000000014</v>
      </c>
      <c r="K18" s="1">
        <v>43979.500000000022</v>
      </c>
      <c r="L18" s="1"/>
    </row>
    <row r="19" spans="1:19" x14ac:dyDescent="0.35">
      <c r="I19" s="17" t="s">
        <v>5053</v>
      </c>
      <c r="J19" s="1">
        <v>45128.939999999988</v>
      </c>
      <c r="K19" s="1">
        <v>44804.969999999987</v>
      </c>
      <c r="L19" s="1"/>
    </row>
    <row r="24" spans="1:19" x14ac:dyDescent="0.35">
      <c r="A24" s="2" t="s">
        <v>5035</v>
      </c>
      <c r="B24" t="s">
        <v>5041</v>
      </c>
      <c r="C24" t="s">
        <v>5032</v>
      </c>
      <c r="E24" t="str" cm="1">
        <f t="array" aca="1" ref="E24:E28" ca="1">OFFSET($A$24,1,0,COUNT($B$24:$B$30))</f>
        <v>Air Jordan 4 Retro</v>
      </c>
      <c r="F24" cm="1">
        <f t="array" aca="1" ref="F24:F28" ca="1">OFFSET($A$24,1,1,COUNT($B$24:$B$30))</f>
        <v>99974.279999999868</v>
      </c>
      <c r="G24" cm="1">
        <f t="array" aca="1" ref="G24:G28" ca="1">OFFSET($A$24,1,2,COUNT($B$24:$B$30))</f>
        <v>1044</v>
      </c>
    </row>
    <row r="25" spans="1:19" x14ac:dyDescent="0.35">
      <c r="A25" s="3" t="s">
        <v>21</v>
      </c>
      <c r="B25" s="1">
        <v>99974.279999999868</v>
      </c>
      <c r="C25" s="1">
        <v>1044</v>
      </c>
      <c r="E25" t="str">
        <f ca="1"/>
        <v>Air Jordan 11 Retro</v>
      </c>
      <c r="F25">
        <f ca="1"/>
        <v>97140.779999999955</v>
      </c>
      <c r="G25">
        <f ca="1"/>
        <v>973</v>
      </c>
    </row>
    <row r="26" spans="1:19" x14ac:dyDescent="0.35">
      <c r="A26" s="3" t="s">
        <v>11</v>
      </c>
      <c r="B26" s="1">
        <v>97140.779999999955</v>
      </c>
      <c r="C26" s="1">
        <v>973</v>
      </c>
      <c r="E26" t="str">
        <f ca="1"/>
        <v>Air Jordan 3 Retro</v>
      </c>
      <c r="F26">
        <f ca="1"/>
        <v>85850.949999999866</v>
      </c>
      <c r="G26">
        <f ca="1"/>
        <v>1037</v>
      </c>
    </row>
    <row r="27" spans="1:19" x14ac:dyDescent="0.35">
      <c r="A27" s="3" t="s">
        <v>31</v>
      </c>
      <c r="B27" s="1">
        <v>85850.949999999866</v>
      </c>
      <c r="C27" s="1">
        <v>1037</v>
      </c>
      <c r="E27" t="str">
        <f ca="1"/>
        <v>Air Jordan 1 High</v>
      </c>
      <c r="F27">
        <f ca="1"/>
        <v>75792.739999999976</v>
      </c>
      <c r="G27">
        <f ca="1"/>
        <v>926</v>
      </c>
    </row>
    <row r="28" spans="1:19" x14ac:dyDescent="0.35">
      <c r="A28" s="3" t="s">
        <v>16</v>
      </c>
      <c r="B28" s="1">
        <v>75792.739999999976</v>
      </c>
      <c r="C28" s="1">
        <v>926</v>
      </c>
      <c r="E28" t="str">
        <f ca="1"/>
        <v>Air Jordan 1 Low</v>
      </c>
      <c r="F28">
        <f ca="1"/>
        <v>51531.809999999903</v>
      </c>
      <c r="G28">
        <f ca="1"/>
        <v>1020</v>
      </c>
    </row>
    <row r="29" spans="1:19" x14ac:dyDescent="0.35">
      <c r="A29" s="3" t="s">
        <v>27</v>
      </c>
      <c r="B29" s="1">
        <v>51531.809999999903</v>
      </c>
      <c r="C29" s="1">
        <v>1020</v>
      </c>
    </row>
    <row r="34" spans="1:6" x14ac:dyDescent="0.35">
      <c r="A34" s="2" t="s">
        <v>5035</v>
      </c>
      <c r="B34" t="s">
        <v>5055</v>
      </c>
      <c r="D34" t="str" cm="1">
        <f t="array" aca="1" ref="D34:D36" ca="1">OFFSET($A$34,1,0,COUNT($B$34:$B$38))</f>
        <v>Deadstock (Brand New)</v>
      </c>
      <c r="E34" cm="1">
        <f t="array" aca="1" ref="E34:E36" ca="1">OFFSET($A$34,1,1,COUNT($B$34:$B$38))</f>
        <v>264.00544696066743</v>
      </c>
    </row>
    <row r="35" spans="1:6" x14ac:dyDescent="0.35">
      <c r="A35" s="3" t="s">
        <v>18</v>
      </c>
      <c r="B35" s="1">
        <v>264.00544696066743</v>
      </c>
      <c r="D35" t="str">
        <f ca="1"/>
        <v>Used</v>
      </c>
      <c r="E35">
        <f ca="1"/>
        <v>-57.65967975830813</v>
      </c>
    </row>
    <row r="36" spans="1:6" x14ac:dyDescent="0.35">
      <c r="A36" s="3" t="s">
        <v>13</v>
      </c>
      <c r="B36" s="1">
        <v>-57.65967975830813</v>
      </c>
      <c r="D36" t="str">
        <f ca="1"/>
        <v>VNDS (Very Near Deadstock)</v>
      </c>
      <c r="E36">
        <f ca="1"/>
        <v>37.622189562087534</v>
      </c>
    </row>
    <row r="37" spans="1:6" x14ac:dyDescent="0.35">
      <c r="A37" s="3" t="s">
        <v>29</v>
      </c>
      <c r="B37" s="1">
        <v>37.622189562087534</v>
      </c>
    </row>
    <row r="41" spans="1:6" x14ac:dyDescent="0.35">
      <c r="A41" s="2" t="s">
        <v>5035</v>
      </c>
      <c r="B41" t="s">
        <v>5054</v>
      </c>
      <c r="D41" t="str" cm="1">
        <f t="array" aca="1" ref="D41:D46" ca="1">OFFSET($A$41,1,0,COUNT($B$41:$B$47))</f>
        <v>Air Jordan 1 Low</v>
      </c>
      <c r="E41" s="16" cm="1">
        <f t="array" aca="1" ref="E41:E46" ca="1">OFFSET($A$41,1,1,COUNT($B$41:$B$47))</f>
        <v>23.078431372549019</v>
      </c>
    </row>
    <row r="42" spans="1:6" x14ac:dyDescent="0.35">
      <c r="A42" s="3" t="s">
        <v>27</v>
      </c>
      <c r="B42" s="16">
        <v>23.078431372549019</v>
      </c>
      <c r="D42" s="3" t="str">
        <f ca="1"/>
        <v>Air Jordan 4 Retro</v>
      </c>
      <c r="E42" s="16">
        <f ca="1"/>
        <v>22.82088122605364</v>
      </c>
      <c r="F42" s="16"/>
    </row>
    <row r="43" spans="1:6" x14ac:dyDescent="0.35">
      <c r="A43" s="3" t="s">
        <v>21</v>
      </c>
      <c r="B43" s="16">
        <v>22.82088122605364</v>
      </c>
      <c r="D43" s="3" t="str">
        <f ca="1"/>
        <v>Air Jordan 1 High</v>
      </c>
      <c r="E43" s="16">
        <f ca="1"/>
        <v>22.719222462203025</v>
      </c>
      <c r="F43" s="16"/>
    </row>
    <row r="44" spans="1:6" x14ac:dyDescent="0.35">
      <c r="A44" s="3" t="s">
        <v>16</v>
      </c>
      <c r="B44" s="16">
        <v>22.719222462203025</v>
      </c>
      <c r="D44" s="3" t="str">
        <f ca="1"/>
        <v>Air Jordan 3 Retro</v>
      </c>
      <c r="E44" s="16">
        <f ca="1"/>
        <v>22.290260366441657</v>
      </c>
      <c r="F44" s="16"/>
    </row>
    <row r="45" spans="1:6" x14ac:dyDescent="0.35">
      <c r="A45" s="3" t="s">
        <v>31</v>
      </c>
      <c r="B45" s="16">
        <v>22.290260366441657</v>
      </c>
      <c r="D45" s="3" t="str">
        <f ca="1"/>
        <v>Air Jordan 11 Retro</v>
      </c>
      <c r="E45" s="16">
        <f ca="1"/>
        <v>21.423432682425489</v>
      </c>
      <c r="F45" s="16"/>
    </row>
    <row r="46" spans="1:6" x14ac:dyDescent="0.35">
      <c r="A46" s="3" t="s">
        <v>11</v>
      </c>
      <c r="B46" s="16">
        <v>21.423432682425489</v>
      </c>
      <c r="D46" s="3" t="str">
        <f ca="1"/>
        <v>Grand Total</v>
      </c>
      <c r="E46" s="16">
        <f ca="1"/>
        <v>22.4726</v>
      </c>
      <c r="F46" s="16"/>
    </row>
    <row r="47" spans="1:6" x14ac:dyDescent="0.35">
      <c r="A47" s="3" t="s">
        <v>5036</v>
      </c>
      <c r="B47" s="1">
        <v>22.4726</v>
      </c>
    </row>
    <row r="51" spans="1:5" x14ac:dyDescent="0.35">
      <c r="A51" s="2" t="s">
        <v>5035</v>
      </c>
      <c r="B51" t="s">
        <v>5033</v>
      </c>
      <c r="D51" t="str" cm="1">
        <f t="array" aca="1" ref="D51:D59" ca="1">OFFSET($A$51,1,0,(COUNT($B$51:$B$61)))</f>
        <v>Black Cat</v>
      </c>
      <c r="E51" cm="1">
        <f t="array" aca="1" ref="E51:E59" ca="1">OFFSET($A$51,1,1,(COUNT($B$51:$B$61)))</f>
        <v>146518.37000000032</v>
      </c>
    </row>
    <row r="52" spans="1:5" x14ac:dyDescent="0.35">
      <c r="A52" s="3" t="s">
        <v>34</v>
      </c>
      <c r="B52" s="1">
        <v>146518.37000000032</v>
      </c>
      <c r="D52" t="str">
        <f ca="1"/>
        <v>Bred</v>
      </c>
      <c r="E52">
        <f ca="1"/>
        <v>144948.00000000006</v>
      </c>
    </row>
    <row r="53" spans="1:5" x14ac:dyDescent="0.35">
      <c r="A53" s="3" t="s">
        <v>36</v>
      </c>
      <c r="B53" s="1">
        <v>144948.00000000006</v>
      </c>
      <c r="D53" t="str">
        <f ca="1"/>
        <v>Chicago</v>
      </c>
      <c r="E53">
        <f ca="1"/>
        <v>155851.65000000005</v>
      </c>
    </row>
    <row r="54" spans="1:5" x14ac:dyDescent="0.35">
      <c r="A54" s="3" t="s">
        <v>39</v>
      </c>
      <c r="B54" s="1">
        <v>155851.65000000005</v>
      </c>
      <c r="D54" t="str">
        <f ca="1"/>
        <v>Concord</v>
      </c>
      <c r="E54">
        <f ca="1"/>
        <v>148815.35999999993</v>
      </c>
    </row>
    <row r="55" spans="1:5" x14ac:dyDescent="0.35">
      <c r="A55" s="3" t="s">
        <v>22</v>
      </c>
      <c r="B55" s="1">
        <v>148815.35999999993</v>
      </c>
      <c r="D55" t="str">
        <f ca="1"/>
        <v>Lost &amp; Found</v>
      </c>
      <c r="E55">
        <f ca="1"/>
        <v>162008.84000000003</v>
      </c>
    </row>
    <row r="56" spans="1:5" x14ac:dyDescent="0.35">
      <c r="A56" s="3" t="s">
        <v>53</v>
      </c>
      <c r="B56" s="1">
        <v>162008.84000000003</v>
      </c>
      <c r="D56" t="str">
        <f ca="1"/>
        <v>Military Blue</v>
      </c>
      <c r="E56">
        <f ca="1"/>
        <v>154745.61000000019</v>
      </c>
    </row>
    <row r="57" spans="1:5" x14ac:dyDescent="0.35">
      <c r="A57" s="3" t="s">
        <v>46</v>
      </c>
      <c r="B57" s="1">
        <v>154745.61000000019</v>
      </c>
      <c r="D57" t="str">
        <f ca="1"/>
        <v>Mocha</v>
      </c>
      <c r="E57">
        <f ca="1"/>
        <v>145761.14999999991</v>
      </c>
    </row>
    <row r="58" spans="1:5" x14ac:dyDescent="0.35">
      <c r="A58" s="3" t="s">
        <v>17</v>
      </c>
      <c r="B58" s="1">
        <v>145761.14999999991</v>
      </c>
      <c r="D58" t="str">
        <f ca="1"/>
        <v>Pine Green</v>
      </c>
      <c r="E58">
        <f ca="1"/>
        <v>157566.3299999999</v>
      </c>
    </row>
    <row r="59" spans="1:5" x14ac:dyDescent="0.35">
      <c r="A59" s="3" t="s">
        <v>55</v>
      </c>
      <c r="B59" s="1">
        <v>157566.3299999999</v>
      </c>
      <c r="D59" t="str">
        <f ca="1"/>
        <v>Sail</v>
      </c>
      <c r="E59">
        <f ca="1"/>
        <v>149937.25000000006</v>
      </c>
    </row>
    <row r="60" spans="1:5" x14ac:dyDescent="0.35">
      <c r="A60" s="3" t="s">
        <v>12</v>
      </c>
      <c r="B60" s="1">
        <v>149937.25000000006</v>
      </c>
    </row>
  </sheetData>
  <pageMargins left="0.7" right="0.7" top="0.75" bottom="0.75" header="0.3" footer="0.3"/>
  <drawing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topLeftCell="A10" zoomScale="70" zoomScaleNormal="70" workbookViewId="0">
      <selection activeCell="V57" sqref="V57"/>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D86CCD-B88D-4864-B420-0EC2203E541C}">
  <dimension ref="A1"/>
  <sheetViews>
    <sheetView zoomScaleNormal="100" workbookViewId="0">
      <selection activeCell="D3" sqref="D3"/>
    </sheetView>
  </sheetViews>
  <sheetFormatPr defaultRowHeight="14.5" x14ac:dyDescent="0.3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5001"/>
  <sheetViews>
    <sheetView topLeftCell="B1" workbookViewId="0">
      <selection activeCell="K3" sqref="K3"/>
    </sheetView>
  </sheetViews>
  <sheetFormatPr defaultRowHeight="14.5" x14ac:dyDescent="0.35"/>
  <cols>
    <col min="1" max="1" width="15.453125" customWidth="1"/>
    <col min="2" max="2" width="11.1796875" customWidth="1"/>
    <col min="3" max="3" width="16.81640625" bestFit="1" customWidth="1"/>
    <col min="4" max="4" width="10.6328125" customWidth="1"/>
    <col min="5" max="5" width="24.6328125" bestFit="1" customWidth="1"/>
    <col min="6" max="6" width="17.08984375" customWidth="1"/>
    <col min="7" max="7" width="17.7265625" customWidth="1"/>
    <col min="8" max="8" width="14.81640625" customWidth="1"/>
    <col min="9" max="9" width="18.453125" customWidth="1"/>
    <col min="10" max="10" width="18.90625" customWidth="1"/>
  </cols>
  <sheetData>
    <row r="1" spans="1:11" x14ac:dyDescent="0.35">
      <c r="A1" s="4" t="s">
        <v>0</v>
      </c>
      <c r="B1" s="5" t="s">
        <v>1</v>
      </c>
      <c r="C1" s="5" t="s">
        <v>2</v>
      </c>
      <c r="D1" s="5" t="s">
        <v>3</v>
      </c>
      <c r="E1" s="5" t="s">
        <v>4</v>
      </c>
      <c r="F1" s="5" t="s">
        <v>5</v>
      </c>
      <c r="G1" s="5" t="s">
        <v>6</v>
      </c>
      <c r="H1" s="5" t="s">
        <v>7</v>
      </c>
      <c r="I1" s="5" t="s">
        <v>8</v>
      </c>
      <c r="J1" s="6" t="s">
        <v>9</v>
      </c>
      <c r="K1" s="5" t="s">
        <v>5056</v>
      </c>
    </row>
    <row r="2" spans="1:11" x14ac:dyDescent="0.35">
      <c r="A2" s="7" t="s">
        <v>10</v>
      </c>
      <c r="B2" s="8">
        <v>45588</v>
      </c>
      <c r="C2" s="9" t="s">
        <v>11</v>
      </c>
      <c r="D2" s="9" t="s">
        <v>12</v>
      </c>
      <c r="E2" s="9" t="s">
        <v>13</v>
      </c>
      <c r="F2" s="9">
        <v>225</v>
      </c>
      <c r="G2" s="9">
        <v>194.67</v>
      </c>
      <c r="H2" s="9" t="s">
        <v>14</v>
      </c>
      <c r="I2" s="9">
        <v>13</v>
      </c>
      <c r="J2" s="10">
        <v>-30.33</v>
      </c>
      <c r="K2" s="5" t="str">
        <f>TEXT(Sales_of_Jordan[[#This Row],[Sale_Date]],"mmm")</f>
        <v>Oct</v>
      </c>
    </row>
    <row r="3" spans="1:11" x14ac:dyDescent="0.35">
      <c r="A3" s="7" t="s">
        <v>15</v>
      </c>
      <c r="B3" s="8">
        <v>45222</v>
      </c>
      <c r="C3" s="9" t="s">
        <v>16</v>
      </c>
      <c r="D3" s="9" t="s">
        <v>17</v>
      </c>
      <c r="E3" s="9" t="s">
        <v>18</v>
      </c>
      <c r="F3" s="9">
        <v>185</v>
      </c>
      <c r="G3" s="9">
        <v>230.46</v>
      </c>
      <c r="H3" s="9" t="s">
        <v>19</v>
      </c>
      <c r="I3" s="9">
        <v>10</v>
      </c>
      <c r="J3" s="10">
        <v>45.46</v>
      </c>
      <c r="K3" s="9" t="str">
        <f>TEXT(Sales_of_Jordan[[#This Row],[Sale_Date]],"mmm")</f>
        <v>Oct</v>
      </c>
    </row>
    <row r="4" spans="1:11" x14ac:dyDescent="0.35">
      <c r="A4" s="7" t="s">
        <v>20</v>
      </c>
      <c r="B4" s="8">
        <v>45243</v>
      </c>
      <c r="C4" s="9" t="s">
        <v>21</v>
      </c>
      <c r="D4" s="9" t="s">
        <v>22</v>
      </c>
      <c r="E4" s="9" t="s">
        <v>18</v>
      </c>
      <c r="F4" s="9">
        <v>212</v>
      </c>
      <c r="G4" s="9">
        <v>270.37</v>
      </c>
      <c r="H4" s="9" t="s">
        <v>23</v>
      </c>
      <c r="I4" s="9">
        <v>33</v>
      </c>
      <c r="J4" s="10">
        <v>58.37</v>
      </c>
      <c r="K4" s="9" t="str">
        <f>TEXT(Sales_of_Jordan[[#This Row],[Sale_Date]],"mmm")</f>
        <v>Nov</v>
      </c>
    </row>
    <row r="5" spans="1:11" x14ac:dyDescent="0.35">
      <c r="A5" s="7" t="s">
        <v>24</v>
      </c>
      <c r="B5" s="8">
        <v>45323</v>
      </c>
      <c r="C5" s="9" t="s">
        <v>21</v>
      </c>
      <c r="D5" s="9" t="s">
        <v>17</v>
      </c>
      <c r="E5" s="9" t="s">
        <v>13</v>
      </c>
      <c r="F5" s="9">
        <v>223</v>
      </c>
      <c r="G5" s="9">
        <v>180.43</v>
      </c>
      <c r="H5" s="9" t="s">
        <v>25</v>
      </c>
      <c r="I5" s="9">
        <v>60</v>
      </c>
      <c r="J5" s="10">
        <v>-42.569999999999901</v>
      </c>
      <c r="K5" s="9" t="str">
        <f>TEXT(Sales_of_Jordan[[#This Row],[Sale_Date]],"mmm")</f>
        <v>Feb</v>
      </c>
    </row>
    <row r="6" spans="1:11" x14ac:dyDescent="0.35">
      <c r="A6" s="7" t="s">
        <v>26</v>
      </c>
      <c r="B6" s="8">
        <v>45075</v>
      </c>
      <c r="C6" s="9" t="s">
        <v>27</v>
      </c>
      <c r="D6" s="9" t="s">
        <v>17</v>
      </c>
      <c r="E6" s="9" t="s">
        <v>13</v>
      </c>
      <c r="F6" s="9">
        <v>137</v>
      </c>
      <c r="G6" s="9">
        <v>117.43</v>
      </c>
      <c r="H6" s="9" t="s">
        <v>23</v>
      </c>
      <c r="I6" s="9">
        <v>30</v>
      </c>
      <c r="J6" s="10">
        <v>-19.569999999999901</v>
      </c>
      <c r="K6" s="9" t="str">
        <f>TEXT(Sales_of_Jordan[[#This Row],[Sale_Date]],"mmm")</f>
        <v>May</v>
      </c>
    </row>
    <row r="7" spans="1:11" x14ac:dyDescent="0.35">
      <c r="A7" s="7" t="s">
        <v>28</v>
      </c>
      <c r="B7" s="8">
        <v>45416</v>
      </c>
      <c r="C7" s="9" t="s">
        <v>27</v>
      </c>
      <c r="D7" s="9" t="s">
        <v>22</v>
      </c>
      <c r="E7" s="9" t="s">
        <v>29</v>
      </c>
      <c r="F7" s="9">
        <v>131</v>
      </c>
      <c r="G7" s="9">
        <v>141.32</v>
      </c>
      <c r="H7" s="9" t="s">
        <v>23</v>
      </c>
      <c r="I7" s="9">
        <v>34</v>
      </c>
      <c r="J7" s="10">
        <v>10.319999999999901</v>
      </c>
      <c r="K7" s="9" t="str">
        <f>TEXT(Sales_of_Jordan[[#This Row],[Sale_Date]],"mmm")</f>
        <v>May</v>
      </c>
    </row>
    <row r="8" spans="1:11" x14ac:dyDescent="0.35">
      <c r="A8" s="7" t="s">
        <v>30</v>
      </c>
      <c r="B8" s="8">
        <v>45859</v>
      </c>
      <c r="C8" s="9" t="s">
        <v>31</v>
      </c>
      <c r="D8" s="9" t="s">
        <v>12</v>
      </c>
      <c r="E8" s="9" t="s">
        <v>13</v>
      </c>
      <c r="F8" s="9">
        <v>204</v>
      </c>
      <c r="G8" s="9">
        <v>138.28</v>
      </c>
      <c r="H8" s="9" t="s">
        <v>32</v>
      </c>
      <c r="I8" s="9">
        <v>38</v>
      </c>
      <c r="J8" s="10">
        <v>-65.72</v>
      </c>
      <c r="K8" s="9" t="str">
        <f>TEXT(Sales_of_Jordan[[#This Row],[Sale_Date]],"mmm")</f>
        <v>Jul</v>
      </c>
    </row>
    <row r="9" spans="1:11" x14ac:dyDescent="0.35">
      <c r="A9" s="7" t="s">
        <v>33</v>
      </c>
      <c r="B9" s="8">
        <v>45059</v>
      </c>
      <c r="C9" s="9" t="s">
        <v>27</v>
      </c>
      <c r="D9" s="9" t="s">
        <v>34</v>
      </c>
      <c r="E9" s="9" t="s">
        <v>18</v>
      </c>
      <c r="F9" s="9">
        <v>129</v>
      </c>
      <c r="G9" s="9">
        <v>295.89999999999998</v>
      </c>
      <c r="H9" s="9" t="s">
        <v>23</v>
      </c>
      <c r="I9" s="9">
        <v>31</v>
      </c>
      <c r="J9" s="10">
        <v>166.89999999999901</v>
      </c>
      <c r="K9" s="9" t="str">
        <f>TEXT(Sales_of_Jordan[[#This Row],[Sale_Date]],"mmm")</f>
        <v>May</v>
      </c>
    </row>
    <row r="10" spans="1:11" x14ac:dyDescent="0.35">
      <c r="A10" s="7" t="s">
        <v>35</v>
      </c>
      <c r="B10" s="8">
        <v>45076</v>
      </c>
      <c r="C10" s="9" t="s">
        <v>31</v>
      </c>
      <c r="D10" s="9" t="s">
        <v>36</v>
      </c>
      <c r="E10" s="9" t="s">
        <v>29</v>
      </c>
      <c r="F10" s="9">
        <v>205</v>
      </c>
      <c r="G10" s="9">
        <v>248.04</v>
      </c>
      <c r="H10" s="9" t="s">
        <v>19</v>
      </c>
      <c r="I10" s="9">
        <v>1</v>
      </c>
      <c r="J10" s="10">
        <v>43.0399999999999</v>
      </c>
      <c r="K10" s="9" t="str">
        <f>TEXT(Sales_of_Jordan[[#This Row],[Sale_Date]],"mmm")</f>
        <v>May</v>
      </c>
    </row>
    <row r="11" spans="1:11" x14ac:dyDescent="0.35">
      <c r="A11" s="7" t="s">
        <v>37</v>
      </c>
      <c r="B11" s="8">
        <v>45215</v>
      </c>
      <c r="C11" s="9" t="s">
        <v>21</v>
      </c>
      <c r="D11" s="9" t="s">
        <v>36</v>
      </c>
      <c r="E11" s="9" t="s">
        <v>13</v>
      </c>
      <c r="F11" s="9">
        <v>219</v>
      </c>
      <c r="G11" s="9">
        <v>170.96</v>
      </c>
      <c r="H11" s="9" t="s">
        <v>32</v>
      </c>
      <c r="I11" s="9">
        <v>44</v>
      </c>
      <c r="J11" s="10">
        <v>-48.0399999999999</v>
      </c>
      <c r="K11" s="9" t="str">
        <f>TEXT(Sales_of_Jordan[[#This Row],[Sale_Date]],"mmm")</f>
        <v>Oct</v>
      </c>
    </row>
    <row r="12" spans="1:11" x14ac:dyDescent="0.35">
      <c r="A12" s="7" t="s">
        <v>38</v>
      </c>
      <c r="B12" s="8">
        <v>45757</v>
      </c>
      <c r="C12" s="9" t="s">
        <v>27</v>
      </c>
      <c r="D12" s="9" t="s">
        <v>39</v>
      </c>
      <c r="E12" s="9" t="s">
        <v>29</v>
      </c>
      <c r="F12" s="9">
        <v>136</v>
      </c>
      <c r="G12" s="9">
        <v>177.57</v>
      </c>
      <c r="H12" s="9" t="s">
        <v>14</v>
      </c>
      <c r="I12" s="9">
        <v>5</v>
      </c>
      <c r="J12" s="10">
        <v>41.569999999999901</v>
      </c>
      <c r="K12" s="9" t="str">
        <f>TEXT(Sales_of_Jordan[[#This Row],[Sale_Date]],"mmm")</f>
        <v>Apr</v>
      </c>
    </row>
    <row r="13" spans="1:11" x14ac:dyDescent="0.35">
      <c r="A13" s="7" t="s">
        <v>40</v>
      </c>
      <c r="B13" s="8">
        <v>45297</v>
      </c>
      <c r="C13" s="9" t="s">
        <v>21</v>
      </c>
      <c r="D13" s="9" t="s">
        <v>17</v>
      </c>
      <c r="E13" s="9" t="s">
        <v>13</v>
      </c>
      <c r="F13" s="9">
        <v>210</v>
      </c>
      <c r="G13" s="9">
        <v>169.77</v>
      </c>
      <c r="H13" s="9" t="s">
        <v>23</v>
      </c>
      <c r="I13" s="9">
        <v>6</v>
      </c>
      <c r="J13" s="10">
        <v>-40.229999999999897</v>
      </c>
      <c r="K13" s="9" t="str">
        <f>TEXT(Sales_of_Jordan[[#This Row],[Sale_Date]],"mmm")</f>
        <v>Jan</v>
      </c>
    </row>
    <row r="14" spans="1:11" x14ac:dyDescent="0.35">
      <c r="A14" s="7" t="s">
        <v>41</v>
      </c>
      <c r="B14" s="8">
        <v>45101</v>
      </c>
      <c r="C14" s="9" t="s">
        <v>11</v>
      </c>
      <c r="D14" s="9" t="s">
        <v>34</v>
      </c>
      <c r="E14" s="9" t="s">
        <v>13</v>
      </c>
      <c r="F14" s="9">
        <v>225</v>
      </c>
      <c r="G14" s="9">
        <v>199.1</v>
      </c>
      <c r="H14" s="9" t="s">
        <v>32</v>
      </c>
      <c r="I14" s="9">
        <v>56</v>
      </c>
      <c r="J14" s="10">
        <v>-25.9</v>
      </c>
      <c r="K14" s="9" t="str">
        <f>TEXT(Sales_of_Jordan[[#This Row],[Sale_Date]],"mmm")</f>
        <v>Jun</v>
      </c>
    </row>
    <row r="15" spans="1:11" x14ac:dyDescent="0.35">
      <c r="A15" s="7" t="s">
        <v>42</v>
      </c>
      <c r="B15" s="8">
        <v>45017</v>
      </c>
      <c r="C15" s="9" t="s">
        <v>16</v>
      </c>
      <c r="D15" s="9" t="s">
        <v>34</v>
      </c>
      <c r="E15" s="9" t="s">
        <v>29</v>
      </c>
      <c r="F15" s="9">
        <v>188</v>
      </c>
      <c r="G15" s="9">
        <v>200.98</v>
      </c>
      <c r="H15" s="9" t="s">
        <v>23</v>
      </c>
      <c r="I15" s="9">
        <v>57</v>
      </c>
      <c r="J15" s="10">
        <v>12.979999999999899</v>
      </c>
      <c r="K15" s="9" t="str">
        <f>TEXT(Sales_of_Jordan[[#This Row],[Sale_Date]],"mmm")</f>
        <v>Apr</v>
      </c>
    </row>
    <row r="16" spans="1:11" x14ac:dyDescent="0.35">
      <c r="A16" s="7" t="s">
        <v>43</v>
      </c>
      <c r="B16" s="8">
        <v>45482</v>
      </c>
      <c r="C16" s="9" t="s">
        <v>21</v>
      </c>
      <c r="D16" s="9" t="s">
        <v>12</v>
      </c>
      <c r="E16" s="9" t="s">
        <v>29</v>
      </c>
      <c r="F16" s="9">
        <v>219</v>
      </c>
      <c r="G16" s="9">
        <v>306.35000000000002</v>
      </c>
      <c r="H16" s="9" t="s">
        <v>32</v>
      </c>
      <c r="I16" s="9">
        <v>34</v>
      </c>
      <c r="J16" s="10">
        <v>87.35</v>
      </c>
      <c r="K16" s="9" t="str">
        <f>TEXT(Sales_of_Jordan[[#This Row],[Sale_Date]],"mmm")</f>
        <v>Jul</v>
      </c>
    </row>
    <row r="17" spans="1:11" x14ac:dyDescent="0.35">
      <c r="A17" s="7" t="s">
        <v>44</v>
      </c>
      <c r="B17" s="8">
        <v>45911</v>
      </c>
      <c r="C17" s="9" t="s">
        <v>31</v>
      </c>
      <c r="D17" s="9" t="s">
        <v>39</v>
      </c>
      <c r="E17" s="9" t="s">
        <v>29</v>
      </c>
      <c r="F17" s="9">
        <v>202</v>
      </c>
      <c r="G17" s="9">
        <v>221.73</v>
      </c>
      <c r="H17" s="9" t="s">
        <v>14</v>
      </c>
      <c r="I17" s="9">
        <v>13</v>
      </c>
      <c r="J17" s="10">
        <v>19.729999999999901</v>
      </c>
      <c r="K17" s="9" t="str">
        <f>TEXT(Sales_of_Jordan[[#This Row],[Sale_Date]],"mmm")</f>
        <v>Sep</v>
      </c>
    </row>
    <row r="18" spans="1:11" x14ac:dyDescent="0.35">
      <c r="A18" s="7" t="s">
        <v>45</v>
      </c>
      <c r="B18" s="8">
        <v>45443</v>
      </c>
      <c r="C18" s="9" t="s">
        <v>16</v>
      </c>
      <c r="D18" s="9" t="s">
        <v>46</v>
      </c>
      <c r="E18" s="9" t="s">
        <v>13</v>
      </c>
      <c r="F18" s="9">
        <v>180</v>
      </c>
      <c r="G18" s="9">
        <v>134.74</v>
      </c>
      <c r="H18" s="9" t="s">
        <v>25</v>
      </c>
      <c r="I18" s="9">
        <v>54</v>
      </c>
      <c r="J18" s="10">
        <v>-45.259999999999899</v>
      </c>
      <c r="K18" s="9" t="str">
        <f>TEXT(Sales_of_Jordan[[#This Row],[Sale_Date]],"mmm")</f>
        <v>May</v>
      </c>
    </row>
    <row r="19" spans="1:11" x14ac:dyDescent="0.35">
      <c r="A19" s="7" t="s">
        <v>47</v>
      </c>
      <c r="B19" s="8">
        <v>45266</v>
      </c>
      <c r="C19" s="9" t="s">
        <v>21</v>
      </c>
      <c r="D19" s="9" t="s">
        <v>36</v>
      </c>
      <c r="E19" s="9" t="s">
        <v>13</v>
      </c>
      <c r="F19" s="9">
        <v>213</v>
      </c>
      <c r="G19" s="9">
        <v>162.53</v>
      </c>
      <c r="H19" s="9" t="s">
        <v>14</v>
      </c>
      <c r="I19" s="9">
        <v>9</v>
      </c>
      <c r="J19" s="10">
        <v>-50.47</v>
      </c>
      <c r="K19" s="9" t="str">
        <f>TEXT(Sales_of_Jordan[[#This Row],[Sale_Date]],"mmm")</f>
        <v>Dec</v>
      </c>
    </row>
    <row r="20" spans="1:11" x14ac:dyDescent="0.35">
      <c r="A20" s="7" t="s">
        <v>48</v>
      </c>
      <c r="B20" s="8">
        <v>45671</v>
      </c>
      <c r="C20" s="9" t="s">
        <v>21</v>
      </c>
      <c r="D20" s="9" t="s">
        <v>34</v>
      </c>
      <c r="E20" s="9" t="s">
        <v>18</v>
      </c>
      <c r="F20" s="9">
        <v>225</v>
      </c>
      <c r="G20" s="9">
        <v>305.36</v>
      </c>
      <c r="H20" s="9" t="s">
        <v>25</v>
      </c>
      <c r="I20" s="9">
        <v>11</v>
      </c>
      <c r="J20" s="10">
        <v>80.36</v>
      </c>
      <c r="K20" s="9" t="str">
        <f>TEXT(Sales_of_Jordan[[#This Row],[Sale_Date]],"mmm")</f>
        <v>Jan</v>
      </c>
    </row>
    <row r="21" spans="1:11" x14ac:dyDescent="0.35">
      <c r="A21" s="7" t="s">
        <v>49</v>
      </c>
      <c r="B21" s="8">
        <v>45223</v>
      </c>
      <c r="C21" s="9" t="s">
        <v>27</v>
      </c>
      <c r="D21" s="9" t="s">
        <v>46</v>
      </c>
      <c r="E21" s="9" t="s">
        <v>29</v>
      </c>
      <c r="F21" s="9">
        <v>117</v>
      </c>
      <c r="G21" s="9">
        <v>165.88</v>
      </c>
      <c r="H21" s="9" t="s">
        <v>19</v>
      </c>
      <c r="I21" s="9">
        <v>1</v>
      </c>
      <c r="J21" s="10">
        <v>48.879999999999903</v>
      </c>
      <c r="K21" s="9" t="str">
        <f>TEXT(Sales_of_Jordan[[#This Row],[Sale_Date]],"mmm")</f>
        <v>Oct</v>
      </c>
    </row>
    <row r="22" spans="1:11" x14ac:dyDescent="0.35">
      <c r="A22" s="7" t="s">
        <v>50</v>
      </c>
      <c r="B22" s="8">
        <v>44997</v>
      </c>
      <c r="C22" s="9" t="s">
        <v>16</v>
      </c>
      <c r="D22" s="9" t="s">
        <v>22</v>
      </c>
      <c r="E22" s="9" t="s">
        <v>13</v>
      </c>
      <c r="F22" s="9">
        <v>189</v>
      </c>
      <c r="G22" s="9">
        <v>168.98</v>
      </c>
      <c r="H22" s="9" t="s">
        <v>23</v>
      </c>
      <c r="I22" s="9">
        <v>55</v>
      </c>
      <c r="J22" s="10">
        <v>-20.02</v>
      </c>
      <c r="K22" s="9" t="str">
        <f>TEXT(Sales_of_Jordan[[#This Row],[Sale_Date]],"mmm")</f>
        <v>Mar</v>
      </c>
    </row>
    <row r="23" spans="1:11" x14ac:dyDescent="0.35">
      <c r="A23" s="7" t="s">
        <v>51</v>
      </c>
      <c r="B23" s="8">
        <v>45110</v>
      </c>
      <c r="C23" s="9" t="s">
        <v>27</v>
      </c>
      <c r="D23" s="9" t="s">
        <v>22</v>
      </c>
      <c r="E23" s="9" t="s">
        <v>18</v>
      </c>
      <c r="F23" s="9">
        <v>138</v>
      </c>
      <c r="G23" s="9">
        <v>320.72000000000003</v>
      </c>
      <c r="H23" s="9" t="s">
        <v>32</v>
      </c>
      <c r="I23" s="9">
        <v>34</v>
      </c>
      <c r="J23" s="10">
        <v>182.72</v>
      </c>
      <c r="K23" s="9" t="str">
        <f>TEXT(Sales_of_Jordan[[#This Row],[Sale_Date]],"mmm")</f>
        <v>Jul</v>
      </c>
    </row>
    <row r="24" spans="1:11" x14ac:dyDescent="0.35">
      <c r="A24" s="7" t="s">
        <v>52</v>
      </c>
      <c r="B24" s="8">
        <v>45534</v>
      </c>
      <c r="C24" s="9" t="s">
        <v>27</v>
      </c>
      <c r="D24" s="9" t="s">
        <v>53</v>
      </c>
      <c r="E24" s="9" t="s">
        <v>29</v>
      </c>
      <c r="F24" s="9">
        <v>130</v>
      </c>
      <c r="G24" s="9">
        <v>124.66</v>
      </c>
      <c r="H24" s="9" t="s">
        <v>32</v>
      </c>
      <c r="I24" s="9">
        <v>37</v>
      </c>
      <c r="J24" s="10">
        <v>-5.34</v>
      </c>
      <c r="K24" s="9" t="str">
        <f>TEXT(Sales_of_Jordan[[#This Row],[Sale_Date]],"mmm")</f>
        <v>Aug</v>
      </c>
    </row>
    <row r="25" spans="1:11" x14ac:dyDescent="0.35">
      <c r="A25" s="7" t="s">
        <v>54</v>
      </c>
      <c r="B25" s="8">
        <v>45468</v>
      </c>
      <c r="C25" s="9" t="s">
        <v>27</v>
      </c>
      <c r="D25" s="9" t="s">
        <v>55</v>
      </c>
      <c r="E25" s="9" t="s">
        <v>13</v>
      </c>
      <c r="F25" s="9">
        <v>121</v>
      </c>
      <c r="G25" s="9">
        <v>96.9</v>
      </c>
      <c r="H25" s="9" t="s">
        <v>19</v>
      </c>
      <c r="I25" s="9">
        <v>7</v>
      </c>
      <c r="J25" s="10">
        <v>-24.099999999999898</v>
      </c>
      <c r="K25" s="9" t="str">
        <f>TEXT(Sales_of_Jordan[[#This Row],[Sale_Date]],"mmm")</f>
        <v>Jun</v>
      </c>
    </row>
    <row r="26" spans="1:11" x14ac:dyDescent="0.35">
      <c r="A26" s="7" t="s">
        <v>56</v>
      </c>
      <c r="B26" s="8">
        <v>45497</v>
      </c>
      <c r="C26" s="9" t="s">
        <v>11</v>
      </c>
      <c r="D26" s="9" t="s">
        <v>39</v>
      </c>
      <c r="E26" s="9" t="s">
        <v>13</v>
      </c>
      <c r="F26" s="9">
        <v>229</v>
      </c>
      <c r="G26" s="9">
        <v>179.29</v>
      </c>
      <c r="H26" s="9" t="s">
        <v>14</v>
      </c>
      <c r="I26" s="9">
        <v>10</v>
      </c>
      <c r="J26" s="10">
        <v>-49.71</v>
      </c>
      <c r="K26" s="9" t="str">
        <f>TEXT(Sales_of_Jordan[[#This Row],[Sale_Date]],"mmm")</f>
        <v>Jul</v>
      </c>
    </row>
    <row r="27" spans="1:11" x14ac:dyDescent="0.35">
      <c r="A27" s="7" t="s">
        <v>57</v>
      </c>
      <c r="B27" s="8">
        <v>45165</v>
      </c>
      <c r="C27" s="9" t="s">
        <v>27</v>
      </c>
      <c r="D27" s="9" t="s">
        <v>39</v>
      </c>
      <c r="E27" s="9" t="s">
        <v>13</v>
      </c>
      <c r="F27" s="9">
        <v>127</v>
      </c>
      <c r="G27" s="9">
        <v>68.52</v>
      </c>
      <c r="H27" s="9" t="s">
        <v>14</v>
      </c>
      <c r="I27" s="9">
        <v>2</v>
      </c>
      <c r="J27" s="10">
        <v>-58.48</v>
      </c>
      <c r="K27" s="9" t="str">
        <f>TEXT(Sales_of_Jordan[[#This Row],[Sale_Date]],"mmm")</f>
        <v>Aug</v>
      </c>
    </row>
    <row r="28" spans="1:11" x14ac:dyDescent="0.35">
      <c r="A28" s="7" t="s">
        <v>58</v>
      </c>
      <c r="B28" s="8">
        <v>45364</v>
      </c>
      <c r="C28" s="9" t="s">
        <v>16</v>
      </c>
      <c r="D28" s="9" t="s">
        <v>53</v>
      </c>
      <c r="E28" s="9" t="s">
        <v>18</v>
      </c>
      <c r="F28" s="9">
        <v>188</v>
      </c>
      <c r="G28" s="9">
        <v>612.41999999999996</v>
      </c>
      <c r="H28" s="9" t="s">
        <v>25</v>
      </c>
      <c r="I28" s="9">
        <v>10</v>
      </c>
      <c r="J28" s="10">
        <v>424.41999999999899</v>
      </c>
      <c r="K28" s="9" t="str">
        <f>TEXT(Sales_of_Jordan[[#This Row],[Sale_Date]],"mmm")</f>
        <v>Mar</v>
      </c>
    </row>
    <row r="29" spans="1:11" x14ac:dyDescent="0.35">
      <c r="A29" s="7" t="s">
        <v>59</v>
      </c>
      <c r="B29" s="8">
        <v>45638</v>
      </c>
      <c r="C29" s="9" t="s">
        <v>11</v>
      </c>
      <c r="D29" s="9" t="s">
        <v>53</v>
      </c>
      <c r="E29" s="9" t="s">
        <v>13</v>
      </c>
      <c r="F29" s="9">
        <v>226</v>
      </c>
      <c r="G29" s="9">
        <v>168.45</v>
      </c>
      <c r="H29" s="9" t="s">
        <v>32</v>
      </c>
      <c r="I29" s="9">
        <v>37</v>
      </c>
      <c r="J29" s="10">
        <v>-57.55</v>
      </c>
      <c r="K29" s="9" t="str">
        <f>TEXT(Sales_of_Jordan[[#This Row],[Sale_Date]],"mmm")</f>
        <v>Dec</v>
      </c>
    </row>
    <row r="30" spans="1:11" x14ac:dyDescent="0.35">
      <c r="A30" s="7" t="s">
        <v>60</v>
      </c>
      <c r="B30" s="8">
        <v>45844</v>
      </c>
      <c r="C30" s="9" t="s">
        <v>27</v>
      </c>
      <c r="D30" s="9" t="s">
        <v>46</v>
      </c>
      <c r="E30" s="9" t="s">
        <v>13</v>
      </c>
      <c r="F30" s="9">
        <v>116</v>
      </c>
      <c r="G30" s="9">
        <v>69.03</v>
      </c>
      <c r="H30" s="9" t="s">
        <v>19</v>
      </c>
      <c r="I30" s="9">
        <v>6</v>
      </c>
      <c r="J30" s="10">
        <v>-46.97</v>
      </c>
      <c r="K30" s="9" t="str">
        <f>TEXT(Sales_of_Jordan[[#This Row],[Sale_Date]],"mmm")</f>
        <v>Jul</v>
      </c>
    </row>
    <row r="31" spans="1:11" x14ac:dyDescent="0.35">
      <c r="A31" s="7" t="s">
        <v>61</v>
      </c>
      <c r="B31" s="8">
        <v>45782</v>
      </c>
      <c r="C31" s="9" t="s">
        <v>11</v>
      </c>
      <c r="D31" s="9" t="s">
        <v>12</v>
      </c>
      <c r="E31" s="9" t="s">
        <v>29</v>
      </c>
      <c r="F31" s="9">
        <v>228</v>
      </c>
      <c r="G31" s="9">
        <v>241.43</v>
      </c>
      <c r="H31" s="9" t="s">
        <v>25</v>
      </c>
      <c r="I31" s="9">
        <v>16</v>
      </c>
      <c r="J31" s="10">
        <v>13.43</v>
      </c>
      <c r="K31" s="9" t="str">
        <f>TEXT(Sales_of_Jordan[[#This Row],[Sale_Date]],"mmm")</f>
        <v>May</v>
      </c>
    </row>
    <row r="32" spans="1:11" x14ac:dyDescent="0.35">
      <c r="A32" s="7" t="s">
        <v>62</v>
      </c>
      <c r="B32" s="8">
        <v>45315</v>
      </c>
      <c r="C32" s="9" t="s">
        <v>21</v>
      </c>
      <c r="D32" s="9" t="s">
        <v>36</v>
      </c>
      <c r="E32" s="9" t="s">
        <v>29</v>
      </c>
      <c r="F32" s="9">
        <v>216</v>
      </c>
      <c r="G32" s="9">
        <v>306.37</v>
      </c>
      <c r="H32" s="9" t="s">
        <v>25</v>
      </c>
      <c r="I32" s="9">
        <v>47</v>
      </c>
      <c r="J32" s="10">
        <v>90.37</v>
      </c>
      <c r="K32" s="9" t="str">
        <f>TEXT(Sales_of_Jordan[[#This Row],[Sale_Date]],"mmm")</f>
        <v>Jan</v>
      </c>
    </row>
    <row r="33" spans="1:11" x14ac:dyDescent="0.35">
      <c r="A33" s="7" t="s">
        <v>63</v>
      </c>
      <c r="B33" s="8">
        <v>45313</v>
      </c>
      <c r="C33" s="9" t="s">
        <v>31</v>
      </c>
      <c r="D33" s="9" t="s">
        <v>46</v>
      </c>
      <c r="E33" s="9" t="s">
        <v>18</v>
      </c>
      <c r="F33" s="9">
        <v>207</v>
      </c>
      <c r="G33" s="9">
        <v>680.6</v>
      </c>
      <c r="H33" s="9" t="s">
        <v>25</v>
      </c>
      <c r="I33" s="9">
        <v>57</v>
      </c>
      <c r="J33" s="10">
        <v>473.6</v>
      </c>
      <c r="K33" s="9" t="str">
        <f>TEXT(Sales_of_Jordan[[#This Row],[Sale_Date]],"mmm")</f>
        <v>Jan</v>
      </c>
    </row>
    <row r="34" spans="1:11" x14ac:dyDescent="0.35">
      <c r="A34" s="7" t="s">
        <v>64</v>
      </c>
      <c r="B34" s="8">
        <v>45676</v>
      </c>
      <c r="C34" s="9" t="s">
        <v>11</v>
      </c>
      <c r="D34" s="9" t="s">
        <v>39</v>
      </c>
      <c r="E34" s="9" t="s">
        <v>18</v>
      </c>
      <c r="F34" s="9">
        <v>227</v>
      </c>
      <c r="G34" s="9">
        <v>591.57000000000005</v>
      </c>
      <c r="H34" s="9" t="s">
        <v>19</v>
      </c>
      <c r="I34" s="9">
        <v>14</v>
      </c>
      <c r="J34" s="10">
        <v>364.57</v>
      </c>
      <c r="K34" s="9" t="str">
        <f>TEXT(Sales_of_Jordan[[#This Row],[Sale_Date]],"mmm")</f>
        <v>Jan</v>
      </c>
    </row>
    <row r="35" spans="1:11" x14ac:dyDescent="0.35">
      <c r="A35" s="7" t="s">
        <v>65</v>
      </c>
      <c r="B35" s="8">
        <v>45078</v>
      </c>
      <c r="C35" s="9" t="s">
        <v>16</v>
      </c>
      <c r="D35" s="9" t="s">
        <v>46</v>
      </c>
      <c r="E35" s="9" t="s">
        <v>13</v>
      </c>
      <c r="F35" s="9">
        <v>188</v>
      </c>
      <c r="G35" s="9">
        <v>97.46</v>
      </c>
      <c r="H35" s="9" t="s">
        <v>25</v>
      </c>
      <c r="I35" s="9">
        <v>53</v>
      </c>
      <c r="J35" s="10">
        <v>-90.54</v>
      </c>
      <c r="K35" s="9" t="str">
        <f>TEXT(Sales_of_Jordan[[#This Row],[Sale_Date]],"mmm")</f>
        <v>Jun</v>
      </c>
    </row>
    <row r="36" spans="1:11" x14ac:dyDescent="0.35">
      <c r="A36" s="7" t="s">
        <v>66</v>
      </c>
      <c r="B36" s="8">
        <v>45569</v>
      </c>
      <c r="C36" s="9" t="s">
        <v>21</v>
      </c>
      <c r="D36" s="9" t="s">
        <v>55</v>
      </c>
      <c r="E36" s="9" t="s">
        <v>18</v>
      </c>
      <c r="F36" s="9">
        <v>219</v>
      </c>
      <c r="G36" s="9">
        <v>524.34</v>
      </c>
      <c r="H36" s="9" t="s">
        <v>14</v>
      </c>
      <c r="I36" s="9">
        <v>1</v>
      </c>
      <c r="J36" s="10">
        <v>305.33999999999997</v>
      </c>
      <c r="K36" s="9" t="str">
        <f>TEXT(Sales_of_Jordan[[#This Row],[Sale_Date]],"mmm")</f>
        <v>Oct</v>
      </c>
    </row>
    <row r="37" spans="1:11" x14ac:dyDescent="0.35">
      <c r="A37" s="7" t="s">
        <v>67</v>
      </c>
      <c r="B37" s="8">
        <v>45882</v>
      </c>
      <c r="C37" s="9" t="s">
        <v>16</v>
      </c>
      <c r="D37" s="9" t="s">
        <v>34</v>
      </c>
      <c r="E37" s="9" t="s">
        <v>29</v>
      </c>
      <c r="F37" s="9">
        <v>189</v>
      </c>
      <c r="G37" s="9">
        <v>235.47</v>
      </c>
      <c r="H37" s="9" t="s">
        <v>25</v>
      </c>
      <c r="I37" s="9">
        <v>37</v>
      </c>
      <c r="J37" s="10">
        <v>46.47</v>
      </c>
      <c r="K37" s="9" t="str">
        <f>TEXT(Sales_of_Jordan[[#This Row],[Sale_Date]],"mmm")</f>
        <v>Aug</v>
      </c>
    </row>
    <row r="38" spans="1:11" x14ac:dyDescent="0.35">
      <c r="A38" s="7" t="s">
        <v>68</v>
      </c>
      <c r="B38" s="8">
        <v>45884</v>
      </c>
      <c r="C38" s="9" t="s">
        <v>16</v>
      </c>
      <c r="D38" s="9" t="s">
        <v>17</v>
      </c>
      <c r="E38" s="9" t="s">
        <v>18</v>
      </c>
      <c r="F38" s="9">
        <v>188</v>
      </c>
      <c r="G38" s="9">
        <v>427.01</v>
      </c>
      <c r="H38" s="9" t="s">
        <v>19</v>
      </c>
      <c r="I38" s="9">
        <v>9</v>
      </c>
      <c r="J38" s="10">
        <v>239.01</v>
      </c>
      <c r="K38" s="9" t="str">
        <f>TEXT(Sales_of_Jordan[[#This Row],[Sale_Date]],"mmm")</f>
        <v>Aug</v>
      </c>
    </row>
    <row r="39" spans="1:11" x14ac:dyDescent="0.35">
      <c r="A39" s="7" t="s">
        <v>69</v>
      </c>
      <c r="B39" s="8">
        <v>45679</v>
      </c>
      <c r="C39" s="9" t="s">
        <v>27</v>
      </c>
      <c r="D39" s="9" t="s">
        <v>53</v>
      </c>
      <c r="E39" s="9" t="s">
        <v>18</v>
      </c>
      <c r="F39" s="9">
        <v>121</v>
      </c>
      <c r="G39" s="9">
        <v>304.5</v>
      </c>
      <c r="H39" s="9" t="s">
        <v>19</v>
      </c>
      <c r="I39" s="9">
        <v>7</v>
      </c>
      <c r="J39" s="10">
        <v>183.5</v>
      </c>
      <c r="K39" s="9" t="str">
        <f>TEXT(Sales_of_Jordan[[#This Row],[Sale_Date]],"mmm")</f>
        <v>Jan</v>
      </c>
    </row>
    <row r="40" spans="1:11" x14ac:dyDescent="0.35">
      <c r="A40" s="7" t="s">
        <v>70</v>
      </c>
      <c r="B40" s="8">
        <v>45782</v>
      </c>
      <c r="C40" s="9" t="s">
        <v>11</v>
      </c>
      <c r="D40" s="9" t="s">
        <v>46</v>
      </c>
      <c r="E40" s="9" t="s">
        <v>29</v>
      </c>
      <c r="F40" s="9">
        <v>225</v>
      </c>
      <c r="G40" s="9">
        <v>301.25</v>
      </c>
      <c r="H40" s="9" t="s">
        <v>14</v>
      </c>
      <c r="I40" s="9">
        <v>6</v>
      </c>
      <c r="J40" s="10">
        <v>76.25</v>
      </c>
      <c r="K40" s="9" t="str">
        <f>TEXT(Sales_of_Jordan[[#This Row],[Sale_Date]],"mmm")</f>
        <v>May</v>
      </c>
    </row>
    <row r="41" spans="1:11" x14ac:dyDescent="0.35">
      <c r="A41" s="7" t="s">
        <v>71</v>
      </c>
      <c r="B41" s="8">
        <v>45400</v>
      </c>
      <c r="C41" s="9" t="s">
        <v>27</v>
      </c>
      <c r="D41" s="9" t="s">
        <v>34</v>
      </c>
      <c r="E41" s="9" t="s">
        <v>18</v>
      </c>
      <c r="F41" s="9">
        <v>126</v>
      </c>
      <c r="G41" s="9">
        <v>168.65</v>
      </c>
      <c r="H41" s="9" t="s">
        <v>19</v>
      </c>
      <c r="I41" s="9">
        <v>4</v>
      </c>
      <c r="J41" s="10">
        <v>42.65</v>
      </c>
      <c r="K41" s="9" t="str">
        <f>TEXT(Sales_of_Jordan[[#This Row],[Sale_Date]],"mmm")</f>
        <v>Apr</v>
      </c>
    </row>
    <row r="42" spans="1:11" x14ac:dyDescent="0.35">
      <c r="A42" s="7" t="s">
        <v>72</v>
      </c>
      <c r="B42" s="8">
        <v>45158</v>
      </c>
      <c r="C42" s="9" t="s">
        <v>31</v>
      </c>
      <c r="D42" s="9" t="s">
        <v>36</v>
      </c>
      <c r="E42" s="9" t="s">
        <v>13</v>
      </c>
      <c r="F42" s="9">
        <v>210</v>
      </c>
      <c r="G42" s="9">
        <v>154.65</v>
      </c>
      <c r="H42" s="9" t="s">
        <v>32</v>
      </c>
      <c r="I42" s="9">
        <v>50</v>
      </c>
      <c r="J42" s="10">
        <v>-55.349999999999902</v>
      </c>
      <c r="K42" s="9" t="str">
        <f>TEXT(Sales_of_Jordan[[#This Row],[Sale_Date]],"mmm")</f>
        <v>Aug</v>
      </c>
    </row>
    <row r="43" spans="1:11" x14ac:dyDescent="0.35">
      <c r="A43" s="7" t="s">
        <v>73</v>
      </c>
      <c r="B43" s="8">
        <v>45659</v>
      </c>
      <c r="C43" s="9" t="s">
        <v>11</v>
      </c>
      <c r="D43" s="9" t="s">
        <v>12</v>
      </c>
      <c r="E43" s="9" t="s">
        <v>29</v>
      </c>
      <c r="F43" s="9">
        <v>228</v>
      </c>
      <c r="G43" s="9">
        <v>299.99</v>
      </c>
      <c r="H43" s="9" t="s">
        <v>25</v>
      </c>
      <c r="I43" s="9">
        <v>50</v>
      </c>
      <c r="J43" s="10">
        <v>71.989999999999995</v>
      </c>
      <c r="K43" s="9" t="str">
        <f>TEXT(Sales_of_Jordan[[#This Row],[Sale_Date]],"mmm")</f>
        <v>Jan</v>
      </c>
    </row>
    <row r="44" spans="1:11" x14ac:dyDescent="0.35">
      <c r="A44" s="7" t="s">
        <v>74</v>
      </c>
      <c r="B44" s="8">
        <v>45754</v>
      </c>
      <c r="C44" s="9" t="s">
        <v>27</v>
      </c>
      <c r="D44" s="9" t="s">
        <v>53</v>
      </c>
      <c r="E44" s="9" t="s">
        <v>13</v>
      </c>
      <c r="F44" s="9">
        <v>133</v>
      </c>
      <c r="G44" s="9">
        <v>73.06</v>
      </c>
      <c r="H44" s="9" t="s">
        <v>19</v>
      </c>
      <c r="I44" s="9">
        <v>2</v>
      </c>
      <c r="J44" s="10">
        <v>-59.94</v>
      </c>
      <c r="K44" s="9" t="str">
        <f>TEXT(Sales_of_Jordan[[#This Row],[Sale_Date]],"mmm")</f>
        <v>Apr</v>
      </c>
    </row>
    <row r="45" spans="1:11" x14ac:dyDescent="0.35">
      <c r="A45" s="7" t="s">
        <v>75</v>
      </c>
      <c r="B45" s="8">
        <v>45168</v>
      </c>
      <c r="C45" s="9" t="s">
        <v>16</v>
      </c>
      <c r="D45" s="9" t="s">
        <v>36</v>
      </c>
      <c r="E45" s="9" t="s">
        <v>29</v>
      </c>
      <c r="F45" s="9">
        <v>183</v>
      </c>
      <c r="G45" s="9">
        <v>225.13</v>
      </c>
      <c r="H45" s="9" t="s">
        <v>19</v>
      </c>
      <c r="I45" s="9">
        <v>5</v>
      </c>
      <c r="J45" s="10">
        <v>42.129999999999903</v>
      </c>
      <c r="K45" s="9" t="str">
        <f>TEXT(Sales_of_Jordan[[#This Row],[Sale_Date]],"mmm")</f>
        <v>Aug</v>
      </c>
    </row>
    <row r="46" spans="1:11" x14ac:dyDescent="0.35">
      <c r="A46" s="7" t="s">
        <v>76</v>
      </c>
      <c r="B46" s="8">
        <v>45550</v>
      </c>
      <c r="C46" s="9" t="s">
        <v>16</v>
      </c>
      <c r="D46" s="9" t="s">
        <v>22</v>
      </c>
      <c r="E46" s="9" t="s">
        <v>29</v>
      </c>
      <c r="F46" s="9">
        <v>179</v>
      </c>
      <c r="G46" s="9">
        <v>169.88</v>
      </c>
      <c r="H46" s="9" t="s">
        <v>14</v>
      </c>
      <c r="I46" s="9">
        <v>12</v>
      </c>
      <c r="J46" s="10">
        <v>-9.1199999999999992</v>
      </c>
      <c r="K46" s="9" t="str">
        <f>TEXT(Sales_of_Jordan[[#This Row],[Sale_Date]],"mmm")</f>
        <v>Sep</v>
      </c>
    </row>
    <row r="47" spans="1:11" x14ac:dyDescent="0.35">
      <c r="A47" s="7" t="s">
        <v>77</v>
      </c>
      <c r="B47" s="8">
        <v>45042</v>
      </c>
      <c r="C47" s="9" t="s">
        <v>21</v>
      </c>
      <c r="D47" s="9" t="s">
        <v>39</v>
      </c>
      <c r="E47" s="9" t="s">
        <v>13</v>
      </c>
      <c r="F47" s="9">
        <v>218</v>
      </c>
      <c r="G47" s="9">
        <v>123.44</v>
      </c>
      <c r="H47" s="9" t="s">
        <v>23</v>
      </c>
      <c r="I47" s="9">
        <v>34</v>
      </c>
      <c r="J47" s="10">
        <v>-94.56</v>
      </c>
      <c r="K47" s="9" t="str">
        <f>TEXT(Sales_of_Jordan[[#This Row],[Sale_Date]],"mmm")</f>
        <v>Apr</v>
      </c>
    </row>
    <row r="48" spans="1:11" x14ac:dyDescent="0.35">
      <c r="A48" s="7" t="s">
        <v>78</v>
      </c>
      <c r="B48" s="8">
        <v>44951</v>
      </c>
      <c r="C48" s="9" t="s">
        <v>31</v>
      </c>
      <c r="D48" s="9" t="s">
        <v>36</v>
      </c>
      <c r="E48" s="9" t="s">
        <v>18</v>
      </c>
      <c r="F48" s="9">
        <v>200</v>
      </c>
      <c r="G48" s="9">
        <v>319.99</v>
      </c>
      <c r="H48" s="9" t="s">
        <v>14</v>
      </c>
      <c r="I48" s="9">
        <v>7</v>
      </c>
      <c r="J48" s="10">
        <v>119.99</v>
      </c>
      <c r="K48" s="9" t="str">
        <f>TEXT(Sales_of_Jordan[[#This Row],[Sale_Date]],"mmm")</f>
        <v>Jan</v>
      </c>
    </row>
    <row r="49" spans="1:11" x14ac:dyDescent="0.35">
      <c r="A49" s="7" t="s">
        <v>79</v>
      </c>
      <c r="B49" s="8">
        <v>45595</v>
      </c>
      <c r="C49" s="9" t="s">
        <v>11</v>
      </c>
      <c r="D49" s="9" t="s">
        <v>55</v>
      </c>
      <c r="E49" s="9" t="s">
        <v>18</v>
      </c>
      <c r="F49" s="9">
        <v>228</v>
      </c>
      <c r="G49" s="9">
        <v>555.5</v>
      </c>
      <c r="H49" s="9" t="s">
        <v>19</v>
      </c>
      <c r="I49" s="9">
        <v>11</v>
      </c>
      <c r="J49" s="10">
        <v>327.5</v>
      </c>
      <c r="K49" s="9" t="str">
        <f>TEXT(Sales_of_Jordan[[#This Row],[Sale_Date]],"mmm")</f>
        <v>Oct</v>
      </c>
    </row>
    <row r="50" spans="1:11" x14ac:dyDescent="0.35">
      <c r="A50" s="7" t="s">
        <v>80</v>
      </c>
      <c r="B50" s="8">
        <v>45008</v>
      </c>
      <c r="C50" s="9" t="s">
        <v>31</v>
      </c>
      <c r="D50" s="9" t="s">
        <v>46</v>
      </c>
      <c r="E50" s="9" t="s">
        <v>13</v>
      </c>
      <c r="F50" s="9">
        <v>202</v>
      </c>
      <c r="G50" s="9">
        <v>108.51</v>
      </c>
      <c r="H50" s="9" t="s">
        <v>19</v>
      </c>
      <c r="I50" s="9">
        <v>5</v>
      </c>
      <c r="J50" s="10">
        <v>-93.49</v>
      </c>
      <c r="K50" s="9" t="str">
        <f>TEXT(Sales_of_Jordan[[#This Row],[Sale_Date]],"mmm")</f>
        <v>Mar</v>
      </c>
    </row>
    <row r="51" spans="1:11" x14ac:dyDescent="0.35">
      <c r="A51" s="7" t="s">
        <v>81</v>
      </c>
      <c r="B51" s="8">
        <v>45262</v>
      </c>
      <c r="C51" s="9" t="s">
        <v>21</v>
      </c>
      <c r="D51" s="9" t="s">
        <v>55</v>
      </c>
      <c r="E51" s="9" t="s">
        <v>29</v>
      </c>
      <c r="F51" s="9">
        <v>220</v>
      </c>
      <c r="G51" s="9">
        <v>302.88</v>
      </c>
      <c r="H51" s="9" t="s">
        <v>23</v>
      </c>
      <c r="I51" s="9">
        <v>35</v>
      </c>
      <c r="J51" s="10">
        <v>82.88</v>
      </c>
      <c r="K51" s="9" t="str">
        <f>TEXT(Sales_of_Jordan[[#This Row],[Sale_Date]],"mmm")</f>
        <v>Dec</v>
      </c>
    </row>
    <row r="52" spans="1:11" x14ac:dyDescent="0.35">
      <c r="A52" s="7" t="s">
        <v>82</v>
      </c>
      <c r="B52" s="8">
        <v>45425</v>
      </c>
      <c r="C52" s="9" t="s">
        <v>31</v>
      </c>
      <c r="D52" s="9" t="s">
        <v>17</v>
      </c>
      <c r="E52" s="9" t="s">
        <v>13</v>
      </c>
      <c r="F52" s="9">
        <v>200</v>
      </c>
      <c r="G52" s="9">
        <v>171.01</v>
      </c>
      <c r="H52" s="9" t="s">
        <v>25</v>
      </c>
      <c r="I52" s="9">
        <v>47</v>
      </c>
      <c r="J52" s="10">
        <v>-28.99</v>
      </c>
      <c r="K52" s="9" t="str">
        <f>TEXT(Sales_of_Jordan[[#This Row],[Sale_Date]],"mmm")</f>
        <v>May</v>
      </c>
    </row>
    <row r="53" spans="1:11" x14ac:dyDescent="0.35">
      <c r="A53" s="7" t="s">
        <v>83</v>
      </c>
      <c r="B53" s="8">
        <v>45577</v>
      </c>
      <c r="C53" s="9" t="s">
        <v>27</v>
      </c>
      <c r="D53" s="9" t="s">
        <v>34</v>
      </c>
      <c r="E53" s="9" t="s">
        <v>13</v>
      </c>
      <c r="F53" s="9">
        <v>125</v>
      </c>
      <c r="G53" s="9">
        <v>97.66</v>
      </c>
      <c r="H53" s="9" t="s">
        <v>25</v>
      </c>
      <c r="I53" s="9">
        <v>21</v>
      </c>
      <c r="J53" s="10">
        <v>-27.34</v>
      </c>
      <c r="K53" s="9" t="str">
        <f>TEXT(Sales_of_Jordan[[#This Row],[Sale_Date]],"mmm")</f>
        <v>Oct</v>
      </c>
    </row>
    <row r="54" spans="1:11" x14ac:dyDescent="0.35">
      <c r="A54" s="7" t="s">
        <v>84</v>
      </c>
      <c r="B54" s="8">
        <v>45423</v>
      </c>
      <c r="C54" s="9" t="s">
        <v>31</v>
      </c>
      <c r="D54" s="9" t="s">
        <v>34</v>
      </c>
      <c r="E54" s="9" t="s">
        <v>18</v>
      </c>
      <c r="F54" s="9">
        <v>208</v>
      </c>
      <c r="G54" s="9">
        <v>446.15</v>
      </c>
      <c r="H54" s="9" t="s">
        <v>23</v>
      </c>
      <c r="I54" s="9">
        <v>20</v>
      </c>
      <c r="J54" s="10">
        <v>238.14999999999901</v>
      </c>
      <c r="K54" s="9" t="str">
        <f>TEXT(Sales_of_Jordan[[#This Row],[Sale_Date]],"mmm")</f>
        <v>May</v>
      </c>
    </row>
    <row r="55" spans="1:11" x14ac:dyDescent="0.35">
      <c r="A55" s="7" t="s">
        <v>85</v>
      </c>
      <c r="B55" s="8">
        <v>45762</v>
      </c>
      <c r="C55" s="9" t="s">
        <v>11</v>
      </c>
      <c r="D55" s="9" t="s">
        <v>17</v>
      </c>
      <c r="E55" s="9" t="s">
        <v>18</v>
      </c>
      <c r="F55" s="9">
        <v>226</v>
      </c>
      <c r="G55" s="9">
        <v>759.43</v>
      </c>
      <c r="H55" s="9" t="s">
        <v>25</v>
      </c>
      <c r="I55" s="9">
        <v>55</v>
      </c>
      <c r="J55" s="10">
        <v>533.42999999999995</v>
      </c>
      <c r="K55" s="9" t="str">
        <f>TEXT(Sales_of_Jordan[[#This Row],[Sale_Date]],"mmm")</f>
        <v>Apr</v>
      </c>
    </row>
    <row r="56" spans="1:11" x14ac:dyDescent="0.35">
      <c r="A56" s="7" t="s">
        <v>86</v>
      </c>
      <c r="B56" s="8">
        <v>45828</v>
      </c>
      <c r="C56" s="9" t="s">
        <v>31</v>
      </c>
      <c r="D56" s="9" t="s">
        <v>36</v>
      </c>
      <c r="E56" s="9" t="s">
        <v>29</v>
      </c>
      <c r="F56" s="9">
        <v>202</v>
      </c>
      <c r="G56" s="9">
        <v>211.51</v>
      </c>
      <c r="H56" s="9" t="s">
        <v>19</v>
      </c>
      <c r="I56" s="9">
        <v>8</v>
      </c>
      <c r="J56" s="10">
        <v>9.5099999999999891</v>
      </c>
      <c r="K56" s="9" t="str">
        <f>TEXT(Sales_of_Jordan[[#This Row],[Sale_Date]],"mmm")</f>
        <v>Jun</v>
      </c>
    </row>
    <row r="57" spans="1:11" x14ac:dyDescent="0.35">
      <c r="A57" s="7" t="s">
        <v>87</v>
      </c>
      <c r="B57" s="8">
        <v>45431</v>
      </c>
      <c r="C57" s="9" t="s">
        <v>27</v>
      </c>
      <c r="D57" s="9" t="s">
        <v>12</v>
      </c>
      <c r="E57" s="9" t="s">
        <v>29</v>
      </c>
      <c r="F57" s="9">
        <v>132</v>
      </c>
      <c r="G57" s="9">
        <v>170.01</v>
      </c>
      <c r="H57" s="9" t="s">
        <v>23</v>
      </c>
      <c r="I57" s="9">
        <v>7</v>
      </c>
      <c r="J57" s="10">
        <v>38.009999999999899</v>
      </c>
      <c r="K57" s="9" t="str">
        <f>TEXT(Sales_of_Jordan[[#This Row],[Sale_Date]],"mmm")</f>
        <v>May</v>
      </c>
    </row>
    <row r="58" spans="1:11" x14ac:dyDescent="0.35">
      <c r="A58" s="7" t="s">
        <v>88</v>
      </c>
      <c r="B58" s="8">
        <v>45570</v>
      </c>
      <c r="C58" s="9" t="s">
        <v>11</v>
      </c>
      <c r="D58" s="9" t="s">
        <v>12</v>
      </c>
      <c r="E58" s="9" t="s">
        <v>13</v>
      </c>
      <c r="F58" s="9">
        <v>229</v>
      </c>
      <c r="G58" s="9">
        <v>184.37</v>
      </c>
      <c r="H58" s="9" t="s">
        <v>23</v>
      </c>
      <c r="I58" s="9">
        <v>53</v>
      </c>
      <c r="J58" s="10">
        <v>-44.629999999999903</v>
      </c>
      <c r="K58" s="9" t="str">
        <f>TEXT(Sales_of_Jordan[[#This Row],[Sale_Date]],"mmm")</f>
        <v>Oct</v>
      </c>
    </row>
    <row r="59" spans="1:11" x14ac:dyDescent="0.35">
      <c r="A59" s="7" t="s">
        <v>89</v>
      </c>
      <c r="B59" s="8">
        <v>45073</v>
      </c>
      <c r="C59" s="9" t="s">
        <v>16</v>
      </c>
      <c r="D59" s="9" t="s">
        <v>55</v>
      </c>
      <c r="E59" s="9" t="s">
        <v>29</v>
      </c>
      <c r="F59" s="9">
        <v>176</v>
      </c>
      <c r="G59" s="9">
        <v>163.4</v>
      </c>
      <c r="H59" s="9" t="s">
        <v>25</v>
      </c>
      <c r="I59" s="9">
        <v>31</v>
      </c>
      <c r="J59" s="10">
        <v>-12.5999999999999</v>
      </c>
      <c r="K59" s="9" t="str">
        <f>TEXT(Sales_of_Jordan[[#This Row],[Sale_Date]],"mmm")</f>
        <v>May</v>
      </c>
    </row>
    <row r="60" spans="1:11" x14ac:dyDescent="0.35">
      <c r="A60" s="7" t="s">
        <v>90</v>
      </c>
      <c r="B60" s="8">
        <v>45578</v>
      </c>
      <c r="C60" s="9" t="s">
        <v>27</v>
      </c>
      <c r="D60" s="9" t="s">
        <v>22</v>
      </c>
      <c r="E60" s="9" t="s">
        <v>29</v>
      </c>
      <c r="F60" s="9">
        <v>112</v>
      </c>
      <c r="G60" s="9">
        <v>110.41</v>
      </c>
      <c r="H60" s="9" t="s">
        <v>23</v>
      </c>
      <c r="I60" s="9">
        <v>57</v>
      </c>
      <c r="J60" s="10">
        <v>-1.59</v>
      </c>
      <c r="K60" s="9" t="str">
        <f>TEXT(Sales_of_Jordan[[#This Row],[Sale_Date]],"mmm")</f>
        <v>Oct</v>
      </c>
    </row>
    <row r="61" spans="1:11" x14ac:dyDescent="0.35">
      <c r="A61" s="7" t="s">
        <v>91</v>
      </c>
      <c r="B61" s="8">
        <v>45503</v>
      </c>
      <c r="C61" s="9" t="s">
        <v>11</v>
      </c>
      <c r="D61" s="9" t="s">
        <v>39</v>
      </c>
      <c r="E61" s="9" t="s">
        <v>29</v>
      </c>
      <c r="F61" s="9">
        <v>228</v>
      </c>
      <c r="G61" s="9">
        <v>212.72</v>
      </c>
      <c r="H61" s="9" t="s">
        <v>14</v>
      </c>
      <c r="I61" s="9">
        <v>11</v>
      </c>
      <c r="J61" s="10">
        <v>-15.28</v>
      </c>
      <c r="K61" s="9" t="str">
        <f>TEXT(Sales_of_Jordan[[#This Row],[Sale_Date]],"mmm")</f>
        <v>Jul</v>
      </c>
    </row>
    <row r="62" spans="1:11" x14ac:dyDescent="0.35">
      <c r="A62" s="7" t="s">
        <v>92</v>
      </c>
      <c r="B62" s="8">
        <v>45642</v>
      </c>
      <c r="C62" s="9" t="s">
        <v>21</v>
      </c>
      <c r="D62" s="9" t="s">
        <v>12</v>
      </c>
      <c r="E62" s="9" t="s">
        <v>29</v>
      </c>
      <c r="F62" s="9">
        <v>211</v>
      </c>
      <c r="G62" s="9">
        <v>193.96</v>
      </c>
      <c r="H62" s="9" t="s">
        <v>32</v>
      </c>
      <c r="I62" s="9">
        <v>50</v>
      </c>
      <c r="J62" s="10">
        <v>-17.0399999999999</v>
      </c>
      <c r="K62" s="9" t="str">
        <f>TEXT(Sales_of_Jordan[[#This Row],[Sale_Date]],"mmm")</f>
        <v>Dec</v>
      </c>
    </row>
    <row r="63" spans="1:11" x14ac:dyDescent="0.35">
      <c r="A63" s="7" t="s">
        <v>93</v>
      </c>
      <c r="B63" s="8">
        <v>45510</v>
      </c>
      <c r="C63" s="9" t="s">
        <v>16</v>
      </c>
      <c r="D63" s="9" t="s">
        <v>55</v>
      </c>
      <c r="E63" s="9" t="s">
        <v>29</v>
      </c>
      <c r="F63" s="9">
        <v>173</v>
      </c>
      <c r="G63" s="9">
        <v>200.36</v>
      </c>
      <c r="H63" s="9" t="s">
        <v>25</v>
      </c>
      <c r="I63" s="9">
        <v>55</v>
      </c>
      <c r="J63" s="10">
        <v>27.36</v>
      </c>
      <c r="K63" s="9" t="str">
        <f>TEXT(Sales_of_Jordan[[#This Row],[Sale_Date]],"mmm")</f>
        <v>Aug</v>
      </c>
    </row>
    <row r="64" spans="1:11" x14ac:dyDescent="0.35">
      <c r="A64" s="7" t="s">
        <v>94</v>
      </c>
      <c r="B64" s="8">
        <v>45317</v>
      </c>
      <c r="C64" s="9" t="s">
        <v>31</v>
      </c>
      <c r="D64" s="9" t="s">
        <v>34</v>
      </c>
      <c r="E64" s="9" t="s">
        <v>13</v>
      </c>
      <c r="F64" s="9">
        <v>208</v>
      </c>
      <c r="G64" s="9">
        <v>118.61</v>
      </c>
      <c r="H64" s="9" t="s">
        <v>23</v>
      </c>
      <c r="I64" s="9">
        <v>32</v>
      </c>
      <c r="J64" s="10">
        <v>-89.39</v>
      </c>
      <c r="K64" s="9" t="str">
        <f>TEXT(Sales_of_Jordan[[#This Row],[Sale_Date]],"mmm")</f>
        <v>Jan</v>
      </c>
    </row>
    <row r="65" spans="1:11" x14ac:dyDescent="0.35">
      <c r="A65" s="7" t="s">
        <v>95</v>
      </c>
      <c r="B65" s="8">
        <v>45635</v>
      </c>
      <c r="C65" s="9" t="s">
        <v>16</v>
      </c>
      <c r="D65" s="9" t="s">
        <v>36</v>
      </c>
      <c r="E65" s="9" t="s">
        <v>13</v>
      </c>
      <c r="F65" s="9">
        <v>170</v>
      </c>
      <c r="G65" s="9">
        <v>101.7</v>
      </c>
      <c r="H65" s="9" t="s">
        <v>23</v>
      </c>
      <c r="I65" s="9">
        <v>28</v>
      </c>
      <c r="J65" s="10">
        <v>-68.3</v>
      </c>
      <c r="K65" s="9" t="str">
        <f>TEXT(Sales_of_Jordan[[#This Row],[Sale_Date]],"mmm")</f>
        <v>Dec</v>
      </c>
    </row>
    <row r="66" spans="1:11" x14ac:dyDescent="0.35">
      <c r="A66" s="7" t="s">
        <v>96</v>
      </c>
      <c r="B66" s="8">
        <v>45569</v>
      </c>
      <c r="C66" s="9" t="s">
        <v>21</v>
      </c>
      <c r="D66" s="9" t="s">
        <v>36</v>
      </c>
      <c r="E66" s="9" t="s">
        <v>29</v>
      </c>
      <c r="F66" s="9">
        <v>211</v>
      </c>
      <c r="G66" s="9">
        <v>191.93</v>
      </c>
      <c r="H66" s="9" t="s">
        <v>19</v>
      </c>
      <c r="I66" s="9">
        <v>1</v>
      </c>
      <c r="J66" s="10">
        <v>-19.069999999999901</v>
      </c>
      <c r="K66" s="9" t="str">
        <f>TEXT(Sales_of_Jordan[[#This Row],[Sale_Date]],"mmm")</f>
        <v>Oct</v>
      </c>
    </row>
    <row r="67" spans="1:11" x14ac:dyDescent="0.35">
      <c r="A67" s="7" t="s">
        <v>97</v>
      </c>
      <c r="B67" s="8">
        <v>45900</v>
      </c>
      <c r="C67" s="9" t="s">
        <v>27</v>
      </c>
      <c r="D67" s="9" t="s">
        <v>12</v>
      </c>
      <c r="E67" s="9" t="s">
        <v>18</v>
      </c>
      <c r="F67" s="9">
        <v>132</v>
      </c>
      <c r="G67" s="9">
        <v>247.89</v>
      </c>
      <c r="H67" s="9" t="s">
        <v>32</v>
      </c>
      <c r="I67" s="9">
        <v>32</v>
      </c>
      <c r="J67" s="10">
        <v>115.88999999999901</v>
      </c>
      <c r="K67" s="9" t="str">
        <f>TEXT(Sales_of_Jordan[[#This Row],[Sale_Date]],"mmm")</f>
        <v>Aug</v>
      </c>
    </row>
    <row r="68" spans="1:11" x14ac:dyDescent="0.35">
      <c r="A68" s="7" t="s">
        <v>98</v>
      </c>
      <c r="B68" s="8">
        <v>45709</v>
      </c>
      <c r="C68" s="9" t="s">
        <v>11</v>
      </c>
      <c r="D68" s="9" t="s">
        <v>46</v>
      </c>
      <c r="E68" s="9" t="s">
        <v>18</v>
      </c>
      <c r="F68" s="9">
        <v>226</v>
      </c>
      <c r="G68" s="9">
        <v>670.42</v>
      </c>
      <c r="H68" s="9" t="s">
        <v>19</v>
      </c>
      <c r="I68" s="9">
        <v>8</v>
      </c>
      <c r="J68" s="10">
        <v>444.41999999999899</v>
      </c>
      <c r="K68" s="9" t="str">
        <f>TEXT(Sales_of_Jordan[[#This Row],[Sale_Date]],"mmm")</f>
        <v>Feb</v>
      </c>
    </row>
    <row r="69" spans="1:11" x14ac:dyDescent="0.35">
      <c r="A69" s="7" t="s">
        <v>99</v>
      </c>
      <c r="B69" s="8">
        <v>45823</v>
      </c>
      <c r="C69" s="9" t="s">
        <v>21</v>
      </c>
      <c r="D69" s="9" t="s">
        <v>39</v>
      </c>
      <c r="E69" s="9" t="s">
        <v>13</v>
      </c>
      <c r="F69" s="9">
        <v>220</v>
      </c>
      <c r="G69" s="9">
        <v>181.97</v>
      </c>
      <c r="H69" s="9" t="s">
        <v>14</v>
      </c>
      <c r="I69" s="9">
        <v>5</v>
      </c>
      <c r="J69" s="10">
        <v>-38.03</v>
      </c>
      <c r="K69" s="9" t="str">
        <f>TEXT(Sales_of_Jordan[[#This Row],[Sale_Date]],"mmm")</f>
        <v>Jun</v>
      </c>
    </row>
    <row r="70" spans="1:11" x14ac:dyDescent="0.35">
      <c r="A70" s="7" t="s">
        <v>100</v>
      </c>
      <c r="B70" s="8">
        <v>45098</v>
      </c>
      <c r="C70" s="9" t="s">
        <v>11</v>
      </c>
      <c r="D70" s="9" t="s">
        <v>22</v>
      </c>
      <c r="E70" s="9" t="s">
        <v>13</v>
      </c>
      <c r="F70" s="9">
        <v>229</v>
      </c>
      <c r="G70" s="9">
        <v>134.63999999999999</v>
      </c>
      <c r="H70" s="9" t="s">
        <v>32</v>
      </c>
      <c r="I70" s="9">
        <v>51</v>
      </c>
      <c r="J70" s="10">
        <v>-94.36</v>
      </c>
      <c r="K70" s="9" t="str">
        <f>TEXT(Sales_of_Jordan[[#This Row],[Sale_Date]],"mmm")</f>
        <v>Jun</v>
      </c>
    </row>
    <row r="71" spans="1:11" x14ac:dyDescent="0.35">
      <c r="A71" s="7" t="s">
        <v>101</v>
      </c>
      <c r="B71" s="8">
        <v>45004</v>
      </c>
      <c r="C71" s="9" t="s">
        <v>16</v>
      </c>
      <c r="D71" s="9" t="s">
        <v>55</v>
      </c>
      <c r="E71" s="9" t="s">
        <v>13</v>
      </c>
      <c r="F71" s="9">
        <v>181</v>
      </c>
      <c r="G71" s="9">
        <v>117.95</v>
      </c>
      <c r="H71" s="9" t="s">
        <v>32</v>
      </c>
      <c r="I71" s="9">
        <v>54</v>
      </c>
      <c r="J71" s="10">
        <v>-63.05</v>
      </c>
      <c r="K71" s="9" t="str">
        <f>TEXT(Sales_of_Jordan[[#This Row],[Sale_Date]],"mmm")</f>
        <v>Mar</v>
      </c>
    </row>
    <row r="72" spans="1:11" x14ac:dyDescent="0.35">
      <c r="A72" s="7" t="s">
        <v>102</v>
      </c>
      <c r="B72" s="8">
        <v>45843</v>
      </c>
      <c r="C72" s="9" t="s">
        <v>31</v>
      </c>
      <c r="D72" s="9" t="s">
        <v>12</v>
      </c>
      <c r="E72" s="9" t="s">
        <v>29</v>
      </c>
      <c r="F72" s="9">
        <v>202</v>
      </c>
      <c r="G72" s="9">
        <v>193.83</v>
      </c>
      <c r="H72" s="9" t="s">
        <v>19</v>
      </c>
      <c r="I72" s="9">
        <v>14</v>
      </c>
      <c r="J72" s="10">
        <v>-8.1699999999999804</v>
      </c>
      <c r="K72" s="9" t="str">
        <f>TEXT(Sales_of_Jordan[[#This Row],[Sale_Date]],"mmm")</f>
        <v>Jul</v>
      </c>
    </row>
    <row r="73" spans="1:11" x14ac:dyDescent="0.35">
      <c r="A73" s="7" t="s">
        <v>103</v>
      </c>
      <c r="B73" s="8">
        <v>45601</v>
      </c>
      <c r="C73" s="9" t="s">
        <v>31</v>
      </c>
      <c r="D73" s="9" t="s">
        <v>39</v>
      </c>
      <c r="E73" s="9" t="s">
        <v>18</v>
      </c>
      <c r="F73" s="9">
        <v>204</v>
      </c>
      <c r="G73" s="9">
        <v>391.7</v>
      </c>
      <c r="H73" s="9" t="s">
        <v>19</v>
      </c>
      <c r="I73" s="9">
        <v>9</v>
      </c>
      <c r="J73" s="10">
        <v>187.7</v>
      </c>
      <c r="K73" s="9" t="str">
        <f>TEXT(Sales_of_Jordan[[#This Row],[Sale_Date]],"mmm")</f>
        <v>Nov</v>
      </c>
    </row>
    <row r="74" spans="1:11" x14ac:dyDescent="0.35">
      <c r="A74" s="7" t="s">
        <v>104</v>
      </c>
      <c r="B74" s="8">
        <v>45713</v>
      </c>
      <c r="C74" s="9" t="s">
        <v>16</v>
      </c>
      <c r="D74" s="9" t="s">
        <v>12</v>
      </c>
      <c r="E74" s="9" t="s">
        <v>13</v>
      </c>
      <c r="F74" s="9">
        <v>182</v>
      </c>
      <c r="G74" s="9">
        <v>142.63999999999999</v>
      </c>
      <c r="H74" s="9" t="s">
        <v>14</v>
      </c>
      <c r="I74" s="9">
        <v>12</v>
      </c>
      <c r="J74" s="10">
        <v>-39.36</v>
      </c>
      <c r="K74" s="9" t="str">
        <f>TEXT(Sales_of_Jordan[[#This Row],[Sale_Date]],"mmm")</f>
        <v>Feb</v>
      </c>
    </row>
    <row r="75" spans="1:11" x14ac:dyDescent="0.35">
      <c r="A75" s="7" t="s">
        <v>105</v>
      </c>
      <c r="B75" s="8">
        <v>45015</v>
      </c>
      <c r="C75" s="9" t="s">
        <v>11</v>
      </c>
      <c r="D75" s="9" t="s">
        <v>22</v>
      </c>
      <c r="E75" s="9" t="s">
        <v>18</v>
      </c>
      <c r="F75" s="9">
        <v>230</v>
      </c>
      <c r="G75" s="9">
        <v>751.9</v>
      </c>
      <c r="H75" s="9" t="s">
        <v>25</v>
      </c>
      <c r="I75" s="9">
        <v>60</v>
      </c>
      <c r="J75" s="10">
        <v>521.9</v>
      </c>
      <c r="K75" s="9" t="str">
        <f>TEXT(Sales_of_Jordan[[#This Row],[Sale_Date]],"mmm")</f>
        <v>Mar</v>
      </c>
    </row>
    <row r="76" spans="1:11" x14ac:dyDescent="0.35">
      <c r="A76" s="7" t="s">
        <v>106</v>
      </c>
      <c r="B76" s="8">
        <v>45573</v>
      </c>
      <c r="C76" s="9" t="s">
        <v>16</v>
      </c>
      <c r="D76" s="9" t="s">
        <v>36</v>
      </c>
      <c r="E76" s="9" t="s">
        <v>29</v>
      </c>
      <c r="F76" s="9">
        <v>187</v>
      </c>
      <c r="G76" s="9">
        <v>225.83</v>
      </c>
      <c r="H76" s="9" t="s">
        <v>25</v>
      </c>
      <c r="I76" s="9">
        <v>21</v>
      </c>
      <c r="J76" s="10">
        <v>38.83</v>
      </c>
      <c r="K76" s="9" t="str">
        <f>TEXT(Sales_of_Jordan[[#This Row],[Sale_Date]],"mmm")</f>
        <v>Oct</v>
      </c>
    </row>
    <row r="77" spans="1:11" x14ac:dyDescent="0.35">
      <c r="A77" s="7" t="s">
        <v>107</v>
      </c>
      <c r="B77" s="8">
        <v>45390</v>
      </c>
      <c r="C77" s="9" t="s">
        <v>11</v>
      </c>
      <c r="D77" s="9" t="s">
        <v>53</v>
      </c>
      <c r="E77" s="9" t="s">
        <v>18</v>
      </c>
      <c r="F77" s="9">
        <v>230</v>
      </c>
      <c r="G77" s="9">
        <v>580.21</v>
      </c>
      <c r="H77" s="9" t="s">
        <v>19</v>
      </c>
      <c r="I77" s="9">
        <v>12</v>
      </c>
      <c r="J77" s="10">
        <v>350.21</v>
      </c>
      <c r="K77" s="9" t="str">
        <f>TEXT(Sales_of_Jordan[[#This Row],[Sale_Date]],"mmm")</f>
        <v>Apr</v>
      </c>
    </row>
    <row r="78" spans="1:11" x14ac:dyDescent="0.35">
      <c r="A78" s="7" t="s">
        <v>108</v>
      </c>
      <c r="B78" s="8">
        <v>45007</v>
      </c>
      <c r="C78" s="9" t="s">
        <v>31</v>
      </c>
      <c r="D78" s="9" t="s">
        <v>55</v>
      </c>
      <c r="E78" s="9" t="s">
        <v>18</v>
      </c>
      <c r="F78" s="9">
        <v>207</v>
      </c>
      <c r="G78" s="9">
        <v>593.96</v>
      </c>
      <c r="H78" s="9" t="s">
        <v>19</v>
      </c>
      <c r="I78" s="9">
        <v>1</v>
      </c>
      <c r="J78" s="10">
        <v>386.96</v>
      </c>
      <c r="K78" s="9" t="str">
        <f>TEXT(Sales_of_Jordan[[#This Row],[Sale_Date]],"mmm")</f>
        <v>Mar</v>
      </c>
    </row>
    <row r="79" spans="1:11" x14ac:dyDescent="0.35">
      <c r="A79" s="7" t="s">
        <v>109</v>
      </c>
      <c r="B79" s="8">
        <v>45491</v>
      </c>
      <c r="C79" s="9" t="s">
        <v>11</v>
      </c>
      <c r="D79" s="9" t="s">
        <v>39</v>
      </c>
      <c r="E79" s="9" t="s">
        <v>18</v>
      </c>
      <c r="F79" s="9">
        <v>230</v>
      </c>
      <c r="G79" s="9">
        <v>451.82</v>
      </c>
      <c r="H79" s="9" t="s">
        <v>23</v>
      </c>
      <c r="I79" s="9">
        <v>58</v>
      </c>
      <c r="J79" s="10">
        <v>221.82</v>
      </c>
      <c r="K79" s="9" t="str">
        <f>TEXT(Sales_of_Jordan[[#This Row],[Sale_Date]],"mmm")</f>
        <v>Jul</v>
      </c>
    </row>
    <row r="80" spans="1:11" x14ac:dyDescent="0.35">
      <c r="A80" s="7" t="s">
        <v>110</v>
      </c>
      <c r="B80" s="8">
        <v>45369</v>
      </c>
      <c r="C80" s="9" t="s">
        <v>31</v>
      </c>
      <c r="D80" s="9" t="s">
        <v>46</v>
      </c>
      <c r="E80" s="9" t="s">
        <v>29</v>
      </c>
      <c r="F80" s="9">
        <v>204</v>
      </c>
      <c r="G80" s="9">
        <v>302.94</v>
      </c>
      <c r="H80" s="9" t="s">
        <v>32</v>
      </c>
      <c r="I80" s="9">
        <v>46</v>
      </c>
      <c r="J80" s="10">
        <v>98.94</v>
      </c>
      <c r="K80" s="9" t="str">
        <f>TEXT(Sales_of_Jordan[[#This Row],[Sale_Date]],"mmm")</f>
        <v>Mar</v>
      </c>
    </row>
    <row r="81" spans="1:11" x14ac:dyDescent="0.35">
      <c r="A81" s="7" t="s">
        <v>111</v>
      </c>
      <c r="B81" s="8">
        <v>45740</v>
      </c>
      <c r="C81" s="9" t="s">
        <v>16</v>
      </c>
      <c r="D81" s="9" t="s">
        <v>55</v>
      </c>
      <c r="E81" s="9" t="s">
        <v>29</v>
      </c>
      <c r="F81" s="9">
        <v>182</v>
      </c>
      <c r="G81" s="9">
        <v>261.39</v>
      </c>
      <c r="H81" s="9" t="s">
        <v>23</v>
      </c>
      <c r="I81" s="9">
        <v>55</v>
      </c>
      <c r="J81" s="10">
        <v>79.389999999999901</v>
      </c>
      <c r="K81" s="9" t="str">
        <f>TEXT(Sales_of_Jordan[[#This Row],[Sale_Date]],"mmm")</f>
        <v>Mar</v>
      </c>
    </row>
    <row r="82" spans="1:11" x14ac:dyDescent="0.35">
      <c r="A82" s="7" t="s">
        <v>112</v>
      </c>
      <c r="B82" s="8">
        <v>44939</v>
      </c>
      <c r="C82" s="9" t="s">
        <v>21</v>
      </c>
      <c r="D82" s="9" t="s">
        <v>22</v>
      </c>
      <c r="E82" s="9" t="s">
        <v>18</v>
      </c>
      <c r="F82" s="9">
        <v>213</v>
      </c>
      <c r="G82" s="9">
        <v>596.74</v>
      </c>
      <c r="H82" s="9" t="s">
        <v>19</v>
      </c>
      <c r="I82" s="9">
        <v>3</v>
      </c>
      <c r="J82" s="10">
        <v>383.74</v>
      </c>
      <c r="K82" s="9" t="str">
        <f>TEXT(Sales_of_Jordan[[#This Row],[Sale_Date]],"mmm")</f>
        <v>Jan</v>
      </c>
    </row>
    <row r="83" spans="1:11" x14ac:dyDescent="0.35">
      <c r="A83" s="7" t="s">
        <v>113</v>
      </c>
      <c r="B83" s="8">
        <v>45853</v>
      </c>
      <c r="C83" s="9" t="s">
        <v>21</v>
      </c>
      <c r="D83" s="9" t="s">
        <v>12</v>
      </c>
      <c r="E83" s="9" t="s">
        <v>29</v>
      </c>
      <c r="F83" s="9">
        <v>211</v>
      </c>
      <c r="G83" s="9">
        <v>207.22</v>
      </c>
      <c r="H83" s="9" t="s">
        <v>19</v>
      </c>
      <c r="I83" s="9">
        <v>9</v>
      </c>
      <c r="J83" s="10">
        <v>-3.78</v>
      </c>
      <c r="K83" s="9" t="str">
        <f>TEXT(Sales_of_Jordan[[#This Row],[Sale_Date]],"mmm")</f>
        <v>Jul</v>
      </c>
    </row>
    <row r="84" spans="1:11" x14ac:dyDescent="0.35">
      <c r="A84" s="7" t="s">
        <v>114</v>
      </c>
      <c r="B84" s="8">
        <v>45198</v>
      </c>
      <c r="C84" s="9" t="s">
        <v>11</v>
      </c>
      <c r="D84" s="9" t="s">
        <v>22</v>
      </c>
      <c r="E84" s="9" t="s">
        <v>29</v>
      </c>
      <c r="F84" s="9">
        <v>229</v>
      </c>
      <c r="G84" s="9">
        <v>265.47000000000003</v>
      </c>
      <c r="H84" s="9" t="s">
        <v>23</v>
      </c>
      <c r="I84" s="9">
        <v>27</v>
      </c>
      <c r="J84" s="10">
        <v>36.47</v>
      </c>
      <c r="K84" s="9" t="str">
        <f>TEXT(Sales_of_Jordan[[#This Row],[Sale_Date]],"mmm")</f>
        <v>Sep</v>
      </c>
    </row>
    <row r="85" spans="1:11" x14ac:dyDescent="0.35">
      <c r="A85" s="7" t="s">
        <v>115</v>
      </c>
      <c r="B85" s="8">
        <v>45354</v>
      </c>
      <c r="C85" s="9" t="s">
        <v>31</v>
      </c>
      <c r="D85" s="9" t="s">
        <v>36</v>
      </c>
      <c r="E85" s="9" t="s">
        <v>13</v>
      </c>
      <c r="F85" s="9">
        <v>210</v>
      </c>
      <c r="G85" s="9">
        <v>141.72</v>
      </c>
      <c r="H85" s="9" t="s">
        <v>25</v>
      </c>
      <c r="I85" s="9">
        <v>36</v>
      </c>
      <c r="J85" s="10">
        <v>-68.28</v>
      </c>
      <c r="K85" s="9" t="str">
        <f>TEXT(Sales_of_Jordan[[#This Row],[Sale_Date]],"mmm")</f>
        <v>Mar</v>
      </c>
    </row>
    <row r="86" spans="1:11" x14ac:dyDescent="0.35">
      <c r="A86" s="7" t="s">
        <v>116</v>
      </c>
      <c r="B86" s="8">
        <v>45760</v>
      </c>
      <c r="C86" s="9" t="s">
        <v>11</v>
      </c>
      <c r="D86" s="9" t="s">
        <v>36</v>
      </c>
      <c r="E86" s="9" t="s">
        <v>18</v>
      </c>
      <c r="F86" s="9">
        <v>225</v>
      </c>
      <c r="G86" s="9">
        <v>340.7</v>
      </c>
      <c r="H86" s="9" t="s">
        <v>14</v>
      </c>
      <c r="I86" s="9">
        <v>6</v>
      </c>
      <c r="J86" s="10">
        <v>115.69999999999899</v>
      </c>
      <c r="K86" s="9" t="str">
        <f>TEXT(Sales_of_Jordan[[#This Row],[Sale_Date]],"mmm")</f>
        <v>Apr</v>
      </c>
    </row>
    <row r="87" spans="1:11" x14ac:dyDescent="0.35">
      <c r="A87" s="7" t="s">
        <v>117</v>
      </c>
      <c r="B87" s="8">
        <v>45871</v>
      </c>
      <c r="C87" s="9" t="s">
        <v>21</v>
      </c>
      <c r="D87" s="9" t="s">
        <v>55</v>
      </c>
      <c r="E87" s="9" t="s">
        <v>13</v>
      </c>
      <c r="F87" s="9">
        <v>222</v>
      </c>
      <c r="G87" s="9">
        <v>140.12</v>
      </c>
      <c r="H87" s="9" t="s">
        <v>23</v>
      </c>
      <c r="I87" s="9">
        <v>39</v>
      </c>
      <c r="J87" s="10">
        <v>-81.88</v>
      </c>
      <c r="K87" s="9" t="str">
        <f>TEXT(Sales_of_Jordan[[#This Row],[Sale_Date]],"mmm")</f>
        <v>Aug</v>
      </c>
    </row>
    <row r="88" spans="1:11" x14ac:dyDescent="0.35">
      <c r="A88" s="7" t="s">
        <v>118</v>
      </c>
      <c r="B88" s="8">
        <v>45811</v>
      </c>
      <c r="C88" s="9" t="s">
        <v>21</v>
      </c>
      <c r="D88" s="9" t="s">
        <v>53</v>
      </c>
      <c r="E88" s="9" t="s">
        <v>29</v>
      </c>
      <c r="F88" s="9">
        <v>217</v>
      </c>
      <c r="G88" s="9">
        <v>308.89</v>
      </c>
      <c r="H88" s="9" t="s">
        <v>25</v>
      </c>
      <c r="I88" s="9">
        <v>55</v>
      </c>
      <c r="J88" s="10">
        <v>91.889999999999901</v>
      </c>
      <c r="K88" s="9" t="str">
        <f>TEXT(Sales_of_Jordan[[#This Row],[Sale_Date]],"mmm")</f>
        <v>Jun</v>
      </c>
    </row>
    <row r="89" spans="1:11" x14ac:dyDescent="0.35">
      <c r="A89" s="7" t="s">
        <v>119</v>
      </c>
      <c r="B89" s="8">
        <v>45233</v>
      </c>
      <c r="C89" s="9" t="s">
        <v>21</v>
      </c>
      <c r="D89" s="9" t="s">
        <v>39</v>
      </c>
      <c r="E89" s="9" t="s">
        <v>13</v>
      </c>
      <c r="F89" s="9">
        <v>222</v>
      </c>
      <c r="G89" s="9">
        <v>120.14</v>
      </c>
      <c r="H89" s="9" t="s">
        <v>25</v>
      </c>
      <c r="I89" s="9">
        <v>58</v>
      </c>
      <c r="J89" s="10">
        <v>-101.86</v>
      </c>
      <c r="K89" s="9" t="str">
        <f>TEXT(Sales_of_Jordan[[#This Row],[Sale_Date]],"mmm")</f>
        <v>Nov</v>
      </c>
    </row>
    <row r="90" spans="1:11" x14ac:dyDescent="0.35">
      <c r="A90" s="7" t="s">
        <v>120</v>
      </c>
      <c r="B90" s="8">
        <v>44943</v>
      </c>
      <c r="C90" s="9" t="s">
        <v>31</v>
      </c>
      <c r="D90" s="9" t="s">
        <v>22</v>
      </c>
      <c r="E90" s="9" t="s">
        <v>29</v>
      </c>
      <c r="F90" s="9">
        <v>206</v>
      </c>
      <c r="G90" s="9">
        <v>256.38</v>
      </c>
      <c r="H90" s="9" t="s">
        <v>32</v>
      </c>
      <c r="I90" s="9">
        <v>53</v>
      </c>
      <c r="J90" s="10">
        <v>50.379999999999903</v>
      </c>
      <c r="K90" s="9" t="str">
        <f>TEXT(Sales_of_Jordan[[#This Row],[Sale_Date]],"mmm")</f>
        <v>Jan</v>
      </c>
    </row>
    <row r="91" spans="1:11" x14ac:dyDescent="0.35">
      <c r="A91" s="7" t="s">
        <v>121</v>
      </c>
      <c r="B91" s="8">
        <v>45424</v>
      </c>
      <c r="C91" s="9" t="s">
        <v>11</v>
      </c>
      <c r="D91" s="9" t="s">
        <v>39</v>
      </c>
      <c r="E91" s="9" t="s">
        <v>29</v>
      </c>
      <c r="F91" s="9">
        <v>227</v>
      </c>
      <c r="G91" s="9">
        <v>245.01</v>
      </c>
      <c r="H91" s="9" t="s">
        <v>14</v>
      </c>
      <c r="I91" s="9">
        <v>4</v>
      </c>
      <c r="J91" s="10">
        <v>18.009999999999899</v>
      </c>
      <c r="K91" s="9" t="str">
        <f>TEXT(Sales_of_Jordan[[#This Row],[Sale_Date]],"mmm")</f>
        <v>May</v>
      </c>
    </row>
    <row r="92" spans="1:11" x14ac:dyDescent="0.35">
      <c r="A92" s="7" t="s">
        <v>122</v>
      </c>
      <c r="B92" s="8">
        <v>45850</v>
      </c>
      <c r="C92" s="9" t="s">
        <v>27</v>
      </c>
      <c r="D92" s="9" t="s">
        <v>12</v>
      </c>
      <c r="E92" s="9" t="s">
        <v>13</v>
      </c>
      <c r="F92" s="9">
        <v>120</v>
      </c>
      <c r="G92" s="9">
        <v>64.67</v>
      </c>
      <c r="H92" s="9" t="s">
        <v>14</v>
      </c>
      <c r="I92" s="9">
        <v>1</v>
      </c>
      <c r="J92" s="10">
        <v>-55.33</v>
      </c>
      <c r="K92" s="9" t="str">
        <f>TEXT(Sales_of_Jordan[[#This Row],[Sale_Date]],"mmm")</f>
        <v>Jul</v>
      </c>
    </row>
    <row r="93" spans="1:11" x14ac:dyDescent="0.35">
      <c r="A93" s="7" t="s">
        <v>123</v>
      </c>
      <c r="B93" s="8">
        <v>45742</v>
      </c>
      <c r="C93" s="9" t="s">
        <v>27</v>
      </c>
      <c r="D93" s="9" t="s">
        <v>22</v>
      </c>
      <c r="E93" s="9" t="s">
        <v>18</v>
      </c>
      <c r="F93" s="9">
        <v>110</v>
      </c>
      <c r="G93" s="9">
        <v>170.49</v>
      </c>
      <c r="H93" s="9" t="s">
        <v>23</v>
      </c>
      <c r="I93" s="9">
        <v>10</v>
      </c>
      <c r="J93" s="10">
        <v>60.49</v>
      </c>
      <c r="K93" s="9" t="str">
        <f>TEXT(Sales_of_Jordan[[#This Row],[Sale_Date]],"mmm")</f>
        <v>Mar</v>
      </c>
    </row>
    <row r="94" spans="1:11" x14ac:dyDescent="0.35">
      <c r="A94" s="7" t="s">
        <v>124</v>
      </c>
      <c r="B94" s="8">
        <v>45128</v>
      </c>
      <c r="C94" s="9" t="s">
        <v>16</v>
      </c>
      <c r="D94" s="9" t="s">
        <v>12</v>
      </c>
      <c r="E94" s="9" t="s">
        <v>13</v>
      </c>
      <c r="F94" s="9">
        <v>185</v>
      </c>
      <c r="G94" s="9">
        <v>114.59</v>
      </c>
      <c r="H94" s="9" t="s">
        <v>14</v>
      </c>
      <c r="I94" s="9">
        <v>3</v>
      </c>
      <c r="J94" s="10">
        <v>-70.41</v>
      </c>
      <c r="K94" s="9" t="str">
        <f>TEXT(Sales_of_Jordan[[#This Row],[Sale_Date]],"mmm")</f>
        <v>Jul</v>
      </c>
    </row>
    <row r="95" spans="1:11" x14ac:dyDescent="0.35">
      <c r="A95" s="7" t="s">
        <v>125</v>
      </c>
      <c r="B95" s="8">
        <v>45517</v>
      </c>
      <c r="C95" s="9" t="s">
        <v>31</v>
      </c>
      <c r="D95" s="9" t="s">
        <v>39</v>
      </c>
      <c r="E95" s="9" t="s">
        <v>18</v>
      </c>
      <c r="F95" s="9">
        <v>200</v>
      </c>
      <c r="G95" s="9">
        <v>496.04</v>
      </c>
      <c r="H95" s="9" t="s">
        <v>25</v>
      </c>
      <c r="I95" s="9">
        <v>57</v>
      </c>
      <c r="J95" s="10">
        <v>296.04000000000002</v>
      </c>
      <c r="K95" s="9" t="str">
        <f>TEXT(Sales_of_Jordan[[#This Row],[Sale_Date]],"mmm")</f>
        <v>Aug</v>
      </c>
    </row>
    <row r="96" spans="1:11" x14ac:dyDescent="0.35">
      <c r="A96" s="7" t="s">
        <v>126</v>
      </c>
      <c r="B96" s="8">
        <v>45776</v>
      </c>
      <c r="C96" s="9" t="s">
        <v>21</v>
      </c>
      <c r="D96" s="9" t="s">
        <v>34</v>
      </c>
      <c r="E96" s="9" t="s">
        <v>29</v>
      </c>
      <c r="F96" s="9">
        <v>218</v>
      </c>
      <c r="G96" s="9">
        <v>253.06</v>
      </c>
      <c r="H96" s="9" t="s">
        <v>32</v>
      </c>
      <c r="I96" s="9">
        <v>26</v>
      </c>
      <c r="J96" s="10">
        <v>35.06</v>
      </c>
      <c r="K96" s="9" t="str">
        <f>TEXT(Sales_of_Jordan[[#This Row],[Sale_Date]],"mmm")</f>
        <v>Apr</v>
      </c>
    </row>
    <row r="97" spans="1:11" x14ac:dyDescent="0.35">
      <c r="A97" s="7" t="s">
        <v>127</v>
      </c>
      <c r="B97" s="8">
        <v>45511</v>
      </c>
      <c r="C97" s="9" t="s">
        <v>27</v>
      </c>
      <c r="D97" s="9" t="s">
        <v>39</v>
      </c>
      <c r="E97" s="9" t="s">
        <v>13</v>
      </c>
      <c r="F97" s="9">
        <v>122</v>
      </c>
      <c r="G97" s="9">
        <v>91.84</v>
      </c>
      <c r="H97" s="9" t="s">
        <v>25</v>
      </c>
      <c r="I97" s="9">
        <v>59</v>
      </c>
      <c r="J97" s="10">
        <v>-30.159999999999901</v>
      </c>
      <c r="K97" s="9" t="str">
        <f>TEXT(Sales_of_Jordan[[#This Row],[Sale_Date]],"mmm")</f>
        <v>Aug</v>
      </c>
    </row>
    <row r="98" spans="1:11" x14ac:dyDescent="0.35">
      <c r="A98" s="7" t="s">
        <v>128</v>
      </c>
      <c r="B98" s="8">
        <v>45705</v>
      </c>
      <c r="C98" s="9" t="s">
        <v>16</v>
      </c>
      <c r="D98" s="9" t="s">
        <v>39</v>
      </c>
      <c r="E98" s="9" t="s">
        <v>29</v>
      </c>
      <c r="F98" s="9">
        <v>185</v>
      </c>
      <c r="G98" s="9">
        <v>267.18</v>
      </c>
      <c r="H98" s="9" t="s">
        <v>32</v>
      </c>
      <c r="I98" s="9">
        <v>40</v>
      </c>
      <c r="J98" s="10">
        <v>82.18</v>
      </c>
      <c r="K98" s="9" t="str">
        <f>TEXT(Sales_of_Jordan[[#This Row],[Sale_Date]],"mmm")</f>
        <v>Feb</v>
      </c>
    </row>
    <row r="99" spans="1:11" x14ac:dyDescent="0.35">
      <c r="A99" s="7" t="s">
        <v>129</v>
      </c>
      <c r="B99" s="8">
        <v>45926</v>
      </c>
      <c r="C99" s="9" t="s">
        <v>31</v>
      </c>
      <c r="D99" s="9" t="s">
        <v>34</v>
      </c>
      <c r="E99" s="9" t="s">
        <v>13</v>
      </c>
      <c r="F99" s="9">
        <v>209</v>
      </c>
      <c r="G99" s="9">
        <v>126.82</v>
      </c>
      <c r="H99" s="9" t="s">
        <v>14</v>
      </c>
      <c r="I99" s="9">
        <v>13</v>
      </c>
      <c r="J99" s="10">
        <v>-82.18</v>
      </c>
      <c r="K99" s="9" t="str">
        <f>TEXT(Sales_of_Jordan[[#This Row],[Sale_Date]],"mmm")</f>
        <v>Sep</v>
      </c>
    </row>
    <row r="100" spans="1:11" x14ac:dyDescent="0.35">
      <c r="A100" s="7" t="s">
        <v>130</v>
      </c>
      <c r="B100" s="8">
        <v>45676</v>
      </c>
      <c r="C100" s="9" t="s">
        <v>11</v>
      </c>
      <c r="D100" s="9" t="s">
        <v>55</v>
      </c>
      <c r="E100" s="9" t="s">
        <v>13</v>
      </c>
      <c r="F100" s="9">
        <v>227</v>
      </c>
      <c r="G100" s="9">
        <v>116.83</v>
      </c>
      <c r="H100" s="9" t="s">
        <v>32</v>
      </c>
      <c r="I100" s="9">
        <v>18</v>
      </c>
      <c r="J100" s="10">
        <v>-110.17</v>
      </c>
      <c r="K100" s="9" t="str">
        <f>TEXT(Sales_of_Jordan[[#This Row],[Sale_Date]],"mmm")</f>
        <v>Jan</v>
      </c>
    </row>
    <row r="101" spans="1:11" x14ac:dyDescent="0.35">
      <c r="A101" s="7" t="s">
        <v>131</v>
      </c>
      <c r="B101" s="8">
        <v>45244</v>
      </c>
      <c r="C101" s="9" t="s">
        <v>31</v>
      </c>
      <c r="D101" s="9" t="s">
        <v>53</v>
      </c>
      <c r="E101" s="9" t="s">
        <v>13</v>
      </c>
      <c r="F101" s="9">
        <v>209</v>
      </c>
      <c r="G101" s="9">
        <v>187.83</v>
      </c>
      <c r="H101" s="9" t="s">
        <v>32</v>
      </c>
      <c r="I101" s="9">
        <v>34</v>
      </c>
      <c r="J101" s="10">
        <v>-21.169999999999899</v>
      </c>
      <c r="K101" s="9" t="str">
        <f>TEXT(Sales_of_Jordan[[#This Row],[Sale_Date]],"mmm")</f>
        <v>Nov</v>
      </c>
    </row>
    <row r="102" spans="1:11" x14ac:dyDescent="0.35">
      <c r="A102" s="7" t="s">
        <v>132</v>
      </c>
      <c r="B102" s="8">
        <v>45111</v>
      </c>
      <c r="C102" s="9" t="s">
        <v>11</v>
      </c>
      <c r="D102" s="9" t="s">
        <v>36</v>
      </c>
      <c r="E102" s="9" t="s">
        <v>13</v>
      </c>
      <c r="F102" s="9">
        <v>229</v>
      </c>
      <c r="G102" s="9">
        <v>185.03</v>
      </c>
      <c r="H102" s="9" t="s">
        <v>32</v>
      </c>
      <c r="I102" s="9">
        <v>23</v>
      </c>
      <c r="J102" s="10">
        <v>-43.97</v>
      </c>
      <c r="K102" s="9" t="str">
        <f>TEXT(Sales_of_Jordan[[#This Row],[Sale_Date]],"mmm")</f>
        <v>Jul</v>
      </c>
    </row>
    <row r="103" spans="1:11" x14ac:dyDescent="0.35">
      <c r="A103" s="7" t="s">
        <v>133</v>
      </c>
      <c r="B103" s="8">
        <v>44969</v>
      </c>
      <c r="C103" s="9" t="s">
        <v>27</v>
      </c>
      <c r="D103" s="9" t="s">
        <v>36</v>
      </c>
      <c r="E103" s="9" t="s">
        <v>18</v>
      </c>
      <c r="F103" s="9">
        <v>115</v>
      </c>
      <c r="G103" s="9">
        <v>398.6</v>
      </c>
      <c r="H103" s="9" t="s">
        <v>14</v>
      </c>
      <c r="I103" s="9">
        <v>4</v>
      </c>
      <c r="J103" s="10">
        <v>283.60000000000002</v>
      </c>
      <c r="K103" s="9" t="str">
        <f>TEXT(Sales_of_Jordan[[#This Row],[Sale_Date]],"mmm")</f>
        <v>Feb</v>
      </c>
    </row>
    <row r="104" spans="1:11" x14ac:dyDescent="0.35">
      <c r="A104" s="7" t="s">
        <v>134</v>
      </c>
      <c r="B104" s="8">
        <v>45085</v>
      </c>
      <c r="C104" s="9" t="s">
        <v>21</v>
      </c>
      <c r="D104" s="9" t="s">
        <v>17</v>
      </c>
      <c r="E104" s="9" t="s">
        <v>29</v>
      </c>
      <c r="F104" s="9">
        <v>213</v>
      </c>
      <c r="G104" s="9">
        <v>271.36</v>
      </c>
      <c r="H104" s="9" t="s">
        <v>14</v>
      </c>
      <c r="I104" s="9">
        <v>13</v>
      </c>
      <c r="J104" s="10">
        <v>58.36</v>
      </c>
      <c r="K104" s="9" t="str">
        <f>TEXT(Sales_of_Jordan[[#This Row],[Sale_Date]],"mmm")</f>
        <v>Jun</v>
      </c>
    </row>
    <row r="105" spans="1:11" x14ac:dyDescent="0.35">
      <c r="A105" s="7" t="s">
        <v>135</v>
      </c>
      <c r="B105" s="8">
        <v>45528</v>
      </c>
      <c r="C105" s="9" t="s">
        <v>27</v>
      </c>
      <c r="D105" s="9" t="s">
        <v>55</v>
      </c>
      <c r="E105" s="9" t="s">
        <v>18</v>
      </c>
      <c r="F105" s="9">
        <v>128</v>
      </c>
      <c r="G105" s="9">
        <v>380.27</v>
      </c>
      <c r="H105" s="9" t="s">
        <v>32</v>
      </c>
      <c r="I105" s="9">
        <v>7</v>
      </c>
      <c r="J105" s="10">
        <v>252.26999999999899</v>
      </c>
      <c r="K105" s="9" t="str">
        <f>TEXT(Sales_of_Jordan[[#This Row],[Sale_Date]],"mmm")</f>
        <v>Aug</v>
      </c>
    </row>
    <row r="106" spans="1:11" x14ac:dyDescent="0.35">
      <c r="A106" s="7" t="s">
        <v>136</v>
      </c>
      <c r="B106" s="8">
        <v>45222</v>
      </c>
      <c r="C106" s="9" t="s">
        <v>21</v>
      </c>
      <c r="D106" s="9" t="s">
        <v>17</v>
      </c>
      <c r="E106" s="9" t="s">
        <v>29</v>
      </c>
      <c r="F106" s="9">
        <v>213</v>
      </c>
      <c r="G106" s="9">
        <v>316.7</v>
      </c>
      <c r="H106" s="9" t="s">
        <v>19</v>
      </c>
      <c r="I106" s="9">
        <v>8</v>
      </c>
      <c r="J106" s="10">
        <v>103.69999999999899</v>
      </c>
      <c r="K106" s="9" t="str">
        <f>TEXT(Sales_of_Jordan[[#This Row],[Sale_Date]],"mmm")</f>
        <v>Oct</v>
      </c>
    </row>
    <row r="107" spans="1:11" x14ac:dyDescent="0.35">
      <c r="A107" s="7" t="s">
        <v>137</v>
      </c>
      <c r="B107" s="8">
        <v>45493</v>
      </c>
      <c r="C107" s="9" t="s">
        <v>31</v>
      </c>
      <c r="D107" s="9" t="s">
        <v>34</v>
      </c>
      <c r="E107" s="9" t="s">
        <v>13</v>
      </c>
      <c r="F107" s="9">
        <v>203</v>
      </c>
      <c r="G107" s="9">
        <v>155.9</v>
      </c>
      <c r="H107" s="9" t="s">
        <v>23</v>
      </c>
      <c r="I107" s="9">
        <v>58</v>
      </c>
      <c r="J107" s="10">
        <v>-47.099999999999902</v>
      </c>
      <c r="K107" s="9" t="str">
        <f>TEXT(Sales_of_Jordan[[#This Row],[Sale_Date]],"mmm")</f>
        <v>Jul</v>
      </c>
    </row>
    <row r="108" spans="1:11" x14ac:dyDescent="0.35">
      <c r="A108" s="7" t="s">
        <v>138</v>
      </c>
      <c r="B108" s="8">
        <v>45245</v>
      </c>
      <c r="C108" s="9" t="s">
        <v>11</v>
      </c>
      <c r="D108" s="9" t="s">
        <v>55</v>
      </c>
      <c r="E108" s="9" t="s">
        <v>29</v>
      </c>
      <c r="F108" s="9">
        <v>226</v>
      </c>
      <c r="G108" s="9">
        <v>271.02</v>
      </c>
      <c r="H108" s="9" t="s">
        <v>23</v>
      </c>
      <c r="I108" s="9">
        <v>52</v>
      </c>
      <c r="J108" s="10">
        <v>45.019999999999897</v>
      </c>
      <c r="K108" s="9" t="str">
        <f>TEXT(Sales_of_Jordan[[#This Row],[Sale_Date]],"mmm")</f>
        <v>Nov</v>
      </c>
    </row>
    <row r="109" spans="1:11" x14ac:dyDescent="0.35">
      <c r="A109" s="7" t="s">
        <v>139</v>
      </c>
      <c r="B109" s="8">
        <v>45050</v>
      </c>
      <c r="C109" s="9" t="s">
        <v>27</v>
      </c>
      <c r="D109" s="9" t="s">
        <v>17</v>
      </c>
      <c r="E109" s="9" t="s">
        <v>29</v>
      </c>
      <c r="F109" s="9">
        <v>127</v>
      </c>
      <c r="G109" s="9">
        <v>166.77</v>
      </c>
      <c r="H109" s="9" t="s">
        <v>19</v>
      </c>
      <c r="I109" s="9">
        <v>7</v>
      </c>
      <c r="J109" s="10">
        <v>39.770000000000003</v>
      </c>
      <c r="K109" s="9" t="str">
        <f>TEXT(Sales_of_Jordan[[#This Row],[Sale_Date]],"mmm")</f>
        <v>May</v>
      </c>
    </row>
    <row r="110" spans="1:11" x14ac:dyDescent="0.35">
      <c r="A110" s="7" t="s">
        <v>140</v>
      </c>
      <c r="B110" s="8">
        <v>45758</v>
      </c>
      <c r="C110" s="9" t="s">
        <v>27</v>
      </c>
      <c r="D110" s="9" t="s">
        <v>55</v>
      </c>
      <c r="E110" s="9" t="s">
        <v>13</v>
      </c>
      <c r="F110" s="9">
        <v>124</v>
      </c>
      <c r="G110" s="9">
        <v>96.13</v>
      </c>
      <c r="H110" s="9" t="s">
        <v>23</v>
      </c>
      <c r="I110" s="9">
        <v>45</v>
      </c>
      <c r="J110" s="10">
        <v>-27.87</v>
      </c>
      <c r="K110" s="9" t="str">
        <f>TEXT(Sales_of_Jordan[[#This Row],[Sale_Date]],"mmm")</f>
        <v>Apr</v>
      </c>
    </row>
    <row r="111" spans="1:11" x14ac:dyDescent="0.35">
      <c r="A111" s="7" t="s">
        <v>141</v>
      </c>
      <c r="B111" s="8">
        <v>45696</v>
      </c>
      <c r="C111" s="9" t="s">
        <v>27</v>
      </c>
      <c r="D111" s="9" t="s">
        <v>55</v>
      </c>
      <c r="E111" s="9" t="s">
        <v>29</v>
      </c>
      <c r="F111" s="9">
        <v>126</v>
      </c>
      <c r="G111" s="9">
        <v>113.7</v>
      </c>
      <c r="H111" s="9" t="s">
        <v>23</v>
      </c>
      <c r="I111" s="9">
        <v>32</v>
      </c>
      <c r="J111" s="10">
        <v>-12.299999999999899</v>
      </c>
      <c r="K111" s="9" t="str">
        <f>TEXT(Sales_of_Jordan[[#This Row],[Sale_Date]],"mmm")</f>
        <v>Feb</v>
      </c>
    </row>
    <row r="112" spans="1:11" x14ac:dyDescent="0.35">
      <c r="A112" s="7" t="s">
        <v>142</v>
      </c>
      <c r="B112" s="8">
        <v>45183</v>
      </c>
      <c r="C112" s="9" t="s">
        <v>31</v>
      </c>
      <c r="D112" s="9" t="s">
        <v>46</v>
      </c>
      <c r="E112" s="9" t="s">
        <v>18</v>
      </c>
      <c r="F112" s="9">
        <v>206</v>
      </c>
      <c r="G112" s="9">
        <v>670.71</v>
      </c>
      <c r="H112" s="9" t="s">
        <v>32</v>
      </c>
      <c r="I112" s="9">
        <v>48</v>
      </c>
      <c r="J112" s="10">
        <v>464.71</v>
      </c>
      <c r="K112" s="9" t="str">
        <f>TEXT(Sales_of_Jordan[[#This Row],[Sale_Date]],"mmm")</f>
        <v>Sep</v>
      </c>
    </row>
    <row r="113" spans="1:11" x14ac:dyDescent="0.35">
      <c r="A113" s="7" t="s">
        <v>143</v>
      </c>
      <c r="B113" s="8">
        <v>44934</v>
      </c>
      <c r="C113" s="9" t="s">
        <v>27</v>
      </c>
      <c r="D113" s="9" t="s">
        <v>39</v>
      </c>
      <c r="E113" s="9" t="s">
        <v>13</v>
      </c>
      <c r="F113" s="9">
        <v>114</v>
      </c>
      <c r="G113" s="9">
        <v>57.12</v>
      </c>
      <c r="H113" s="9" t="s">
        <v>19</v>
      </c>
      <c r="I113" s="9">
        <v>14</v>
      </c>
      <c r="J113" s="10">
        <v>-56.88</v>
      </c>
      <c r="K113" s="9" t="str">
        <f>TEXT(Sales_of_Jordan[[#This Row],[Sale_Date]],"mmm")</f>
        <v>Jan</v>
      </c>
    </row>
    <row r="114" spans="1:11" x14ac:dyDescent="0.35">
      <c r="A114" s="7" t="s">
        <v>144</v>
      </c>
      <c r="B114" s="8">
        <v>45722</v>
      </c>
      <c r="C114" s="9" t="s">
        <v>11</v>
      </c>
      <c r="D114" s="9" t="s">
        <v>46</v>
      </c>
      <c r="E114" s="9" t="s">
        <v>18</v>
      </c>
      <c r="F114" s="9">
        <v>228</v>
      </c>
      <c r="G114" s="9">
        <v>352.01</v>
      </c>
      <c r="H114" s="9" t="s">
        <v>32</v>
      </c>
      <c r="I114" s="9">
        <v>22</v>
      </c>
      <c r="J114" s="10">
        <v>124.009999999999</v>
      </c>
      <c r="K114" s="9" t="str">
        <f>TEXT(Sales_of_Jordan[[#This Row],[Sale_Date]],"mmm")</f>
        <v>Mar</v>
      </c>
    </row>
    <row r="115" spans="1:11" x14ac:dyDescent="0.35">
      <c r="A115" s="7" t="s">
        <v>145</v>
      </c>
      <c r="B115" s="8">
        <v>45208</v>
      </c>
      <c r="C115" s="9" t="s">
        <v>31</v>
      </c>
      <c r="D115" s="9" t="s">
        <v>55</v>
      </c>
      <c r="E115" s="9" t="s">
        <v>29</v>
      </c>
      <c r="F115" s="9">
        <v>208</v>
      </c>
      <c r="G115" s="9">
        <v>202.7</v>
      </c>
      <c r="H115" s="9" t="s">
        <v>32</v>
      </c>
      <c r="I115" s="9">
        <v>29</v>
      </c>
      <c r="J115" s="10">
        <v>-5.3000000000000096</v>
      </c>
      <c r="K115" s="9" t="str">
        <f>TEXT(Sales_of_Jordan[[#This Row],[Sale_Date]],"mmm")</f>
        <v>Oct</v>
      </c>
    </row>
    <row r="116" spans="1:11" x14ac:dyDescent="0.35">
      <c r="A116" s="7" t="s">
        <v>146</v>
      </c>
      <c r="B116" s="8">
        <v>45247</v>
      </c>
      <c r="C116" s="9" t="s">
        <v>16</v>
      </c>
      <c r="D116" s="9" t="s">
        <v>22</v>
      </c>
      <c r="E116" s="9" t="s">
        <v>18</v>
      </c>
      <c r="F116" s="9">
        <v>185</v>
      </c>
      <c r="G116" s="9">
        <v>638.41</v>
      </c>
      <c r="H116" s="9" t="s">
        <v>25</v>
      </c>
      <c r="I116" s="9">
        <v>37</v>
      </c>
      <c r="J116" s="10">
        <v>453.409999999999</v>
      </c>
      <c r="K116" s="9" t="str">
        <f>TEXT(Sales_of_Jordan[[#This Row],[Sale_Date]],"mmm")</f>
        <v>Nov</v>
      </c>
    </row>
    <row r="117" spans="1:11" x14ac:dyDescent="0.35">
      <c r="A117" s="7" t="s">
        <v>147</v>
      </c>
      <c r="B117" s="8">
        <v>45712</v>
      </c>
      <c r="C117" s="9" t="s">
        <v>31</v>
      </c>
      <c r="D117" s="9" t="s">
        <v>12</v>
      </c>
      <c r="E117" s="9" t="s">
        <v>18</v>
      </c>
      <c r="F117" s="9">
        <v>202</v>
      </c>
      <c r="G117" s="9">
        <v>662.24</v>
      </c>
      <c r="H117" s="9" t="s">
        <v>25</v>
      </c>
      <c r="I117" s="9">
        <v>33</v>
      </c>
      <c r="J117" s="10">
        <v>460.24</v>
      </c>
      <c r="K117" s="9" t="str">
        <f>TEXT(Sales_of_Jordan[[#This Row],[Sale_Date]],"mmm")</f>
        <v>Feb</v>
      </c>
    </row>
    <row r="118" spans="1:11" x14ac:dyDescent="0.35">
      <c r="A118" s="7" t="s">
        <v>148</v>
      </c>
      <c r="B118" s="8">
        <v>45822</v>
      </c>
      <c r="C118" s="9" t="s">
        <v>21</v>
      </c>
      <c r="D118" s="9" t="s">
        <v>17</v>
      </c>
      <c r="E118" s="9" t="s">
        <v>13</v>
      </c>
      <c r="F118" s="9">
        <v>213</v>
      </c>
      <c r="G118" s="9">
        <v>167.9</v>
      </c>
      <c r="H118" s="9" t="s">
        <v>25</v>
      </c>
      <c r="I118" s="9">
        <v>52</v>
      </c>
      <c r="J118" s="10">
        <v>-45.099999999999902</v>
      </c>
      <c r="K118" s="9" t="str">
        <f>TEXT(Sales_of_Jordan[[#This Row],[Sale_Date]],"mmm")</f>
        <v>Jun</v>
      </c>
    </row>
    <row r="119" spans="1:11" x14ac:dyDescent="0.35">
      <c r="A119" s="7" t="s">
        <v>149</v>
      </c>
      <c r="B119" s="8">
        <v>45431</v>
      </c>
      <c r="C119" s="9" t="s">
        <v>11</v>
      </c>
      <c r="D119" s="9" t="s">
        <v>34</v>
      </c>
      <c r="E119" s="9" t="s">
        <v>13</v>
      </c>
      <c r="F119" s="9">
        <v>228</v>
      </c>
      <c r="G119" s="9">
        <v>156.44999999999999</v>
      </c>
      <c r="H119" s="9" t="s">
        <v>25</v>
      </c>
      <c r="I119" s="9">
        <v>46</v>
      </c>
      <c r="J119" s="10">
        <v>-71.55</v>
      </c>
      <c r="K119" s="9" t="str">
        <f>TEXT(Sales_of_Jordan[[#This Row],[Sale_Date]],"mmm")</f>
        <v>May</v>
      </c>
    </row>
    <row r="120" spans="1:11" x14ac:dyDescent="0.35">
      <c r="A120" s="7" t="s">
        <v>150</v>
      </c>
      <c r="B120" s="8">
        <v>45006</v>
      </c>
      <c r="C120" s="9" t="s">
        <v>21</v>
      </c>
      <c r="D120" s="9" t="s">
        <v>34</v>
      </c>
      <c r="E120" s="9" t="s">
        <v>29</v>
      </c>
      <c r="F120" s="9">
        <v>225</v>
      </c>
      <c r="G120" s="9">
        <v>215.69</v>
      </c>
      <c r="H120" s="9" t="s">
        <v>14</v>
      </c>
      <c r="I120" s="9">
        <v>1</v>
      </c>
      <c r="J120" s="10">
        <v>-9.31</v>
      </c>
      <c r="K120" s="9" t="str">
        <f>TEXT(Sales_of_Jordan[[#This Row],[Sale_Date]],"mmm")</f>
        <v>Mar</v>
      </c>
    </row>
    <row r="121" spans="1:11" x14ac:dyDescent="0.35">
      <c r="A121" s="7" t="s">
        <v>151</v>
      </c>
      <c r="B121" s="8">
        <v>45457</v>
      </c>
      <c r="C121" s="9" t="s">
        <v>21</v>
      </c>
      <c r="D121" s="9" t="s">
        <v>53</v>
      </c>
      <c r="E121" s="9" t="s">
        <v>18</v>
      </c>
      <c r="F121" s="9">
        <v>214</v>
      </c>
      <c r="G121" s="9">
        <v>740.16</v>
      </c>
      <c r="H121" s="9" t="s">
        <v>14</v>
      </c>
      <c r="I121" s="9">
        <v>2</v>
      </c>
      <c r="J121" s="10">
        <v>526.16</v>
      </c>
      <c r="K121" s="9" t="str">
        <f>TEXT(Sales_of_Jordan[[#This Row],[Sale_Date]],"mmm")</f>
        <v>Jun</v>
      </c>
    </row>
    <row r="122" spans="1:11" x14ac:dyDescent="0.35">
      <c r="A122" s="7" t="s">
        <v>152</v>
      </c>
      <c r="B122" s="8">
        <v>45746</v>
      </c>
      <c r="C122" s="9" t="s">
        <v>11</v>
      </c>
      <c r="D122" s="9" t="s">
        <v>12</v>
      </c>
      <c r="E122" s="9" t="s">
        <v>18</v>
      </c>
      <c r="F122" s="9">
        <v>225</v>
      </c>
      <c r="G122" s="9">
        <v>431.8</v>
      </c>
      <c r="H122" s="9" t="s">
        <v>14</v>
      </c>
      <c r="I122" s="9">
        <v>8</v>
      </c>
      <c r="J122" s="10">
        <v>206.8</v>
      </c>
      <c r="K122" s="9" t="str">
        <f>TEXT(Sales_of_Jordan[[#This Row],[Sale_Date]],"mmm")</f>
        <v>Mar</v>
      </c>
    </row>
    <row r="123" spans="1:11" x14ac:dyDescent="0.35">
      <c r="A123" s="7" t="s">
        <v>153</v>
      </c>
      <c r="B123" s="8">
        <v>45188</v>
      </c>
      <c r="C123" s="9" t="s">
        <v>27</v>
      </c>
      <c r="D123" s="9" t="s">
        <v>55</v>
      </c>
      <c r="E123" s="9" t="s">
        <v>29</v>
      </c>
      <c r="F123" s="9">
        <v>122</v>
      </c>
      <c r="G123" s="9">
        <v>173.33</v>
      </c>
      <c r="H123" s="9" t="s">
        <v>32</v>
      </c>
      <c r="I123" s="9">
        <v>33</v>
      </c>
      <c r="J123" s="10">
        <v>51.33</v>
      </c>
      <c r="K123" s="9" t="str">
        <f>TEXT(Sales_of_Jordan[[#This Row],[Sale_Date]],"mmm")</f>
        <v>Sep</v>
      </c>
    </row>
    <row r="124" spans="1:11" x14ac:dyDescent="0.35">
      <c r="A124" s="7" t="s">
        <v>154</v>
      </c>
      <c r="B124" s="8">
        <v>45658</v>
      </c>
      <c r="C124" s="9" t="s">
        <v>11</v>
      </c>
      <c r="D124" s="9" t="s">
        <v>55</v>
      </c>
      <c r="E124" s="9" t="s">
        <v>29</v>
      </c>
      <c r="F124" s="9">
        <v>229</v>
      </c>
      <c r="G124" s="9">
        <v>334.39</v>
      </c>
      <c r="H124" s="9" t="s">
        <v>32</v>
      </c>
      <c r="I124" s="9">
        <v>34</v>
      </c>
      <c r="J124" s="10">
        <v>105.38999999999901</v>
      </c>
      <c r="K124" s="9" t="str">
        <f>TEXT(Sales_of_Jordan[[#This Row],[Sale_Date]],"mmm")</f>
        <v>Jan</v>
      </c>
    </row>
    <row r="125" spans="1:11" x14ac:dyDescent="0.35">
      <c r="A125" s="7" t="s">
        <v>155</v>
      </c>
      <c r="B125" s="8">
        <v>45680</v>
      </c>
      <c r="C125" s="9" t="s">
        <v>21</v>
      </c>
      <c r="D125" s="9" t="s">
        <v>34</v>
      </c>
      <c r="E125" s="9" t="s">
        <v>18</v>
      </c>
      <c r="F125" s="9">
        <v>219</v>
      </c>
      <c r="G125" s="9">
        <v>553.42999999999995</v>
      </c>
      <c r="H125" s="9" t="s">
        <v>23</v>
      </c>
      <c r="I125" s="9">
        <v>29</v>
      </c>
      <c r="J125" s="10">
        <v>334.42999999999898</v>
      </c>
      <c r="K125" s="9" t="str">
        <f>TEXT(Sales_of_Jordan[[#This Row],[Sale_Date]],"mmm")</f>
        <v>Jan</v>
      </c>
    </row>
    <row r="126" spans="1:11" x14ac:dyDescent="0.35">
      <c r="A126" s="7" t="s">
        <v>156</v>
      </c>
      <c r="B126" s="8">
        <v>45667</v>
      </c>
      <c r="C126" s="9" t="s">
        <v>21</v>
      </c>
      <c r="D126" s="9" t="s">
        <v>55</v>
      </c>
      <c r="E126" s="9" t="s">
        <v>29</v>
      </c>
      <c r="F126" s="9">
        <v>210</v>
      </c>
      <c r="G126" s="9">
        <v>199.34</v>
      </c>
      <c r="H126" s="9" t="s">
        <v>19</v>
      </c>
      <c r="I126" s="9">
        <v>11</v>
      </c>
      <c r="J126" s="10">
        <v>-10.659999999999901</v>
      </c>
      <c r="K126" s="9" t="str">
        <f>TEXT(Sales_of_Jordan[[#This Row],[Sale_Date]],"mmm")</f>
        <v>Jan</v>
      </c>
    </row>
    <row r="127" spans="1:11" x14ac:dyDescent="0.35">
      <c r="A127" s="7" t="s">
        <v>157</v>
      </c>
      <c r="B127" s="8">
        <v>45857</v>
      </c>
      <c r="C127" s="9" t="s">
        <v>31</v>
      </c>
      <c r="D127" s="9" t="s">
        <v>53</v>
      </c>
      <c r="E127" s="9" t="s">
        <v>13</v>
      </c>
      <c r="F127" s="9">
        <v>200</v>
      </c>
      <c r="G127" s="9">
        <v>139.97999999999999</v>
      </c>
      <c r="H127" s="9" t="s">
        <v>19</v>
      </c>
      <c r="I127" s="9">
        <v>2</v>
      </c>
      <c r="J127" s="10">
        <v>-60.02</v>
      </c>
      <c r="K127" s="9" t="str">
        <f>TEXT(Sales_of_Jordan[[#This Row],[Sale_Date]],"mmm")</f>
        <v>Jul</v>
      </c>
    </row>
    <row r="128" spans="1:11" x14ac:dyDescent="0.35">
      <c r="A128" s="7" t="s">
        <v>158</v>
      </c>
      <c r="B128" s="8">
        <v>45310</v>
      </c>
      <c r="C128" s="9" t="s">
        <v>27</v>
      </c>
      <c r="D128" s="9" t="s">
        <v>46</v>
      </c>
      <c r="E128" s="9" t="s">
        <v>29</v>
      </c>
      <c r="F128" s="9">
        <v>114</v>
      </c>
      <c r="G128" s="9">
        <v>109.48</v>
      </c>
      <c r="H128" s="9" t="s">
        <v>32</v>
      </c>
      <c r="I128" s="9">
        <v>41</v>
      </c>
      <c r="J128" s="10">
        <v>-4.5199999999999898</v>
      </c>
      <c r="K128" s="9" t="str">
        <f>TEXT(Sales_of_Jordan[[#This Row],[Sale_Date]],"mmm")</f>
        <v>Jan</v>
      </c>
    </row>
    <row r="129" spans="1:11" x14ac:dyDescent="0.35">
      <c r="A129" s="7" t="s">
        <v>159</v>
      </c>
      <c r="B129" s="8">
        <v>45876</v>
      </c>
      <c r="C129" s="9" t="s">
        <v>31</v>
      </c>
      <c r="D129" s="9" t="s">
        <v>53</v>
      </c>
      <c r="E129" s="9" t="s">
        <v>13</v>
      </c>
      <c r="F129" s="9">
        <v>200</v>
      </c>
      <c r="G129" s="9">
        <v>106.63</v>
      </c>
      <c r="H129" s="9" t="s">
        <v>25</v>
      </c>
      <c r="I129" s="9">
        <v>17</v>
      </c>
      <c r="J129" s="10">
        <v>-93.37</v>
      </c>
      <c r="K129" s="9" t="str">
        <f>TEXT(Sales_of_Jordan[[#This Row],[Sale_Date]],"mmm")</f>
        <v>Aug</v>
      </c>
    </row>
    <row r="130" spans="1:11" x14ac:dyDescent="0.35">
      <c r="A130" s="7" t="s">
        <v>160</v>
      </c>
      <c r="B130" s="8">
        <v>45640</v>
      </c>
      <c r="C130" s="9" t="s">
        <v>31</v>
      </c>
      <c r="D130" s="9" t="s">
        <v>17</v>
      </c>
      <c r="E130" s="9" t="s">
        <v>18</v>
      </c>
      <c r="F130" s="9">
        <v>209</v>
      </c>
      <c r="G130" s="9">
        <v>448.74</v>
      </c>
      <c r="H130" s="9" t="s">
        <v>19</v>
      </c>
      <c r="I130" s="9">
        <v>6</v>
      </c>
      <c r="J130" s="10">
        <v>239.74</v>
      </c>
      <c r="K130" s="9" t="str">
        <f>TEXT(Sales_of_Jordan[[#This Row],[Sale_Date]],"mmm")</f>
        <v>Dec</v>
      </c>
    </row>
    <row r="131" spans="1:11" x14ac:dyDescent="0.35">
      <c r="A131" s="7" t="s">
        <v>161</v>
      </c>
      <c r="B131" s="8">
        <v>45845</v>
      </c>
      <c r="C131" s="9" t="s">
        <v>11</v>
      </c>
      <c r="D131" s="9" t="s">
        <v>17</v>
      </c>
      <c r="E131" s="9" t="s">
        <v>18</v>
      </c>
      <c r="F131" s="9">
        <v>230</v>
      </c>
      <c r="G131" s="9">
        <v>452.78</v>
      </c>
      <c r="H131" s="9" t="s">
        <v>19</v>
      </c>
      <c r="I131" s="9">
        <v>2</v>
      </c>
      <c r="J131" s="10">
        <v>222.77999999999901</v>
      </c>
      <c r="K131" s="9" t="str">
        <f>TEXT(Sales_of_Jordan[[#This Row],[Sale_Date]],"mmm")</f>
        <v>Jul</v>
      </c>
    </row>
    <row r="132" spans="1:11" x14ac:dyDescent="0.35">
      <c r="A132" s="7" t="s">
        <v>162</v>
      </c>
      <c r="B132" s="8">
        <v>45840</v>
      </c>
      <c r="C132" s="9" t="s">
        <v>31</v>
      </c>
      <c r="D132" s="9" t="s">
        <v>34</v>
      </c>
      <c r="E132" s="9" t="s">
        <v>13</v>
      </c>
      <c r="F132" s="9">
        <v>206</v>
      </c>
      <c r="G132" s="9">
        <v>120.27</v>
      </c>
      <c r="H132" s="9" t="s">
        <v>14</v>
      </c>
      <c r="I132" s="9">
        <v>1</v>
      </c>
      <c r="J132" s="10">
        <v>-85.73</v>
      </c>
      <c r="K132" s="9" t="str">
        <f>TEXT(Sales_of_Jordan[[#This Row],[Sale_Date]],"mmm")</f>
        <v>Jul</v>
      </c>
    </row>
    <row r="133" spans="1:11" x14ac:dyDescent="0.35">
      <c r="A133" s="7" t="s">
        <v>163</v>
      </c>
      <c r="B133" s="8">
        <v>45468</v>
      </c>
      <c r="C133" s="9" t="s">
        <v>11</v>
      </c>
      <c r="D133" s="9" t="s">
        <v>12</v>
      </c>
      <c r="E133" s="9" t="s">
        <v>29</v>
      </c>
      <c r="F133" s="9">
        <v>228</v>
      </c>
      <c r="G133" s="9">
        <v>261.39999999999998</v>
      </c>
      <c r="H133" s="9" t="s">
        <v>19</v>
      </c>
      <c r="I133" s="9">
        <v>5</v>
      </c>
      <c r="J133" s="10">
        <v>33.399999999999899</v>
      </c>
      <c r="K133" s="9" t="str">
        <f>TEXT(Sales_of_Jordan[[#This Row],[Sale_Date]],"mmm")</f>
        <v>Jun</v>
      </c>
    </row>
    <row r="134" spans="1:11" x14ac:dyDescent="0.35">
      <c r="A134" s="7" t="s">
        <v>164</v>
      </c>
      <c r="B134" s="8">
        <v>44997</v>
      </c>
      <c r="C134" s="9" t="s">
        <v>31</v>
      </c>
      <c r="D134" s="9" t="s">
        <v>12</v>
      </c>
      <c r="E134" s="9" t="s">
        <v>18</v>
      </c>
      <c r="F134" s="9">
        <v>207</v>
      </c>
      <c r="G134" s="9">
        <v>667.69</v>
      </c>
      <c r="H134" s="9" t="s">
        <v>14</v>
      </c>
      <c r="I134" s="9">
        <v>7</v>
      </c>
      <c r="J134" s="10">
        <v>460.69</v>
      </c>
      <c r="K134" s="9" t="str">
        <f>TEXT(Sales_of_Jordan[[#This Row],[Sale_Date]],"mmm")</f>
        <v>Mar</v>
      </c>
    </row>
    <row r="135" spans="1:11" x14ac:dyDescent="0.35">
      <c r="A135" s="7" t="s">
        <v>165</v>
      </c>
      <c r="B135" s="8">
        <v>45634</v>
      </c>
      <c r="C135" s="9" t="s">
        <v>21</v>
      </c>
      <c r="D135" s="9" t="s">
        <v>53</v>
      </c>
      <c r="E135" s="9" t="s">
        <v>18</v>
      </c>
      <c r="F135" s="9">
        <v>214</v>
      </c>
      <c r="G135" s="9">
        <v>447</v>
      </c>
      <c r="H135" s="9" t="s">
        <v>25</v>
      </c>
      <c r="I135" s="9">
        <v>40</v>
      </c>
      <c r="J135" s="10">
        <v>233</v>
      </c>
      <c r="K135" s="9" t="str">
        <f>TEXT(Sales_of_Jordan[[#This Row],[Sale_Date]],"mmm")</f>
        <v>Dec</v>
      </c>
    </row>
    <row r="136" spans="1:11" x14ac:dyDescent="0.35">
      <c r="A136" s="7" t="s">
        <v>166</v>
      </c>
      <c r="B136" s="8">
        <v>45607</v>
      </c>
      <c r="C136" s="9" t="s">
        <v>11</v>
      </c>
      <c r="D136" s="9" t="s">
        <v>53</v>
      </c>
      <c r="E136" s="9" t="s">
        <v>13</v>
      </c>
      <c r="F136" s="9">
        <v>230</v>
      </c>
      <c r="G136" s="9">
        <v>189.06</v>
      </c>
      <c r="H136" s="9" t="s">
        <v>14</v>
      </c>
      <c r="I136" s="9">
        <v>7</v>
      </c>
      <c r="J136" s="10">
        <v>-40.94</v>
      </c>
      <c r="K136" s="9" t="str">
        <f>TEXT(Sales_of_Jordan[[#This Row],[Sale_Date]],"mmm")</f>
        <v>Nov</v>
      </c>
    </row>
    <row r="137" spans="1:11" x14ac:dyDescent="0.35">
      <c r="A137" s="7" t="s">
        <v>167</v>
      </c>
      <c r="B137" s="8">
        <v>45774</v>
      </c>
      <c r="C137" s="9" t="s">
        <v>16</v>
      </c>
      <c r="D137" s="9" t="s">
        <v>17</v>
      </c>
      <c r="E137" s="9" t="s">
        <v>29</v>
      </c>
      <c r="F137" s="9">
        <v>176</v>
      </c>
      <c r="G137" s="9">
        <v>187.96</v>
      </c>
      <c r="H137" s="9" t="s">
        <v>32</v>
      </c>
      <c r="I137" s="9">
        <v>50</v>
      </c>
      <c r="J137" s="10">
        <v>11.96</v>
      </c>
      <c r="K137" s="9" t="str">
        <f>TEXT(Sales_of_Jordan[[#This Row],[Sale_Date]],"mmm")</f>
        <v>Apr</v>
      </c>
    </row>
    <row r="138" spans="1:11" x14ac:dyDescent="0.35">
      <c r="A138" s="7" t="s">
        <v>168</v>
      </c>
      <c r="B138" s="8">
        <v>45504</v>
      </c>
      <c r="C138" s="9" t="s">
        <v>27</v>
      </c>
      <c r="D138" s="9" t="s">
        <v>17</v>
      </c>
      <c r="E138" s="9" t="s">
        <v>18</v>
      </c>
      <c r="F138" s="9">
        <v>138</v>
      </c>
      <c r="G138" s="9">
        <v>240.47</v>
      </c>
      <c r="H138" s="9" t="s">
        <v>25</v>
      </c>
      <c r="I138" s="9">
        <v>42</v>
      </c>
      <c r="J138" s="10">
        <v>102.47</v>
      </c>
      <c r="K138" s="9" t="str">
        <f>TEXT(Sales_of_Jordan[[#This Row],[Sale_Date]],"mmm")</f>
        <v>Jul</v>
      </c>
    </row>
    <row r="139" spans="1:11" x14ac:dyDescent="0.35">
      <c r="A139" s="7" t="s">
        <v>169</v>
      </c>
      <c r="B139" s="8">
        <v>44976</v>
      </c>
      <c r="C139" s="9" t="s">
        <v>21</v>
      </c>
      <c r="D139" s="9" t="s">
        <v>53</v>
      </c>
      <c r="E139" s="9" t="s">
        <v>13</v>
      </c>
      <c r="F139" s="9">
        <v>216</v>
      </c>
      <c r="G139" s="9">
        <v>166.68</v>
      </c>
      <c r="H139" s="9" t="s">
        <v>19</v>
      </c>
      <c r="I139" s="9">
        <v>6</v>
      </c>
      <c r="J139" s="10">
        <v>-49.319999999999901</v>
      </c>
      <c r="K139" s="9" t="str">
        <f>TEXT(Sales_of_Jordan[[#This Row],[Sale_Date]],"mmm")</f>
        <v>Feb</v>
      </c>
    </row>
    <row r="140" spans="1:11" x14ac:dyDescent="0.35">
      <c r="A140" s="7" t="s">
        <v>170</v>
      </c>
      <c r="B140" s="8">
        <v>45367</v>
      </c>
      <c r="C140" s="9" t="s">
        <v>11</v>
      </c>
      <c r="D140" s="9" t="s">
        <v>55</v>
      </c>
      <c r="E140" s="9" t="s">
        <v>18</v>
      </c>
      <c r="F140" s="9">
        <v>228</v>
      </c>
      <c r="G140" s="9">
        <v>791.53</v>
      </c>
      <c r="H140" s="9" t="s">
        <v>32</v>
      </c>
      <c r="I140" s="9">
        <v>49</v>
      </c>
      <c r="J140" s="10">
        <v>563.53</v>
      </c>
      <c r="K140" s="9" t="str">
        <f>TEXT(Sales_of_Jordan[[#This Row],[Sale_Date]],"mmm")</f>
        <v>Mar</v>
      </c>
    </row>
    <row r="141" spans="1:11" x14ac:dyDescent="0.35">
      <c r="A141" s="7" t="s">
        <v>171</v>
      </c>
      <c r="B141" s="8">
        <v>45067</v>
      </c>
      <c r="C141" s="9" t="s">
        <v>16</v>
      </c>
      <c r="D141" s="9" t="s">
        <v>22</v>
      </c>
      <c r="E141" s="9" t="s">
        <v>29</v>
      </c>
      <c r="F141" s="9">
        <v>172</v>
      </c>
      <c r="G141" s="9">
        <v>242.38</v>
      </c>
      <c r="H141" s="9" t="s">
        <v>19</v>
      </c>
      <c r="I141" s="9">
        <v>2</v>
      </c>
      <c r="J141" s="10">
        <v>70.38</v>
      </c>
      <c r="K141" s="9" t="str">
        <f>TEXT(Sales_of_Jordan[[#This Row],[Sale_Date]],"mmm")</f>
        <v>May</v>
      </c>
    </row>
    <row r="142" spans="1:11" x14ac:dyDescent="0.35">
      <c r="A142" s="7" t="s">
        <v>172</v>
      </c>
      <c r="B142" s="8">
        <v>45796</v>
      </c>
      <c r="C142" s="9" t="s">
        <v>11</v>
      </c>
      <c r="D142" s="9" t="s">
        <v>39</v>
      </c>
      <c r="E142" s="9" t="s">
        <v>29</v>
      </c>
      <c r="F142" s="9">
        <v>230</v>
      </c>
      <c r="G142" s="9">
        <v>281</v>
      </c>
      <c r="H142" s="9" t="s">
        <v>14</v>
      </c>
      <c r="I142" s="9">
        <v>10</v>
      </c>
      <c r="J142" s="10">
        <v>51</v>
      </c>
      <c r="K142" s="9" t="str">
        <f>TEXT(Sales_of_Jordan[[#This Row],[Sale_Date]],"mmm")</f>
        <v>May</v>
      </c>
    </row>
    <row r="143" spans="1:11" x14ac:dyDescent="0.35">
      <c r="A143" s="7" t="s">
        <v>173</v>
      </c>
      <c r="B143" s="8">
        <v>45786</v>
      </c>
      <c r="C143" s="9" t="s">
        <v>27</v>
      </c>
      <c r="D143" s="9" t="s">
        <v>53</v>
      </c>
      <c r="E143" s="9" t="s">
        <v>18</v>
      </c>
      <c r="F143" s="9">
        <v>129</v>
      </c>
      <c r="G143" s="9">
        <v>228.99</v>
      </c>
      <c r="H143" s="9" t="s">
        <v>23</v>
      </c>
      <c r="I143" s="9">
        <v>15</v>
      </c>
      <c r="J143" s="10">
        <v>99.99</v>
      </c>
      <c r="K143" s="9" t="str">
        <f>TEXT(Sales_of_Jordan[[#This Row],[Sale_Date]],"mmm")</f>
        <v>May</v>
      </c>
    </row>
    <row r="144" spans="1:11" x14ac:dyDescent="0.35">
      <c r="A144" s="7" t="s">
        <v>174</v>
      </c>
      <c r="B144" s="8">
        <v>45884</v>
      </c>
      <c r="C144" s="9" t="s">
        <v>11</v>
      </c>
      <c r="D144" s="9" t="s">
        <v>55</v>
      </c>
      <c r="E144" s="9" t="s">
        <v>13</v>
      </c>
      <c r="F144" s="9">
        <v>228</v>
      </c>
      <c r="G144" s="9">
        <v>118.31</v>
      </c>
      <c r="H144" s="9" t="s">
        <v>23</v>
      </c>
      <c r="I144" s="9">
        <v>37</v>
      </c>
      <c r="J144" s="10">
        <v>-109.69</v>
      </c>
      <c r="K144" s="9" t="str">
        <f>TEXT(Sales_of_Jordan[[#This Row],[Sale_Date]],"mmm")</f>
        <v>Aug</v>
      </c>
    </row>
    <row r="145" spans="1:11" x14ac:dyDescent="0.35">
      <c r="A145" s="7" t="s">
        <v>175</v>
      </c>
      <c r="B145" s="8">
        <v>45457</v>
      </c>
      <c r="C145" s="9" t="s">
        <v>27</v>
      </c>
      <c r="D145" s="9" t="s">
        <v>55</v>
      </c>
      <c r="E145" s="9" t="s">
        <v>13</v>
      </c>
      <c r="F145" s="9">
        <v>131</v>
      </c>
      <c r="G145" s="9">
        <v>68.989999999999995</v>
      </c>
      <c r="H145" s="9" t="s">
        <v>23</v>
      </c>
      <c r="I145" s="9">
        <v>11</v>
      </c>
      <c r="J145" s="10">
        <v>-62.01</v>
      </c>
      <c r="K145" s="9" t="str">
        <f>TEXT(Sales_of_Jordan[[#This Row],[Sale_Date]],"mmm")</f>
        <v>Jun</v>
      </c>
    </row>
    <row r="146" spans="1:11" x14ac:dyDescent="0.35">
      <c r="A146" s="7" t="s">
        <v>176</v>
      </c>
      <c r="B146" s="8">
        <v>45508</v>
      </c>
      <c r="C146" s="9" t="s">
        <v>27</v>
      </c>
      <c r="D146" s="9" t="s">
        <v>46</v>
      </c>
      <c r="E146" s="9" t="s">
        <v>29</v>
      </c>
      <c r="F146" s="9">
        <v>128</v>
      </c>
      <c r="G146" s="9">
        <v>184.96</v>
      </c>
      <c r="H146" s="9" t="s">
        <v>25</v>
      </c>
      <c r="I146" s="9">
        <v>26</v>
      </c>
      <c r="J146" s="10">
        <v>56.96</v>
      </c>
      <c r="K146" s="9" t="str">
        <f>TEXT(Sales_of_Jordan[[#This Row],[Sale_Date]],"mmm")</f>
        <v>Aug</v>
      </c>
    </row>
    <row r="147" spans="1:11" x14ac:dyDescent="0.35">
      <c r="A147" s="7" t="s">
        <v>177</v>
      </c>
      <c r="B147" s="8">
        <v>45312</v>
      </c>
      <c r="C147" s="9" t="s">
        <v>27</v>
      </c>
      <c r="D147" s="9" t="s">
        <v>55</v>
      </c>
      <c r="E147" s="9" t="s">
        <v>13</v>
      </c>
      <c r="F147" s="9">
        <v>130</v>
      </c>
      <c r="G147" s="9">
        <v>88.39</v>
      </c>
      <c r="H147" s="9" t="s">
        <v>19</v>
      </c>
      <c r="I147" s="9">
        <v>7</v>
      </c>
      <c r="J147" s="10">
        <v>-41.61</v>
      </c>
      <c r="K147" s="9" t="str">
        <f>TEXT(Sales_of_Jordan[[#This Row],[Sale_Date]],"mmm")</f>
        <v>Jan</v>
      </c>
    </row>
    <row r="148" spans="1:11" x14ac:dyDescent="0.35">
      <c r="A148" s="7" t="s">
        <v>178</v>
      </c>
      <c r="B148" s="8">
        <v>44949</v>
      </c>
      <c r="C148" s="9" t="s">
        <v>31</v>
      </c>
      <c r="D148" s="9" t="s">
        <v>55</v>
      </c>
      <c r="E148" s="9" t="s">
        <v>18</v>
      </c>
      <c r="F148" s="9">
        <v>204</v>
      </c>
      <c r="G148" s="9">
        <v>593.17999999999995</v>
      </c>
      <c r="H148" s="9" t="s">
        <v>19</v>
      </c>
      <c r="I148" s="9">
        <v>10</v>
      </c>
      <c r="J148" s="10">
        <v>389.17999999999898</v>
      </c>
      <c r="K148" s="9" t="str">
        <f>TEXT(Sales_of_Jordan[[#This Row],[Sale_Date]],"mmm")</f>
        <v>Jan</v>
      </c>
    </row>
    <row r="149" spans="1:11" x14ac:dyDescent="0.35">
      <c r="A149" s="7" t="s">
        <v>179</v>
      </c>
      <c r="B149" s="8">
        <v>45504</v>
      </c>
      <c r="C149" s="9" t="s">
        <v>16</v>
      </c>
      <c r="D149" s="9" t="s">
        <v>22</v>
      </c>
      <c r="E149" s="9" t="s">
        <v>13</v>
      </c>
      <c r="F149" s="9">
        <v>172</v>
      </c>
      <c r="G149" s="9">
        <v>110.16</v>
      </c>
      <c r="H149" s="9" t="s">
        <v>25</v>
      </c>
      <c r="I149" s="9">
        <v>26</v>
      </c>
      <c r="J149" s="10">
        <v>-61.84</v>
      </c>
      <c r="K149" s="9" t="str">
        <f>TEXT(Sales_of_Jordan[[#This Row],[Sale_Date]],"mmm")</f>
        <v>Jul</v>
      </c>
    </row>
    <row r="150" spans="1:11" x14ac:dyDescent="0.35">
      <c r="A150" s="7" t="s">
        <v>180</v>
      </c>
      <c r="B150" s="8">
        <v>45337</v>
      </c>
      <c r="C150" s="9" t="s">
        <v>31</v>
      </c>
      <c r="D150" s="9" t="s">
        <v>17</v>
      </c>
      <c r="E150" s="9" t="s">
        <v>13</v>
      </c>
      <c r="F150" s="9">
        <v>203</v>
      </c>
      <c r="G150" s="9">
        <v>181.72</v>
      </c>
      <c r="H150" s="9" t="s">
        <v>14</v>
      </c>
      <c r="I150" s="9">
        <v>13</v>
      </c>
      <c r="J150" s="10">
        <v>-21.28</v>
      </c>
      <c r="K150" s="9" t="str">
        <f>TEXT(Sales_of_Jordan[[#This Row],[Sale_Date]],"mmm")</f>
        <v>Feb</v>
      </c>
    </row>
    <row r="151" spans="1:11" x14ac:dyDescent="0.35">
      <c r="A151" s="7" t="s">
        <v>181</v>
      </c>
      <c r="B151" s="8">
        <v>45019</v>
      </c>
      <c r="C151" s="9" t="s">
        <v>31</v>
      </c>
      <c r="D151" s="9" t="s">
        <v>53</v>
      </c>
      <c r="E151" s="9" t="s">
        <v>13</v>
      </c>
      <c r="F151" s="9">
        <v>204</v>
      </c>
      <c r="G151" s="9">
        <v>126.16</v>
      </c>
      <c r="H151" s="9" t="s">
        <v>25</v>
      </c>
      <c r="I151" s="9">
        <v>10</v>
      </c>
      <c r="J151" s="10">
        <v>-77.84</v>
      </c>
      <c r="K151" s="9" t="str">
        <f>TEXT(Sales_of_Jordan[[#This Row],[Sale_Date]],"mmm")</f>
        <v>Apr</v>
      </c>
    </row>
    <row r="152" spans="1:11" x14ac:dyDescent="0.35">
      <c r="A152" s="7" t="s">
        <v>182</v>
      </c>
      <c r="B152" s="8">
        <v>44974</v>
      </c>
      <c r="C152" s="9" t="s">
        <v>31</v>
      </c>
      <c r="D152" s="9" t="s">
        <v>39</v>
      </c>
      <c r="E152" s="9" t="s">
        <v>29</v>
      </c>
      <c r="F152" s="9">
        <v>205</v>
      </c>
      <c r="G152" s="9">
        <v>278.83999999999997</v>
      </c>
      <c r="H152" s="9" t="s">
        <v>32</v>
      </c>
      <c r="I152" s="9">
        <v>54</v>
      </c>
      <c r="J152" s="10">
        <v>73.839999999999904</v>
      </c>
      <c r="K152" s="9" t="str">
        <f>TEXT(Sales_of_Jordan[[#This Row],[Sale_Date]],"mmm")</f>
        <v>Feb</v>
      </c>
    </row>
    <row r="153" spans="1:11" x14ac:dyDescent="0.35">
      <c r="A153" s="7" t="s">
        <v>183</v>
      </c>
      <c r="B153" s="8">
        <v>45799</v>
      </c>
      <c r="C153" s="9" t="s">
        <v>27</v>
      </c>
      <c r="D153" s="9" t="s">
        <v>22</v>
      </c>
      <c r="E153" s="9" t="s">
        <v>18</v>
      </c>
      <c r="F153" s="9">
        <v>123</v>
      </c>
      <c r="G153" s="9">
        <v>268.24</v>
      </c>
      <c r="H153" s="9" t="s">
        <v>25</v>
      </c>
      <c r="I153" s="9">
        <v>54</v>
      </c>
      <c r="J153" s="10">
        <v>145.24</v>
      </c>
      <c r="K153" s="9" t="str">
        <f>TEXT(Sales_of_Jordan[[#This Row],[Sale_Date]],"mmm")</f>
        <v>May</v>
      </c>
    </row>
    <row r="154" spans="1:11" x14ac:dyDescent="0.35">
      <c r="A154" s="7" t="s">
        <v>184</v>
      </c>
      <c r="B154" s="8">
        <v>45057</v>
      </c>
      <c r="C154" s="9" t="s">
        <v>27</v>
      </c>
      <c r="D154" s="9" t="s">
        <v>17</v>
      </c>
      <c r="E154" s="9" t="s">
        <v>18</v>
      </c>
      <c r="F154" s="9">
        <v>124</v>
      </c>
      <c r="G154" s="9">
        <v>397.45</v>
      </c>
      <c r="H154" s="9" t="s">
        <v>25</v>
      </c>
      <c r="I154" s="9">
        <v>58</v>
      </c>
      <c r="J154" s="10">
        <v>273.45</v>
      </c>
      <c r="K154" s="9" t="str">
        <f>TEXT(Sales_of_Jordan[[#This Row],[Sale_Date]],"mmm")</f>
        <v>May</v>
      </c>
    </row>
    <row r="155" spans="1:11" x14ac:dyDescent="0.35">
      <c r="A155" s="7" t="s">
        <v>185</v>
      </c>
      <c r="B155" s="8">
        <v>45104</v>
      </c>
      <c r="C155" s="9" t="s">
        <v>31</v>
      </c>
      <c r="D155" s="9" t="s">
        <v>34</v>
      </c>
      <c r="E155" s="9" t="s">
        <v>13</v>
      </c>
      <c r="F155" s="9">
        <v>209</v>
      </c>
      <c r="G155" s="9">
        <v>175.28</v>
      </c>
      <c r="H155" s="9" t="s">
        <v>32</v>
      </c>
      <c r="I155" s="9">
        <v>17</v>
      </c>
      <c r="J155" s="10">
        <v>-33.72</v>
      </c>
      <c r="K155" s="9" t="str">
        <f>TEXT(Sales_of_Jordan[[#This Row],[Sale_Date]],"mmm")</f>
        <v>Jun</v>
      </c>
    </row>
    <row r="156" spans="1:11" x14ac:dyDescent="0.35">
      <c r="A156" s="7" t="s">
        <v>186</v>
      </c>
      <c r="B156" s="8">
        <v>45849</v>
      </c>
      <c r="C156" s="9" t="s">
        <v>31</v>
      </c>
      <c r="D156" s="9" t="s">
        <v>39</v>
      </c>
      <c r="E156" s="9" t="s">
        <v>13</v>
      </c>
      <c r="F156" s="9">
        <v>209</v>
      </c>
      <c r="G156" s="9">
        <v>150.85</v>
      </c>
      <c r="H156" s="9" t="s">
        <v>14</v>
      </c>
      <c r="I156" s="9">
        <v>10</v>
      </c>
      <c r="J156" s="10">
        <v>-58.15</v>
      </c>
      <c r="K156" s="9" t="str">
        <f>TEXT(Sales_of_Jordan[[#This Row],[Sale_Date]],"mmm")</f>
        <v>Jul</v>
      </c>
    </row>
    <row r="157" spans="1:11" x14ac:dyDescent="0.35">
      <c r="A157" s="7" t="s">
        <v>187</v>
      </c>
      <c r="B157" s="8">
        <v>45915</v>
      </c>
      <c r="C157" s="9" t="s">
        <v>21</v>
      </c>
      <c r="D157" s="9" t="s">
        <v>12</v>
      </c>
      <c r="E157" s="9" t="s">
        <v>18</v>
      </c>
      <c r="F157" s="9">
        <v>221</v>
      </c>
      <c r="G157" s="9">
        <v>498.32</v>
      </c>
      <c r="H157" s="9" t="s">
        <v>32</v>
      </c>
      <c r="I157" s="9">
        <v>53</v>
      </c>
      <c r="J157" s="10">
        <v>277.32</v>
      </c>
      <c r="K157" s="9" t="str">
        <f>TEXT(Sales_of_Jordan[[#This Row],[Sale_Date]],"mmm")</f>
        <v>Sep</v>
      </c>
    </row>
    <row r="158" spans="1:11" x14ac:dyDescent="0.35">
      <c r="A158" s="7" t="s">
        <v>188</v>
      </c>
      <c r="B158" s="8">
        <v>45004</v>
      </c>
      <c r="C158" s="9" t="s">
        <v>21</v>
      </c>
      <c r="D158" s="9" t="s">
        <v>39</v>
      </c>
      <c r="E158" s="9" t="s">
        <v>13</v>
      </c>
      <c r="F158" s="9">
        <v>218</v>
      </c>
      <c r="G158" s="9">
        <v>179.27</v>
      </c>
      <c r="H158" s="9" t="s">
        <v>14</v>
      </c>
      <c r="I158" s="9">
        <v>14</v>
      </c>
      <c r="J158" s="10">
        <v>-38.729999999999897</v>
      </c>
      <c r="K158" s="9" t="str">
        <f>TEXT(Sales_of_Jordan[[#This Row],[Sale_Date]],"mmm")</f>
        <v>Mar</v>
      </c>
    </row>
    <row r="159" spans="1:11" x14ac:dyDescent="0.35">
      <c r="A159" s="7" t="s">
        <v>189</v>
      </c>
      <c r="B159" s="8">
        <v>45631</v>
      </c>
      <c r="C159" s="9" t="s">
        <v>11</v>
      </c>
      <c r="D159" s="9" t="s">
        <v>53</v>
      </c>
      <c r="E159" s="9" t="s">
        <v>29</v>
      </c>
      <c r="F159" s="9">
        <v>227</v>
      </c>
      <c r="G159" s="9">
        <v>271.14999999999998</v>
      </c>
      <c r="H159" s="9" t="s">
        <v>25</v>
      </c>
      <c r="I159" s="9">
        <v>12</v>
      </c>
      <c r="J159" s="10">
        <v>44.149999999999899</v>
      </c>
      <c r="K159" s="9" t="str">
        <f>TEXT(Sales_of_Jordan[[#This Row],[Sale_Date]],"mmm")</f>
        <v>Dec</v>
      </c>
    </row>
    <row r="160" spans="1:11" x14ac:dyDescent="0.35">
      <c r="A160" s="7" t="s">
        <v>190</v>
      </c>
      <c r="B160" s="8">
        <v>45489</v>
      </c>
      <c r="C160" s="9" t="s">
        <v>21</v>
      </c>
      <c r="D160" s="9" t="s">
        <v>34</v>
      </c>
      <c r="E160" s="9" t="s">
        <v>29</v>
      </c>
      <c r="F160" s="9">
        <v>215</v>
      </c>
      <c r="G160" s="9">
        <v>217.54</v>
      </c>
      <c r="H160" s="9" t="s">
        <v>23</v>
      </c>
      <c r="I160" s="9">
        <v>52</v>
      </c>
      <c r="J160" s="10">
        <v>2.5399999999999898</v>
      </c>
      <c r="K160" s="9" t="str">
        <f>TEXT(Sales_of_Jordan[[#This Row],[Sale_Date]],"mmm")</f>
        <v>Jul</v>
      </c>
    </row>
    <row r="161" spans="1:11" x14ac:dyDescent="0.35">
      <c r="A161" s="7" t="s">
        <v>191</v>
      </c>
      <c r="B161" s="8">
        <v>45586</v>
      </c>
      <c r="C161" s="9" t="s">
        <v>11</v>
      </c>
      <c r="D161" s="9" t="s">
        <v>12</v>
      </c>
      <c r="E161" s="9" t="s">
        <v>29</v>
      </c>
      <c r="F161" s="9">
        <v>226</v>
      </c>
      <c r="G161" s="9">
        <v>217.63</v>
      </c>
      <c r="H161" s="9" t="s">
        <v>25</v>
      </c>
      <c r="I161" s="9">
        <v>30</v>
      </c>
      <c r="J161" s="10">
        <v>-8.3699999999999992</v>
      </c>
      <c r="K161" s="9" t="str">
        <f>TEXT(Sales_of_Jordan[[#This Row],[Sale_Date]],"mmm")</f>
        <v>Oct</v>
      </c>
    </row>
    <row r="162" spans="1:11" x14ac:dyDescent="0.35">
      <c r="A162" s="7" t="s">
        <v>192</v>
      </c>
      <c r="B162" s="8">
        <v>44989</v>
      </c>
      <c r="C162" s="9" t="s">
        <v>27</v>
      </c>
      <c r="D162" s="9" t="s">
        <v>12</v>
      </c>
      <c r="E162" s="9" t="s">
        <v>18</v>
      </c>
      <c r="F162" s="9">
        <v>113</v>
      </c>
      <c r="G162" s="9">
        <v>219.47</v>
      </c>
      <c r="H162" s="9" t="s">
        <v>23</v>
      </c>
      <c r="I162" s="9">
        <v>40</v>
      </c>
      <c r="J162" s="10">
        <v>106.47</v>
      </c>
      <c r="K162" s="9" t="str">
        <f>TEXT(Sales_of_Jordan[[#This Row],[Sale_Date]],"mmm")</f>
        <v>Mar</v>
      </c>
    </row>
    <row r="163" spans="1:11" x14ac:dyDescent="0.35">
      <c r="A163" s="7" t="s">
        <v>193</v>
      </c>
      <c r="B163" s="8">
        <v>45335</v>
      </c>
      <c r="C163" s="9" t="s">
        <v>27</v>
      </c>
      <c r="D163" s="9" t="s">
        <v>46</v>
      </c>
      <c r="E163" s="9" t="s">
        <v>13</v>
      </c>
      <c r="F163" s="9">
        <v>135</v>
      </c>
      <c r="G163" s="9">
        <v>75.069999999999993</v>
      </c>
      <c r="H163" s="9" t="s">
        <v>25</v>
      </c>
      <c r="I163" s="9">
        <v>19</v>
      </c>
      <c r="J163" s="10">
        <v>-59.93</v>
      </c>
      <c r="K163" s="9" t="str">
        <f>TEXT(Sales_of_Jordan[[#This Row],[Sale_Date]],"mmm")</f>
        <v>Feb</v>
      </c>
    </row>
    <row r="164" spans="1:11" x14ac:dyDescent="0.35">
      <c r="A164" s="7" t="s">
        <v>194</v>
      </c>
      <c r="B164" s="8">
        <v>45222</v>
      </c>
      <c r="C164" s="9" t="s">
        <v>21</v>
      </c>
      <c r="D164" s="9" t="s">
        <v>55</v>
      </c>
      <c r="E164" s="9" t="s">
        <v>29</v>
      </c>
      <c r="F164" s="9">
        <v>211</v>
      </c>
      <c r="G164" s="9">
        <v>300.64999999999998</v>
      </c>
      <c r="H164" s="9" t="s">
        <v>32</v>
      </c>
      <c r="I164" s="9">
        <v>13</v>
      </c>
      <c r="J164" s="10">
        <v>89.649999999999906</v>
      </c>
      <c r="K164" s="9" t="str">
        <f>TEXT(Sales_of_Jordan[[#This Row],[Sale_Date]],"mmm")</f>
        <v>Oct</v>
      </c>
    </row>
    <row r="165" spans="1:11" x14ac:dyDescent="0.35">
      <c r="A165" s="7" t="s">
        <v>195</v>
      </c>
      <c r="B165" s="8">
        <v>45378</v>
      </c>
      <c r="C165" s="9" t="s">
        <v>21</v>
      </c>
      <c r="D165" s="9" t="s">
        <v>17</v>
      </c>
      <c r="E165" s="9" t="s">
        <v>18</v>
      </c>
      <c r="F165" s="9">
        <v>219</v>
      </c>
      <c r="G165" s="9">
        <v>670.79</v>
      </c>
      <c r="H165" s="9" t="s">
        <v>23</v>
      </c>
      <c r="I165" s="9">
        <v>13</v>
      </c>
      <c r="J165" s="10">
        <v>451.789999999999</v>
      </c>
      <c r="K165" s="9" t="str">
        <f>TEXT(Sales_of_Jordan[[#This Row],[Sale_Date]],"mmm")</f>
        <v>Mar</v>
      </c>
    </row>
    <row r="166" spans="1:11" x14ac:dyDescent="0.35">
      <c r="A166" s="7" t="s">
        <v>196</v>
      </c>
      <c r="B166" s="8">
        <v>45877</v>
      </c>
      <c r="C166" s="9" t="s">
        <v>21</v>
      </c>
      <c r="D166" s="9" t="s">
        <v>46</v>
      </c>
      <c r="E166" s="9" t="s">
        <v>18</v>
      </c>
      <c r="F166" s="9">
        <v>212</v>
      </c>
      <c r="G166" s="9">
        <v>369.48</v>
      </c>
      <c r="H166" s="9" t="s">
        <v>14</v>
      </c>
      <c r="I166" s="9">
        <v>5</v>
      </c>
      <c r="J166" s="10">
        <v>157.47999999999999</v>
      </c>
      <c r="K166" s="9" t="str">
        <f>TEXT(Sales_of_Jordan[[#This Row],[Sale_Date]],"mmm")</f>
        <v>Aug</v>
      </c>
    </row>
    <row r="167" spans="1:11" x14ac:dyDescent="0.35">
      <c r="A167" s="7" t="s">
        <v>197</v>
      </c>
      <c r="B167" s="8">
        <v>45332</v>
      </c>
      <c r="C167" s="9" t="s">
        <v>31</v>
      </c>
      <c r="D167" s="9" t="s">
        <v>46</v>
      </c>
      <c r="E167" s="9" t="s">
        <v>29</v>
      </c>
      <c r="F167" s="9">
        <v>203</v>
      </c>
      <c r="G167" s="9">
        <v>187.45</v>
      </c>
      <c r="H167" s="9" t="s">
        <v>25</v>
      </c>
      <c r="I167" s="9">
        <v>58</v>
      </c>
      <c r="J167" s="10">
        <v>-15.55</v>
      </c>
      <c r="K167" s="9" t="str">
        <f>TEXT(Sales_of_Jordan[[#This Row],[Sale_Date]],"mmm")</f>
        <v>Feb</v>
      </c>
    </row>
    <row r="168" spans="1:11" x14ac:dyDescent="0.35">
      <c r="A168" s="7" t="s">
        <v>198</v>
      </c>
      <c r="B168" s="8">
        <v>45336</v>
      </c>
      <c r="C168" s="9" t="s">
        <v>11</v>
      </c>
      <c r="D168" s="9" t="s">
        <v>12</v>
      </c>
      <c r="E168" s="9" t="s">
        <v>18</v>
      </c>
      <c r="F168" s="9">
        <v>226</v>
      </c>
      <c r="G168" s="9">
        <v>530.98</v>
      </c>
      <c r="H168" s="9" t="s">
        <v>25</v>
      </c>
      <c r="I168" s="9">
        <v>51</v>
      </c>
      <c r="J168" s="10">
        <v>304.98</v>
      </c>
      <c r="K168" s="9" t="str">
        <f>TEXT(Sales_of_Jordan[[#This Row],[Sale_Date]],"mmm")</f>
        <v>Feb</v>
      </c>
    </row>
    <row r="169" spans="1:11" x14ac:dyDescent="0.35">
      <c r="A169" s="7" t="s">
        <v>199</v>
      </c>
      <c r="B169" s="8">
        <v>45469</v>
      </c>
      <c r="C169" s="9" t="s">
        <v>31</v>
      </c>
      <c r="D169" s="9" t="s">
        <v>22</v>
      </c>
      <c r="E169" s="9" t="s">
        <v>13</v>
      </c>
      <c r="F169" s="9">
        <v>200</v>
      </c>
      <c r="G169" s="9">
        <v>110.61</v>
      </c>
      <c r="H169" s="9" t="s">
        <v>14</v>
      </c>
      <c r="I169" s="9">
        <v>8</v>
      </c>
      <c r="J169" s="10">
        <v>-89.39</v>
      </c>
      <c r="K169" s="9" t="str">
        <f>TEXT(Sales_of_Jordan[[#This Row],[Sale_Date]],"mmm")</f>
        <v>Jun</v>
      </c>
    </row>
    <row r="170" spans="1:11" x14ac:dyDescent="0.35">
      <c r="A170" s="7" t="s">
        <v>200</v>
      </c>
      <c r="B170" s="8">
        <v>45725</v>
      </c>
      <c r="C170" s="9" t="s">
        <v>21</v>
      </c>
      <c r="D170" s="9" t="s">
        <v>34</v>
      </c>
      <c r="E170" s="9" t="s">
        <v>29</v>
      </c>
      <c r="F170" s="9">
        <v>210</v>
      </c>
      <c r="G170" s="9">
        <v>217.43</v>
      </c>
      <c r="H170" s="9" t="s">
        <v>32</v>
      </c>
      <c r="I170" s="9">
        <v>5</v>
      </c>
      <c r="J170" s="10">
        <v>7.43</v>
      </c>
      <c r="K170" s="9" t="str">
        <f>TEXT(Sales_of_Jordan[[#This Row],[Sale_Date]],"mmm")</f>
        <v>Mar</v>
      </c>
    </row>
    <row r="171" spans="1:11" x14ac:dyDescent="0.35">
      <c r="A171" s="7" t="s">
        <v>201</v>
      </c>
      <c r="B171" s="8">
        <v>45340</v>
      </c>
      <c r="C171" s="9" t="s">
        <v>16</v>
      </c>
      <c r="D171" s="9" t="s">
        <v>12</v>
      </c>
      <c r="E171" s="9" t="s">
        <v>18</v>
      </c>
      <c r="F171" s="9">
        <v>190</v>
      </c>
      <c r="G171" s="9">
        <v>650.91</v>
      </c>
      <c r="H171" s="9" t="s">
        <v>23</v>
      </c>
      <c r="I171" s="9">
        <v>28</v>
      </c>
      <c r="J171" s="10">
        <v>460.909999999999</v>
      </c>
      <c r="K171" s="9" t="str">
        <f>TEXT(Sales_of_Jordan[[#This Row],[Sale_Date]],"mmm")</f>
        <v>Feb</v>
      </c>
    </row>
    <row r="172" spans="1:11" x14ac:dyDescent="0.35">
      <c r="A172" s="7" t="s">
        <v>202</v>
      </c>
      <c r="B172" s="8">
        <v>45005</v>
      </c>
      <c r="C172" s="9" t="s">
        <v>21</v>
      </c>
      <c r="D172" s="9" t="s">
        <v>39</v>
      </c>
      <c r="E172" s="9" t="s">
        <v>18</v>
      </c>
      <c r="F172" s="9">
        <v>217</v>
      </c>
      <c r="G172" s="9">
        <v>538.58000000000004</v>
      </c>
      <c r="H172" s="9" t="s">
        <v>25</v>
      </c>
      <c r="I172" s="9">
        <v>52</v>
      </c>
      <c r="J172" s="10">
        <v>321.58</v>
      </c>
      <c r="K172" s="9" t="str">
        <f>TEXT(Sales_of_Jordan[[#This Row],[Sale_Date]],"mmm")</f>
        <v>Mar</v>
      </c>
    </row>
    <row r="173" spans="1:11" x14ac:dyDescent="0.35">
      <c r="A173" s="7" t="s">
        <v>203</v>
      </c>
      <c r="B173" s="8">
        <v>45554</v>
      </c>
      <c r="C173" s="9" t="s">
        <v>31</v>
      </c>
      <c r="D173" s="9" t="s">
        <v>53</v>
      </c>
      <c r="E173" s="9" t="s">
        <v>18</v>
      </c>
      <c r="F173" s="9">
        <v>200</v>
      </c>
      <c r="G173" s="9">
        <v>370.77</v>
      </c>
      <c r="H173" s="9" t="s">
        <v>19</v>
      </c>
      <c r="I173" s="9">
        <v>9</v>
      </c>
      <c r="J173" s="10">
        <v>170.76999999999899</v>
      </c>
      <c r="K173" s="9" t="str">
        <f>TEXT(Sales_of_Jordan[[#This Row],[Sale_Date]],"mmm")</f>
        <v>Sep</v>
      </c>
    </row>
    <row r="174" spans="1:11" x14ac:dyDescent="0.35">
      <c r="A174" s="7" t="s">
        <v>204</v>
      </c>
      <c r="B174" s="8">
        <v>45375</v>
      </c>
      <c r="C174" s="9" t="s">
        <v>31</v>
      </c>
      <c r="D174" s="9" t="s">
        <v>22</v>
      </c>
      <c r="E174" s="9" t="s">
        <v>13</v>
      </c>
      <c r="F174" s="9">
        <v>210</v>
      </c>
      <c r="G174" s="9">
        <v>132.38999999999999</v>
      </c>
      <c r="H174" s="9" t="s">
        <v>25</v>
      </c>
      <c r="I174" s="9">
        <v>46</v>
      </c>
      <c r="J174" s="10">
        <v>-77.61</v>
      </c>
      <c r="K174" s="9" t="str">
        <f>TEXT(Sales_of_Jordan[[#This Row],[Sale_Date]],"mmm")</f>
        <v>Mar</v>
      </c>
    </row>
    <row r="175" spans="1:11" x14ac:dyDescent="0.35">
      <c r="A175" s="7" t="s">
        <v>205</v>
      </c>
      <c r="B175" s="8">
        <v>45460</v>
      </c>
      <c r="C175" s="9" t="s">
        <v>11</v>
      </c>
      <c r="D175" s="9" t="s">
        <v>17</v>
      </c>
      <c r="E175" s="9" t="s">
        <v>29</v>
      </c>
      <c r="F175" s="9">
        <v>226</v>
      </c>
      <c r="G175" s="9">
        <v>220.39</v>
      </c>
      <c r="H175" s="9" t="s">
        <v>19</v>
      </c>
      <c r="I175" s="9">
        <v>10</v>
      </c>
      <c r="J175" s="10">
        <v>-5.6100000000000101</v>
      </c>
      <c r="K175" s="9" t="str">
        <f>TEXT(Sales_of_Jordan[[#This Row],[Sale_Date]],"mmm")</f>
        <v>Jun</v>
      </c>
    </row>
    <row r="176" spans="1:11" x14ac:dyDescent="0.35">
      <c r="A176" s="7" t="s">
        <v>206</v>
      </c>
      <c r="B176" s="8">
        <v>45303</v>
      </c>
      <c r="C176" s="9" t="s">
        <v>27</v>
      </c>
      <c r="D176" s="9" t="s">
        <v>55</v>
      </c>
      <c r="E176" s="9" t="s">
        <v>13</v>
      </c>
      <c r="F176" s="9">
        <v>137</v>
      </c>
      <c r="G176" s="9">
        <v>74.430000000000007</v>
      </c>
      <c r="H176" s="9" t="s">
        <v>32</v>
      </c>
      <c r="I176" s="9">
        <v>15</v>
      </c>
      <c r="J176" s="10">
        <v>-62.569999999999901</v>
      </c>
      <c r="K176" s="9" t="str">
        <f>TEXT(Sales_of_Jordan[[#This Row],[Sale_Date]],"mmm")</f>
        <v>Jan</v>
      </c>
    </row>
    <row r="177" spans="1:11" x14ac:dyDescent="0.35">
      <c r="A177" s="7" t="s">
        <v>207</v>
      </c>
      <c r="B177" s="8">
        <v>45105</v>
      </c>
      <c r="C177" s="9" t="s">
        <v>16</v>
      </c>
      <c r="D177" s="9" t="s">
        <v>39</v>
      </c>
      <c r="E177" s="9" t="s">
        <v>18</v>
      </c>
      <c r="F177" s="9">
        <v>187</v>
      </c>
      <c r="G177" s="9">
        <v>459.93</v>
      </c>
      <c r="H177" s="9" t="s">
        <v>23</v>
      </c>
      <c r="I177" s="9">
        <v>42</v>
      </c>
      <c r="J177" s="10">
        <v>272.93</v>
      </c>
      <c r="K177" s="9" t="str">
        <f>TEXT(Sales_of_Jordan[[#This Row],[Sale_Date]],"mmm")</f>
        <v>Jun</v>
      </c>
    </row>
    <row r="178" spans="1:11" x14ac:dyDescent="0.35">
      <c r="A178" s="7" t="s">
        <v>208</v>
      </c>
      <c r="B178" s="8">
        <v>45145</v>
      </c>
      <c r="C178" s="9" t="s">
        <v>21</v>
      </c>
      <c r="D178" s="9" t="s">
        <v>46</v>
      </c>
      <c r="E178" s="9" t="s">
        <v>29</v>
      </c>
      <c r="F178" s="9">
        <v>218</v>
      </c>
      <c r="G178" s="9">
        <v>208.31</v>
      </c>
      <c r="H178" s="9" t="s">
        <v>19</v>
      </c>
      <c r="I178" s="9">
        <v>14</v>
      </c>
      <c r="J178" s="10">
        <v>-9.6899999999999906</v>
      </c>
      <c r="K178" s="9" t="str">
        <f>TEXT(Sales_of_Jordan[[#This Row],[Sale_Date]],"mmm")</f>
        <v>Aug</v>
      </c>
    </row>
    <row r="179" spans="1:11" x14ac:dyDescent="0.35">
      <c r="A179" s="7" t="s">
        <v>209</v>
      </c>
      <c r="B179" s="8">
        <v>45144</v>
      </c>
      <c r="C179" s="9" t="s">
        <v>31</v>
      </c>
      <c r="D179" s="9" t="s">
        <v>39</v>
      </c>
      <c r="E179" s="9" t="s">
        <v>13</v>
      </c>
      <c r="F179" s="9">
        <v>210</v>
      </c>
      <c r="G179" s="9">
        <v>183.61</v>
      </c>
      <c r="H179" s="9" t="s">
        <v>25</v>
      </c>
      <c r="I179" s="9">
        <v>41</v>
      </c>
      <c r="J179" s="10">
        <v>-26.389999999999901</v>
      </c>
      <c r="K179" s="9" t="str">
        <f>TEXT(Sales_of_Jordan[[#This Row],[Sale_Date]],"mmm")</f>
        <v>Aug</v>
      </c>
    </row>
    <row r="180" spans="1:11" x14ac:dyDescent="0.35">
      <c r="A180" s="7" t="s">
        <v>210</v>
      </c>
      <c r="B180" s="8">
        <v>45764</v>
      </c>
      <c r="C180" s="9" t="s">
        <v>16</v>
      </c>
      <c r="D180" s="9" t="s">
        <v>53</v>
      </c>
      <c r="E180" s="9" t="s">
        <v>29</v>
      </c>
      <c r="F180" s="9">
        <v>177</v>
      </c>
      <c r="G180" s="9">
        <v>238.95</v>
      </c>
      <c r="H180" s="9" t="s">
        <v>32</v>
      </c>
      <c r="I180" s="9">
        <v>51</v>
      </c>
      <c r="J180" s="10">
        <v>61.949999999999903</v>
      </c>
      <c r="K180" s="9" t="str">
        <f>TEXT(Sales_of_Jordan[[#This Row],[Sale_Date]],"mmm")</f>
        <v>Apr</v>
      </c>
    </row>
    <row r="181" spans="1:11" x14ac:dyDescent="0.35">
      <c r="A181" s="7" t="s">
        <v>211</v>
      </c>
      <c r="B181" s="8">
        <v>45235</v>
      </c>
      <c r="C181" s="9" t="s">
        <v>11</v>
      </c>
      <c r="D181" s="9" t="s">
        <v>12</v>
      </c>
      <c r="E181" s="9" t="s">
        <v>29</v>
      </c>
      <c r="F181" s="9">
        <v>225</v>
      </c>
      <c r="G181" s="9">
        <v>288.70999999999998</v>
      </c>
      <c r="H181" s="9" t="s">
        <v>32</v>
      </c>
      <c r="I181" s="9">
        <v>17</v>
      </c>
      <c r="J181" s="10">
        <v>63.709999999999901</v>
      </c>
      <c r="K181" s="9" t="str">
        <f>TEXT(Sales_of_Jordan[[#This Row],[Sale_Date]],"mmm")</f>
        <v>Nov</v>
      </c>
    </row>
    <row r="182" spans="1:11" x14ac:dyDescent="0.35">
      <c r="A182" s="7" t="s">
        <v>212</v>
      </c>
      <c r="B182" s="8">
        <v>45026</v>
      </c>
      <c r="C182" s="9" t="s">
        <v>27</v>
      </c>
      <c r="D182" s="9" t="s">
        <v>12</v>
      </c>
      <c r="E182" s="9" t="s">
        <v>13</v>
      </c>
      <c r="F182" s="9">
        <v>130</v>
      </c>
      <c r="G182" s="9">
        <v>83.33</v>
      </c>
      <c r="H182" s="9" t="s">
        <v>19</v>
      </c>
      <c r="I182" s="9">
        <v>1</v>
      </c>
      <c r="J182" s="10">
        <v>-46.67</v>
      </c>
      <c r="K182" s="9" t="str">
        <f>TEXT(Sales_of_Jordan[[#This Row],[Sale_Date]],"mmm")</f>
        <v>Apr</v>
      </c>
    </row>
    <row r="183" spans="1:11" x14ac:dyDescent="0.35">
      <c r="A183" s="7" t="s">
        <v>213</v>
      </c>
      <c r="B183" s="8">
        <v>45862</v>
      </c>
      <c r="C183" s="9" t="s">
        <v>11</v>
      </c>
      <c r="D183" s="9" t="s">
        <v>46</v>
      </c>
      <c r="E183" s="9" t="s">
        <v>18</v>
      </c>
      <c r="F183" s="9">
        <v>226</v>
      </c>
      <c r="G183" s="9">
        <v>475.82</v>
      </c>
      <c r="H183" s="9" t="s">
        <v>14</v>
      </c>
      <c r="I183" s="9">
        <v>13</v>
      </c>
      <c r="J183" s="10">
        <v>249.82</v>
      </c>
      <c r="K183" s="9" t="str">
        <f>TEXT(Sales_of_Jordan[[#This Row],[Sale_Date]],"mmm")</f>
        <v>Jul</v>
      </c>
    </row>
    <row r="184" spans="1:11" x14ac:dyDescent="0.35">
      <c r="A184" s="7" t="s">
        <v>214</v>
      </c>
      <c r="B184" s="8">
        <v>44974</v>
      </c>
      <c r="C184" s="9" t="s">
        <v>11</v>
      </c>
      <c r="D184" s="9" t="s">
        <v>39</v>
      </c>
      <c r="E184" s="9" t="s">
        <v>29</v>
      </c>
      <c r="F184" s="9">
        <v>226</v>
      </c>
      <c r="G184" s="9">
        <v>236.38</v>
      </c>
      <c r="H184" s="9" t="s">
        <v>19</v>
      </c>
      <c r="I184" s="9">
        <v>14</v>
      </c>
      <c r="J184" s="10">
        <v>10.3799999999999</v>
      </c>
      <c r="K184" s="9" t="str">
        <f>TEXT(Sales_of_Jordan[[#This Row],[Sale_Date]],"mmm")</f>
        <v>Feb</v>
      </c>
    </row>
    <row r="185" spans="1:11" x14ac:dyDescent="0.35">
      <c r="A185" s="7" t="s">
        <v>215</v>
      </c>
      <c r="B185" s="8">
        <v>45054</v>
      </c>
      <c r="C185" s="9" t="s">
        <v>31</v>
      </c>
      <c r="D185" s="9" t="s">
        <v>46</v>
      </c>
      <c r="E185" s="9" t="s">
        <v>13</v>
      </c>
      <c r="F185" s="9">
        <v>208</v>
      </c>
      <c r="G185" s="9">
        <v>128.21</v>
      </c>
      <c r="H185" s="9" t="s">
        <v>23</v>
      </c>
      <c r="I185" s="9">
        <v>9</v>
      </c>
      <c r="J185" s="10">
        <v>-79.789999999999907</v>
      </c>
      <c r="K185" s="9" t="str">
        <f>TEXT(Sales_of_Jordan[[#This Row],[Sale_Date]],"mmm")</f>
        <v>May</v>
      </c>
    </row>
    <row r="186" spans="1:11" x14ac:dyDescent="0.35">
      <c r="A186" s="7" t="s">
        <v>216</v>
      </c>
      <c r="B186" s="8">
        <v>45828</v>
      </c>
      <c r="C186" s="9" t="s">
        <v>21</v>
      </c>
      <c r="D186" s="9" t="s">
        <v>34</v>
      </c>
      <c r="E186" s="9" t="s">
        <v>29</v>
      </c>
      <c r="F186" s="9">
        <v>213</v>
      </c>
      <c r="G186" s="9">
        <v>235.86</v>
      </c>
      <c r="H186" s="9" t="s">
        <v>14</v>
      </c>
      <c r="I186" s="9">
        <v>4</v>
      </c>
      <c r="J186" s="10">
        <v>22.86</v>
      </c>
      <c r="K186" s="9" t="str">
        <f>TEXT(Sales_of_Jordan[[#This Row],[Sale_Date]],"mmm")</f>
        <v>Jun</v>
      </c>
    </row>
    <row r="187" spans="1:11" x14ac:dyDescent="0.35">
      <c r="A187" s="7" t="s">
        <v>217</v>
      </c>
      <c r="B187" s="8">
        <v>45530</v>
      </c>
      <c r="C187" s="9" t="s">
        <v>27</v>
      </c>
      <c r="D187" s="9" t="s">
        <v>55</v>
      </c>
      <c r="E187" s="9" t="s">
        <v>18</v>
      </c>
      <c r="F187" s="9">
        <v>132</v>
      </c>
      <c r="G187" s="9">
        <v>180.21</v>
      </c>
      <c r="H187" s="9" t="s">
        <v>23</v>
      </c>
      <c r="I187" s="9">
        <v>36</v>
      </c>
      <c r="J187" s="10">
        <v>48.21</v>
      </c>
      <c r="K187" s="9" t="str">
        <f>TEXT(Sales_of_Jordan[[#This Row],[Sale_Date]],"mmm")</f>
        <v>Aug</v>
      </c>
    </row>
    <row r="188" spans="1:11" x14ac:dyDescent="0.35">
      <c r="A188" s="7" t="s">
        <v>218</v>
      </c>
      <c r="B188" s="8">
        <v>45207</v>
      </c>
      <c r="C188" s="9" t="s">
        <v>21</v>
      </c>
      <c r="D188" s="9" t="s">
        <v>34</v>
      </c>
      <c r="E188" s="9" t="s">
        <v>29</v>
      </c>
      <c r="F188" s="9">
        <v>225</v>
      </c>
      <c r="G188" s="9">
        <v>224.29</v>
      </c>
      <c r="H188" s="9" t="s">
        <v>14</v>
      </c>
      <c r="I188" s="9">
        <v>2</v>
      </c>
      <c r="J188" s="10">
        <v>-0.71000000000000796</v>
      </c>
      <c r="K188" s="9" t="str">
        <f>TEXT(Sales_of_Jordan[[#This Row],[Sale_Date]],"mmm")</f>
        <v>Oct</v>
      </c>
    </row>
    <row r="189" spans="1:11" x14ac:dyDescent="0.35">
      <c r="A189" s="7" t="s">
        <v>219</v>
      </c>
      <c r="B189" s="8">
        <v>45669</v>
      </c>
      <c r="C189" s="9" t="s">
        <v>21</v>
      </c>
      <c r="D189" s="9" t="s">
        <v>53</v>
      </c>
      <c r="E189" s="9" t="s">
        <v>18</v>
      </c>
      <c r="F189" s="9">
        <v>218</v>
      </c>
      <c r="G189" s="9">
        <v>326.39</v>
      </c>
      <c r="H189" s="9" t="s">
        <v>19</v>
      </c>
      <c r="I189" s="9">
        <v>4</v>
      </c>
      <c r="J189" s="10">
        <v>108.38999999999901</v>
      </c>
      <c r="K189" s="9" t="str">
        <f>TEXT(Sales_of_Jordan[[#This Row],[Sale_Date]],"mmm")</f>
        <v>Jan</v>
      </c>
    </row>
    <row r="190" spans="1:11" x14ac:dyDescent="0.35">
      <c r="A190" s="7" t="s">
        <v>220</v>
      </c>
      <c r="B190" s="8">
        <v>45218</v>
      </c>
      <c r="C190" s="9" t="s">
        <v>16</v>
      </c>
      <c r="D190" s="9" t="s">
        <v>34</v>
      </c>
      <c r="E190" s="9" t="s">
        <v>29</v>
      </c>
      <c r="F190" s="9">
        <v>190</v>
      </c>
      <c r="G190" s="9">
        <v>256.70999999999998</v>
      </c>
      <c r="H190" s="9" t="s">
        <v>25</v>
      </c>
      <c r="I190" s="9">
        <v>47</v>
      </c>
      <c r="J190" s="10">
        <v>66.709999999999894</v>
      </c>
      <c r="K190" s="9" t="str">
        <f>TEXT(Sales_of_Jordan[[#This Row],[Sale_Date]],"mmm")</f>
        <v>Oct</v>
      </c>
    </row>
    <row r="191" spans="1:11" x14ac:dyDescent="0.35">
      <c r="A191" s="7" t="s">
        <v>221</v>
      </c>
      <c r="B191" s="8">
        <v>45073</v>
      </c>
      <c r="C191" s="9" t="s">
        <v>21</v>
      </c>
      <c r="D191" s="9" t="s">
        <v>39</v>
      </c>
      <c r="E191" s="9" t="s">
        <v>13</v>
      </c>
      <c r="F191" s="9">
        <v>210</v>
      </c>
      <c r="G191" s="9">
        <v>154.63</v>
      </c>
      <c r="H191" s="9" t="s">
        <v>25</v>
      </c>
      <c r="I191" s="9">
        <v>42</v>
      </c>
      <c r="J191" s="10">
        <v>-55.37</v>
      </c>
      <c r="K191" s="9" t="str">
        <f>TEXT(Sales_of_Jordan[[#This Row],[Sale_Date]],"mmm")</f>
        <v>May</v>
      </c>
    </row>
    <row r="192" spans="1:11" x14ac:dyDescent="0.35">
      <c r="A192" s="7" t="s">
        <v>222</v>
      </c>
      <c r="B192" s="8">
        <v>44988</v>
      </c>
      <c r="C192" s="9" t="s">
        <v>27</v>
      </c>
      <c r="D192" s="9" t="s">
        <v>55</v>
      </c>
      <c r="E192" s="9" t="s">
        <v>13</v>
      </c>
      <c r="F192" s="9">
        <v>124</v>
      </c>
      <c r="G192" s="9">
        <v>86.82</v>
      </c>
      <c r="H192" s="9" t="s">
        <v>14</v>
      </c>
      <c r="I192" s="9">
        <v>1</v>
      </c>
      <c r="J192" s="10">
        <v>-37.18</v>
      </c>
      <c r="K192" s="9" t="str">
        <f>TEXT(Sales_of_Jordan[[#This Row],[Sale_Date]],"mmm")</f>
        <v>Mar</v>
      </c>
    </row>
    <row r="193" spans="1:11" x14ac:dyDescent="0.35">
      <c r="A193" s="7" t="s">
        <v>223</v>
      </c>
      <c r="B193" s="8">
        <v>45026</v>
      </c>
      <c r="C193" s="9" t="s">
        <v>27</v>
      </c>
      <c r="D193" s="9" t="s">
        <v>36</v>
      </c>
      <c r="E193" s="9" t="s">
        <v>29</v>
      </c>
      <c r="F193" s="9">
        <v>112</v>
      </c>
      <c r="G193" s="9">
        <v>112.3</v>
      </c>
      <c r="H193" s="9" t="s">
        <v>14</v>
      </c>
      <c r="I193" s="9">
        <v>14</v>
      </c>
      <c r="J193" s="10">
        <v>0.29999999999999699</v>
      </c>
      <c r="K193" s="9" t="str">
        <f>TEXT(Sales_of_Jordan[[#This Row],[Sale_Date]],"mmm")</f>
        <v>Apr</v>
      </c>
    </row>
    <row r="194" spans="1:11" x14ac:dyDescent="0.35">
      <c r="A194" s="7" t="s">
        <v>224</v>
      </c>
      <c r="B194" s="8">
        <v>45183</v>
      </c>
      <c r="C194" s="9" t="s">
        <v>31</v>
      </c>
      <c r="D194" s="9" t="s">
        <v>46</v>
      </c>
      <c r="E194" s="9" t="s">
        <v>29</v>
      </c>
      <c r="F194" s="9">
        <v>200</v>
      </c>
      <c r="G194" s="9">
        <v>262.91000000000003</v>
      </c>
      <c r="H194" s="9" t="s">
        <v>23</v>
      </c>
      <c r="I194" s="9">
        <v>23</v>
      </c>
      <c r="J194" s="10">
        <v>62.91</v>
      </c>
      <c r="K194" s="9" t="str">
        <f>TEXT(Sales_of_Jordan[[#This Row],[Sale_Date]],"mmm")</f>
        <v>Sep</v>
      </c>
    </row>
    <row r="195" spans="1:11" x14ac:dyDescent="0.35">
      <c r="A195" s="7" t="s">
        <v>225</v>
      </c>
      <c r="B195" s="8">
        <v>45810</v>
      </c>
      <c r="C195" s="9" t="s">
        <v>31</v>
      </c>
      <c r="D195" s="9" t="s">
        <v>55</v>
      </c>
      <c r="E195" s="9" t="s">
        <v>29</v>
      </c>
      <c r="F195" s="9">
        <v>205</v>
      </c>
      <c r="G195" s="9">
        <v>278.45</v>
      </c>
      <c r="H195" s="9" t="s">
        <v>23</v>
      </c>
      <c r="I195" s="9">
        <v>28</v>
      </c>
      <c r="J195" s="10">
        <v>73.449999999999903</v>
      </c>
      <c r="K195" s="9" t="str">
        <f>TEXT(Sales_of_Jordan[[#This Row],[Sale_Date]],"mmm")</f>
        <v>Jun</v>
      </c>
    </row>
    <row r="196" spans="1:11" x14ac:dyDescent="0.35">
      <c r="A196" s="7" t="s">
        <v>226</v>
      </c>
      <c r="B196" s="8">
        <v>45449</v>
      </c>
      <c r="C196" s="9" t="s">
        <v>31</v>
      </c>
      <c r="D196" s="9" t="s">
        <v>39</v>
      </c>
      <c r="E196" s="9" t="s">
        <v>18</v>
      </c>
      <c r="F196" s="9">
        <v>209</v>
      </c>
      <c r="G196" s="9">
        <v>517.53</v>
      </c>
      <c r="H196" s="9" t="s">
        <v>14</v>
      </c>
      <c r="I196" s="9">
        <v>10</v>
      </c>
      <c r="J196" s="10">
        <v>308.52999999999997</v>
      </c>
      <c r="K196" s="9" t="str">
        <f>TEXT(Sales_of_Jordan[[#This Row],[Sale_Date]],"mmm")</f>
        <v>Jun</v>
      </c>
    </row>
    <row r="197" spans="1:11" x14ac:dyDescent="0.35">
      <c r="A197" s="7" t="s">
        <v>227</v>
      </c>
      <c r="B197" s="8">
        <v>45371</v>
      </c>
      <c r="C197" s="9" t="s">
        <v>31</v>
      </c>
      <c r="D197" s="9" t="s">
        <v>34</v>
      </c>
      <c r="E197" s="9" t="s">
        <v>29</v>
      </c>
      <c r="F197" s="9">
        <v>204</v>
      </c>
      <c r="G197" s="9">
        <v>256.3</v>
      </c>
      <c r="H197" s="9" t="s">
        <v>32</v>
      </c>
      <c r="I197" s="9">
        <v>39</v>
      </c>
      <c r="J197" s="10">
        <v>52.3</v>
      </c>
      <c r="K197" s="9" t="str">
        <f>TEXT(Sales_of_Jordan[[#This Row],[Sale_Date]],"mmm")</f>
        <v>Mar</v>
      </c>
    </row>
    <row r="198" spans="1:11" x14ac:dyDescent="0.35">
      <c r="A198" s="7" t="s">
        <v>228</v>
      </c>
      <c r="B198" s="8">
        <v>45820</v>
      </c>
      <c r="C198" s="9" t="s">
        <v>31</v>
      </c>
      <c r="D198" s="9" t="s">
        <v>12</v>
      </c>
      <c r="E198" s="9" t="s">
        <v>13</v>
      </c>
      <c r="F198" s="9">
        <v>207</v>
      </c>
      <c r="G198" s="9">
        <v>146.56</v>
      </c>
      <c r="H198" s="9" t="s">
        <v>14</v>
      </c>
      <c r="I198" s="9">
        <v>5</v>
      </c>
      <c r="J198" s="10">
        <v>-60.44</v>
      </c>
      <c r="K198" s="9" t="str">
        <f>TEXT(Sales_of_Jordan[[#This Row],[Sale_Date]],"mmm")</f>
        <v>Jun</v>
      </c>
    </row>
    <row r="199" spans="1:11" x14ac:dyDescent="0.35">
      <c r="A199" s="7" t="s">
        <v>229</v>
      </c>
      <c r="B199" s="8">
        <v>45622</v>
      </c>
      <c r="C199" s="9" t="s">
        <v>31</v>
      </c>
      <c r="D199" s="9" t="s">
        <v>12</v>
      </c>
      <c r="E199" s="9" t="s">
        <v>18</v>
      </c>
      <c r="F199" s="9">
        <v>210</v>
      </c>
      <c r="G199" s="9">
        <v>665.39</v>
      </c>
      <c r="H199" s="9" t="s">
        <v>14</v>
      </c>
      <c r="I199" s="9">
        <v>11</v>
      </c>
      <c r="J199" s="10">
        <v>455.39</v>
      </c>
      <c r="K199" s="9" t="str">
        <f>TEXT(Sales_of_Jordan[[#This Row],[Sale_Date]],"mmm")</f>
        <v>Nov</v>
      </c>
    </row>
    <row r="200" spans="1:11" x14ac:dyDescent="0.35">
      <c r="A200" s="7" t="s">
        <v>230</v>
      </c>
      <c r="B200" s="8">
        <v>45085</v>
      </c>
      <c r="C200" s="9" t="s">
        <v>27</v>
      </c>
      <c r="D200" s="9" t="s">
        <v>36</v>
      </c>
      <c r="E200" s="9" t="s">
        <v>13</v>
      </c>
      <c r="F200" s="9">
        <v>137</v>
      </c>
      <c r="G200" s="9">
        <v>76.959999999999994</v>
      </c>
      <c r="H200" s="9" t="s">
        <v>19</v>
      </c>
      <c r="I200" s="9">
        <v>5</v>
      </c>
      <c r="J200" s="10">
        <v>-60.04</v>
      </c>
      <c r="K200" s="9" t="str">
        <f>TEXT(Sales_of_Jordan[[#This Row],[Sale_Date]],"mmm")</f>
        <v>Jun</v>
      </c>
    </row>
    <row r="201" spans="1:11" x14ac:dyDescent="0.35">
      <c r="A201" s="7" t="s">
        <v>231</v>
      </c>
      <c r="B201" s="8">
        <v>45500</v>
      </c>
      <c r="C201" s="9" t="s">
        <v>27</v>
      </c>
      <c r="D201" s="9" t="s">
        <v>53</v>
      </c>
      <c r="E201" s="9" t="s">
        <v>18</v>
      </c>
      <c r="F201" s="9">
        <v>131</v>
      </c>
      <c r="G201" s="9">
        <v>335.31</v>
      </c>
      <c r="H201" s="9" t="s">
        <v>23</v>
      </c>
      <c r="I201" s="9">
        <v>50</v>
      </c>
      <c r="J201" s="10">
        <v>204.31</v>
      </c>
      <c r="K201" s="9" t="str">
        <f>TEXT(Sales_of_Jordan[[#This Row],[Sale_Date]],"mmm")</f>
        <v>Jul</v>
      </c>
    </row>
    <row r="202" spans="1:11" x14ac:dyDescent="0.35">
      <c r="A202" s="7" t="s">
        <v>232</v>
      </c>
      <c r="B202" s="8">
        <v>45814</v>
      </c>
      <c r="C202" s="9" t="s">
        <v>27</v>
      </c>
      <c r="D202" s="9" t="s">
        <v>39</v>
      </c>
      <c r="E202" s="9" t="s">
        <v>29</v>
      </c>
      <c r="F202" s="9">
        <v>114</v>
      </c>
      <c r="G202" s="9">
        <v>123.08</v>
      </c>
      <c r="H202" s="9" t="s">
        <v>19</v>
      </c>
      <c r="I202" s="9">
        <v>10</v>
      </c>
      <c r="J202" s="10">
        <v>9.0799999999999894</v>
      </c>
      <c r="K202" s="9" t="str">
        <f>TEXT(Sales_of_Jordan[[#This Row],[Sale_Date]],"mmm")</f>
        <v>Jun</v>
      </c>
    </row>
    <row r="203" spans="1:11" x14ac:dyDescent="0.35">
      <c r="A203" s="7" t="s">
        <v>233</v>
      </c>
      <c r="B203" s="8">
        <v>45504</v>
      </c>
      <c r="C203" s="9" t="s">
        <v>11</v>
      </c>
      <c r="D203" s="9" t="s">
        <v>46</v>
      </c>
      <c r="E203" s="9" t="s">
        <v>18</v>
      </c>
      <c r="F203" s="9">
        <v>227</v>
      </c>
      <c r="G203" s="9">
        <v>446.18</v>
      </c>
      <c r="H203" s="9" t="s">
        <v>32</v>
      </c>
      <c r="I203" s="9">
        <v>59</v>
      </c>
      <c r="J203" s="10">
        <v>219.18</v>
      </c>
      <c r="K203" s="9" t="str">
        <f>TEXT(Sales_of_Jordan[[#This Row],[Sale_Date]],"mmm")</f>
        <v>Jul</v>
      </c>
    </row>
    <row r="204" spans="1:11" x14ac:dyDescent="0.35">
      <c r="A204" s="7" t="s">
        <v>234</v>
      </c>
      <c r="B204" s="8">
        <v>45416</v>
      </c>
      <c r="C204" s="9" t="s">
        <v>16</v>
      </c>
      <c r="D204" s="9" t="s">
        <v>22</v>
      </c>
      <c r="E204" s="9" t="s">
        <v>18</v>
      </c>
      <c r="F204" s="9">
        <v>172</v>
      </c>
      <c r="G204" s="9">
        <v>217.8</v>
      </c>
      <c r="H204" s="9" t="s">
        <v>19</v>
      </c>
      <c r="I204" s="9">
        <v>9</v>
      </c>
      <c r="J204" s="10">
        <v>45.8</v>
      </c>
      <c r="K204" s="9" t="str">
        <f>TEXT(Sales_of_Jordan[[#This Row],[Sale_Date]],"mmm")</f>
        <v>May</v>
      </c>
    </row>
    <row r="205" spans="1:11" x14ac:dyDescent="0.35">
      <c r="A205" s="7" t="s">
        <v>235</v>
      </c>
      <c r="B205" s="8">
        <v>45619</v>
      </c>
      <c r="C205" s="9" t="s">
        <v>31</v>
      </c>
      <c r="D205" s="9" t="s">
        <v>17</v>
      </c>
      <c r="E205" s="9" t="s">
        <v>18</v>
      </c>
      <c r="F205" s="9">
        <v>202</v>
      </c>
      <c r="G205" s="9">
        <v>375.91</v>
      </c>
      <c r="H205" s="9" t="s">
        <v>25</v>
      </c>
      <c r="I205" s="9">
        <v>29</v>
      </c>
      <c r="J205" s="10">
        <v>173.91</v>
      </c>
      <c r="K205" s="9" t="str">
        <f>TEXT(Sales_of_Jordan[[#This Row],[Sale_Date]],"mmm")</f>
        <v>Nov</v>
      </c>
    </row>
    <row r="206" spans="1:11" x14ac:dyDescent="0.35">
      <c r="A206" s="7" t="s">
        <v>236</v>
      </c>
      <c r="B206" s="8">
        <v>45921</v>
      </c>
      <c r="C206" s="9" t="s">
        <v>16</v>
      </c>
      <c r="D206" s="9" t="s">
        <v>12</v>
      </c>
      <c r="E206" s="9" t="s">
        <v>18</v>
      </c>
      <c r="F206" s="9">
        <v>170</v>
      </c>
      <c r="G206" s="9">
        <v>349.42</v>
      </c>
      <c r="H206" s="9" t="s">
        <v>19</v>
      </c>
      <c r="I206" s="9">
        <v>4</v>
      </c>
      <c r="J206" s="10">
        <v>179.42</v>
      </c>
      <c r="K206" s="9" t="str">
        <f>TEXT(Sales_of_Jordan[[#This Row],[Sale_Date]],"mmm")</f>
        <v>Sep</v>
      </c>
    </row>
    <row r="207" spans="1:11" x14ac:dyDescent="0.35">
      <c r="A207" s="7" t="s">
        <v>237</v>
      </c>
      <c r="B207" s="8">
        <v>45682</v>
      </c>
      <c r="C207" s="9" t="s">
        <v>31</v>
      </c>
      <c r="D207" s="9" t="s">
        <v>53</v>
      </c>
      <c r="E207" s="9" t="s">
        <v>18</v>
      </c>
      <c r="F207" s="9">
        <v>200</v>
      </c>
      <c r="G207" s="9">
        <v>530.63</v>
      </c>
      <c r="H207" s="9" t="s">
        <v>32</v>
      </c>
      <c r="I207" s="9">
        <v>32</v>
      </c>
      <c r="J207" s="10">
        <v>330.63</v>
      </c>
      <c r="K207" s="9" t="str">
        <f>TEXT(Sales_of_Jordan[[#This Row],[Sale_Date]],"mmm")</f>
        <v>Jan</v>
      </c>
    </row>
    <row r="208" spans="1:11" x14ac:dyDescent="0.35">
      <c r="A208" s="7" t="s">
        <v>238</v>
      </c>
      <c r="B208" s="8">
        <v>45613</v>
      </c>
      <c r="C208" s="9" t="s">
        <v>16</v>
      </c>
      <c r="D208" s="9" t="s">
        <v>46</v>
      </c>
      <c r="E208" s="9" t="s">
        <v>13</v>
      </c>
      <c r="F208" s="9">
        <v>188</v>
      </c>
      <c r="G208" s="9">
        <v>116.99</v>
      </c>
      <c r="H208" s="9" t="s">
        <v>23</v>
      </c>
      <c r="I208" s="9">
        <v>24</v>
      </c>
      <c r="J208" s="10">
        <v>-71.010000000000005</v>
      </c>
      <c r="K208" s="9" t="str">
        <f>TEXT(Sales_of_Jordan[[#This Row],[Sale_Date]],"mmm")</f>
        <v>Nov</v>
      </c>
    </row>
    <row r="209" spans="1:11" x14ac:dyDescent="0.35">
      <c r="A209" s="7" t="s">
        <v>239</v>
      </c>
      <c r="B209" s="8">
        <v>44967</v>
      </c>
      <c r="C209" s="9" t="s">
        <v>27</v>
      </c>
      <c r="D209" s="9" t="s">
        <v>17</v>
      </c>
      <c r="E209" s="9" t="s">
        <v>18</v>
      </c>
      <c r="F209" s="9">
        <v>131</v>
      </c>
      <c r="G209" s="9">
        <v>299.32</v>
      </c>
      <c r="H209" s="9" t="s">
        <v>32</v>
      </c>
      <c r="I209" s="9">
        <v>29</v>
      </c>
      <c r="J209" s="10">
        <v>168.32</v>
      </c>
      <c r="K209" s="9" t="str">
        <f>TEXT(Sales_of_Jordan[[#This Row],[Sale_Date]],"mmm")</f>
        <v>Feb</v>
      </c>
    </row>
    <row r="210" spans="1:11" x14ac:dyDescent="0.35">
      <c r="A210" s="7" t="s">
        <v>240</v>
      </c>
      <c r="B210" s="8">
        <v>45651</v>
      </c>
      <c r="C210" s="9" t="s">
        <v>11</v>
      </c>
      <c r="D210" s="9" t="s">
        <v>39</v>
      </c>
      <c r="E210" s="9" t="s">
        <v>18</v>
      </c>
      <c r="F210" s="9">
        <v>230</v>
      </c>
      <c r="G210" s="9">
        <v>462.29</v>
      </c>
      <c r="H210" s="9" t="s">
        <v>19</v>
      </c>
      <c r="I210" s="9">
        <v>11</v>
      </c>
      <c r="J210" s="10">
        <v>232.29</v>
      </c>
      <c r="K210" s="9" t="str">
        <f>TEXT(Sales_of_Jordan[[#This Row],[Sale_Date]],"mmm")</f>
        <v>Dec</v>
      </c>
    </row>
    <row r="211" spans="1:11" x14ac:dyDescent="0.35">
      <c r="A211" s="7" t="s">
        <v>241</v>
      </c>
      <c r="B211" s="8">
        <v>45679</v>
      </c>
      <c r="C211" s="9" t="s">
        <v>21</v>
      </c>
      <c r="D211" s="9" t="s">
        <v>46</v>
      </c>
      <c r="E211" s="9" t="s">
        <v>29</v>
      </c>
      <c r="F211" s="9">
        <v>220</v>
      </c>
      <c r="G211" s="9">
        <v>248.39</v>
      </c>
      <c r="H211" s="9" t="s">
        <v>14</v>
      </c>
      <c r="I211" s="9">
        <v>1</v>
      </c>
      <c r="J211" s="10">
        <v>28.389999999999901</v>
      </c>
      <c r="K211" s="9" t="str">
        <f>TEXT(Sales_of_Jordan[[#This Row],[Sale_Date]],"mmm")</f>
        <v>Jan</v>
      </c>
    </row>
    <row r="212" spans="1:11" x14ac:dyDescent="0.35">
      <c r="A212" s="7" t="s">
        <v>242</v>
      </c>
      <c r="B212" s="8">
        <v>45230</v>
      </c>
      <c r="C212" s="9" t="s">
        <v>27</v>
      </c>
      <c r="D212" s="9" t="s">
        <v>34</v>
      </c>
      <c r="E212" s="9" t="s">
        <v>13</v>
      </c>
      <c r="F212" s="9">
        <v>122</v>
      </c>
      <c r="G212" s="9">
        <v>93.7</v>
      </c>
      <c r="H212" s="9" t="s">
        <v>23</v>
      </c>
      <c r="I212" s="9">
        <v>42</v>
      </c>
      <c r="J212" s="10">
        <v>-28.299999999999901</v>
      </c>
      <c r="K212" s="9" t="str">
        <f>TEXT(Sales_of_Jordan[[#This Row],[Sale_Date]],"mmm")</f>
        <v>Oct</v>
      </c>
    </row>
    <row r="213" spans="1:11" x14ac:dyDescent="0.35">
      <c r="A213" s="7" t="s">
        <v>243</v>
      </c>
      <c r="B213" s="8">
        <v>45419</v>
      </c>
      <c r="C213" s="9" t="s">
        <v>27</v>
      </c>
      <c r="D213" s="9" t="s">
        <v>12</v>
      </c>
      <c r="E213" s="9" t="s">
        <v>29</v>
      </c>
      <c r="F213" s="9">
        <v>116</v>
      </c>
      <c r="G213" s="9">
        <v>158.12</v>
      </c>
      <c r="H213" s="9" t="s">
        <v>14</v>
      </c>
      <c r="I213" s="9">
        <v>2</v>
      </c>
      <c r="J213" s="10">
        <v>42.12</v>
      </c>
      <c r="K213" s="9" t="str">
        <f>TEXT(Sales_of_Jordan[[#This Row],[Sale_Date]],"mmm")</f>
        <v>May</v>
      </c>
    </row>
    <row r="214" spans="1:11" x14ac:dyDescent="0.35">
      <c r="A214" s="7" t="s">
        <v>244</v>
      </c>
      <c r="B214" s="8">
        <v>45559</v>
      </c>
      <c r="C214" s="9" t="s">
        <v>16</v>
      </c>
      <c r="D214" s="9" t="s">
        <v>46</v>
      </c>
      <c r="E214" s="9" t="s">
        <v>29</v>
      </c>
      <c r="F214" s="9">
        <v>171</v>
      </c>
      <c r="G214" s="9">
        <v>197.55</v>
      </c>
      <c r="H214" s="9" t="s">
        <v>23</v>
      </c>
      <c r="I214" s="9">
        <v>47</v>
      </c>
      <c r="J214" s="10">
        <v>26.55</v>
      </c>
      <c r="K214" s="9" t="str">
        <f>TEXT(Sales_of_Jordan[[#This Row],[Sale_Date]],"mmm")</f>
        <v>Sep</v>
      </c>
    </row>
    <row r="215" spans="1:11" x14ac:dyDescent="0.35">
      <c r="A215" s="7" t="s">
        <v>245</v>
      </c>
      <c r="B215" s="8">
        <v>45051</v>
      </c>
      <c r="C215" s="9" t="s">
        <v>16</v>
      </c>
      <c r="D215" s="9" t="s">
        <v>22</v>
      </c>
      <c r="E215" s="9" t="s">
        <v>18</v>
      </c>
      <c r="F215" s="9">
        <v>170</v>
      </c>
      <c r="G215" s="9">
        <v>594.91999999999996</v>
      </c>
      <c r="H215" s="9" t="s">
        <v>23</v>
      </c>
      <c r="I215" s="9">
        <v>47</v>
      </c>
      <c r="J215" s="10">
        <v>424.91999999999899</v>
      </c>
      <c r="K215" s="9" t="str">
        <f>TEXT(Sales_of_Jordan[[#This Row],[Sale_Date]],"mmm")</f>
        <v>May</v>
      </c>
    </row>
    <row r="216" spans="1:11" x14ac:dyDescent="0.35">
      <c r="A216" s="7" t="s">
        <v>246</v>
      </c>
      <c r="B216" s="8">
        <v>45026</v>
      </c>
      <c r="C216" s="9" t="s">
        <v>11</v>
      </c>
      <c r="D216" s="9" t="s">
        <v>22</v>
      </c>
      <c r="E216" s="9" t="s">
        <v>29</v>
      </c>
      <c r="F216" s="9">
        <v>228</v>
      </c>
      <c r="G216" s="9">
        <v>286.14</v>
      </c>
      <c r="H216" s="9" t="s">
        <v>14</v>
      </c>
      <c r="I216" s="9">
        <v>4</v>
      </c>
      <c r="J216" s="10">
        <v>58.139999999999901</v>
      </c>
      <c r="K216" s="9" t="str">
        <f>TEXT(Sales_of_Jordan[[#This Row],[Sale_Date]],"mmm")</f>
        <v>Apr</v>
      </c>
    </row>
    <row r="217" spans="1:11" x14ac:dyDescent="0.35">
      <c r="A217" s="7" t="s">
        <v>247</v>
      </c>
      <c r="B217" s="8">
        <v>45576</v>
      </c>
      <c r="C217" s="9" t="s">
        <v>11</v>
      </c>
      <c r="D217" s="9" t="s">
        <v>46</v>
      </c>
      <c r="E217" s="9" t="s">
        <v>29</v>
      </c>
      <c r="F217" s="9">
        <v>228</v>
      </c>
      <c r="G217" s="9">
        <v>229.84</v>
      </c>
      <c r="H217" s="9" t="s">
        <v>14</v>
      </c>
      <c r="I217" s="9">
        <v>2</v>
      </c>
      <c r="J217" s="10">
        <v>1.84</v>
      </c>
      <c r="K217" s="9" t="str">
        <f>TEXT(Sales_of_Jordan[[#This Row],[Sale_Date]],"mmm")</f>
        <v>Oct</v>
      </c>
    </row>
    <row r="218" spans="1:11" x14ac:dyDescent="0.35">
      <c r="A218" s="7" t="s">
        <v>248</v>
      </c>
      <c r="B218" s="8">
        <v>45401</v>
      </c>
      <c r="C218" s="9" t="s">
        <v>21</v>
      </c>
      <c r="D218" s="9" t="s">
        <v>39</v>
      </c>
      <c r="E218" s="9" t="s">
        <v>13</v>
      </c>
      <c r="F218" s="9">
        <v>216</v>
      </c>
      <c r="G218" s="9">
        <v>165.87</v>
      </c>
      <c r="H218" s="9" t="s">
        <v>25</v>
      </c>
      <c r="I218" s="9">
        <v>18</v>
      </c>
      <c r="J218" s="10">
        <v>-50.129999999999903</v>
      </c>
      <c r="K218" s="9" t="str">
        <f>TEXT(Sales_of_Jordan[[#This Row],[Sale_Date]],"mmm")</f>
        <v>Apr</v>
      </c>
    </row>
    <row r="219" spans="1:11" x14ac:dyDescent="0.35">
      <c r="A219" s="7" t="s">
        <v>249</v>
      </c>
      <c r="B219" s="8">
        <v>45407</v>
      </c>
      <c r="C219" s="9" t="s">
        <v>16</v>
      </c>
      <c r="D219" s="9" t="s">
        <v>46</v>
      </c>
      <c r="E219" s="9" t="s">
        <v>18</v>
      </c>
      <c r="F219" s="9">
        <v>175</v>
      </c>
      <c r="G219" s="9">
        <v>573.30999999999995</v>
      </c>
      <c r="H219" s="9" t="s">
        <v>23</v>
      </c>
      <c r="I219" s="9">
        <v>9</v>
      </c>
      <c r="J219" s="10">
        <v>398.30999999999898</v>
      </c>
      <c r="K219" s="9" t="str">
        <f>TEXT(Sales_of_Jordan[[#This Row],[Sale_Date]],"mmm")</f>
        <v>Apr</v>
      </c>
    </row>
    <row r="220" spans="1:11" x14ac:dyDescent="0.35">
      <c r="A220" s="7" t="s">
        <v>250</v>
      </c>
      <c r="B220" s="8">
        <v>45892</v>
      </c>
      <c r="C220" s="9" t="s">
        <v>27</v>
      </c>
      <c r="D220" s="9" t="s">
        <v>22</v>
      </c>
      <c r="E220" s="9" t="s">
        <v>13</v>
      </c>
      <c r="F220" s="9">
        <v>135</v>
      </c>
      <c r="G220" s="9">
        <v>112.03</v>
      </c>
      <c r="H220" s="9" t="s">
        <v>19</v>
      </c>
      <c r="I220" s="9">
        <v>14</v>
      </c>
      <c r="J220" s="10">
        <v>-22.97</v>
      </c>
      <c r="K220" s="9" t="str">
        <f>TEXT(Sales_of_Jordan[[#This Row],[Sale_Date]],"mmm")</f>
        <v>Aug</v>
      </c>
    </row>
    <row r="221" spans="1:11" x14ac:dyDescent="0.35">
      <c r="A221" s="7" t="s">
        <v>251</v>
      </c>
      <c r="B221" s="8">
        <v>45839</v>
      </c>
      <c r="C221" s="9" t="s">
        <v>31</v>
      </c>
      <c r="D221" s="9" t="s">
        <v>36</v>
      </c>
      <c r="E221" s="9" t="s">
        <v>18</v>
      </c>
      <c r="F221" s="9">
        <v>200</v>
      </c>
      <c r="G221" s="9">
        <v>669.49</v>
      </c>
      <c r="H221" s="9" t="s">
        <v>19</v>
      </c>
      <c r="I221" s="9">
        <v>6</v>
      </c>
      <c r="J221" s="10">
        <v>469.49</v>
      </c>
      <c r="K221" s="9" t="str">
        <f>TEXT(Sales_of_Jordan[[#This Row],[Sale_Date]],"mmm")</f>
        <v>Jul</v>
      </c>
    </row>
    <row r="222" spans="1:11" x14ac:dyDescent="0.35">
      <c r="A222" s="7" t="s">
        <v>252</v>
      </c>
      <c r="B222" s="8">
        <v>45157</v>
      </c>
      <c r="C222" s="9" t="s">
        <v>21</v>
      </c>
      <c r="D222" s="9" t="s">
        <v>36</v>
      </c>
      <c r="E222" s="9" t="s">
        <v>13</v>
      </c>
      <c r="F222" s="9">
        <v>224</v>
      </c>
      <c r="G222" s="9">
        <v>174.73</v>
      </c>
      <c r="H222" s="9" t="s">
        <v>19</v>
      </c>
      <c r="I222" s="9">
        <v>5</v>
      </c>
      <c r="J222" s="10">
        <v>-49.27</v>
      </c>
      <c r="K222" s="9" t="str">
        <f>TEXT(Sales_of_Jordan[[#This Row],[Sale_Date]],"mmm")</f>
        <v>Aug</v>
      </c>
    </row>
    <row r="223" spans="1:11" x14ac:dyDescent="0.35">
      <c r="A223" s="7" t="s">
        <v>253</v>
      </c>
      <c r="B223" s="8">
        <v>45178</v>
      </c>
      <c r="C223" s="9" t="s">
        <v>27</v>
      </c>
      <c r="D223" s="9" t="s">
        <v>55</v>
      </c>
      <c r="E223" s="9" t="s">
        <v>13</v>
      </c>
      <c r="F223" s="9">
        <v>123</v>
      </c>
      <c r="G223" s="9">
        <v>91.4</v>
      </c>
      <c r="H223" s="9" t="s">
        <v>19</v>
      </c>
      <c r="I223" s="9">
        <v>9</v>
      </c>
      <c r="J223" s="10">
        <v>-31.599999999999898</v>
      </c>
      <c r="K223" s="9" t="str">
        <f>TEXT(Sales_of_Jordan[[#This Row],[Sale_Date]],"mmm")</f>
        <v>Sep</v>
      </c>
    </row>
    <row r="224" spans="1:11" x14ac:dyDescent="0.35">
      <c r="A224" s="7" t="s">
        <v>254</v>
      </c>
      <c r="B224" s="8">
        <v>45737</v>
      </c>
      <c r="C224" s="9" t="s">
        <v>21</v>
      </c>
      <c r="D224" s="9" t="s">
        <v>22</v>
      </c>
      <c r="E224" s="9" t="s">
        <v>29</v>
      </c>
      <c r="F224" s="9">
        <v>214</v>
      </c>
      <c r="G224" s="9">
        <v>265.54000000000002</v>
      </c>
      <c r="H224" s="9" t="s">
        <v>14</v>
      </c>
      <c r="I224" s="9">
        <v>7</v>
      </c>
      <c r="J224" s="10">
        <v>51.54</v>
      </c>
      <c r="K224" s="9" t="str">
        <f>TEXT(Sales_of_Jordan[[#This Row],[Sale_Date]],"mmm")</f>
        <v>Mar</v>
      </c>
    </row>
    <row r="225" spans="1:11" x14ac:dyDescent="0.35">
      <c r="A225" s="7" t="s">
        <v>255</v>
      </c>
      <c r="B225" s="8">
        <v>45724</v>
      </c>
      <c r="C225" s="9" t="s">
        <v>16</v>
      </c>
      <c r="D225" s="9" t="s">
        <v>17</v>
      </c>
      <c r="E225" s="9" t="s">
        <v>13</v>
      </c>
      <c r="F225" s="9">
        <v>176</v>
      </c>
      <c r="G225" s="9">
        <v>138.80000000000001</v>
      </c>
      <c r="H225" s="9" t="s">
        <v>23</v>
      </c>
      <c r="I225" s="9">
        <v>44</v>
      </c>
      <c r="J225" s="10">
        <v>-37.199999999999903</v>
      </c>
      <c r="K225" s="9" t="str">
        <f>TEXT(Sales_of_Jordan[[#This Row],[Sale_Date]],"mmm")</f>
        <v>Mar</v>
      </c>
    </row>
    <row r="226" spans="1:11" x14ac:dyDescent="0.35">
      <c r="A226" s="7" t="s">
        <v>256</v>
      </c>
      <c r="B226" s="8">
        <v>44981</v>
      </c>
      <c r="C226" s="9" t="s">
        <v>11</v>
      </c>
      <c r="D226" s="9" t="s">
        <v>53</v>
      </c>
      <c r="E226" s="9" t="s">
        <v>29</v>
      </c>
      <c r="F226" s="9">
        <v>226</v>
      </c>
      <c r="G226" s="9">
        <v>287.33</v>
      </c>
      <c r="H226" s="9" t="s">
        <v>14</v>
      </c>
      <c r="I226" s="9">
        <v>4</v>
      </c>
      <c r="J226" s="10">
        <v>61.329999999999899</v>
      </c>
      <c r="K226" s="9" t="str">
        <f>TEXT(Sales_of_Jordan[[#This Row],[Sale_Date]],"mmm")</f>
        <v>Feb</v>
      </c>
    </row>
    <row r="227" spans="1:11" x14ac:dyDescent="0.35">
      <c r="A227" s="7" t="s">
        <v>257</v>
      </c>
      <c r="B227" s="8">
        <v>45210</v>
      </c>
      <c r="C227" s="9" t="s">
        <v>31</v>
      </c>
      <c r="D227" s="9" t="s">
        <v>34</v>
      </c>
      <c r="E227" s="9" t="s">
        <v>29</v>
      </c>
      <c r="F227" s="9">
        <v>201</v>
      </c>
      <c r="G227" s="9">
        <v>292.64</v>
      </c>
      <c r="H227" s="9" t="s">
        <v>25</v>
      </c>
      <c r="I227" s="9">
        <v>36</v>
      </c>
      <c r="J227" s="10">
        <v>91.639999999999901</v>
      </c>
      <c r="K227" s="9" t="str">
        <f>TEXT(Sales_of_Jordan[[#This Row],[Sale_Date]],"mmm")</f>
        <v>Oct</v>
      </c>
    </row>
    <row r="228" spans="1:11" x14ac:dyDescent="0.35">
      <c r="A228" s="7" t="s">
        <v>258</v>
      </c>
      <c r="B228" s="8">
        <v>45486</v>
      </c>
      <c r="C228" s="9" t="s">
        <v>16</v>
      </c>
      <c r="D228" s="9" t="s">
        <v>17</v>
      </c>
      <c r="E228" s="9" t="s">
        <v>13</v>
      </c>
      <c r="F228" s="9">
        <v>176</v>
      </c>
      <c r="G228" s="9">
        <v>144.72999999999999</v>
      </c>
      <c r="H228" s="9" t="s">
        <v>14</v>
      </c>
      <c r="I228" s="9">
        <v>1</v>
      </c>
      <c r="J228" s="10">
        <v>-31.27</v>
      </c>
      <c r="K228" s="9" t="str">
        <f>TEXT(Sales_of_Jordan[[#This Row],[Sale_Date]],"mmm")</f>
        <v>Jul</v>
      </c>
    </row>
    <row r="229" spans="1:11" x14ac:dyDescent="0.35">
      <c r="A229" s="7" t="s">
        <v>259</v>
      </c>
      <c r="B229" s="8">
        <v>45253</v>
      </c>
      <c r="C229" s="9" t="s">
        <v>31</v>
      </c>
      <c r="D229" s="9" t="s">
        <v>39</v>
      </c>
      <c r="E229" s="9" t="s">
        <v>13</v>
      </c>
      <c r="F229" s="9">
        <v>210</v>
      </c>
      <c r="G229" s="9">
        <v>131.04</v>
      </c>
      <c r="H229" s="9" t="s">
        <v>19</v>
      </c>
      <c r="I229" s="9">
        <v>3</v>
      </c>
      <c r="J229" s="10">
        <v>-78.959999999999994</v>
      </c>
      <c r="K229" s="9" t="str">
        <f>TEXT(Sales_of_Jordan[[#This Row],[Sale_Date]],"mmm")</f>
        <v>Nov</v>
      </c>
    </row>
    <row r="230" spans="1:11" x14ac:dyDescent="0.35">
      <c r="A230" s="7" t="s">
        <v>260</v>
      </c>
      <c r="B230" s="8">
        <v>45493</v>
      </c>
      <c r="C230" s="9" t="s">
        <v>27</v>
      </c>
      <c r="D230" s="9" t="s">
        <v>22</v>
      </c>
      <c r="E230" s="9" t="s">
        <v>29</v>
      </c>
      <c r="F230" s="9">
        <v>134</v>
      </c>
      <c r="G230" s="9">
        <v>136.47999999999999</v>
      </c>
      <c r="H230" s="9" t="s">
        <v>23</v>
      </c>
      <c r="I230" s="9">
        <v>58</v>
      </c>
      <c r="J230" s="10">
        <v>2.47999999999998</v>
      </c>
      <c r="K230" s="9" t="str">
        <f>TEXT(Sales_of_Jordan[[#This Row],[Sale_Date]],"mmm")</f>
        <v>Jul</v>
      </c>
    </row>
    <row r="231" spans="1:11" x14ac:dyDescent="0.35">
      <c r="A231" s="7" t="s">
        <v>261</v>
      </c>
      <c r="B231" s="8">
        <v>45221</v>
      </c>
      <c r="C231" s="9" t="s">
        <v>11</v>
      </c>
      <c r="D231" s="9" t="s">
        <v>34</v>
      </c>
      <c r="E231" s="9" t="s">
        <v>13</v>
      </c>
      <c r="F231" s="9">
        <v>227</v>
      </c>
      <c r="G231" s="9">
        <v>186.52</v>
      </c>
      <c r="H231" s="9" t="s">
        <v>14</v>
      </c>
      <c r="I231" s="9">
        <v>9</v>
      </c>
      <c r="J231" s="10">
        <v>-40.479999999999897</v>
      </c>
      <c r="K231" s="9" t="str">
        <f>TEXT(Sales_of_Jordan[[#This Row],[Sale_Date]],"mmm")</f>
        <v>Oct</v>
      </c>
    </row>
    <row r="232" spans="1:11" x14ac:dyDescent="0.35">
      <c r="A232" s="7" t="s">
        <v>262</v>
      </c>
      <c r="B232" s="8">
        <v>45905</v>
      </c>
      <c r="C232" s="9" t="s">
        <v>31</v>
      </c>
      <c r="D232" s="9" t="s">
        <v>34</v>
      </c>
      <c r="E232" s="9" t="s">
        <v>29</v>
      </c>
      <c r="F232" s="9">
        <v>202</v>
      </c>
      <c r="G232" s="9">
        <v>209.94</v>
      </c>
      <c r="H232" s="9" t="s">
        <v>23</v>
      </c>
      <c r="I232" s="9">
        <v>52</v>
      </c>
      <c r="J232" s="10">
        <v>7.9399999999999897</v>
      </c>
      <c r="K232" s="9" t="str">
        <f>TEXT(Sales_of_Jordan[[#This Row],[Sale_Date]],"mmm")</f>
        <v>Sep</v>
      </c>
    </row>
    <row r="233" spans="1:11" x14ac:dyDescent="0.35">
      <c r="A233" s="7" t="s">
        <v>263</v>
      </c>
      <c r="B233" s="8">
        <v>45287</v>
      </c>
      <c r="C233" s="9" t="s">
        <v>11</v>
      </c>
      <c r="D233" s="9" t="s">
        <v>39</v>
      </c>
      <c r="E233" s="9" t="s">
        <v>29</v>
      </c>
      <c r="F233" s="9">
        <v>227</v>
      </c>
      <c r="G233" s="9">
        <v>249.59</v>
      </c>
      <c r="H233" s="9" t="s">
        <v>25</v>
      </c>
      <c r="I233" s="9">
        <v>53</v>
      </c>
      <c r="J233" s="10">
        <v>22.59</v>
      </c>
      <c r="K233" s="9" t="str">
        <f>TEXT(Sales_of_Jordan[[#This Row],[Sale_Date]],"mmm")</f>
        <v>Dec</v>
      </c>
    </row>
    <row r="234" spans="1:11" x14ac:dyDescent="0.35">
      <c r="A234" s="7" t="s">
        <v>264</v>
      </c>
      <c r="B234" s="8">
        <v>45791</v>
      </c>
      <c r="C234" s="9" t="s">
        <v>11</v>
      </c>
      <c r="D234" s="9" t="s">
        <v>46</v>
      </c>
      <c r="E234" s="9" t="s">
        <v>18</v>
      </c>
      <c r="F234" s="9">
        <v>230</v>
      </c>
      <c r="G234" s="9">
        <v>355.33</v>
      </c>
      <c r="H234" s="9" t="s">
        <v>14</v>
      </c>
      <c r="I234" s="9">
        <v>6</v>
      </c>
      <c r="J234" s="10">
        <v>125.329999999999</v>
      </c>
      <c r="K234" s="9" t="str">
        <f>TEXT(Sales_of_Jordan[[#This Row],[Sale_Date]],"mmm")</f>
        <v>May</v>
      </c>
    </row>
    <row r="235" spans="1:11" x14ac:dyDescent="0.35">
      <c r="A235" s="7" t="s">
        <v>265</v>
      </c>
      <c r="B235" s="8">
        <v>45775</v>
      </c>
      <c r="C235" s="9" t="s">
        <v>11</v>
      </c>
      <c r="D235" s="9" t="s">
        <v>22</v>
      </c>
      <c r="E235" s="9" t="s">
        <v>13</v>
      </c>
      <c r="F235" s="9">
        <v>229</v>
      </c>
      <c r="G235" s="9">
        <v>153.84</v>
      </c>
      <c r="H235" s="9" t="s">
        <v>19</v>
      </c>
      <c r="I235" s="9">
        <v>7</v>
      </c>
      <c r="J235" s="10">
        <v>-75.16</v>
      </c>
      <c r="K235" s="9" t="str">
        <f>TEXT(Sales_of_Jordan[[#This Row],[Sale_Date]],"mmm")</f>
        <v>Apr</v>
      </c>
    </row>
    <row r="236" spans="1:11" x14ac:dyDescent="0.35">
      <c r="A236" s="7" t="s">
        <v>266</v>
      </c>
      <c r="B236" s="8">
        <v>45100</v>
      </c>
      <c r="C236" s="9" t="s">
        <v>31</v>
      </c>
      <c r="D236" s="9" t="s">
        <v>55</v>
      </c>
      <c r="E236" s="9" t="s">
        <v>13</v>
      </c>
      <c r="F236" s="9">
        <v>205</v>
      </c>
      <c r="G236" s="9">
        <v>152.24</v>
      </c>
      <c r="H236" s="9" t="s">
        <v>19</v>
      </c>
      <c r="I236" s="9">
        <v>3</v>
      </c>
      <c r="J236" s="10">
        <v>-52.759999999999899</v>
      </c>
      <c r="K236" s="9" t="str">
        <f>TEXT(Sales_of_Jordan[[#This Row],[Sale_Date]],"mmm")</f>
        <v>Jun</v>
      </c>
    </row>
    <row r="237" spans="1:11" x14ac:dyDescent="0.35">
      <c r="A237" s="7" t="s">
        <v>267</v>
      </c>
      <c r="B237" s="8">
        <v>45554</v>
      </c>
      <c r="C237" s="9" t="s">
        <v>27</v>
      </c>
      <c r="D237" s="9" t="s">
        <v>17</v>
      </c>
      <c r="E237" s="9" t="s">
        <v>29</v>
      </c>
      <c r="F237" s="9">
        <v>113</v>
      </c>
      <c r="G237" s="9">
        <v>141.58000000000001</v>
      </c>
      <c r="H237" s="9" t="s">
        <v>14</v>
      </c>
      <c r="I237" s="9">
        <v>11</v>
      </c>
      <c r="J237" s="10">
        <v>28.58</v>
      </c>
      <c r="K237" s="9" t="str">
        <f>TEXT(Sales_of_Jordan[[#This Row],[Sale_Date]],"mmm")</f>
        <v>Sep</v>
      </c>
    </row>
    <row r="238" spans="1:11" x14ac:dyDescent="0.35">
      <c r="A238" s="7" t="s">
        <v>268</v>
      </c>
      <c r="B238" s="8">
        <v>44982</v>
      </c>
      <c r="C238" s="9" t="s">
        <v>11</v>
      </c>
      <c r="D238" s="9" t="s">
        <v>39</v>
      </c>
      <c r="E238" s="9" t="s">
        <v>29</v>
      </c>
      <c r="F238" s="9">
        <v>227</v>
      </c>
      <c r="G238" s="9">
        <v>251.93</v>
      </c>
      <c r="H238" s="9" t="s">
        <v>32</v>
      </c>
      <c r="I238" s="9">
        <v>55</v>
      </c>
      <c r="J238" s="10">
        <v>24.93</v>
      </c>
      <c r="K238" s="9" t="str">
        <f>TEXT(Sales_of_Jordan[[#This Row],[Sale_Date]],"mmm")</f>
        <v>Feb</v>
      </c>
    </row>
    <row r="239" spans="1:11" x14ac:dyDescent="0.35">
      <c r="A239" s="7" t="s">
        <v>269</v>
      </c>
      <c r="B239" s="8">
        <v>44974</v>
      </c>
      <c r="C239" s="9" t="s">
        <v>11</v>
      </c>
      <c r="D239" s="9" t="s">
        <v>55</v>
      </c>
      <c r="E239" s="9" t="s">
        <v>13</v>
      </c>
      <c r="F239" s="9">
        <v>229</v>
      </c>
      <c r="G239" s="9">
        <v>138.25</v>
      </c>
      <c r="H239" s="9" t="s">
        <v>32</v>
      </c>
      <c r="I239" s="9">
        <v>59</v>
      </c>
      <c r="J239" s="10">
        <v>-90.75</v>
      </c>
      <c r="K239" s="9" t="str">
        <f>TEXT(Sales_of_Jordan[[#This Row],[Sale_Date]],"mmm")</f>
        <v>Feb</v>
      </c>
    </row>
    <row r="240" spans="1:11" x14ac:dyDescent="0.35">
      <c r="A240" s="7" t="s">
        <v>270</v>
      </c>
      <c r="B240" s="8">
        <v>45324</v>
      </c>
      <c r="C240" s="9" t="s">
        <v>16</v>
      </c>
      <c r="D240" s="9" t="s">
        <v>17</v>
      </c>
      <c r="E240" s="9" t="s">
        <v>29</v>
      </c>
      <c r="F240" s="9">
        <v>178</v>
      </c>
      <c r="G240" s="9">
        <v>221.71</v>
      </c>
      <c r="H240" s="9" t="s">
        <v>19</v>
      </c>
      <c r="I240" s="9">
        <v>9</v>
      </c>
      <c r="J240" s="10">
        <v>43.71</v>
      </c>
      <c r="K240" s="9" t="str">
        <f>TEXT(Sales_of_Jordan[[#This Row],[Sale_Date]],"mmm")</f>
        <v>Feb</v>
      </c>
    </row>
    <row r="241" spans="1:11" x14ac:dyDescent="0.35">
      <c r="A241" s="7" t="s">
        <v>271</v>
      </c>
      <c r="B241" s="8">
        <v>45620</v>
      </c>
      <c r="C241" s="9" t="s">
        <v>11</v>
      </c>
      <c r="D241" s="9" t="s">
        <v>12</v>
      </c>
      <c r="E241" s="9" t="s">
        <v>29</v>
      </c>
      <c r="F241" s="9">
        <v>226</v>
      </c>
      <c r="G241" s="9">
        <v>302.12</v>
      </c>
      <c r="H241" s="9" t="s">
        <v>19</v>
      </c>
      <c r="I241" s="9">
        <v>4</v>
      </c>
      <c r="J241" s="10">
        <v>76.12</v>
      </c>
      <c r="K241" s="9" t="str">
        <f>TEXT(Sales_of_Jordan[[#This Row],[Sale_Date]],"mmm")</f>
        <v>Nov</v>
      </c>
    </row>
    <row r="242" spans="1:11" x14ac:dyDescent="0.35">
      <c r="A242" s="7" t="s">
        <v>272</v>
      </c>
      <c r="B242" s="8">
        <v>45084</v>
      </c>
      <c r="C242" s="9" t="s">
        <v>11</v>
      </c>
      <c r="D242" s="9" t="s">
        <v>34</v>
      </c>
      <c r="E242" s="9" t="s">
        <v>13</v>
      </c>
      <c r="F242" s="9">
        <v>227</v>
      </c>
      <c r="G242" s="9">
        <v>166.63</v>
      </c>
      <c r="H242" s="9" t="s">
        <v>14</v>
      </c>
      <c r="I242" s="9">
        <v>12</v>
      </c>
      <c r="J242" s="10">
        <v>-60.37</v>
      </c>
      <c r="K242" s="9" t="str">
        <f>TEXT(Sales_of_Jordan[[#This Row],[Sale_Date]],"mmm")</f>
        <v>Jun</v>
      </c>
    </row>
    <row r="243" spans="1:11" x14ac:dyDescent="0.35">
      <c r="A243" s="7" t="s">
        <v>273</v>
      </c>
      <c r="B243" s="8">
        <v>45175</v>
      </c>
      <c r="C243" s="9" t="s">
        <v>11</v>
      </c>
      <c r="D243" s="9" t="s">
        <v>55</v>
      </c>
      <c r="E243" s="9" t="s">
        <v>18</v>
      </c>
      <c r="F243" s="9">
        <v>229</v>
      </c>
      <c r="G243" s="9">
        <v>441.52</v>
      </c>
      <c r="H243" s="9" t="s">
        <v>14</v>
      </c>
      <c r="I243" s="9">
        <v>11</v>
      </c>
      <c r="J243" s="10">
        <v>212.51999999999899</v>
      </c>
      <c r="K243" s="9" t="str">
        <f>TEXT(Sales_of_Jordan[[#This Row],[Sale_Date]],"mmm")</f>
        <v>Sep</v>
      </c>
    </row>
    <row r="244" spans="1:11" x14ac:dyDescent="0.35">
      <c r="A244" s="7" t="s">
        <v>274</v>
      </c>
      <c r="B244" s="8">
        <v>45546</v>
      </c>
      <c r="C244" s="9" t="s">
        <v>21</v>
      </c>
      <c r="D244" s="9" t="s">
        <v>53</v>
      </c>
      <c r="E244" s="9" t="s">
        <v>18</v>
      </c>
      <c r="F244" s="9">
        <v>211</v>
      </c>
      <c r="G244" s="9">
        <v>490.2</v>
      </c>
      <c r="H244" s="9" t="s">
        <v>23</v>
      </c>
      <c r="I244" s="9">
        <v>17</v>
      </c>
      <c r="J244" s="10">
        <v>279.2</v>
      </c>
      <c r="K244" s="9" t="str">
        <f>TEXT(Sales_of_Jordan[[#This Row],[Sale_Date]],"mmm")</f>
        <v>Sep</v>
      </c>
    </row>
    <row r="245" spans="1:11" x14ac:dyDescent="0.35">
      <c r="A245" s="7" t="s">
        <v>275</v>
      </c>
      <c r="B245" s="8">
        <v>45445</v>
      </c>
      <c r="C245" s="9" t="s">
        <v>21</v>
      </c>
      <c r="D245" s="9" t="s">
        <v>46</v>
      </c>
      <c r="E245" s="9" t="s">
        <v>18</v>
      </c>
      <c r="F245" s="9">
        <v>217</v>
      </c>
      <c r="G245" s="9">
        <v>411.85</v>
      </c>
      <c r="H245" s="9" t="s">
        <v>19</v>
      </c>
      <c r="I245" s="9">
        <v>7</v>
      </c>
      <c r="J245" s="10">
        <v>194.85</v>
      </c>
      <c r="K245" s="9" t="str">
        <f>TEXT(Sales_of_Jordan[[#This Row],[Sale_Date]],"mmm")</f>
        <v>Jun</v>
      </c>
    </row>
    <row r="246" spans="1:11" x14ac:dyDescent="0.35">
      <c r="A246" s="7" t="s">
        <v>276</v>
      </c>
      <c r="B246" s="8">
        <v>45510</v>
      </c>
      <c r="C246" s="9" t="s">
        <v>21</v>
      </c>
      <c r="D246" s="9" t="s">
        <v>36</v>
      </c>
      <c r="E246" s="9" t="s">
        <v>13</v>
      </c>
      <c r="F246" s="9">
        <v>213</v>
      </c>
      <c r="G246" s="9">
        <v>123.74</v>
      </c>
      <c r="H246" s="9" t="s">
        <v>32</v>
      </c>
      <c r="I246" s="9">
        <v>14</v>
      </c>
      <c r="J246" s="10">
        <v>-89.26</v>
      </c>
      <c r="K246" s="9" t="str">
        <f>TEXT(Sales_of_Jordan[[#This Row],[Sale_Date]],"mmm")</f>
        <v>Aug</v>
      </c>
    </row>
    <row r="247" spans="1:11" x14ac:dyDescent="0.35">
      <c r="A247" s="7" t="s">
        <v>277</v>
      </c>
      <c r="B247" s="8">
        <v>45681</v>
      </c>
      <c r="C247" s="9" t="s">
        <v>21</v>
      </c>
      <c r="D247" s="9" t="s">
        <v>39</v>
      </c>
      <c r="E247" s="9" t="s">
        <v>29</v>
      </c>
      <c r="F247" s="9">
        <v>220</v>
      </c>
      <c r="G247" s="9">
        <v>324.56</v>
      </c>
      <c r="H247" s="9" t="s">
        <v>19</v>
      </c>
      <c r="I247" s="9">
        <v>1</v>
      </c>
      <c r="J247" s="10">
        <v>104.56</v>
      </c>
      <c r="K247" s="9" t="str">
        <f>TEXT(Sales_of_Jordan[[#This Row],[Sale_Date]],"mmm")</f>
        <v>Jan</v>
      </c>
    </row>
    <row r="248" spans="1:11" x14ac:dyDescent="0.35">
      <c r="A248" s="7" t="s">
        <v>278</v>
      </c>
      <c r="B248" s="8">
        <v>45535</v>
      </c>
      <c r="C248" s="9" t="s">
        <v>21</v>
      </c>
      <c r="D248" s="9" t="s">
        <v>39</v>
      </c>
      <c r="E248" s="9" t="s">
        <v>13</v>
      </c>
      <c r="F248" s="9">
        <v>218</v>
      </c>
      <c r="G248" s="9">
        <v>115.36</v>
      </c>
      <c r="H248" s="9" t="s">
        <v>14</v>
      </c>
      <c r="I248" s="9">
        <v>13</v>
      </c>
      <c r="J248" s="10">
        <v>-102.64</v>
      </c>
      <c r="K248" s="9" t="str">
        <f>TEXT(Sales_of_Jordan[[#This Row],[Sale_Date]],"mmm")</f>
        <v>Aug</v>
      </c>
    </row>
    <row r="249" spans="1:11" x14ac:dyDescent="0.35">
      <c r="A249" s="7" t="s">
        <v>279</v>
      </c>
      <c r="B249" s="8">
        <v>45510</v>
      </c>
      <c r="C249" s="9" t="s">
        <v>21</v>
      </c>
      <c r="D249" s="9" t="s">
        <v>36</v>
      </c>
      <c r="E249" s="9" t="s">
        <v>29</v>
      </c>
      <c r="F249" s="9">
        <v>219</v>
      </c>
      <c r="G249" s="9">
        <v>261.31</v>
      </c>
      <c r="H249" s="9" t="s">
        <v>25</v>
      </c>
      <c r="I249" s="9">
        <v>31</v>
      </c>
      <c r="J249" s="10">
        <v>42.31</v>
      </c>
      <c r="K249" s="9" t="str">
        <f>TEXT(Sales_of_Jordan[[#This Row],[Sale_Date]],"mmm")</f>
        <v>Aug</v>
      </c>
    </row>
    <row r="250" spans="1:11" x14ac:dyDescent="0.35">
      <c r="A250" s="7" t="s">
        <v>280</v>
      </c>
      <c r="B250" s="8">
        <v>45430</v>
      </c>
      <c r="C250" s="9" t="s">
        <v>31</v>
      </c>
      <c r="D250" s="9" t="s">
        <v>46</v>
      </c>
      <c r="E250" s="9" t="s">
        <v>18</v>
      </c>
      <c r="F250" s="9">
        <v>206</v>
      </c>
      <c r="G250" s="9">
        <v>652.45000000000005</v>
      </c>
      <c r="H250" s="9" t="s">
        <v>19</v>
      </c>
      <c r="I250" s="9">
        <v>2</v>
      </c>
      <c r="J250" s="10">
        <v>446.45</v>
      </c>
      <c r="K250" s="9" t="str">
        <f>TEXT(Sales_of_Jordan[[#This Row],[Sale_Date]],"mmm")</f>
        <v>May</v>
      </c>
    </row>
    <row r="251" spans="1:11" x14ac:dyDescent="0.35">
      <c r="A251" s="7" t="s">
        <v>281</v>
      </c>
      <c r="B251" s="8">
        <v>45280</v>
      </c>
      <c r="C251" s="9" t="s">
        <v>16</v>
      </c>
      <c r="D251" s="9" t="s">
        <v>17</v>
      </c>
      <c r="E251" s="9" t="s">
        <v>29</v>
      </c>
      <c r="F251" s="9">
        <v>172</v>
      </c>
      <c r="G251" s="9">
        <v>227.76</v>
      </c>
      <c r="H251" s="9" t="s">
        <v>32</v>
      </c>
      <c r="I251" s="9">
        <v>6</v>
      </c>
      <c r="J251" s="10">
        <v>55.759999999999899</v>
      </c>
      <c r="K251" s="9" t="str">
        <f>TEXT(Sales_of_Jordan[[#This Row],[Sale_Date]],"mmm")</f>
        <v>Dec</v>
      </c>
    </row>
    <row r="252" spans="1:11" x14ac:dyDescent="0.35">
      <c r="A252" s="7" t="s">
        <v>282</v>
      </c>
      <c r="B252" s="8">
        <v>45503</v>
      </c>
      <c r="C252" s="9" t="s">
        <v>31</v>
      </c>
      <c r="D252" s="9" t="s">
        <v>12</v>
      </c>
      <c r="E252" s="9" t="s">
        <v>13</v>
      </c>
      <c r="F252" s="9">
        <v>208</v>
      </c>
      <c r="G252" s="9">
        <v>147.53</v>
      </c>
      <c r="H252" s="9" t="s">
        <v>25</v>
      </c>
      <c r="I252" s="9">
        <v>8</v>
      </c>
      <c r="J252" s="10">
        <v>-60.47</v>
      </c>
      <c r="K252" s="9" t="str">
        <f>TEXT(Sales_of_Jordan[[#This Row],[Sale_Date]],"mmm")</f>
        <v>Jul</v>
      </c>
    </row>
    <row r="253" spans="1:11" x14ac:dyDescent="0.35">
      <c r="A253" s="7" t="s">
        <v>283</v>
      </c>
      <c r="B253" s="8">
        <v>45654</v>
      </c>
      <c r="C253" s="9" t="s">
        <v>11</v>
      </c>
      <c r="D253" s="9" t="s">
        <v>39</v>
      </c>
      <c r="E253" s="9" t="s">
        <v>18</v>
      </c>
      <c r="F253" s="9">
        <v>228</v>
      </c>
      <c r="G253" s="9">
        <v>787.91</v>
      </c>
      <c r="H253" s="9" t="s">
        <v>19</v>
      </c>
      <c r="I253" s="9">
        <v>5</v>
      </c>
      <c r="J253" s="10">
        <v>559.91</v>
      </c>
      <c r="K253" s="9" t="str">
        <f>TEXT(Sales_of_Jordan[[#This Row],[Sale_Date]],"mmm")</f>
        <v>Dec</v>
      </c>
    </row>
    <row r="254" spans="1:11" x14ac:dyDescent="0.35">
      <c r="A254" s="7" t="s">
        <v>284</v>
      </c>
      <c r="B254" s="8">
        <v>45804</v>
      </c>
      <c r="C254" s="9" t="s">
        <v>21</v>
      </c>
      <c r="D254" s="9" t="s">
        <v>46</v>
      </c>
      <c r="E254" s="9" t="s">
        <v>18</v>
      </c>
      <c r="F254" s="9">
        <v>224</v>
      </c>
      <c r="G254" s="9">
        <v>773.88</v>
      </c>
      <c r="H254" s="9" t="s">
        <v>19</v>
      </c>
      <c r="I254" s="9">
        <v>13</v>
      </c>
      <c r="J254" s="10">
        <v>549.88</v>
      </c>
      <c r="K254" s="9" t="str">
        <f>TEXT(Sales_of_Jordan[[#This Row],[Sale_Date]],"mmm")</f>
        <v>May</v>
      </c>
    </row>
    <row r="255" spans="1:11" x14ac:dyDescent="0.35">
      <c r="A255" s="7" t="s">
        <v>285</v>
      </c>
      <c r="B255" s="8">
        <v>45361</v>
      </c>
      <c r="C255" s="9" t="s">
        <v>21</v>
      </c>
      <c r="D255" s="9" t="s">
        <v>39</v>
      </c>
      <c r="E255" s="9" t="s">
        <v>13</v>
      </c>
      <c r="F255" s="9">
        <v>219</v>
      </c>
      <c r="G255" s="9">
        <v>121.67</v>
      </c>
      <c r="H255" s="9" t="s">
        <v>25</v>
      </c>
      <c r="I255" s="9">
        <v>16</v>
      </c>
      <c r="J255" s="10">
        <v>-97.33</v>
      </c>
      <c r="K255" s="9" t="str">
        <f>TEXT(Sales_of_Jordan[[#This Row],[Sale_Date]],"mmm")</f>
        <v>Mar</v>
      </c>
    </row>
    <row r="256" spans="1:11" x14ac:dyDescent="0.35">
      <c r="A256" s="7" t="s">
        <v>286</v>
      </c>
      <c r="B256" s="8">
        <v>45370</v>
      </c>
      <c r="C256" s="9" t="s">
        <v>16</v>
      </c>
      <c r="D256" s="9" t="s">
        <v>39</v>
      </c>
      <c r="E256" s="9" t="s">
        <v>18</v>
      </c>
      <c r="F256" s="9">
        <v>176</v>
      </c>
      <c r="G256" s="9">
        <v>285.43</v>
      </c>
      <c r="H256" s="9" t="s">
        <v>32</v>
      </c>
      <c r="I256" s="9">
        <v>16</v>
      </c>
      <c r="J256" s="10">
        <v>109.43</v>
      </c>
      <c r="K256" s="9" t="str">
        <f>TEXT(Sales_of_Jordan[[#This Row],[Sale_Date]],"mmm")</f>
        <v>Mar</v>
      </c>
    </row>
    <row r="257" spans="1:11" x14ac:dyDescent="0.35">
      <c r="A257" s="7" t="s">
        <v>287</v>
      </c>
      <c r="B257" s="8">
        <v>45662</v>
      </c>
      <c r="C257" s="9" t="s">
        <v>27</v>
      </c>
      <c r="D257" s="9" t="s">
        <v>46</v>
      </c>
      <c r="E257" s="9" t="s">
        <v>29</v>
      </c>
      <c r="F257" s="9">
        <v>113</v>
      </c>
      <c r="G257" s="9">
        <v>150.16</v>
      </c>
      <c r="H257" s="9" t="s">
        <v>25</v>
      </c>
      <c r="I257" s="9">
        <v>12</v>
      </c>
      <c r="J257" s="10">
        <v>37.159999999999997</v>
      </c>
      <c r="K257" s="9" t="str">
        <f>TEXT(Sales_of_Jordan[[#This Row],[Sale_Date]],"mmm")</f>
        <v>Jan</v>
      </c>
    </row>
    <row r="258" spans="1:11" x14ac:dyDescent="0.35">
      <c r="A258" s="7" t="s">
        <v>288</v>
      </c>
      <c r="B258" s="8">
        <v>45553</v>
      </c>
      <c r="C258" s="9" t="s">
        <v>27</v>
      </c>
      <c r="D258" s="9" t="s">
        <v>53</v>
      </c>
      <c r="E258" s="9" t="s">
        <v>13</v>
      </c>
      <c r="F258" s="9">
        <v>127</v>
      </c>
      <c r="G258" s="9">
        <v>103</v>
      </c>
      <c r="H258" s="9" t="s">
        <v>23</v>
      </c>
      <c r="I258" s="9">
        <v>46</v>
      </c>
      <c r="J258" s="10">
        <v>-24</v>
      </c>
      <c r="K258" s="9" t="str">
        <f>TEXT(Sales_of_Jordan[[#This Row],[Sale_Date]],"mmm")</f>
        <v>Sep</v>
      </c>
    </row>
    <row r="259" spans="1:11" x14ac:dyDescent="0.35">
      <c r="A259" s="7" t="s">
        <v>289</v>
      </c>
      <c r="B259" s="8">
        <v>45325</v>
      </c>
      <c r="C259" s="9" t="s">
        <v>21</v>
      </c>
      <c r="D259" s="9" t="s">
        <v>55</v>
      </c>
      <c r="E259" s="9" t="s">
        <v>18</v>
      </c>
      <c r="F259" s="9">
        <v>212</v>
      </c>
      <c r="G259" s="9">
        <v>618.66999999999996</v>
      </c>
      <c r="H259" s="9" t="s">
        <v>19</v>
      </c>
      <c r="I259" s="9">
        <v>7</v>
      </c>
      <c r="J259" s="10">
        <v>406.66999999999899</v>
      </c>
      <c r="K259" s="9" t="str">
        <f>TEXT(Sales_of_Jordan[[#This Row],[Sale_Date]],"mmm")</f>
        <v>Feb</v>
      </c>
    </row>
    <row r="260" spans="1:11" x14ac:dyDescent="0.35">
      <c r="A260" s="7" t="s">
        <v>290</v>
      </c>
      <c r="B260" s="8">
        <v>45854</v>
      </c>
      <c r="C260" s="9" t="s">
        <v>11</v>
      </c>
      <c r="D260" s="9" t="s">
        <v>39</v>
      </c>
      <c r="E260" s="9" t="s">
        <v>29</v>
      </c>
      <c r="F260" s="9">
        <v>228</v>
      </c>
      <c r="G260" s="9">
        <v>298.10000000000002</v>
      </c>
      <c r="H260" s="9" t="s">
        <v>23</v>
      </c>
      <c r="I260" s="9">
        <v>56</v>
      </c>
      <c r="J260" s="10">
        <v>70.099999999999994</v>
      </c>
      <c r="K260" s="9" t="str">
        <f>TEXT(Sales_of_Jordan[[#This Row],[Sale_Date]],"mmm")</f>
        <v>Jul</v>
      </c>
    </row>
    <row r="261" spans="1:11" x14ac:dyDescent="0.35">
      <c r="A261" s="7" t="s">
        <v>291</v>
      </c>
      <c r="B261" s="8">
        <v>45172</v>
      </c>
      <c r="C261" s="9" t="s">
        <v>21</v>
      </c>
      <c r="D261" s="9" t="s">
        <v>36</v>
      </c>
      <c r="E261" s="9" t="s">
        <v>13</v>
      </c>
      <c r="F261" s="9">
        <v>220</v>
      </c>
      <c r="G261" s="9">
        <v>166.34</v>
      </c>
      <c r="H261" s="9" t="s">
        <v>25</v>
      </c>
      <c r="I261" s="9">
        <v>48</v>
      </c>
      <c r="J261" s="10">
        <v>-53.66</v>
      </c>
      <c r="K261" s="9" t="str">
        <f>TEXT(Sales_of_Jordan[[#This Row],[Sale_Date]],"mmm")</f>
        <v>Sep</v>
      </c>
    </row>
    <row r="262" spans="1:11" x14ac:dyDescent="0.35">
      <c r="A262" s="7" t="s">
        <v>292</v>
      </c>
      <c r="B262" s="8">
        <v>44942</v>
      </c>
      <c r="C262" s="9" t="s">
        <v>16</v>
      </c>
      <c r="D262" s="9" t="s">
        <v>46</v>
      </c>
      <c r="E262" s="9" t="s">
        <v>18</v>
      </c>
      <c r="F262" s="9">
        <v>178</v>
      </c>
      <c r="G262" s="9">
        <v>568.72</v>
      </c>
      <c r="H262" s="9" t="s">
        <v>25</v>
      </c>
      <c r="I262" s="9">
        <v>47</v>
      </c>
      <c r="J262" s="10">
        <v>390.72</v>
      </c>
      <c r="K262" s="9" t="str">
        <f>TEXT(Sales_of_Jordan[[#This Row],[Sale_Date]],"mmm")</f>
        <v>Jan</v>
      </c>
    </row>
    <row r="263" spans="1:11" x14ac:dyDescent="0.35">
      <c r="A263" s="7" t="s">
        <v>293</v>
      </c>
      <c r="B263" s="8">
        <v>45642</v>
      </c>
      <c r="C263" s="9" t="s">
        <v>27</v>
      </c>
      <c r="D263" s="9" t="s">
        <v>46</v>
      </c>
      <c r="E263" s="9" t="s">
        <v>13</v>
      </c>
      <c r="F263" s="9">
        <v>123</v>
      </c>
      <c r="G263" s="9">
        <v>76.930000000000007</v>
      </c>
      <c r="H263" s="9" t="s">
        <v>19</v>
      </c>
      <c r="I263" s="9">
        <v>10</v>
      </c>
      <c r="J263" s="10">
        <v>-46.069999999999901</v>
      </c>
      <c r="K263" s="9" t="str">
        <f>TEXT(Sales_of_Jordan[[#This Row],[Sale_Date]],"mmm")</f>
        <v>Dec</v>
      </c>
    </row>
    <row r="264" spans="1:11" x14ac:dyDescent="0.35">
      <c r="A264" s="7" t="s">
        <v>294</v>
      </c>
      <c r="B264" s="8">
        <v>45043</v>
      </c>
      <c r="C264" s="9" t="s">
        <v>27</v>
      </c>
      <c r="D264" s="9" t="s">
        <v>12</v>
      </c>
      <c r="E264" s="9" t="s">
        <v>13</v>
      </c>
      <c r="F264" s="9">
        <v>135</v>
      </c>
      <c r="G264" s="9">
        <v>88.12</v>
      </c>
      <c r="H264" s="9" t="s">
        <v>23</v>
      </c>
      <c r="I264" s="9">
        <v>12</v>
      </c>
      <c r="J264" s="10">
        <v>-46.879999999999903</v>
      </c>
      <c r="K264" s="9" t="str">
        <f>TEXT(Sales_of_Jordan[[#This Row],[Sale_Date]],"mmm")</f>
        <v>Apr</v>
      </c>
    </row>
    <row r="265" spans="1:11" x14ac:dyDescent="0.35">
      <c r="A265" s="7" t="s">
        <v>295</v>
      </c>
      <c r="B265" s="8">
        <v>45292</v>
      </c>
      <c r="C265" s="9" t="s">
        <v>31</v>
      </c>
      <c r="D265" s="9" t="s">
        <v>46</v>
      </c>
      <c r="E265" s="9" t="s">
        <v>18</v>
      </c>
      <c r="F265" s="9">
        <v>210</v>
      </c>
      <c r="G265" s="9">
        <v>270.61</v>
      </c>
      <c r="H265" s="9" t="s">
        <v>32</v>
      </c>
      <c r="I265" s="9">
        <v>16</v>
      </c>
      <c r="J265" s="10">
        <v>60.61</v>
      </c>
      <c r="K265" s="9" t="str">
        <f>TEXT(Sales_of_Jordan[[#This Row],[Sale_Date]],"mmm")</f>
        <v>Jan</v>
      </c>
    </row>
    <row r="266" spans="1:11" x14ac:dyDescent="0.35">
      <c r="A266" s="7" t="s">
        <v>296</v>
      </c>
      <c r="B266" s="8">
        <v>45832</v>
      </c>
      <c r="C266" s="9" t="s">
        <v>27</v>
      </c>
      <c r="D266" s="9" t="s">
        <v>12</v>
      </c>
      <c r="E266" s="9" t="s">
        <v>18</v>
      </c>
      <c r="F266" s="9">
        <v>135</v>
      </c>
      <c r="G266" s="9">
        <v>168.47</v>
      </c>
      <c r="H266" s="9" t="s">
        <v>19</v>
      </c>
      <c r="I266" s="9">
        <v>8</v>
      </c>
      <c r="J266" s="10">
        <v>33.47</v>
      </c>
      <c r="K266" s="9" t="str">
        <f>TEXT(Sales_of_Jordan[[#This Row],[Sale_Date]],"mmm")</f>
        <v>Jun</v>
      </c>
    </row>
    <row r="267" spans="1:11" x14ac:dyDescent="0.35">
      <c r="A267" s="7" t="s">
        <v>297</v>
      </c>
      <c r="B267" s="8">
        <v>45199</v>
      </c>
      <c r="C267" s="9" t="s">
        <v>16</v>
      </c>
      <c r="D267" s="9" t="s">
        <v>55</v>
      </c>
      <c r="E267" s="9" t="s">
        <v>13</v>
      </c>
      <c r="F267" s="9">
        <v>186</v>
      </c>
      <c r="G267" s="9">
        <v>105.45</v>
      </c>
      <c r="H267" s="9" t="s">
        <v>14</v>
      </c>
      <c r="I267" s="9">
        <v>2</v>
      </c>
      <c r="J267" s="10">
        <v>-80.55</v>
      </c>
      <c r="K267" s="9" t="str">
        <f>TEXT(Sales_of_Jordan[[#This Row],[Sale_Date]],"mmm")</f>
        <v>Sep</v>
      </c>
    </row>
    <row r="268" spans="1:11" x14ac:dyDescent="0.35">
      <c r="A268" s="7" t="s">
        <v>298</v>
      </c>
      <c r="B268" s="8">
        <v>45574</v>
      </c>
      <c r="C268" s="9" t="s">
        <v>27</v>
      </c>
      <c r="D268" s="9" t="s">
        <v>53</v>
      </c>
      <c r="E268" s="9" t="s">
        <v>13</v>
      </c>
      <c r="F268" s="9">
        <v>136</v>
      </c>
      <c r="G268" s="9">
        <v>94.21</v>
      </c>
      <c r="H268" s="9" t="s">
        <v>19</v>
      </c>
      <c r="I268" s="9">
        <v>3</v>
      </c>
      <c r="J268" s="10">
        <v>-41.79</v>
      </c>
      <c r="K268" s="9" t="str">
        <f>TEXT(Sales_of_Jordan[[#This Row],[Sale_Date]],"mmm")</f>
        <v>Oct</v>
      </c>
    </row>
    <row r="269" spans="1:11" x14ac:dyDescent="0.35">
      <c r="A269" s="7" t="s">
        <v>299</v>
      </c>
      <c r="B269" s="8">
        <v>45105</v>
      </c>
      <c r="C269" s="9" t="s">
        <v>21</v>
      </c>
      <c r="D269" s="9" t="s">
        <v>53</v>
      </c>
      <c r="E269" s="9" t="s">
        <v>13</v>
      </c>
      <c r="F269" s="9">
        <v>213</v>
      </c>
      <c r="G269" s="9">
        <v>123.38</v>
      </c>
      <c r="H269" s="9" t="s">
        <v>25</v>
      </c>
      <c r="I269" s="9">
        <v>5</v>
      </c>
      <c r="J269" s="10">
        <v>-89.62</v>
      </c>
      <c r="K269" s="9" t="str">
        <f>TEXT(Sales_of_Jordan[[#This Row],[Sale_Date]],"mmm")</f>
        <v>Jun</v>
      </c>
    </row>
    <row r="270" spans="1:11" x14ac:dyDescent="0.35">
      <c r="A270" s="7" t="s">
        <v>300</v>
      </c>
      <c r="B270" s="8">
        <v>45797</v>
      </c>
      <c r="C270" s="9" t="s">
        <v>11</v>
      </c>
      <c r="D270" s="9" t="s">
        <v>46</v>
      </c>
      <c r="E270" s="9" t="s">
        <v>18</v>
      </c>
      <c r="F270" s="9">
        <v>230</v>
      </c>
      <c r="G270" s="9">
        <v>599.35</v>
      </c>
      <c r="H270" s="9" t="s">
        <v>14</v>
      </c>
      <c r="I270" s="9">
        <v>13</v>
      </c>
      <c r="J270" s="10">
        <v>369.35</v>
      </c>
      <c r="K270" s="9" t="str">
        <f>TEXT(Sales_of_Jordan[[#This Row],[Sale_Date]],"mmm")</f>
        <v>May</v>
      </c>
    </row>
    <row r="271" spans="1:11" x14ac:dyDescent="0.35">
      <c r="A271" s="7" t="s">
        <v>301</v>
      </c>
      <c r="B271" s="8">
        <v>45470</v>
      </c>
      <c r="C271" s="9" t="s">
        <v>31</v>
      </c>
      <c r="D271" s="9" t="s">
        <v>39</v>
      </c>
      <c r="E271" s="9" t="s">
        <v>13</v>
      </c>
      <c r="F271" s="9">
        <v>200</v>
      </c>
      <c r="G271" s="9">
        <v>163.09</v>
      </c>
      <c r="H271" s="9" t="s">
        <v>14</v>
      </c>
      <c r="I271" s="9">
        <v>6</v>
      </c>
      <c r="J271" s="10">
        <v>-36.909999999999997</v>
      </c>
      <c r="K271" s="9" t="str">
        <f>TEXT(Sales_of_Jordan[[#This Row],[Sale_Date]],"mmm")</f>
        <v>Jun</v>
      </c>
    </row>
    <row r="272" spans="1:11" x14ac:dyDescent="0.35">
      <c r="A272" s="7" t="s">
        <v>302</v>
      </c>
      <c r="B272" s="8">
        <v>45313</v>
      </c>
      <c r="C272" s="9" t="s">
        <v>27</v>
      </c>
      <c r="D272" s="9" t="s">
        <v>46</v>
      </c>
      <c r="E272" s="9" t="s">
        <v>13</v>
      </c>
      <c r="F272" s="9">
        <v>122</v>
      </c>
      <c r="G272" s="9">
        <v>64.23</v>
      </c>
      <c r="H272" s="9" t="s">
        <v>32</v>
      </c>
      <c r="I272" s="9">
        <v>23</v>
      </c>
      <c r="J272" s="10">
        <v>-57.769999999999897</v>
      </c>
      <c r="K272" s="9" t="str">
        <f>TEXT(Sales_of_Jordan[[#This Row],[Sale_Date]],"mmm")</f>
        <v>Jan</v>
      </c>
    </row>
    <row r="273" spans="1:11" x14ac:dyDescent="0.35">
      <c r="A273" s="7" t="s">
        <v>303</v>
      </c>
      <c r="B273" s="8">
        <v>45474</v>
      </c>
      <c r="C273" s="9" t="s">
        <v>31</v>
      </c>
      <c r="D273" s="9" t="s">
        <v>34</v>
      </c>
      <c r="E273" s="9" t="s">
        <v>13</v>
      </c>
      <c r="F273" s="9">
        <v>202</v>
      </c>
      <c r="G273" s="9">
        <v>153.52000000000001</v>
      </c>
      <c r="H273" s="9" t="s">
        <v>23</v>
      </c>
      <c r="I273" s="9">
        <v>51</v>
      </c>
      <c r="J273" s="10">
        <v>-48.479999999999897</v>
      </c>
      <c r="K273" s="9" t="str">
        <f>TEXT(Sales_of_Jordan[[#This Row],[Sale_Date]],"mmm")</f>
        <v>Jul</v>
      </c>
    </row>
    <row r="274" spans="1:11" x14ac:dyDescent="0.35">
      <c r="A274" s="7" t="s">
        <v>304</v>
      </c>
      <c r="B274" s="8">
        <v>45697</v>
      </c>
      <c r="C274" s="9" t="s">
        <v>31</v>
      </c>
      <c r="D274" s="9" t="s">
        <v>53</v>
      </c>
      <c r="E274" s="9" t="s">
        <v>18</v>
      </c>
      <c r="F274" s="9">
        <v>200</v>
      </c>
      <c r="G274" s="9">
        <v>605.9</v>
      </c>
      <c r="H274" s="9" t="s">
        <v>23</v>
      </c>
      <c r="I274" s="9">
        <v>56</v>
      </c>
      <c r="J274" s="10">
        <v>405.9</v>
      </c>
      <c r="K274" s="9" t="str">
        <f>TEXT(Sales_of_Jordan[[#This Row],[Sale_Date]],"mmm")</f>
        <v>Feb</v>
      </c>
    </row>
    <row r="275" spans="1:11" x14ac:dyDescent="0.35">
      <c r="A275" s="7" t="s">
        <v>305</v>
      </c>
      <c r="B275" s="8">
        <v>45272</v>
      </c>
      <c r="C275" s="9" t="s">
        <v>21</v>
      </c>
      <c r="D275" s="9" t="s">
        <v>39</v>
      </c>
      <c r="E275" s="9" t="s">
        <v>13</v>
      </c>
      <c r="F275" s="9">
        <v>224</v>
      </c>
      <c r="G275" s="9">
        <v>196.27</v>
      </c>
      <c r="H275" s="9" t="s">
        <v>25</v>
      </c>
      <c r="I275" s="9">
        <v>14</v>
      </c>
      <c r="J275" s="10">
        <v>-27.729999999999901</v>
      </c>
      <c r="K275" s="9" t="str">
        <f>TEXT(Sales_of_Jordan[[#This Row],[Sale_Date]],"mmm")</f>
        <v>Dec</v>
      </c>
    </row>
    <row r="276" spans="1:11" x14ac:dyDescent="0.35">
      <c r="A276" s="7" t="s">
        <v>306</v>
      </c>
      <c r="B276" s="8">
        <v>45536</v>
      </c>
      <c r="C276" s="9" t="s">
        <v>31</v>
      </c>
      <c r="D276" s="9" t="s">
        <v>53</v>
      </c>
      <c r="E276" s="9" t="s">
        <v>13</v>
      </c>
      <c r="F276" s="9">
        <v>203</v>
      </c>
      <c r="G276" s="9">
        <v>147.58000000000001</v>
      </c>
      <c r="H276" s="9" t="s">
        <v>14</v>
      </c>
      <c r="I276" s="9">
        <v>10</v>
      </c>
      <c r="J276" s="10">
        <v>-55.419999999999902</v>
      </c>
      <c r="K276" s="9" t="str">
        <f>TEXT(Sales_of_Jordan[[#This Row],[Sale_Date]],"mmm")</f>
        <v>Sep</v>
      </c>
    </row>
    <row r="277" spans="1:11" x14ac:dyDescent="0.35">
      <c r="A277" s="7" t="s">
        <v>307</v>
      </c>
      <c r="B277" s="8">
        <v>45318</v>
      </c>
      <c r="C277" s="9" t="s">
        <v>31</v>
      </c>
      <c r="D277" s="9" t="s">
        <v>39</v>
      </c>
      <c r="E277" s="9" t="s">
        <v>29</v>
      </c>
      <c r="F277" s="9">
        <v>201</v>
      </c>
      <c r="G277" s="9">
        <v>294.12</v>
      </c>
      <c r="H277" s="9" t="s">
        <v>23</v>
      </c>
      <c r="I277" s="9">
        <v>31</v>
      </c>
      <c r="J277" s="10">
        <v>93.12</v>
      </c>
      <c r="K277" s="9" t="str">
        <f>TEXT(Sales_of_Jordan[[#This Row],[Sale_Date]],"mmm")</f>
        <v>Jan</v>
      </c>
    </row>
    <row r="278" spans="1:11" x14ac:dyDescent="0.35">
      <c r="A278" s="7" t="s">
        <v>308</v>
      </c>
      <c r="B278" s="8">
        <v>45201</v>
      </c>
      <c r="C278" s="9" t="s">
        <v>27</v>
      </c>
      <c r="D278" s="9" t="s">
        <v>55</v>
      </c>
      <c r="E278" s="9" t="s">
        <v>13</v>
      </c>
      <c r="F278" s="9">
        <v>139</v>
      </c>
      <c r="G278" s="9">
        <v>95.54</v>
      </c>
      <c r="H278" s="9" t="s">
        <v>32</v>
      </c>
      <c r="I278" s="9">
        <v>22</v>
      </c>
      <c r="J278" s="10">
        <v>-43.459999999999901</v>
      </c>
      <c r="K278" s="9" t="str">
        <f>TEXT(Sales_of_Jordan[[#This Row],[Sale_Date]],"mmm")</f>
        <v>Oct</v>
      </c>
    </row>
    <row r="279" spans="1:11" x14ac:dyDescent="0.35">
      <c r="A279" s="7" t="s">
        <v>309</v>
      </c>
      <c r="B279" s="8">
        <v>45577</v>
      </c>
      <c r="C279" s="9" t="s">
        <v>27</v>
      </c>
      <c r="D279" s="9" t="s">
        <v>39</v>
      </c>
      <c r="E279" s="9" t="s">
        <v>29</v>
      </c>
      <c r="F279" s="9">
        <v>123</v>
      </c>
      <c r="G279" s="9">
        <v>160.21</v>
      </c>
      <c r="H279" s="9" t="s">
        <v>25</v>
      </c>
      <c r="I279" s="9">
        <v>51</v>
      </c>
      <c r="J279" s="10">
        <v>37.21</v>
      </c>
      <c r="K279" s="9" t="str">
        <f>TEXT(Sales_of_Jordan[[#This Row],[Sale_Date]],"mmm")</f>
        <v>Oct</v>
      </c>
    </row>
    <row r="280" spans="1:11" x14ac:dyDescent="0.35">
      <c r="A280" s="7" t="s">
        <v>310</v>
      </c>
      <c r="B280" s="8">
        <v>45818</v>
      </c>
      <c r="C280" s="9" t="s">
        <v>16</v>
      </c>
      <c r="D280" s="9" t="s">
        <v>12</v>
      </c>
      <c r="E280" s="9" t="s">
        <v>18</v>
      </c>
      <c r="F280" s="9">
        <v>188</v>
      </c>
      <c r="G280" s="9">
        <v>402.04</v>
      </c>
      <c r="H280" s="9" t="s">
        <v>23</v>
      </c>
      <c r="I280" s="9">
        <v>35</v>
      </c>
      <c r="J280" s="10">
        <v>214.04</v>
      </c>
      <c r="K280" s="9" t="str">
        <f>TEXT(Sales_of_Jordan[[#This Row],[Sale_Date]],"mmm")</f>
        <v>Jun</v>
      </c>
    </row>
    <row r="281" spans="1:11" x14ac:dyDescent="0.35">
      <c r="A281" s="7" t="s">
        <v>311</v>
      </c>
      <c r="B281" s="8">
        <v>45724</v>
      </c>
      <c r="C281" s="9" t="s">
        <v>27</v>
      </c>
      <c r="D281" s="9" t="s">
        <v>12</v>
      </c>
      <c r="E281" s="9" t="s">
        <v>29</v>
      </c>
      <c r="F281" s="9">
        <v>136</v>
      </c>
      <c r="G281" s="9">
        <v>165.32</v>
      </c>
      <c r="H281" s="9" t="s">
        <v>23</v>
      </c>
      <c r="I281" s="9">
        <v>12</v>
      </c>
      <c r="J281" s="10">
        <v>29.319999999999901</v>
      </c>
      <c r="K281" s="9" t="str">
        <f>TEXT(Sales_of_Jordan[[#This Row],[Sale_Date]],"mmm")</f>
        <v>Mar</v>
      </c>
    </row>
    <row r="282" spans="1:11" x14ac:dyDescent="0.35">
      <c r="A282" s="7" t="s">
        <v>312</v>
      </c>
      <c r="B282" s="8">
        <v>44947</v>
      </c>
      <c r="C282" s="9" t="s">
        <v>16</v>
      </c>
      <c r="D282" s="9" t="s">
        <v>34</v>
      </c>
      <c r="E282" s="9" t="s">
        <v>13</v>
      </c>
      <c r="F282" s="9">
        <v>175</v>
      </c>
      <c r="G282" s="9">
        <v>148.5</v>
      </c>
      <c r="H282" s="9" t="s">
        <v>23</v>
      </c>
      <c r="I282" s="9">
        <v>18</v>
      </c>
      <c r="J282" s="10">
        <v>-26.5</v>
      </c>
      <c r="K282" s="9" t="str">
        <f>TEXT(Sales_of_Jordan[[#This Row],[Sale_Date]],"mmm")</f>
        <v>Jan</v>
      </c>
    </row>
    <row r="283" spans="1:11" x14ac:dyDescent="0.35">
      <c r="A283" s="7" t="s">
        <v>313</v>
      </c>
      <c r="B283" s="8">
        <v>45708</v>
      </c>
      <c r="C283" s="9" t="s">
        <v>11</v>
      </c>
      <c r="D283" s="9" t="s">
        <v>12</v>
      </c>
      <c r="E283" s="9" t="s">
        <v>18</v>
      </c>
      <c r="F283" s="9">
        <v>228</v>
      </c>
      <c r="G283" s="9">
        <v>743.43</v>
      </c>
      <c r="H283" s="9" t="s">
        <v>19</v>
      </c>
      <c r="I283" s="9">
        <v>1</v>
      </c>
      <c r="J283" s="10">
        <v>515.42999999999995</v>
      </c>
      <c r="K283" s="9" t="str">
        <f>TEXT(Sales_of_Jordan[[#This Row],[Sale_Date]],"mmm")</f>
        <v>Feb</v>
      </c>
    </row>
    <row r="284" spans="1:11" x14ac:dyDescent="0.35">
      <c r="A284" s="7" t="s">
        <v>314</v>
      </c>
      <c r="B284" s="8">
        <v>45347</v>
      </c>
      <c r="C284" s="9" t="s">
        <v>11</v>
      </c>
      <c r="D284" s="9" t="s">
        <v>55</v>
      </c>
      <c r="E284" s="9" t="s">
        <v>18</v>
      </c>
      <c r="F284" s="9">
        <v>229</v>
      </c>
      <c r="G284" s="9">
        <v>759.16</v>
      </c>
      <c r="H284" s="9" t="s">
        <v>32</v>
      </c>
      <c r="I284" s="9">
        <v>6</v>
      </c>
      <c r="J284" s="10">
        <v>530.16</v>
      </c>
      <c r="K284" s="9" t="str">
        <f>TEXT(Sales_of_Jordan[[#This Row],[Sale_Date]],"mmm")</f>
        <v>Feb</v>
      </c>
    </row>
    <row r="285" spans="1:11" x14ac:dyDescent="0.35">
      <c r="A285" s="7" t="s">
        <v>315</v>
      </c>
      <c r="B285" s="8">
        <v>45453</v>
      </c>
      <c r="C285" s="9" t="s">
        <v>27</v>
      </c>
      <c r="D285" s="9" t="s">
        <v>36</v>
      </c>
      <c r="E285" s="9" t="s">
        <v>13</v>
      </c>
      <c r="F285" s="9">
        <v>137</v>
      </c>
      <c r="G285" s="9">
        <v>115.82</v>
      </c>
      <c r="H285" s="9" t="s">
        <v>23</v>
      </c>
      <c r="I285" s="9">
        <v>50</v>
      </c>
      <c r="J285" s="10">
        <v>-21.18</v>
      </c>
      <c r="K285" s="9" t="str">
        <f>TEXT(Sales_of_Jordan[[#This Row],[Sale_Date]],"mmm")</f>
        <v>Jun</v>
      </c>
    </row>
    <row r="286" spans="1:11" x14ac:dyDescent="0.35">
      <c r="A286" s="7" t="s">
        <v>316</v>
      </c>
      <c r="B286" s="8">
        <v>45309</v>
      </c>
      <c r="C286" s="9" t="s">
        <v>21</v>
      </c>
      <c r="D286" s="9" t="s">
        <v>34</v>
      </c>
      <c r="E286" s="9" t="s">
        <v>13</v>
      </c>
      <c r="F286" s="9">
        <v>221</v>
      </c>
      <c r="G286" s="9">
        <v>179.56</v>
      </c>
      <c r="H286" s="9" t="s">
        <v>14</v>
      </c>
      <c r="I286" s="9">
        <v>10</v>
      </c>
      <c r="J286" s="10">
        <v>-41.44</v>
      </c>
      <c r="K286" s="9" t="str">
        <f>TEXT(Sales_of_Jordan[[#This Row],[Sale_Date]],"mmm")</f>
        <v>Jan</v>
      </c>
    </row>
    <row r="287" spans="1:11" x14ac:dyDescent="0.35">
      <c r="A287" s="7" t="s">
        <v>317</v>
      </c>
      <c r="B287" s="8">
        <v>45864</v>
      </c>
      <c r="C287" s="9" t="s">
        <v>11</v>
      </c>
      <c r="D287" s="9" t="s">
        <v>53</v>
      </c>
      <c r="E287" s="9" t="s">
        <v>18</v>
      </c>
      <c r="F287" s="9">
        <v>225</v>
      </c>
      <c r="G287" s="9">
        <v>668.65</v>
      </c>
      <c r="H287" s="9" t="s">
        <v>32</v>
      </c>
      <c r="I287" s="9">
        <v>33</v>
      </c>
      <c r="J287" s="10">
        <v>443.65</v>
      </c>
      <c r="K287" s="9" t="str">
        <f>TEXT(Sales_of_Jordan[[#This Row],[Sale_Date]],"mmm")</f>
        <v>Jul</v>
      </c>
    </row>
    <row r="288" spans="1:11" x14ac:dyDescent="0.35">
      <c r="A288" s="7" t="s">
        <v>318</v>
      </c>
      <c r="B288" s="8">
        <v>45101</v>
      </c>
      <c r="C288" s="9" t="s">
        <v>27</v>
      </c>
      <c r="D288" s="9" t="s">
        <v>12</v>
      </c>
      <c r="E288" s="9" t="s">
        <v>18</v>
      </c>
      <c r="F288" s="9">
        <v>140</v>
      </c>
      <c r="G288" s="9">
        <v>292.93</v>
      </c>
      <c r="H288" s="9" t="s">
        <v>23</v>
      </c>
      <c r="I288" s="9">
        <v>25</v>
      </c>
      <c r="J288" s="10">
        <v>152.93</v>
      </c>
      <c r="K288" s="9" t="str">
        <f>TEXT(Sales_of_Jordan[[#This Row],[Sale_Date]],"mmm")</f>
        <v>Jun</v>
      </c>
    </row>
    <row r="289" spans="1:11" x14ac:dyDescent="0.35">
      <c r="A289" s="7" t="s">
        <v>319</v>
      </c>
      <c r="B289" s="8">
        <v>44976</v>
      </c>
      <c r="C289" s="9" t="s">
        <v>27</v>
      </c>
      <c r="D289" s="9" t="s">
        <v>36</v>
      </c>
      <c r="E289" s="9" t="s">
        <v>18</v>
      </c>
      <c r="F289" s="9">
        <v>123</v>
      </c>
      <c r="G289" s="9">
        <v>368.08</v>
      </c>
      <c r="H289" s="9" t="s">
        <v>23</v>
      </c>
      <c r="I289" s="9">
        <v>22</v>
      </c>
      <c r="J289" s="10">
        <v>245.07999999999899</v>
      </c>
      <c r="K289" s="9" t="str">
        <f>TEXT(Sales_of_Jordan[[#This Row],[Sale_Date]],"mmm")</f>
        <v>Feb</v>
      </c>
    </row>
    <row r="290" spans="1:11" x14ac:dyDescent="0.35">
      <c r="A290" s="7" t="s">
        <v>320</v>
      </c>
      <c r="B290" s="8">
        <v>45365</v>
      </c>
      <c r="C290" s="9" t="s">
        <v>21</v>
      </c>
      <c r="D290" s="9" t="s">
        <v>22</v>
      </c>
      <c r="E290" s="9" t="s">
        <v>18</v>
      </c>
      <c r="F290" s="9">
        <v>218</v>
      </c>
      <c r="G290" s="9">
        <v>369.92</v>
      </c>
      <c r="H290" s="9" t="s">
        <v>23</v>
      </c>
      <c r="I290" s="9">
        <v>8</v>
      </c>
      <c r="J290" s="10">
        <v>151.91999999999999</v>
      </c>
      <c r="K290" s="9" t="str">
        <f>TEXT(Sales_of_Jordan[[#This Row],[Sale_Date]],"mmm")</f>
        <v>Mar</v>
      </c>
    </row>
    <row r="291" spans="1:11" x14ac:dyDescent="0.35">
      <c r="A291" s="7" t="s">
        <v>321</v>
      </c>
      <c r="B291" s="8">
        <v>45922</v>
      </c>
      <c r="C291" s="9" t="s">
        <v>27</v>
      </c>
      <c r="D291" s="9" t="s">
        <v>34</v>
      </c>
      <c r="E291" s="9" t="s">
        <v>18</v>
      </c>
      <c r="F291" s="9">
        <v>112</v>
      </c>
      <c r="G291" s="9">
        <v>153.01</v>
      </c>
      <c r="H291" s="9" t="s">
        <v>32</v>
      </c>
      <c r="I291" s="9">
        <v>43</v>
      </c>
      <c r="J291" s="10">
        <v>41.009999999999899</v>
      </c>
      <c r="K291" s="9" t="str">
        <f>TEXT(Sales_of_Jordan[[#This Row],[Sale_Date]],"mmm")</f>
        <v>Sep</v>
      </c>
    </row>
    <row r="292" spans="1:11" x14ac:dyDescent="0.35">
      <c r="A292" s="7" t="s">
        <v>322</v>
      </c>
      <c r="B292" s="8">
        <v>45000</v>
      </c>
      <c r="C292" s="9" t="s">
        <v>27</v>
      </c>
      <c r="D292" s="9" t="s">
        <v>36</v>
      </c>
      <c r="E292" s="9" t="s">
        <v>13</v>
      </c>
      <c r="F292" s="9">
        <v>138</v>
      </c>
      <c r="G292" s="9">
        <v>84.73</v>
      </c>
      <c r="H292" s="9" t="s">
        <v>32</v>
      </c>
      <c r="I292" s="9">
        <v>46</v>
      </c>
      <c r="J292" s="10">
        <v>-53.269999999999897</v>
      </c>
      <c r="K292" s="9" t="str">
        <f>TEXT(Sales_of_Jordan[[#This Row],[Sale_Date]],"mmm")</f>
        <v>Mar</v>
      </c>
    </row>
    <row r="293" spans="1:11" x14ac:dyDescent="0.35">
      <c r="A293" s="7" t="s">
        <v>323</v>
      </c>
      <c r="B293" s="8">
        <v>45607</v>
      </c>
      <c r="C293" s="9" t="s">
        <v>11</v>
      </c>
      <c r="D293" s="9" t="s">
        <v>55</v>
      </c>
      <c r="E293" s="9" t="s">
        <v>13</v>
      </c>
      <c r="F293" s="9">
        <v>225</v>
      </c>
      <c r="G293" s="9">
        <v>147.51</v>
      </c>
      <c r="H293" s="9" t="s">
        <v>14</v>
      </c>
      <c r="I293" s="9">
        <v>4</v>
      </c>
      <c r="J293" s="10">
        <v>-77.489999999999995</v>
      </c>
      <c r="K293" s="9" t="str">
        <f>TEXT(Sales_of_Jordan[[#This Row],[Sale_Date]],"mmm")</f>
        <v>Nov</v>
      </c>
    </row>
    <row r="294" spans="1:11" x14ac:dyDescent="0.35">
      <c r="A294" s="7" t="s">
        <v>324</v>
      </c>
      <c r="B294" s="8">
        <v>45844</v>
      </c>
      <c r="C294" s="9" t="s">
        <v>31</v>
      </c>
      <c r="D294" s="9" t="s">
        <v>12</v>
      </c>
      <c r="E294" s="9" t="s">
        <v>18</v>
      </c>
      <c r="F294" s="9">
        <v>203</v>
      </c>
      <c r="G294" s="9">
        <v>650.30999999999995</v>
      </c>
      <c r="H294" s="9" t="s">
        <v>23</v>
      </c>
      <c r="I294" s="9">
        <v>53</v>
      </c>
      <c r="J294" s="10">
        <v>447.30999999999898</v>
      </c>
      <c r="K294" s="9" t="str">
        <f>TEXT(Sales_of_Jordan[[#This Row],[Sale_Date]],"mmm")</f>
        <v>Jul</v>
      </c>
    </row>
    <row r="295" spans="1:11" x14ac:dyDescent="0.35">
      <c r="A295" s="7" t="s">
        <v>325</v>
      </c>
      <c r="B295" s="8">
        <v>45793</v>
      </c>
      <c r="C295" s="9" t="s">
        <v>16</v>
      </c>
      <c r="D295" s="9" t="s">
        <v>34</v>
      </c>
      <c r="E295" s="9" t="s">
        <v>18</v>
      </c>
      <c r="F295" s="9">
        <v>180</v>
      </c>
      <c r="G295" s="9">
        <v>517.77</v>
      </c>
      <c r="H295" s="9" t="s">
        <v>23</v>
      </c>
      <c r="I295" s="9">
        <v>30</v>
      </c>
      <c r="J295" s="10">
        <v>337.77</v>
      </c>
      <c r="K295" s="9" t="str">
        <f>TEXT(Sales_of_Jordan[[#This Row],[Sale_Date]],"mmm")</f>
        <v>May</v>
      </c>
    </row>
    <row r="296" spans="1:11" x14ac:dyDescent="0.35">
      <c r="A296" s="7" t="s">
        <v>326</v>
      </c>
      <c r="B296" s="8">
        <v>44941</v>
      </c>
      <c r="C296" s="9" t="s">
        <v>16</v>
      </c>
      <c r="D296" s="9" t="s">
        <v>55</v>
      </c>
      <c r="E296" s="9" t="s">
        <v>13</v>
      </c>
      <c r="F296" s="9">
        <v>172</v>
      </c>
      <c r="G296" s="9">
        <v>147.27000000000001</v>
      </c>
      <c r="H296" s="9" t="s">
        <v>14</v>
      </c>
      <c r="I296" s="9">
        <v>12</v>
      </c>
      <c r="J296" s="10">
        <v>-24.729999999999901</v>
      </c>
      <c r="K296" s="9" t="str">
        <f>TEXT(Sales_of_Jordan[[#This Row],[Sale_Date]],"mmm")</f>
        <v>Jan</v>
      </c>
    </row>
    <row r="297" spans="1:11" x14ac:dyDescent="0.35">
      <c r="A297" s="7" t="s">
        <v>327</v>
      </c>
      <c r="B297" s="8">
        <v>45798</v>
      </c>
      <c r="C297" s="9" t="s">
        <v>31</v>
      </c>
      <c r="D297" s="9" t="s">
        <v>36</v>
      </c>
      <c r="E297" s="9" t="s">
        <v>18</v>
      </c>
      <c r="F297" s="9">
        <v>205</v>
      </c>
      <c r="G297" s="9">
        <v>575.80999999999995</v>
      </c>
      <c r="H297" s="9" t="s">
        <v>23</v>
      </c>
      <c r="I297" s="9">
        <v>25</v>
      </c>
      <c r="J297" s="10">
        <v>370.80999999999898</v>
      </c>
      <c r="K297" s="9" t="str">
        <f>TEXT(Sales_of_Jordan[[#This Row],[Sale_Date]],"mmm")</f>
        <v>May</v>
      </c>
    </row>
    <row r="298" spans="1:11" x14ac:dyDescent="0.35">
      <c r="A298" s="7" t="s">
        <v>328</v>
      </c>
      <c r="B298" s="8">
        <v>45694</v>
      </c>
      <c r="C298" s="9" t="s">
        <v>21</v>
      </c>
      <c r="D298" s="9" t="s">
        <v>53</v>
      </c>
      <c r="E298" s="9" t="s">
        <v>18</v>
      </c>
      <c r="F298" s="9">
        <v>225</v>
      </c>
      <c r="G298" s="9">
        <v>449.9</v>
      </c>
      <c r="H298" s="9" t="s">
        <v>25</v>
      </c>
      <c r="I298" s="9">
        <v>31</v>
      </c>
      <c r="J298" s="10">
        <v>224.89999999999901</v>
      </c>
      <c r="K298" s="9" t="str">
        <f>TEXT(Sales_of_Jordan[[#This Row],[Sale_Date]],"mmm")</f>
        <v>Feb</v>
      </c>
    </row>
    <row r="299" spans="1:11" x14ac:dyDescent="0.35">
      <c r="A299" s="7" t="s">
        <v>329</v>
      </c>
      <c r="B299" s="8">
        <v>45889</v>
      </c>
      <c r="C299" s="9" t="s">
        <v>16</v>
      </c>
      <c r="D299" s="9" t="s">
        <v>34</v>
      </c>
      <c r="E299" s="9" t="s">
        <v>29</v>
      </c>
      <c r="F299" s="9">
        <v>187</v>
      </c>
      <c r="G299" s="9">
        <v>268.31</v>
      </c>
      <c r="H299" s="9" t="s">
        <v>14</v>
      </c>
      <c r="I299" s="9">
        <v>11</v>
      </c>
      <c r="J299" s="10">
        <v>81.31</v>
      </c>
      <c r="K299" s="9" t="str">
        <f>TEXT(Sales_of_Jordan[[#This Row],[Sale_Date]],"mmm")</f>
        <v>Aug</v>
      </c>
    </row>
    <row r="300" spans="1:11" x14ac:dyDescent="0.35">
      <c r="A300" s="7" t="s">
        <v>330</v>
      </c>
      <c r="B300" s="8">
        <v>45689</v>
      </c>
      <c r="C300" s="9" t="s">
        <v>21</v>
      </c>
      <c r="D300" s="9" t="s">
        <v>22</v>
      </c>
      <c r="E300" s="9" t="s">
        <v>29</v>
      </c>
      <c r="F300" s="9">
        <v>222</v>
      </c>
      <c r="G300" s="9">
        <v>332.15</v>
      </c>
      <c r="H300" s="9" t="s">
        <v>23</v>
      </c>
      <c r="I300" s="9">
        <v>58</v>
      </c>
      <c r="J300" s="10">
        <v>110.149999999999</v>
      </c>
      <c r="K300" s="9" t="str">
        <f>TEXT(Sales_of_Jordan[[#This Row],[Sale_Date]],"mmm")</f>
        <v>Feb</v>
      </c>
    </row>
    <row r="301" spans="1:11" x14ac:dyDescent="0.35">
      <c r="A301" s="7" t="s">
        <v>331</v>
      </c>
      <c r="B301" s="8">
        <v>45468</v>
      </c>
      <c r="C301" s="9" t="s">
        <v>31</v>
      </c>
      <c r="D301" s="9" t="s">
        <v>55</v>
      </c>
      <c r="E301" s="9" t="s">
        <v>29</v>
      </c>
      <c r="F301" s="9">
        <v>202</v>
      </c>
      <c r="G301" s="9">
        <v>270.87</v>
      </c>
      <c r="H301" s="9" t="s">
        <v>14</v>
      </c>
      <c r="I301" s="9">
        <v>11</v>
      </c>
      <c r="J301" s="10">
        <v>68.87</v>
      </c>
      <c r="K301" s="9" t="str">
        <f>TEXT(Sales_of_Jordan[[#This Row],[Sale_Date]],"mmm")</f>
        <v>Jun</v>
      </c>
    </row>
    <row r="302" spans="1:11" x14ac:dyDescent="0.35">
      <c r="A302" s="7" t="s">
        <v>332</v>
      </c>
      <c r="B302" s="8">
        <v>45799</v>
      </c>
      <c r="C302" s="9" t="s">
        <v>27</v>
      </c>
      <c r="D302" s="9" t="s">
        <v>34</v>
      </c>
      <c r="E302" s="9" t="s">
        <v>18</v>
      </c>
      <c r="F302" s="9">
        <v>115</v>
      </c>
      <c r="G302" s="9">
        <v>250.66</v>
      </c>
      <c r="H302" s="9" t="s">
        <v>19</v>
      </c>
      <c r="I302" s="9">
        <v>6</v>
      </c>
      <c r="J302" s="10">
        <v>135.66</v>
      </c>
      <c r="K302" s="9" t="str">
        <f>TEXT(Sales_of_Jordan[[#This Row],[Sale_Date]],"mmm")</f>
        <v>May</v>
      </c>
    </row>
    <row r="303" spans="1:11" x14ac:dyDescent="0.35">
      <c r="A303" s="7" t="s">
        <v>333</v>
      </c>
      <c r="B303" s="8">
        <v>45720</v>
      </c>
      <c r="C303" s="9" t="s">
        <v>27</v>
      </c>
      <c r="D303" s="9" t="s">
        <v>39</v>
      </c>
      <c r="E303" s="9" t="s">
        <v>18</v>
      </c>
      <c r="F303" s="9">
        <v>139</v>
      </c>
      <c r="G303" s="9">
        <v>328.15</v>
      </c>
      <c r="H303" s="9" t="s">
        <v>25</v>
      </c>
      <c r="I303" s="9">
        <v>27</v>
      </c>
      <c r="J303" s="10">
        <v>189.14999999999901</v>
      </c>
      <c r="K303" s="9" t="str">
        <f>TEXT(Sales_of_Jordan[[#This Row],[Sale_Date]],"mmm")</f>
        <v>Mar</v>
      </c>
    </row>
    <row r="304" spans="1:11" x14ac:dyDescent="0.35">
      <c r="A304" s="7" t="s">
        <v>334</v>
      </c>
      <c r="B304" s="8">
        <v>44993</v>
      </c>
      <c r="C304" s="9" t="s">
        <v>31</v>
      </c>
      <c r="D304" s="9" t="s">
        <v>34</v>
      </c>
      <c r="E304" s="9" t="s">
        <v>18</v>
      </c>
      <c r="F304" s="9">
        <v>201</v>
      </c>
      <c r="G304" s="9">
        <v>330.78</v>
      </c>
      <c r="H304" s="9" t="s">
        <v>14</v>
      </c>
      <c r="I304" s="9">
        <v>2</v>
      </c>
      <c r="J304" s="10">
        <v>129.77999999999901</v>
      </c>
      <c r="K304" s="9" t="str">
        <f>TEXT(Sales_of_Jordan[[#This Row],[Sale_Date]],"mmm")</f>
        <v>Mar</v>
      </c>
    </row>
    <row r="305" spans="1:11" x14ac:dyDescent="0.35">
      <c r="A305" s="7" t="s">
        <v>335</v>
      </c>
      <c r="B305" s="8">
        <v>45073</v>
      </c>
      <c r="C305" s="9" t="s">
        <v>27</v>
      </c>
      <c r="D305" s="9" t="s">
        <v>17</v>
      </c>
      <c r="E305" s="9" t="s">
        <v>18</v>
      </c>
      <c r="F305" s="9">
        <v>126</v>
      </c>
      <c r="G305" s="9">
        <v>252.81</v>
      </c>
      <c r="H305" s="9" t="s">
        <v>23</v>
      </c>
      <c r="I305" s="9">
        <v>34</v>
      </c>
      <c r="J305" s="10">
        <v>126.81</v>
      </c>
      <c r="K305" s="9" t="str">
        <f>TEXT(Sales_of_Jordan[[#This Row],[Sale_Date]],"mmm")</f>
        <v>May</v>
      </c>
    </row>
    <row r="306" spans="1:11" x14ac:dyDescent="0.35">
      <c r="A306" s="7" t="s">
        <v>336</v>
      </c>
      <c r="B306" s="8">
        <v>45431</v>
      </c>
      <c r="C306" s="9" t="s">
        <v>27</v>
      </c>
      <c r="D306" s="9" t="s">
        <v>12</v>
      </c>
      <c r="E306" s="9" t="s">
        <v>29</v>
      </c>
      <c r="F306" s="9">
        <v>122</v>
      </c>
      <c r="G306" s="9">
        <v>141.12</v>
      </c>
      <c r="H306" s="9" t="s">
        <v>19</v>
      </c>
      <c r="I306" s="9">
        <v>12</v>
      </c>
      <c r="J306" s="10">
        <v>19.12</v>
      </c>
      <c r="K306" s="9" t="str">
        <f>TEXT(Sales_of_Jordan[[#This Row],[Sale_Date]],"mmm")</f>
        <v>May</v>
      </c>
    </row>
    <row r="307" spans="1:11" x14ac:dyDescent="0.35">
      <c r="A307" s="7" t="s">
        <v>337</v>
      </c>
      <c r="B307" s="8">
        <v>45425</v>
      </c>
      <c r="C307" s="9" t="s">
        <v>31</v>
      </c>
      <c r="D307" s="9" t="s">
        <v>17</v>
      </c>
      <c r="E307" s="9" t="s">
        <v>13</v>
      </c>
      <c r="F307" s="9">
        <v>205</v>
      </c>
      <c r="G307" s="9">
        <v>123.84</v>
      </c>
      <c r="H307" s="9" t="s">
        <v>14</v>
      </c>
      <c r="I307" s="9">
        <v>3</v>
      </c>
      <c r="J307" s="10">
        <v>-81.16</v>
      </c>
      <c r="K307" s="9" t="str">
        <f>TEXT(Sales_of_Jordan[[#This Row],[Sale_Date]],"mmm")</f>
        <v>May</v>
      </c>
    </row>
    <row r="308" spans="1:11" x14ac:dyDescent="0.35">
      <c r="A308" s="7" t="s">
        <v>338</v>
      </c>
      <c r="B308" s="8">
        <v>45312</v>
      </c>
      <c r="C308" s="9" t="s">
        <v>11</v>
      </c>
      <c r="D308" s="9" t="s">
        <v>12</v>
      </c>
      <c r="E308" s="9" t="s">
        <v>18</v>
      </c>
      <c r="F308" s="9">
        <v>226</v>
      </c>
      <c r="G308" s="9">
        <v>439.93</v>
      </c>
      <c r="H308" s="9" t="s">
        <v>23</v>
      </c>
      <c r="I308" s="9">
        <v>13</v>
      </c>
      <c r="J308" s="10">
        <v>213.93</v>
      </c>
      <c r="K308" s="9" t="str">
        <f>TEXT(Sales_of_Jordan[[#This Row],[Sale_Date]],"mmm")</f>
        <v>Jan</v>
      </c>
    </row>
    <row r="309" spans="1:11" x14ac:dyDescent="0.35">
      <c r="A309" s="7" t="s">
        <v>339</v>
      </c>
      <c r="B309" s="8">
        <v>45677</v>
      </c>
      <c r="C309" s="9" t="s">
        <v>21</v>
      </c>
      <c r="D309" s="9" t="s">
        <v>46</v>
      </c>
      <c r="E309" s="9" t="s">
        <v>13</v>
      </c>
      <c r="F309" s="9">
        <v>223</v>
      </c>
      <c r="G309" s="9">
        <v>195.53</v>
      </c>
      <c r="H309" s="9" t="s">
        <v>19</v>
      </c>
      <c r="I309" s="9">
        <v>11</v>
      </c>
      <c r="J309" s="10">
        <v>-27.47</v>
      </c>
      <c r="K309" s="9" t="str">
        <f>TEXT(Sales_of_Jordan[[#This Row],[Sale_Date]],"mmm")</f>
        <v>Jan</v>
      </c>
    </row>
    <row r="310" spans="1:11" x14ac:dyDescent="0.35">
      <c r="A310" s="7" t="s">
        <v>340</v>
      </c>
      <c r="B310" s="8">
        <v>45603</v>
      </c>
      <c r="C310" s="9" t="s">
        <v>21</v>
      </c>
      <c r="D310" s="9" t="s">
        <v>17</v>
      </c>
      <c r="E310" s="9" t="s">
        <v>13</v>
      </c>
      <c r="F310" s="9">
        <v>220</v>
      </c>
      <c r="G310" s="9">
        <v>123.02</v>
      </c>
      <c r="H310" s="9" t="s">
        <v>19</v>
      </c>
      <c r="I310" s="9">
        <v>12</v>
      </c>
      <c r="J310" s="10">
        <v>-96.98</v>
      </c>
      <c r="K310" s="9" t="str">
        <f>TEXT(Sales_of_Jordan[[#This Row],[Sale_Date]],"mmm")</f>
        <v>Nov</v>
      </c>
    </row>
    <row r="311" spans="1:11" x14ac:dyDescent="0.35">
      <c r="A311" s="7" t="s">
        <v>341</v>
      </c>
      <c r="B311" s="8">
        <v>45589</v>
      </c>
      <c r="C311" s="9" t="s">
        <v>31</v>
      </c>
      <c r="D311" s="9" t="s">
        <v>36</v>
      </c>
      <c r="E311" s="9" t="s">
        <v>29</v>
      </c>
      <c r="F311" s="9">
        <v>205</v>
      </c>
      <c r="G311" s="9">
        <v>212.7</v>
      </c>
      <c r="H311" s="9" t="s">
        <v>32</v>
      </c>
      <c r="I311" s="9">
        <v>25</v>
      </c>
      <c r="J311" s="10">
        <v>7.6999999999999797</v>
      </c>
      <c r="K311" s="9" t="str">
        <f>TEXT(Sales_of_Jordan[[#This Row],[Sale_Date]],"mmm")</f>
        <v>Oct</v>
      </c>
    </row>
    <row r="312" spans="1:11" x14ac:dyDescent="0.35">
      <c r="A312" s="7" t="s">
        <v>342</v>
      </c>
      <c r="B312" s="8">
        <v>45331</v>
      </c>
      <c r="C312" s="9" t="s">
        <v>11</v>
      </c>
      <c r="D312" s="9" t="s">
        <v>46</v>
      </c>
      <c r="E312" s="9" t="s">
        <v>18</v>
      </c>
      <c r="F312" s="9">
        <v>230</v>
      </c>
      <c r="G312" s="9">
        <v>731.56</v>
      </c>
      <c r="H312" s="9" t="s">
        <v>32</v>
      </c>
      <c r="I312" s="9">
        <v>52</v>
      </c>
      <c r="J312" s="10">
        <v>501.55999999999898</v>
      </c>
      <c r="K312" s="9" t="str">
        <f>TEXT(Sales_of_Jordan[[#This Row],[Sale_Date]],"mmm")</f>
        <v>Feb</v>
      </c>
    </row>
    <row r="313" spans="1:11" x14ac:dyDescent="0.35">
      <c r="A313" s="7" t="s">
        <v>343</v>
      </c>
      <c r="B313" s="8">
        <v>45181</v>
      </c>
      <c r="C313" s="9" t="s">
        <v>21</v>
      </c>
      <c r="D313" s="9" t="s">
        <v>34</v>
      </c>
      <c r="E313" s="9" t="s">
        <v>13</v>
      </c>
      <c r="F313" s="9">
        <v>220</v>
      </c>
      <c r="G313" s="9">
        <v>161.37</v>
      </c>
      <c r="H313" s="9" t="s">
        <v>32</v>
      </c>
      <c r="I313" s="9">
        <v>6</v>
      </c>
      <c r="J313" s="10">
        <v>-58.629999999999903</v>
      </c>
      <c r="K313" s="9" t="str">
        <f>TEXT(Sales_of_Jordan[[#This Row],[Sale_Date]],"mmm")</f>
        <v>Sep</v>
      </c>
    </row>
    <row r="314" spans="1:11" x14ac:dyDescent="0.35">
      <c r="A314" s="7" t="s">
        <v>344</v>
      </c>
      <c r="B314" s="8">
        <v>44956</v>
      </c>
      <c r="C314" s="9" t="s">
        <v>11</v>
      </c>
      <c r="D314" s="9" t="s">
        <v>55</v>
      </c>
      <c r="E314" s="9" t="s">
        <v>18</v>
      </c>
      <c r="F314" s="9">
        <v>227</v>
      </c>
      <c r="G314" s="9">
        <v>788.65</v>
      </c>
      <c r="H314" s="9" t="s">
        <v>19</v>
      </c>
      <c r="I314" s="9">
        <v>5</v>
      </c>
      <c r="J314" s="10">
        <v>561.65</v>
      </c>
      <c r="K314" s="9" t="str">
        <f>TEXT(Sales_of_Jordan[[#This Row],[Sale_Date]],"mmm")</f>
        <v>Jan</v>
      </c>
    </row>
    <row r="315" spans="1:11" x14ac:dyDescent="0.35">
      <c r="A315" s="7" t="s">
        <v>345</v>
      </c>
      <c r="B315" s="8">
        <v>45332</v>
      </c>
      <c r="C315" s="9" t="s">
        <v>31</v>
      </c>
      <c r="D315" s="9" t="s">
        <v>34</v>
      </c>
      <c r="E315" s="9" t="s">
        <v>18</v>
      </c>
      <c r="F315" s="9">
        <v>202</v>
      </c>
      <c r="G315" s="9">
        <v>451.35</v>
      </c>
      <c r="H315" s="9" t="s">
        <v>23</v>
      </c>
      <c r="I315" s="9">
        <v>11</v>
      </c>
      <c r="J315" s="10">
        <v>249.35</v>
      </c>
      <c r="K315" s="9" t="str">
        <f>TEXT(Sales_of_Jordan[[#This Row],[Sale_Date]],"mmm")</f>
        <v>Feb</v>
      </c>
    </row>
    <row r="316" spans="1:11" x14ac:dyDescent="0.35">
      <c r="A316" s="7" t="s">
        <v>346</v>
      </c>
      <c r="B316" s="8">
        <v>45035</v>
      </c>
      <c r="C316" s="9" t="s">
        <v>16</v>
      </c>
      <c r="D316" s="9" t="s">
        <v>12</v>
      </c>
      <c r="E316" s="9" t="s">
        <v>13</v>
      </c>
      <c r="F316" s="9">
        <v>173</v>
      </c>
      <c r="G316" s="9">
        <v>153.80000000000001</v>
      </c>
      <c r="H316" s="9" t="s">
        <v>25</v>
      </c>
      <c r="I316" s="9">
        <v>28</v>
      </c>
      <c r="J316" s="10">
        <v>-19.1999999999999</v>
      </c>
      <c r="K316" s="9" t="str">
        <f>TEXT(Sales_of_Jordan[[#This Row],[Sale_Date]],"mmm")</f>
        <v>Apr</v>
      </c>
    </row>
    <row r="317" spans="1:11" x14ac:dyDescent="0.35">
      <c r="A317" s="7" t="s">
        <v>347</v>
      </c>
      <c r="B317" s="8">
        <v>45141</v>
      </c>
      <c r="C317" s="9" t="s">
        <v>21</v>
      </c>
      <c r="D317" s="9" t="s">
        <v>55</v>
      </c>
      <c r="E317" s="9" t="s">
        <v>18</v>
      </c>
      <c r="F317" s="9">
        <v>216</v>
      </c>
      <c r="G317" s="9">
        <v>358.11</v>
      </c>
      <c r="H317" s="9" t="s">
        <v>14</v>
      </c>
      <c r="I317" s="9">
        <v>7</v>
      </c>
      <c r="J317" s="10">
        <v>142.11000000000001</v>
      </c>
      <c r="K317" s="9" t="str">
        <f>TEXT(Sales_of_Jordan[[#This Row],[Sale_Date]],"mmm")</f>
        <v>Aug</v>
      </c>
    </row>
    <row r="318" spans="1:11" x14ac:dyDescent="0.35">
      <c r="A318" s="7" t="s">
        <v>348</v>
      </c>
      <c r="B318" s="8">
        <v>45430</v>
      </c>
      <c r="C318" s="9" t="s">
        <v>27</v>
      </c>
      <c r="D318" s="9" t="s">
        <v>53</v>
      </c>
      <c r="E318" s="9" t="s">
        <v>18</v>
      </c>
      <c r="F318" s="9">
        <v>113</v>
      </c>
      <c r="G318" s="9">
        <v>293.67</v>
      </c>
      <c r="H318" s="9" t="s">
        <v>19</v>
      </c>
      <c r="I318" s="9">
        <v>7</v>
      </c>
      <c r="J318" s="10">
        <v>180.67</v>
      </c>
      <c r="K318" s="9" t="str">
        <f>TEXT(Sales_of_Jordan[[#This Row],[Sale_Date]],"mmm")</f>
        <v>May</v>
      </c>
    </row>
    <row r="319" spans="1:11" x14ac:dyDescent="0.35">
      <c r="A319" s="7" t="s">
        <v>349</v>
      </c>
      <c r="B319" s="8">
        <v>45438</v>
      </c>
      <c r="C319" s="9" t="s">
        <v>21</v>
      </c>
      <c r="D319" s="9" t="s">
        <v>53</v>
      </c>
      <c r="E319" s="9" t="s">
        <v>29</v>
      </c>
      <c r="F319" s="9">
        <v>218</v>
      </c>
      <c r="G319" s="9">
        <v>209.92</v>
      </c>
      <c r="H319" s="9" t="s">
        <v>19</v>
      </c>
      <c r="I319" s="9">
        <v>9</v>
      </c>
      <c r="J319" s="10">
        <v>-8.0800000000000107</v>
      </c>
      <c r="K319" s="9" t="str">
        <f>TEXT(Sales_of_Jordan[[#This Row],[Sale_Date]],"mmm")</f>
        <v>May</v>
      </c>
    </row>
    <row r="320" spans="1:11" x14ac:dyDescent="0.35">
      <c r="A320" s="7" t="s">
        <v>350</v>
      </c>
      <c r="B320" s="8">
        <v>45817</v>
      </c>
      <c r="C320" s="9" t="s">
        <v>27</v>
      </c>
      <c r="D320" s="9" t="s">
        <v>17</v>
      </c>
      <c r="E320" s="9" t="s">
        <v>29</v>
      </c>
      <c r="F320" s="9">
        <v>137</v>
      </c>
      <c r="G320" s="9">
        <v>148.63999999999999</v>
      </c>
      <c r="H320" s="9" t="s">
        <v>19</v>
      </c>
      <c r="I320" s="9">
        <v>9</v>
      </c>
      <c r="J320" s="10">
        <v>11.639999999999899</v>
      </c>
      <c r="K320" s="9" t="str">
        <f>TEXT(Sales_of_Jordan[[#This Row],[Sale_Date]],"mmm")</f>
        <v>Jun</v>
      </c>
    </row>
    <row r="321" spans="1:11" x14ac:dyDescent="0.35">
      <c r="A321" s="7" t="s">
        <v>351</v>
      </c>
      <c r="B321" s="8">
        <v>45031</v>
      </c>
      <c r="C321" s="9" t="s">
        <v>27</v>
      </c>
      <c r="D321" s="9" t="s">
        <v>46</v>
      </c>
      <c r="E321" s="9" t="s">
        <v>13</v>
      </c>
      <c r="F321" s="9">
        <v>124</v>
      </c>
      <c r="G321" s="9">
        <v>99.95</v>
      </c>
      <c r="H321" s="9" t="s">
        <v>32</v>
      </c>
      <c r="I321" s="9">
        <v>7</v>
      </c>
      <c r="J321" s="10">
        <v>-24.049999999999901</v>
      </c>
      <c r="K321" s="9" t="str">
        <f>TEXT(Sales_of_Jordan[[#This Row],[Sale_Date]],"mmm")</f>
        <v>Apr</v>
      </c>
    </row>
    <row r="322" spans="1:11" x14ac:dyDescent="0.35">
      <c r="A322" s="7" t="s">
        <v>352</v>
      </c>
      <c r="B322" s="8">
        <v>45333</v>
      </c>
      <c r="C322" s="9" t="s">
        <v>16</v>
      </c>
      <c r="D322" s="9" t="s">
        <v>53</v>
      </c>
      <c r="E322" s="9" t="s">
        <v>18</v>
      </c>
      <c r="F322" s="9">
        <v>176</v>
      </c>
      <c r="G322" s="9">
        <v>440.82</v>
      </c>
      <c r="H322" s="9" t="s">
        <v>25</v>
      </c>
      <c r="I322" s="9">
        <v>33</v>
      </c>
      <c r="J322" s="10">
        <v>264.82</v>
      </c>
      <c r="K322" s="9" t="str">
        <f>TEXT(Sales_of_Jordan[[#This Row],[Sale_Date]],"mmm")</f>
        <v>Feb</v>
      </c>
    </row>
    <row r="323" spans="1:11" x14ac:dyDescent="0.35">
      <c r="A323" s="7" t="s">
        <v>353</v>
      </c>
      <c r="B323" s="8">
        <v>45644</v>
      </c>
      <c r="C323" s="9" t="s">
        <v>16</v>
      </c>
      <c r="D323" s="9" t="s">
        <v>12</v>
      </c>
      <c r="E323" s="9" t="s">
        <v>18</v>
      </c>
      <c r="F323" s="9">
        <v>190</v>
      </c>
      <c r="G323" s="9">
        <v>311.56</v>
      </c>
      <c r="H323" s="9" t="s">
        <v>32</v>
      </c>
      <c r="I323" s="9">
        <v>46</v>
      </c>
      <c r="J323" s="10">
        <v>121.56</v>
      </c>
      <c r="K323" s="9" t="str">
        <f>TEXT(Sales_of_Jordan[[#This Row],[Sale_Date]],"mmm")</f>
        <v>Dec</v>
      </c>
    </row>
    <row r="324" spans="1:11" x14ac:dyDescent="0.35">
      <c r="A324" s="7" t="s">
        <v>354</v>
      </c>
      <c r="B324" s="8">
        <v>45276</v>
      </c>
      <c r="C324" s="9" t="s">
        <v>11</v>
      </c>
      <c r="D324" s="9" t="s">
        <v>34</v>
      </c>
      <c r="E324" s="9" t="s">
        <v>18</v>
      </c>
      <c r="F324" s="9">
        <v>229</v>
      </c>
      <c r="G324" s="9">
        <v>684.48</v>
      </c>
      <c r="H324" s="9" t="s">
        <v>32</v>
      </c>
      <c r="I324" s="9">
        <v>53</v>
      </c>
      <c r="J324" s="10">
        <v>455.48</v>
      </c>
      <c r="K324" s="9" t="str">
        <f>TEXT(Sales_of_Jordan[[#This Row],[Sale_Date]],"mmm")</f>
        <v>Dec</v>
      </c>
    </row>
    <row r="325" spans="1:11" x14ac:dyDescent="0.35">
      <c r="A325" s="7" t="s">
        <v>355</v>
      </c>
      <c r="B325" s="8">
        <v>45852</v>
      </c>
      <c r="C325" s="9" t="s">
        <v>27</v>
      </c>
      <c r="D325" s="9" t="s">
        <v>53</v>
      </c>
      <c r="E325" s="9" t="s">
        <v>29</v>
      </c>
      <c r="F325" s="9">
        <v>118</v>
      </c>
      <c r="G325" s="9">
        <v>129.74</v>
      </c>
      <c r="H325" s="9" t="s">
        <v>23</v>
      </c>
      <c r="I325" s="9">
        <v>42</v>
      </c>
      <c r="J325" s="10">
        <v>11.74</v>
      </c>
      <c r="K325" s="9" t="str">
        <f>TEXT(Sales_of_Jordan[[#This Row],[Sale_Date]],"mmm")</f>
        <v>Jul</v>
      </c>
    </row>
    <row r="326" spans="1:11" x14ac:dyDescent="0.35">
      <c r="A326" s="7" t="s">
        <v>356</v>
      </c>
      <c r="B326" s="8">
        <v>45449</v>
      </c>
      <c r="C326" s="9" t="s">
        <v>16</v>
      </c>
      <c r="D326" s="9" t="s">
        <v>36</v>
      </c>
      <c r="E326" s="9" t="s">
        <v>18</v>
      </c>
      <c r="F326" s="9">
        <v>170</v>
      </c>
      <c r="G326" s="9">
        <v>543.6</v>
      </c>
      <c r="H326" s="9" t="s">
        <v>23</v>
      </c>
      <c r="I326" s="9">
        <v>32</v>
      </c>
      <c r="J326" s="10">
        <v>373.6</v>
      </c>
      <c r="K326" s="9" t="str">
        <f>TEXT(Sales_of_Jordan[[#This Row],[Sale_Date]],"mmm")</f>
        <v>Jun</v>
      </c>
    </row>
    <row r="327" spans="1:11" x14ac:dyDescent="0.35">
      <c r="A327" s="7" t="s">
        <v>357</v>
      </c>
      <c r="B327" s="8">
        <v>45017</v>
      </c>
      <c r="C327" s="9" t="s">
        <v>16</v>
      </c>
      <c r="D327" s="9" t="s">
        <v>46</v>
      </c>
      <c r="E327" s="9" t="s">
        <v>29</v>
      </c>
      <c r="F327" s="9">
        <v>171</v>
      </c>
      <c r="G327" s="9">
        <v>170.08</v>
      </c>
      <c r="H327" s="9" t="s">
        <v>19</v>
      </c>
      <c r="I327" s="9">
        <v>9</v>
      </c>
      <c r="J327" s="10">
        <v>-0.91999999999998705</v>
      </c>
      <c r="K327" s="9" t="str">
        <f>TEXT(Sales_of_Jordan[[#This Row],[Sale_Date]],"mmm")</f>
        <v>Apr</v>
      </c>
    </row>
    <row r="328" spans="1:11" x14ac:dyDescent="0.35">
      <c r="A328" s="7" t="s">
        <v>358</v>
      </c>
      <c r="B328" s="8">
        <v>45743</v>
      </c>
      <c r="C328" s="9" t="s">
        <v>11</v>
      </c>
      <c r="D328" s="9" t="s">
        <v>46</v>
      </c>
      <c r="E328" s="9" t="s">
        <v>13</v>
      </c>
      <c r="F328" s="9">
        <v>226</v>
      </c>
      <c r="G328" s="9">
        <v>135.65</v>
      </c>
      <c r="H328" s="9" t="s">
        <v>25</v>
      </c>
      <c r="I328" s="9">
        <v>34</v>
      </c>
      <c r="J328" s="10">
        <v>-90.35</v>
      </c>
      <c r="K328" s="9" t="str">
        <f>TEXT(Sales_of_Jordan[[#This Row],[Sale_Date]],"mmm")</f>
        <v>Mar</v>
      </c>
    </row>
    <row r="329" spans="1:11" x14ac:dyDescent="0.35">
      <c r="A329" s="7" t="s">
        <v>359</v>
      </c>
      <c r="B329" s="8">
        <v>45123</v>
      </c>
      <c r="C329" s="9" t="s">
        <v>31</v>
      </c>
      <c r="D329" s="9" t="s">
        <v>12</v>
      </c>
      <c r="E329" s="9" t="s">
        <v>13</v>
      </c>
      <c r="F329" s="9">
        <v>206</v>
      </c>
      <c r="G329" s="9">
        <v>158.27000000000001</v>
      </c>
      <c r="H329" s="9" t="s">
        <v>32</v>
      </c>
      <c r="I329" s="9">
        <v>47</v>
      </c>
      <c r="J329" s="10">
        <v>-47.729999999999897</v>
      </c>
      <c r="K329" s="9" t="str">
        <f>TEXT(Sales_of_Jordan[[#This Row],[Sale_Date]],"mmm")</f>
        <v>Jul</v>
      </c>
    </row>
    <row r="330" spans="1:11" x14ac:dyDescent="0.35">
      <c r="A330" s="7" t="s">
        <v>360</v>
      </c>
      <c r="B330" s="8">
        <v>45281</v>
      </c>
      <c r="C330" s="9" t="s">
        <v>16</v>
      </c>
      <c r="D330" s="9" t="s">
        <v>39</v>
      </c>
      <c r="E330" s="9" t="s">
        <v>29</v>
      </c>
      <c r="F330" s="9">
        <v>179</v>
      </c>
      <c r="G330" s="9">
        <v>259.77999999999997</v>
      </c>
      <c r="H330" s="9" t="s">
        <v>14</v>
      </c>
      <c r="I330" s="9">
        <v>9</v>
      </c>
      <c r="J330" s="10">
        <v>80.779999999999902</v>
      </c>
      <c r="K330" s="9" t="str">
        <f>TEXT(Sales_of_Jordan[[#This Row],[Sale_Date]],"mmm")</f>
        <v>Dec</v>
      </c>
    </row>
    <row r="331" spans="1:11" x14ac:dyDescent="0.35">
      <c r="A331" s="7" t="s">
        <v>361</v>
      </c>
      <c r="B331" s="8">
        <v>45260</v>
      </c>
      <c r="C331" s="9" t="s">
        <v>31</v>
      </c>
      <c r="D331" s="9" t="s">
        <v>12</v>
      </c>
      <c r="E331" s="9" t="s">
        <v>13</v>
      </c>
      <c r="F331" s="9">
        <v>207</v>
      </c>
      <c r="G331" s="9">
        <v>112.99</v>
      </c>
      <c r="H331" s="9" t="s">
        <v>14</v>
      </c>
      <c r="I331" s="9">
        <v>9</v>
      </c>
      <c r="J331" s="10">
        <v>-94.01</v>
      </c>
      <c r="K331" s="9" t="str">
        <f>TEXT(Sales_of_Jordan[[#This Row],[Sale_Date]],"mmm")</f>
        <v>Nov</v>
      </c>
    </row>
    <row r="332" spans="1:11" x14ac:dyDescent="0.35">
      <c r="A332" s="7" t="s">
        <v>362</v>
      </c>
      <c r="B332" s="8">
        <v>45719</v>
      </c>
      <c r="C332" s="9" t="s">
        <v>27</v>
      </c>
      <c r="D332" s="9" t="s">
        <v>36</v>
      </c>
      <c r="E332" s="9" t="s">
        <v>29</v>
      </c>
      <c r="F332" s="9">
        <v>110</v>
      </c>
      <c r="G332" s="9">
        <v>162.82</v>
      </c>
      <c r="H332" s="9" t="s">
        <v>14</v>
      </c>
      <c r="I332" s="9">
        <v>9</v>
      </c>
      <c r="J332" s="10">
        <v>52.819999999999901</v>
      </c>
      <c r="K332" s="9" t="str">
        <f>TEXT(Sales_of_Jordan[[#This Row],[Sale_Date]],"mmm")</f>
        <v>Mar</v>
      </c>
    </row>
    <row r="333" spans="1:11" x14ac:dyDescent="0.35">
      <c r="A333" s="7" t="s">
        <v>363</v>
      </c>
      <c r="B333" s="8">
        <v>45444</v>
      </c>
      <c r="C333" s="9" t="s">
        <v>27</v>
      </c>
      <c r="D333" s="9" t="s">
        <v>39</v>
      </c>
      <c r="E333" s="9" t="s">
        <v>13</v>
      </c>
      <c r="F333" s="9">
        <v>127</v>
      </c>
      <c r="G333" s="9">
        <v>65.349999999999994</v>
      </c>
      <c r="H333" s="9" t="s">
        <v>14</v>
      </c>
      <c r="I333" s="9">
        <v>2</v>
      </c>
      <c r="J333" s="10">
        <v>-61.65</v>
      </c>
      <c r="K333" s="9" t="str">
        <f>TEXT(Sales_of_Jordan[[#This Row],[Sale_Date]],"mmm")</f>
        <v>Jun</v>
      </c>
    </row>
    <row r="334" spans="1:11" x14ac:dyDescent="0.35">
      <c r="A334" s="7" t="s">
        <v>364</v>
      </c>
      <c r="B334" s="8">
        <v>44950</v>
      </c>
      <c r="C334" s="9" t="s">
        <v>27</v>
      </c>
      <c r="D334" s="9" t="s">
        <v>36</v>
      </c>
      <c r="E334" s="9" t="s">
        <v>13</v>
      </c>
      <c r="F334" s="9">
        <v>117</v>
      </c>
      <c r="G334" s="9">
        <v>77.680000000000007</v>
      </c>
      <c r="H334" s="9" t="s">
        <v>32</v>
      </c>
      <c r="I334" s="9">
        <v>8</v>
      </c>
      <c r="J334" s="10">
        <v>-39.319999999999901</v>
      </c>
      <c r="K334" s="9" t="str">
        <f>TEXT(Sales_of_Jordan[[#This Row],[Sale_Date]],"mmm")</f>
        <v>Jan</v>
      </c>
    </row>
    <row r="335" spans="1:11" x14ac:dyDescent="0.35">
      <c r="A335" s="7" t="s">
        <v>365</v>
      </c>
      <c r="B335" s="8">
        <v>45618</v>
      </c>
      <c r="C335" s="9" t="s">
        <v>31</v>
      </c>
      <c r="D335" s="9" t="s">
        <v>12</v>
      </c>
      <c r="E335" s="9" t="s">
        <v>18</v>
      </c>
      <c r="F335" s="9">
        <v>206</v>
      </c>
      <c r="G335" s="9">
        <v>689.93</v>
      </c>
      <c r="H335" s="9" t="s">
        <v>23</v>
      </c>
      <c r="I335" s="9">
        <v>14</v>
      </c>
      <c r="J335" s="10">
        <v>483.92999999999898</v>
      </c>
      <c r="K335" s="9" t="str">
        <f>TEXT(Sales_of_Jordan[[#This Row],[Sale_Date]],"mmm")</f>
        <v>Nov</v>
      </c>
    </row>
    <row r="336" spans="1:11" x14ac:dyDescent="0.35">
      <c r="A336" s="7" t="s">
        <v>366</v>
      </c>
      <c r="B336" s="8">
        <v>45451</v>
      </c>
      <c r="C336" s="9" t="s">
        <v>11</v>
      </c>
      <c r="D336" s="9" t="s">
        <v>55</v>
      </c>
      <c r="E336" s="9" t="s">
        <v>29</v>
      </c>
      <c r="F336" s="9">
        <v>230</v>
      </c>
      <c r="G336" s="9">
        <v>340.21</v>
      </c>
      <c r="H336" s="9" t="s">
        <v>23</v>
      </c>
      <c r="I336" s="9">
        <v>53</v>
      </c>
      <c r="J336" s="10">
        <v>110.209999999999</v>
      </c>
      <c r="K336" s="9" t="str">
        <f>TEXT(Sales_of_Jordan[[#This Row],[Sale_Date]],"mmm")</f>
        <v>Jun</v>
      </c>
    </row>
    <row r="337" spans="1:11" x14ac:dyDescent="0.35">
      <c r="A337" s="7" t="s">
        <v>367</v>
      </c>
      <c r="B337" s="8">
        <v>45710</v>
      </c>
      <c r="C337" s="9" t="s">
        <v>27</v>
      </c>
      <c r="D337" s="9" t="s">
        <v>46</v>
      </c>
      <c r="E337" s="9" t="s">
        <v>13</v>
      </c>
      <c r="F337" s="9">
        <v>127</v>
      </c>
      <c r="G337" s="9">
        <v>100.26</v>
      </c>
      <c r="H337" s="9" t="s">
        <v>25</v>
      </c>
      <c r="I337" s="9">
        <v>46</v>
      </c>
      <c r="J337" s="10">
        <v>-26.739999999999899</v>
      </c>
      <c r="K337" s="9" t="str">
        <f>TEXT(Sales_of_Jordan[[#This Row],[Sale_Date]],"mmm")</f>
        <v>Feb</v>
      </c>
    </row>
    <row r="338" spans="1:11" x14ac:dyDescent="0.35">
      <c r="A338" s="7" t="s">
        <v>368</v>
      </c>
      <c r="B338" s="8">
        <v>45598</v>
      </c>
      <c r="C338" s="9" t="s">
        <v>27</v>
      </c>
      <c r="D338" s="9" t="s">
        <v>39</v>
      </c>
      <c r="E338" s="9" t="s">
        <v>18</v>
      </c>
      <c r="F338" s="9">
        <v>110</v>
      </c>
      <c r="G338" s="9">
        <v>282.29000000000002</v>
      </c>
      <c r="H338" s="9" t="s">
        <v>25</v>
      </c>
      <c r="I338" s="9">
        <v>33</v>
      </c>
      <c r="J338" s="10">
        <v>172.29</v>
      </c>
      <c r="K338" s="9" t="str">
        <f>TEXT(Sales_of_Jordan[[#This Row],[Sale_Date]],"mmm")</f>
        <v>Nov</v>
      </c>
    </row>
    <row r="339" spans="1:11" x14ac:dyDescent="0.35">
      <c r="A339" s="7" t="s">
        <v>369</v>
      </c>
      <c r="B339" s="8">
        <v>45446</v>
      </c>
      <c r="C339" s="9" t="s">
        <v>27</v>
      </c>
      <c r="D339" s="9" t="s">
        <v>34</v>
      </c>
      <c r="E339" s="9" t="s">
        <v>13</v>
      </c>
      <c r="F339" s="9">
        <v>115</v>
      </c>
      <c r="G339" s="9">
        <v>63.8</v>
      </c>
      <c r="H339" s="9" t="s">
        <v>23</v>
      </c>
      <c r="I339" s="9">
        <v>11</v>
      </c>
      <c r="J339" s="10">
        <v>-51.2</v>
      </c>
      <c r="K339" s="9" t="str">
        <f>TEXT(Sales_of_Jordan[[#This Row],[Sale_Date]],"mmm")</f>
        <v>Jun</v>
      </c>
    </row>
    <row r="340" spans="1:11" x14ac:dyDescent="0.35">
      <c r="A340" s="7" t="s">
        <v>370</v>
      </c>
      <c r="B340" s="8">
        <v>45252</v>
      </c>
      <c r="C340" s="9" t="s">
        <v>31</v>
      </c>
      <c r="D340" s="9" t="s">
        <v>55</v>
      </c>
      <c r="E340" s="9" t="s">
        <v>29</v>
      </c>
      <c r="F340" s="9">
        <v>200</v>
      </c>
      <c r="G340" s="9">
        <v>221.96</v>
      </c>
      <c r="H340" s="9" t="s">
        <v>14</v>
      </c>
      <c r="I340" s="9">
        <v>12</v>
      </c>
      <c r="J340" s="10">
        <v>21.96</v>
      </c>
      <c r="K340" s="9" t="str">
        <f>TEXT(Sales_of_Jordan[[#This Row],[Sale_Date]],"mmm")</f>
        <v>Nov</v>
      </c>
    </row>
    <row r="341" spans="1:11" x14ac:dyDescent="0.35">
      <c r="A341" s="7" t="s">
        <v>371</v>
      </c>
      <c r="B341" s="8">
        <v>45040</v>
      </c>
      <c r="C341" s="9" t="s">
        <v>21</v>
      </c>
      <c r="D341" s="9" t="s">
        <v>55</v>
      </c>
      <c r="E341" s="9" t="s">
        <v>18</v>
      </c>
      <c r="F341" s="9">
        <v>216</v>
      </c>
      <c r="G341" s="9">
        <v>646.82000000000005</v>
      </c>
      <c r="H341" s="9" t="s">
        <v>32</v>
      </c>
      <c r="I341" s="9">
        <v>47</v>
      </c>
      <c r="J341" s="10">
        <v>430.82</v>
      </c>
      <c r="K341" s="9" t="str">
        <f>TEXT(Sales_of_Jordan[[#This Row],[Sale_Date]],"mmm")</f>
        <v>Apr</v>
      </c>
    </row>
    <row r="342" spans="1:11" x14ac:dyDescent="0.35">
      <c r="A342" s="7" t="s">
        <v>372</v>
      </c>
      <c r="B342" s="8">
        <v>45625</v>
      </c>
      <c r="C342" s="9" t="s">
        <v>27</v>
      </c>
      <c r="D342" s="9" t="s">
        <v>12</v>
      </c>
      <c r="E342" s="9" t="s">
        <v>29</v>
      </c>
      <c r="F342" s="9">
        <v>137</v>
      </c>
      <c r="G342" s="9">
        <v>134.47999999999999</v>
      </c>
      <c r="H342" s="9" t="s">
        <v>32</v>
      </c>
      <c r="I342" s="9">
        <v>33</v>
      </c>
      <c r="J342" s="10">
        <v>-2.5200000000000098</v>
      </c>
      <c r="K342" s="9" t="str">
        <f>TEXT(Sales_of_Jordan[[#This Row],[Sale_Date]],"mmm")</f>
        <v>Nov</v>
      </c>
    </row>
    <row r="343" spans="1:11" x14ac:dyDescent="0.35">
      <c r="A343" s="7" t="s">
        <v>373</v>
      </c>
      <c r="B343" s="8">
        <v>45121</v>
      </c>
      <c r="C343" s="9" t="s">
        <v>27</v>
      </c>
      <c r="D343" s="9" t="s">
        <v>22</v>
      </c>
      <c r="E343" s="9" t="s">
        <v>13</v>
      </c>
      <c r="F343" s="9">
        <v>122</v>
      </c>
      <c r="G343" s="9">
        <v>108.08</v>
      </c>
      <c r="H343" s="9" t="s">
        <v>32</v>
      </c>
      <c r="I343" s="9">
        <v>38</v>
      </c>
      <c r="J343" s="10">
        <v>-13.92</v>
      </c>
      <c r="K343" s="9" t="str">
        <f>TEXT(Sales_of_Jordan[[#This Row],[Sale_Date]],"mmm")</f>
        <v>Jul</v>
      </c>
    </row>
    <row r="344" spans="1:11" x14ac:dyDescent="0.35">
      <c r="A344" s="7" t="s">
        <v>374</v>
      </c>
      <c r="B344" s="8">
        <v>45386</v>
      </c>
      <c r="C344" s="9" t="s">
        <v>11</v>
      </c>
      <c r="D344" s="9" t="s">
        <v>46</v>
      </c>
      <c r="E344" s="9" t="s">
        <v>18</v>
      </c>
      <c r="F344" s="9">
        <v>226</v>
      </c>
      <c r="G344" s="9">
        <v>460.27</v>
      </c>
      <c r="H344" s="9" t="s">
        <v>14</v>
      </c>
      <c r="I344" s="9">
        <v>11</v>
      </c>
      <c r="J344" s="10">
        <v>234.26999999999899</v>
      </c>
      <c r="K344" s="9" t="str">
        <f>TEXT(Sales_of_Jordan[[#This Row],[Sale_Date]],"mmm")</f>
        <v>Apr</v>
      </c>
    </row>
    <row r="345" spans="1:11" x14ac:dyDescent="0.35">
      <c r="A345" s="7" t="s">
        <v>375</v>
      </c>
      <c r="B345" s="8">
        <v>45260</v>
      </c>
      <c r="C345" s="9" t="s">
        <v>21</v>
      </c>
      <c r="D345" s="9" t="s">
        <v>39</v>
      </c>
      <c r="E345" s="9" t="s">
        <v>18</v>
      </c>
      <c r="F345" s="9">
        <v>214</v>
      </c>
      <c r="G345" s="9">
        <v>462.4</v>
      </c>
      <c r="H345" s="9" t="s">
        <v>19</v>
      </c>
      <c r="I345" s="9">
        <v>3</v>
      </c>
      <c r="J345" s="10">
        <v>248.39999999999901</v>
      </c>
      <c r="K345" s="9" t="str">
        <f>TEXT(Sales_of_Jordan[[#This Row],[Sale_Date]],"mmm")</f>
        <v>Nov</v>
      </c>
    </row>
    <row r="346" spans="1:11" x14ac:dyDescent="0.35">
      <c r="A346" s="7" t="s">
        <v>376</v>
      </c>
      <c r="B346" s="8">
        <v>45558</v>
      </c>
      <c r="C346" s="9" t="s">
        <v>31</v>
      </c>
      <c r="D346" s="9" t="s">
        <v>46</v>
      </c>
      <c r="E346" s="9" t="s">
        <v>13</v>
      </c>
      <c r="F346" s="9">
        <v>202</v>
      </c>
      <c r="G346" s="9">
        <v>109.26</v>
      </c>
      <c r="H346" s="9" t="s">
        <v>14</v>
      </c>
      <c r="I346" s="9">
        <v>1</v>
      </c>
      <c r="J346" s="10">
        <v>-92.74</v>
      </c>
      <c r="K346" s="9" t="str">
        <f>TEXT(Sales_of_Jordan[[#This Row],[Sale_Date]],"mmm")</f>
        <v>Sep</v>
      </c>
    </row>
    <row r="347" spans="1:11" x14ac:dyDescent="0.35">
      <c r="A347" s="7" t="s">
        <v>377</v>
      </c>
      <c r="B347" s="8">
        <v>45424</v>
      </c>
      <c r="C347" s="9" t="s">
        <v>21</v>
      </c>
      <c r="D347" s="9" t="s">
        <v>34</v>
      </c>
      <c r="E347" s="9" t="s">
        <v>29</v>
      </c>
      <c r="F347" s="9">
        <v>218</v>
      </c>
      <c r="G347" s="9">
        <v>299.58999999999997</v>
      </c>
      <c r="H347" s="9" t="s">
        <v>32</v>
      </c>
      <c r="I347" s="9">
        <v>26</v>
      </c>
      <c r="J347" s="10">
        <v>81.589999999999904</v>
      </c>
      <c r="K347" s="9" t="str">
        <f>TEXT(Sales_of_Jordan[[#This Row],[Sale_Date]],"mmm")</f>
        <v>May</v>
      </c>
    </row>
    <row r="348" spans="1:11" x14ac:dyDescent="0.35">
      <c r="A348" s="7" t="s">
        <v>378</v>
      </c>
      <c r="B348" s="8">
        <v>45000</v>
      </c>
      <c r="C348" s="9" t="s">
        <v>21</v>
      </c>
      <c r="D348" s="9" t="s">
        <v>34</v>
      </c>
      <c r="E348" s="9" t="s">
        <v>13</v>
      </c>
      <c r="F348" s="9">
        <v>225</v>
      </c>
      <c r="G348" s="9">
        <v>139.61000000000001</v>
      </c>
      <c r="H348" s="9" t="s">
        <v>23</v>
      </c>
      <c r="I348" s="9">
        <v>46</v>
      </c>
      <c r="J348" s="10">
        <v>-85.389999999999901</v>
      </c>
      <c r="K348" s="9" t="str">
        <f>TEXT(Sales_of_Jordan[[#This Row],[Sale_Date]],"mmm")</f>
        <v>Mar</v>
      </c>
    </row>
    <row r="349" spans="1:11" x14ac:dyDescent="0.35">
      <c r="A349" s="7" t="s">
        <v>379</v>
      </c>
      <c r="B349" s="8">
        <v>45603</v>
      </c>
      <c r="C349" s="9" t="s">
        <v>11</v>
      </c>
      <c r="D349" s="9" t="s">
        <v>55</v>
      </c>
      <c r="E349" s="9" t="s">
        <v>18</v>
      </c>
      <c r="F349" s="9">
        <v>226</v>
      </c>
      <c r="G349" s="9">
        <v>488.26</v>
      </c>
      <c r="H349" s="9" t="s">
        <v>19</v>
      </c>
      <c r="I349" s="9">
        <v>14</v>
      </c>
      <c r="J349" s="10">
        <v>262.26</v>
      </c>
      <c r="K349" s="9" t="str">
        <f>TEXT(Sales_of_Jordan[[#This Row],[Sale_Date]],"mmm")</f>
        <v>Nov</v>
      </c>
    </row>
    <row r="350" spans="1:11" x14ac:dyDescent="0.35">
      <c r="A350" s="7" t="s">
        <v>380</v>
      </c>
      <c r="B350" s="8">
        <v>45784</v>
      </c>
      <c r="C350" s="9" t="s">
        <v>27</v>
      </c>
      <c r="D350" s="9" t="s">
        <v>55</v>
      </c>
      <c r="E350" s="9" t="s">
        <v>18</v>
      </c>
      <c r="F350" s="9">
        <v>131</v>
      </c>
      <c r="G350" s="9">
        <v>356.53</v>
      </c>
      <c r="H350" s="9" t="s">
        <v>23</v>
      </c>
      <c r="I350" s="9">
        <v>50</v>
      </c>
      <c r="J350" s="10">
        <v>225.52999999999901</v>
      </c>
      <c r="K350" s="9" t="str">
        <f>TEXT(Sales_of_Jordan[[#This Row],[Sale_Date]],"mmm")</f>
        <v>May</v>
      </c>
    </row>
    <row r="351" spans="1:11" x14ac:dyDescent="0.35">
      <c r="A351" s="7" t="s">
        <v>381</v>
      </c>
      <c r="B351" s="8">
        <v>44936</v>
      </c>
      <c r="C351" s="9" t="s">
        <v>21</v>
      </c>
      <c r="D351" s="9" t="s">
        <v>17</v>
      </c>
      <c r="E351" s="9" t="s">
        <v>29</v>
      </c>
      <c r="F351" s="9">
        <v>221</v>
      </c>
      <c r="G351" s="9">
        <v>313.60000000000002</v>
      </c>
      <c r="H351" s="9" t="s">
        <v>23</v>
      </c>
      <c r="I351" s="9">
        <v>25</v>
      </c>
      <c r="J351" s="10">
        <v>92.6</v>
      </c>
      <c r="K351" s="9" t="str">
        <f>TEXT(Sales_of_Jordan[[#This Row],[Sale_Date]],"mmm")</f>
        <v>Jan</v>
      </c>
    </row>
    <row r="352" spans="1:11" x14ac:dyDescent="0.35">
      <c r="A352" s="7" t="s">
        <v>382</v>
      </c>
      <c r="B352" s="8">
        <v>45222</v>
      </c>
      <c r="C352" s="9" t="s">
        <v>27</v>
      </c>
      <c r="D352" s="9" t="s">
        <v>55</v>
      </c>
      <c r="E352" s="9" t="s">
        <v>13</v>
      </c>
      <c r="F352" s="9">
        <v>110</v>
      </c>
      <c r="G352" s="9">
        <v>69.78</v>
      </c>
      <c r="H352" s="9" t="s">
        <v>32</v>
      </c>
      <c r="I352" s="9">
        <v>55</v>
      </c>
      <c r="J352" s="10">
        <v>-40.22</v>
      </c>
      <c r="K352" s="9" t="str">
        <f>TEXT(Sales_of_Jordan[[#This Row],[Sale_Date]],"mmm")</f>
        <v>Oct</v>
      </c>
    </row>
    <row r="353" spans="1:11" x14ac:dyDescent="0.35">
      <c r="A353" s="7" t="s">
        <v>383</v>
      </c>
      <c r="B353" s="8">
        <v>45582</v>
      </c>
      <c r="C353" s="9" t="s">
        <v>21</v>
      </c>
      <c r="D353" s="9" t="s">
        <v>22</v>
      </c>
      <c r="E353" s="9" t="s">
        <v>13</v>
      </c>
      <c r="F353" s="9">
        <v>219</v>
      </c>
      <c r="G353" s="9">
        <v>149.37</v>
      </c>
      <c r="H353" s="9" t="s">
        <v>14</v>
      </c>
      <c r="I353" s="9">
        <v>3</v>
      </c>
      <c r="J353" s="10">
        <v>-69.63</v>
      </c>
      <c r="K353" s="9" t="str">
        <f>TEXT(Sales_of_Jordan[[#This Row],[Sale_Date]],"mmm")</f>
        <v>Oct</v>
      </c>
    </row>
    <row r="354" spans="1:11" x14ac:dyDescent="0.35">
      <c r="A354" s="7" t="s">
        <v>384</v>
      </c>
      <c r="B354" s="8">
        <v>45258</v>
      </c>
      <c r="C354" s="9" t="s">
        <v>27</v>
      </c>
      <c r="D354" s="9" t="s">
        <v>22</v>
      </c>
      <c r="E354" s="9" t="s">
        <v>29</v>
      </c>
      <c r="F354" s="9">
        <v>111</v>
      </c>
      <c r="G354" s="9">
        <v>155.16</v>
      </c>
      <c r="H354" s="9" t="s">
        <v>23</v>
      </c>
      <c r="I354" s="9">
        <v>27</v>
      </c>
      <c r="J354" s="10">
        <v>44.16</v>
      </c>
      <c r="K354" s="9" t="str">
        <f>TEXT(Sales_of_Jordan[[#This Row],[Sale_Date]],"mmm")</f>
        <v>Nov</v>
      </c>
    </row>
    <row r="355" spans="1:11" x14ac:dyDescent="0.35">
      <c r="A355" s="7" t="s">
        <v>385</v>
      </c>
      <c r="B355" s="8">
        <v>45664</v>
      </c>
      <c r="C355" s="9" t="s">
        <v>27</v>
      </c>
      <c r="D355" s="9" t="s">
        <v>53</v>
      </c>
      <c r="E355" s="9" t="s">
        <v>13</v>
      </c>
      <c r="F355" s="9">
        <v>116</v>
      </c>
      <c r="G355" s="9">
        <v>102.13</v>
      </c>
      <c r="H355" s="9" t="s">
        <v>32</v>
      </c>
      <c r="I355" s="9">
        <v>20</v>
      </c>
      <c r="J355" s="10">
        <v>-13.87</v>
      </c>
      <c r="K355" s="9" t="str">
        <f>TEXT(Sales_of_Jordan[[#This Row],[Sale_Date]],"mmm")</f>
        <v>Jan</v>
      </c>
    </row>
    <row r="356" spans="1:11" x14ac:dyDescent="0.35">
      <c r="A356" s="7" t="s">
        <v>386</v>
      </c>
      <c r="B356" s="8">
        <v>45611</v>
      </c>
      <c r="C356" s="9" t="s">
        <v>31</v>
      </c>
      <c r="D356" s="9" t="s">
        <v>22</v>
      </c>
      <c r="E356" s="9" t="s">
        <v>13</v>
      </c>
      <c r="F356" s="9">
        <v>204</v>
      </c>
      <c r="G356" s="9">
        <v>164.41</v>
      </c>
      <c r="H356" s="9" t="s">
        <v>19</v>
      </c>
      <c r="I356" s="9">
        <v>12</v>
      </c>
      <c r="J356" s="10">
        <v>-39.590000000000003</v>
      </c>
      <c r="K356" s="9" t="str">
        <f>TEXT(Sales_of_Jordan[[#This Row],[Sale_Date]],"mmm")</f>
        <v>Nov</v>
      </c>
    </row>
    <row r="357" spans="1:11" x14ac:dyDescent="0.35">
      <c r="A357" s="7" t="s">
        <v>387</v>
      </c>
      <c r="B357" s="8">
        <v>45895</v>
      </c>
      <c r="C357" s="9" t="s">
        <v>27</v>
      </c>
      <c r="D357" s="9" t="s">
        <v>17</v>
      </c>
      <c r="E357" s="9" t="s">
        <v>29</v>
      </c>
      <c r="F357" s="9">
        <v>132</v>
      </c>
      <c r="G357" s="9">
        <v>155.82</v>
      </c>
      <c r="H357" s="9" t="s">
        <v>19</v>
      </c>
      <c r="I357" s="9">
        <v>11</v>
      </c>
      <c r="J357" s="10">
        <v>23.819999999999901</v>
      </c>
      <c r="K357" s="9" t="str">
        <f>TEXT(Sales_of_Jordan[[#This Row],[Sale_Date]],"mmm")</f>
        <v>Aug</v>
      </c>
    </row>
    <row r="358" spans="1:11" x14ac:dyDescent="0.35">
      <c r="A358" s="7" t="s">
        <v>388</v>
      </c>
      <c r="B358" s="8">
        <v>45654</v>
      </c>
      <c r="C358" s="9" t="s">
        <v>11</v>
      </c>
      <c r="D358" s="9" t="s">
        <v>36</v>
      </c>
      <c r="E358" s="9" t="s">
        <v>29</v>
      </c>
      <c r="F358" s="9">
        <v>226</v>
      </c>
      <c r="G358" s="9">
        <v>203.64</v>
      </c>
      <c r="H358" s="9" t="s">
        <v>25</v>
      </c>
      <c r="I358" s="9">
        <v>39</v>
      </c>
      <c r="J358" s="10">
        <v>-22.36</v>
      </c>
      <c r="K358" s="9" t="str">
        <f>TEXT(Sales_of_Jordan[[#This Row],[Sale_Date]],"mmm")</f>
        <v>Dec</v>
      </c>
    </row>
    <row r="359" spans="1:11" x14ac:dyDescent="0.35">
      <c r="A359" s="7" t="s">
        <v>389</v>
      </c>
      <c r="B359" s="8">
        <v>44973</v>
      </c>
      <c r="C359" s="9" t="s">
        <v>27</v>
      </c>
      <c r="D359" s="9" t="s">
        <v>53</v>
      </c>
      <c r="E359" s="9" t="s">
        <v>13</v>
      </c>
      <c r="F359" s="9">
        <v>122</v>
      </c>
      <c r="G359" s="9">
        <v>98.73</v>
      </c>
      <c r="H359" s="9" t="s">
        <v>14</v>
      </c>
      <c r="I359" s="9">
        <v>6</v>
      </c>
      <c r="J359" s="10">
        <v>-23.2699999999999</v>
      </c>
      <c r="K359" s="9" t="str">
        <f>TEXT(Sales_of_Jordan[[#This Row],[Sale_Date]],"mmm")</f>
        <v>Feb</v>
      </c>
    </row>
    <row r="360" spans="1:11" x14ac:dyDescent="0.35">
      <c r="A360" s="7" t="s">
        <v>390</v>
      </c>
      <c r="B360" s="8">
        <v>45343</v>
      </c>
      <c r="C360" s="9" t="s">
        <v>27</v>
      </c>
      <c r="D360" s="9" t="s">
        <v>22</v>
      </c>
      <c r="E360" s="9" t="s">
        <v>13</v>
      </c>
      <c r="F360" s="9">
        <v>130</v>
      </c>
      <c r="G360" s="9">
        <v>101.58</v>
      </c>
      <c r="H360" s="9" t="s">
        <v>23</v>
      </c>
      <c r="I360" s="9">
        <v>11</v>
      </c>
      <c r="J360" s="10">
        <v>-28.42</v>
      </c>
      <c r="K360" s="9" t="str">
        <f>TEXT(Sales_of_Jordan[[#This Row],[Sale_Date]],"mmm")</f>
        <v>Feb</v>
      </c>
    </row>
    <row r="361" spans="1:11" x14ac:dyDescent="0.35">
      <c r="A361" s="7" t="s">
        <v>391</v>
      </c>
      <c r="B361" s="8">
        <v>45664</v>
      </c>
      <c r="C361" s="9" t="s">
        <v>21</v>
      </c>
      <c r="D361" s="9" t="s">
        <v>46</v>
      </c>
      <c r="E361" s="9" t="s">
        <v>18</v>
      </c>
      <c r="F361" s="9">
        <v>221</v>
      </c>
      <c r="G361" s="9">
        <v>449.41</v>
      </c>
      <c r="H361" s="9" t="s">
        <v>32</v>
      </c>
      <c r="I361" s="9">
        <v>16</v>
      </c>
      <c r="J361" s="10">
        <v>228.41</v>
      </c>
      <c r="K361" s="9" t="str">
        <f>TEXT(Sales_of_Jordan[[#This Row],[Sale_Date]],"mmm")</f>
        <v>Jan</v>
      </c>
    </row>
    <row r="362" spans="1:11" x14ac:dyDescent="0.35">
      <c r="A362" s="7" t="s">
        <v>392</v>
      </c>
      <c r="B362" s="8">
        <v>45461</v>
      </c>
      <c r="C362" s="9" t="s">
        <v>27</v>
      </c>
      <c r="D362" s="9" t="s">
        <v>39</v>
      </c>
      <c r="E362" s="9" t="s">
        <v>13</v>
      </c>
      <c r="F362" s="9">
        <v>140</v>
      </c>
      <c r="G362" s="9">
        <v>110.21</v>
      </c>
      <c r="H362" s="9" t="s">
        <v>23</v>
      </c>
      <c r="I362" s="9">
        <v>8</v>
      </c>
      <c r="J362" s="10">
        <v>-29.79</v>
      </c>
      <c r="K362" s="9" t="str">
        <f>TEXT(Sales_of_Jordan[[#This Row],[Sale_Date]],"mmm")</f>
        <v>Jun</v>
      </c>
    </row>
    <row r="363" spans="1:11" x14ac:dyDescent="0.35">
      <c r="A363" s="7" t="s">
        <v>393</v>
      </c>
      <c r="B363" s="8">
        <v>45628</v>
      </c>
      <c r="C363" s="9" t="s">
        <v>21</v>
      </c>
      <c r="D363" s="9" t="s">
        <v>34</v>
      </c>
      <c r="E363" s="9" t="s">
        <v>18</v>
      </c>
      <c r="F363" s="9">
        <v>224</v>
      </c>
      <c r="G363" s="9">
        <v>763.44</v>
      </c>
      <c r="H363" s="9" t="s">
        <v>25</v>
      </c>
      <c r="I363" s="9">
        <v>25</v>
      </c>
      <c r="J363" s="10">
        <v>539.44000000000005</v>
      </c>
      <c r="K363" s="9" t="str">
        <f>TEXT(Sales_of_Jordan[[#This Row],[Sale_Date]],"mmm")</f>
        <v>Dec</v>
      </c>
    </row>
    <row r="364" spans="1:11" x14ac:dyDescent="0.35">
      <c r="A364" s="7" t="s">
        <v>394</v>
      </c>
      <c r="B364" s="8">
        <v>45451</v>
      </c>
      <c r="C364" s="9" t="s">
        <v>31</v>
      </c>
      <c r="D364" s="9" t="s">
        <v>39</v>
      </c>
      <c r="E364" s="9" t="s">
        <v>18</v>
      </c>
      <c r="F364" s="9">
        <v>207</v>
      </c>
      <c r="G364" s="9">
        <v>517.13</v>
      </c>
      <c r="H364" s="9" t="s">
        <v>32</v>
      </c>
      <c r="I364" s="9">
        <v>24</v>
      </c>
      <c r="J364" s="10">
        <v>310.13</v>
      </c>
      <c r="K364" s="9" t="str">
        <f>TEXT(Sales_of_Jordan[[#This Row],[Sale_Date]],"mmm")</f>
        <v>Jun</v>
      </c>
    </row>
    <row r="365" spans="1:11" x14ac:dyDescent="0.35">
      <c r="A365" s="7" t="s">
        <v>395</v>
      </c>
      <c r="B365" s="8">
        <v>45659</v>
      </c>
      <c r="C365" s="9" t="s">
        <v>11</v>
      </c>
      <c r="D365" s="9" t="s">
        <v>55</v>
      </c>
      <c r="E365" s="9" t="s">
        <v>18</v>
      </c>
      <c r="F365" s="9">
        <v>227</v>
      </c>
      <c r="G365" s="9">
        <v>507.27</v>
      </c>
      <c r="H365" s="9" t="s">
        <v>25</v>
      </c>
      <c r="I365" s="9">
        <v>22</v>
      </c>
      <c r="J365" s="10">
        <v>280.27</v>
      </c>
      <c r="K365" s="9" t="str">
        <f>TEXT(Sales_of_Jordan[[#This Row],[Sale_Date]],"mmm")</f>
        <v>Jan</v>
      </c>
    </row>
    <row r="366" spans="1:11" x14ac:dyDescent="0.35">
      <c r="A366" s="7" t="s">
        <v>396</v>
      </c>
      <c r="B366" s="8">
        <v>45720</v>
      </c>
      <c r="C366" s="9" t="s">
        <v>27</v>
      </c>
      <c r="D366" s="9" t="s">
        <v>34</v>
      </c>
      <c r="E366" s="9" t="s">
        <v>13</v>
      </c>
      <c r="F366" s="9">
        <v>124</v>
      </c>
      <c r="G366" s="9">
        <v>79.400000000000006</v>
      </c>
      <c r="H366" s="9" t="s">
        <v>19</v>
      </c>
      <c r="I366" s="9">
        <v>11</v>
      </c>
      <c r="J366" s="10">
        <v>-44.599999999999902</v>
      </c>
      <c r="K366" s="9" t="str">
        <f>TEXT(Sales_of_Jordan[[#This Row],[Sale_Date]],"mmm")</f>
        <v>Mar</v>
      </c>
    </row>
    <row r="367" spans="1:11" x14ac:dyDescent="0.35">
      <c r="A367" s="7" t="s">
        <v>397</v>
      </c>
      <c r="B367" s="8">
        <v>45493</v>
      </c>
      <c r="C367" s="9" t="s">
        <v>16</v>
      </c>
      <c r="D367" s="9" t="s">
        <v>46</v>
      </c>
      <c r="E367" s="9" t="s">
        <v>13</v>
      </c>
      <c r="F367" s="9">
        <v>178</v>
      </c>
      <c r="G367" s="9">
        <v>159.88</v>
      </c>
      <c r="H367" s="9" t="s">
        <v>32</v>
      </c>
      <c r="I367" s="9">
        <v>38</v>
      </c>
      <c r="J367" s="10">
        <v>-18.12</v>
      </c>
      <c r="K367" s="9" t="str">
        <f>TEXT(Sales_of_Jordan[[#This Row],[Sale_Date]],"mmm")</f>
        <v>Jul</v>
      </c>
    </row>
    <row r="368" spans="1:11" x14ac:dyDescent="0.35">
      <c r="A368" s="7" t="s">
        <v>398</v>
      </c>
      <c r="B368" s="8">
        <v>45564</v>
      </c>
      <c r="C368" s="9" t="s">
        <v>31</v>
      </c>
      <c r="D368" s="9" t="s">
        <v>55</v>
      </c>
      <c r="E368" s="9" t="s">
        <v>29</v>
      </c>
      <c r="F368" s="9">
        <v>201</v>
      </c>
      <c r="G368" s="9">
        <v>283.44</v>
      </c>
      <c r="H368" s="9" t="s">
        <v>23</v>
      </c>
      <c r="I368" s="9">
        <v>56</v>
      </c>
      <c r="J368" s="10">
        <v>82.44</v>
      </c>
      <c r="K368" s="9" t="str">
        <f>TEXT(Sales_of_Jordan[[#This Row],[Sale_Date]],"mmm")</f>
        <v>Sep</v>
      </c>
    </row>
    <row r="369" spans="1:11" x14ac:dyDescent="0.35">
      <c r="A369" s="7" t="s">
        <v>399</v>
      </c>
      <c r="B369" s="8">
        <v>45303</v>
      </c>
      <c r="C369" s="9" t="s">
        <v>27</v>
      </c>
      <c r="D369" s="9" t="s">
        <v>36</v>
      </c>
      <c r="E369" s="9" t="s">
        <v>29</v>
      </c>
      <c r="F369" s="9">
        <v>122</v>
      </c>
      <c r="G369" s="9">
        <v>179.74</v>
      </c>
      <c r="H369" s="9" t="s">
        <v>25</v>
      </c>
      <c r="I369" s="9">
        <v>8</v>
      </c>
      <c r="J369" s="10">
        <v>57.74</v>
      </c>
      <c r="K369" s="9" t="str">
        <f>TEXT(Sales_of_Jordan[[#This Row],[Sale_Date]],"mmm")</f>
        <v>Jan</v>
      </c>
    </row>
    <row r="370" spans="1:11" x14ac:dyDescent="0.35">
      <c r="A370" s="7" t="s">
        <v>400</v>
      </c>
      <c r="B370" s="8">
        <v>45075</v>
      </c>
      <c r="C370" s="9" t="s">
        <v>21</v>
      </c>
      <c r="D370" s="9" t="s">
        <v>12</v>
      </c>
      <c r="E370" s="9" t="s">
        <v>13</v>
      </c>
      <c r="F370" s="9">
        <v>221</v>
      </c>
      <c r="G370" s="9">
        <v>163</v>
      </c>
      <c r="H370" s="9" t="s">
        <v>32</v>
      </c>
      <c r="I370" s="9">
        <v>19</v>
      </c>
      <c r="J370" s="10">
        <v>-58</v>
      </c>
      <c r="K370" s="9" t="str">
        <f>TEXT(Sales_of_Jordan[[#This Row],[Sale_Date]],"mmm")</f>
        <v>May</v>
      </c>
    </row>
    <row r="371" spans="1:11" x14ac:dyDescent="0.35">
      <c r="A371" s="7" t="s">
        <v>401</v>
      </c>
      <c r="B371" s="8">
        <v>45119</v>
      </c>
      <c r="C371" s="9" t="s">
        <v>16</v>
      </c>
      <c r="D371" s="9" t="s">
        <v>17</v>
      </c>
      <c r="E371" s="9" t="s">
        <v>29</v>
      </c>
      <c r="F371" s="9">
        <v>178</v>
      </c>
      <c r="G371" s="9">
        <v>187.89</v>
      </c>
      <c r="H371" s="9" t="s">
        <v>23</v>
      </c>
      <c r="I371" s="9">
        <v>33</v>
      </c>
      <c r="J371" s="10">
        <v>9.8899999999999793</v>
      </c>
      <c r="K371" s="9" t="str">
        <f>TEXT(Sales_of_Jordan[[#This Row],[Sale_Date]],"mmm")</f>
        <v>Jul</v>
      </c>
    </row>
    <row r="372" spans="1:11" x14ac:dyDescent="0.35">
      <c r="A372" s="7" t="s">
        <v>402</v>
      </c>
      <c r="B372" s="8">
        <v>45156</v>
      </c>
      <c r="C372" s="9" t="s">
        <v>27</v>
      </c>
      <c r="D372" s="9" t="s">
        <v>55</v>
      </c>
      <c r="E372" s="9" t="s">
        <v>13</v>
      </c>
      <c r="F372" s="9">
        <v>113</v>
      </c>
      <c r="G372" s="9">
        <v>70.319999999999993</v>
      </c>
      <c r="H372" s="9" t="s">
        <v>14</v>
      </c>
      <c r="I372" s="9">
        <v>9</v>
      </c>
      <c r="J372" s="10">
        <v>-42.68</v>
      </c>
      <c r="K372" s="9" t="str">
        <f>TEXT(Sales_of_Jordan[[#This Row],[Sale_Date]],"mmm")</f>
        <v>Aug</v>
      </c>
    </row>
    <row r="373" spans="1:11" x14ac:dyDescent="0.35">
      <c r="A373" s="7" t="s">
        <v>403</v>
      </c>
      <c r="B373" s="8">
        <v>45635</v>
      </c>
      <c r="C373" s="9" t="s">
        <v>31</v>
      </c>
      <c r="D373" s="9" t="s">
        <v>53</v>
      </c>
      <c r="E373" s="9" t="s">
        <v>13</v>
      </c>
      <c r="F373" s="9">
        <v>203</v>
      </c>
      <c r="G373" s="9">
        <v>123.04</v>
      </c>
      <c r="H373" s="9" t="s">
        <v>23</v>
      </c>
      <c r="I373" s="9">
        <v>8</v>
      </c>
      <c r="J373" s="10">
        <v>-79.959999999999994</v>
      </c>
      <c r="K373" s="9" t="str">
        <f>TEXT(Sales_of_Jordan[[#This Row],[Sale_Date]],"mmm")</f>
        <v>Dec</v>
      </c>
    </row>
    <row r="374" spans="1:11" x14ac:dyDescent="0.35">
      <c r="A374" s="7" t="s">
        <v>404</v>
      </c>
      <c r="B374" s="8">
        <v>45469</v>
      </c>
      <c r="C374" s="9" t="s">
        <v>27</v>
      </c>
      <c r="D374" s="9" t="s">
        <v>46</v>
      </c>
      <c r="E374" s="9" t="s">
        <v>29</v>
      </c>
      <c r="F374" s="9">
        <v>120</v>
      </c>
      <c r="G374" s="9">
        <v>179.48</v>
      </c>
      <c r="H374" s="9" t="s">
        <v>32</v>
      </c>
      <c r="I374" s="9">
        <v>6</v>
      </c>
      <c r="J374" s="10">
        <v>59.479999999999897</v>
      </c>
      <c r="K374" s="9" t="str">
        <f>TEXT(Sales_of_Jordan[[#This Row],[Sale_Date]],"mmm")</f>
        <v>Jun</v>
      </c>
    </row>
    <row r="375" spans="1:11" x14ac:dyDescent="0.35">
      <c r="A375" s="7" t="s">
        <v>405</v>
      </c>
      <c r="B375" s="8">
        <v>45242</v>
      </c>
      <c r="C375" s="9" t="s">
        <v>27</v>
      </c>
      <c r="D375" s="9" t="s">
        <v>17</v>
      </c>
      <c r="E375" s="9" t="s">
        <v>13</v>
      </c>
      <c r="F375" s="9">
        <v>138</v>
      </c>
      <c r="G375" s="9">
        <v>99.81</v>
      </c>
      <c r="H375" s="9" t="s">
        <v>14</v>
      </c>
      <c r="I375" s="9">
        <v>14</v>
      </c>
      <c r="J375" s="10">
        <v>-38.19</v>
      </c>
      <c r="K375" s="9" t="str">
        <f>TEXT(Sales_of_Jordan[[#This Row],[Sale_Date]],"mmm")</f>
        <v>Nov</v>
      </c>
    </row>
    <row r="376" spans="1:11" x14ac:dyDescent="0.35">
      <c r="A376" s="7" t="s">
        <v>406</v>
      </c>
      <c r="B376" s="8">
        <v>45520</v>
      </c>
      <c r="C376" s="9" t="s">
        <v>21</v>
      </c>
      <c r="D376" s="9" t="s">
        <v>22</v>
      </c>
      <c r="E376" s="9" t="s">
        <v>18</v>
      </c>
      <c r="F376" s="9">
        <v>211</v>
      </c>
      <c r="G376" s="9">
        <v>550.41</v>
      </c>
      <c r="H376" s="9" t="s">
        <v>32</v>
      </c>
      <c r="I376" s="9">
        <v>14</v>
      </c>
      <c r="J376" s="10">
        <v>339.409999999999</v>
      </c>
      <c r="K376" s="9" t="str">
        <f>TEXT(Sales_of_Jordan[[#This Row],[Sale_Date]],"mmm")</f>
        <v>Aug</v>
      </c>
    </row>
    <row r="377" spans="1:11" x14ac:dyDescent="0.35">
      <c r="A377" s="7" t="s">
        <v>407</v>
      </c>
      <c r="B377" s="8">
        <v>45216</v>
      </c>
      <c r="C377" s="9" t="s">
        <v>27</v>
      </c>
      <c r="D377" s="9" t="s">
        <v>53</v>
      </c>
      <c r="E377" s="9" t="s">
        <v>18</v>
      </c>
      <c r="F377" s="9">
        <v>134</v>
      </c>
      <c r="G377" s="9">
        <v>238.13</v>
      </c>
      <c r="H377" s="9" t="s">
        <v>32</v>
      </c>
      <c r="I377" s="9">
        <v>34</v>
      </c>
      <c r="J377" s="10">
        <v>104.13</v>
      </c>
      <c r="K377" s="9" t="str">
        <f>TEXT(Sales_of_Jordan[[#This Row],[Sale_Date]],"mmm")</f>
        <v>Oct</v>
      </c>
    </row>
    <row r="378" spans="1:11" x14ac:dyDescent="0.35">
      <c r="A378" s="7" t="s">
        <v>408</v>
      </c>
      <c r="B378" s="8">
        <v>45588</v>
      </c>
      <c r="C378" s="9" t="s">
        <v>31</v>
      </c>
      <c r="D378" s="9" t="s">
        <v>22</v>
      </c>
      <c r="E378" s="9" t="s">
        <v>29</v>
      </c>
      <c r="F378" s="9">
        <v>210</v>
      </c>
      <c r="G378" s="9">
        <v>261.39</v>
      </c>
      <c r="H378" s="9" t="s">
        <v>25</v>
      </c>
      <c r="I378" s="9">
        <v>51</v>
      </c>
      <c r="J378" s="10">
        <v>51.389999999999901</v>
      </c>
      <c r="K378" s="9" t="str">
        <f>TEXT(Sales_of_Jordan[[#This Row],[Sale_Date]],"mmm")</f>
        <v>Oct</v>
      </c>
    </row>
    <row r="379" spans="1:11" x14ac:dyDescent="0.35">
      <c r="A379" s="7" t="s">
        <v>409</v>
      </c>
      <c r="B379" s="8">
        <v>45902</v>
      </c>
      <c r="C379" s="9" t="s">
        <v>11</v>
      </c>
      <c r="D379" s="9" t="s">
        <v>53</v>
      </c>
      <c r="E379" s="9" t="s">
        <v>29</v>
      </c>
      <c r="F379" s="9">
        <v>225</v>
      </c>
      <c r="G379" s="9">
        <v>323.22000000000003</v>
      </c>
      <c r="H379" s="9" t="s">
        <v>19</v>
      </c>
      <c r="I379" s="9">
        <v>11</v>
      </c>
      <c r="J379" s="10">
        <v>98.22</v>
      </c>
      <c r="K379" s="9" t="str">
        <f>TEXT(Sales_of_Jordan[[#This Row],[Sale_Date]],"mmm")</f>
        <v>Sep</v>
      </c>
    </row>
    <row r="380" spans="1:11" x14ac:dyDescent="0.35">
      <c r="A380" s="7" t="s">
        <v>410</v>
      </c>
      <c r="B380" s="8">
        <v>44993</v>
      </c>
      <c r="C380" s="9" t="s">
        <v>16</v>
      </c>
      <c r="D380" s="9" t="s">
        <v>12</v>
      </c>
      <c r="E380" s="9" t="s">
        <v>13</v>
      </c>
      <c r="F380" s="9">
        <v>179</v>
      </c>
      <c r="G380" s="9">
        <v>132.91</v>
      </c>
      <c r="H380" s="9" t="s">
        <v>14</v>
      </c>
      <c r="I380" s="9">
        <v>13</v>
      </c>
      <c r="J380" s="10">
        <v>-46.09</v>
      </c>
      <c r="K380" s="9" t="str">
        <f>TEXT(Sales_of_Jordan[[#This Row],[Sale_Date]],"mmm")</f>
        <v>Mar</v>
      </c>
    </row>
    <row r="381" spans="1:11" x14ac:dyDescent="0.35">
      <c r="A381" s="7" t="s">
        <v>411</v>
      </c>
      <c r="B381" s="8">
        <v>45432</v>
      </c>
      <c r="C381" s="9" t="s">
        <v>21</v>
      </c>
      <c r="D381" s="9" t="s">
        <v>53</v>
      </c>
      <c r="E381" s="9" t="s">
        <v>13</v>
      </c>
      <c r="F381" s="9">
        <v>219</v>
      </c>
      <c r="G381" s="9">
        <v>130.74</v>
      </c>
      <c r="H381" s="9" t="s">
        <v>14</v>
      </c>
      <c r="I381" s="9">
        <v>9</v>
      </c>
      <c r="J381" s="10">
        <v>-88.259999999999906</v>
      </c>
      <c r="K381" s="9" t="str">
        <f>TEXT(Sales_of_Jordan[[#This Row],[Sale_Date]],"mmm")</f>
        <v>May</v>
      </c>
    </row>
    <row r="382" spans="1:11" x14ac:dyDescent="0.35">
      <c r="A382" s="7" t="s">
        <v>412</v>
      </c>
      <c r="B382" s="8">
        <v>45543</v>
      </c>
      <c r="C382" s="9" t="s">
        <v>21</v>
      </c>
      <c r="D382" s="9" t="s">
        <v>12</v>
      </c>
      <c r="E382" s="9" t="s">
        <v>13</v>
      </c>
      <c r="F382" s="9">
        <v>221</v>
      </c>
      <c r="G382" s="9">
        <v>119.45</v>
      </c>
      <c r="H382" s="9" t="s">
        <v>25</v>
      </c>
      <c r="I382" s="9">
        <v>37</v>
      </c>
      <c r="J382" s="10">
        <v>-101.55</v>
      </c>
      <c r="K382" s="9" t="str">
        <f>TEXT(Sales_of_Jordan[[#This Row],[Sale_Date]],"mmm")</f>
        <v>Sep</v>
      </c>
    </row>
    <row r="383" spans="1:11" x14ac:dyDescent="0.35">
      <c r="A383" s="7" t="s">
        <v>413</v>
      </c>
      <c r="B383" s="8">
        <v>45425</v>
      </c>
      <c r="C383" s="9" t="s">
        <v>16</v>
      </c>
      <c r="D383" s="9" t="s">
        <v>39</v>
      </c>
      <c r="E383" s="9" t="s">
        <v>13</v>
      </c>
      <c r="F383" s="9">
        <v>186</v>
      </c>
      <c r="G383" s="9">
        <v>136.63</v>
      </c>
      <c r="H383" s="9" t="s">
        <v>25</v>
      </c>
      <c r="I383" s="9">
        <v>58</v>
      </c>
      <c r="J383" s="10">
        <v>-49.37</v>
      </c>
      <c r="K383" s="9" t="str">
        <f>TEXT(Sales_of_Jordan[[#This Row],[Sale_Date]],"mmm")</f>
        <v>May</v>
      </c>
    </row>
    <row r="384" spans="1:11" x14ac:dyDescent="0.35">
      <c r="A384" s="7" t="s">
        <v>414</v>
      </c>
      <c r="B384" s="8">
        <v>44929</v>
      </c>
      <c r="C384" s="9" t="s">
        <v>31</v>
      </c>
      <c r="D384" s="9" t="s">
        <v>34</v>
      </c>
      <c r="E384" s="9" t="s">
        <v>13</v>
      </c>
      <c r="F384" s="9">
        <v>208</v>
      </c>
      <c r="G384" s="9">
        <v>142.32</v>
      </c>
      <c r="H384" s="9" t="s">
        <v>32</v>
      </c>
      <c r="I384" s="9">
        <v>26</v>
      </c>
      <c r="J384" s="10">
        <v>-65.680000000000007</v>
      </c>
      <c r="K384" s="9" t="str">
        <f>TEXT(Sales_of_Jordan[[#This Row],[Sale_Date]],"mmm")</f>
        <v>Jan</v>
      </c>
    </row>
    <row r="385" spans="1:11" x14ac:dyDescent="0.35">
      <c r="A385" s="7" t="s">
        <v>415</v>
      </c>
      <c r="B385" s="8">
        <v>45172</v>
      </c>
      <c r="C385" s="9" t="s">
        <v>21</v>
      </c>
      <c r="D385" s="9" t="s">
        <v>17</v>
      </c>
      <c r="E385" s="9" t="s">
        <v>13</v>
      </c>
      <c r="F385" s="9">
        <v>217</v>
      </c>
      <c r="G385" s="9">
        <v>163.63</v>
      </c>
      <c r="H385" s="9" t="s">
        <v>19</v>
      </c>
      <c r="I385" s="9">
        <v>9</v>
      </c>
      <c r="J385" s="10">
        <v>-53.37</v>
      </c>
      <c r="K385" s="9" t="str">
        <f>TEXT(Sales_of_Jordan[[#This Row],[Sale_Date]],"mmm")</f>
        <v>Sep</v>
      </c>
    </row>
    <row r="386" spans="1:11" x14ac:dyDescent="0.35">
      <c r="A386" s="7" t="s">
        <v>416</v>
      </c>
      <c r="B386" s="8">
        <v>45051</v>
      </c>
      <c r="C386" s="9" t="s">
        <v>21</v>
      </c>
      <c r="D386" s="9" t="s">
        <v>39</v>
      </c>
      <c r="E386" s="9" t="s">
        <v>18</v>
      </c>
      <c r="F386" s="9">
        <v>218</v>
      </c>
      <c r="G386" s="9">
        <v>639.44000000000005</v>
      </c>
      <c r="H386" s="9" t="s">
        <v>32</v>
      </c>
      <c r="I386" s="9">
        <v>17</v>
      </c>
      <c r="J386" s="10">
        <v>421.44</v>
      </c>
      <c r="K386" s="9" t="str">
        <f>TEXT(Sales_of_Jordan[[#This Row],[Sale_Date]],"mmm")</f>
        <v>May</v>
      </c>
    </row>
    <row r="387" spans="1:11" x14ac:dyDescent="0.35">
      <c r="A387" s="7" t="s">
        <v>417</v>
      </c>
      <c r="B387" s="8">
        <v>45687</v>
      </c>
      <c r="C387" s="9" t="s">
        <v>21</v>
      </c>
      <c r="D387" s="9" t="s">
        <v>36</v>
      </c>
      <c r="E387" s="9" t="s">
        <v>13</v>
      </c>
      <c r="F387" s="9">
        <v>213</v>
      </c>
      <c r="G387" s="9">
        <v>176.17</v>
      </c>
      <c r="H387" s="9" t="s">
        <v>14</v>
      </c>
      <c r="I387" s="9">
        <v>9</v>
      </c>
      <c r="J387" s="10">
        <v>-36.83</v>
      </c>
      <c r="K387" s="9" t="str">
        <f>TEXT(Sales_of_Jordan[[#This Row],[Sale_Date]],"mmm")</f>
        <v>Jan</v>
      </c>
    </row>
    <row r="388" spans="1:11" x14ac:dyDescent="0.35">
      <c r="A388" s="7" t="s">
        <v>418</v>
      </c>
      <c r="B388" s="8">
        <v>45311</v>
      </c>
      <c r="C388" s="9" t="s">
        <v>27</v>
      </c>
      <c r="D388" s="9" t="s">
        <v>46</v>
      </c>
      <c r="E388" s="9" t="s">
        <v>18</v>
      </c>
      <c r="F388" s="9">
        <v>125</v>
      </c>
      <c r="G388" s="9">
        <v>367.51</v>
      </c>
      <c r="H388" s="9" t="s">
        <v>25</v>
      </c>
      <c r="I388" s="9">
        <v>49</v>
      </c>
      <c r="J388" s="10">
        <v>242.51</v>
      </c>
      <c r="K388" s="9" t="str">
        <f>TEXT(Sales_of_Jordan[[#This Row],[Sale_Date]],"mmm")</f>
        <v>Jan</v>
      </c>
    </row>
    <row r="389" spans="1:11" x14ac:dyDescent="0.35">
      <c r="A389" s="7" t="s">
        <v>419</v>
      </c>
      <c r="B389" s="8">
        <v>45450</v>
      </c>
      <c r="C389" s="9" t="s">
        <v>16</v>
      </c>
      <c r="D389" s="9" t="s">
        <v>36</v>
      </c>
      <c r="E389" s="9" t="s">
        <v>18</v>
      </c>
      <c r="F389" s="9">
        <v>174</v>
      </c>
      <c r="G389" s="9">
        <v>553.83000000000004</v>
      </c>
      <c r="H389" s="9" t="s">
        <v>25</v>
      </c>
      <c r="I389" s="9">
        <v>8</v>
      </c>
      <c r="J389" s="10">
        <v>379.83</v>
      </c>
      <c r="K389" s="9" t="str">
        <f>TEXT(Sales_of_Jordan[[#This Row],[Sale_Date]],"mmm")</f>
        <v>Jun</v>
      </c>
    </row>
    <row r="390" spans="1:11" x14ac:dyDescent="0.35">
      <c r="A390" s="7" t="s">
        <v>420</v>
      </c>
      <c r="B390" s="8">
        <v>44932</v>
      </c>
      <c r="C390" s="9" t="s">
        <v>21</v>
      </c>
      <c r="D390" s="9" t="s">
        <v>12</v>
      </c>
      <c r="E390" s="9" t="s">
        <v>29</v>
      </c>
      <c r="F390" s="9">
        <v>213</v>
      </c>
      <c r="G390" s="9">
        <v>258.83</v>
      </c>
      <c r="H390" s="9" t="s">
        <v>14</v>
      </c>
      <c r="I390" s="9">
        <v>12</v>
      </c>
      <c r="J390" s="10">
        <v>45.829999999999899</v>
      </c>
      <c r="K390" s="9" t="str">
        <f>TEXT(Sales_of_Jordan[[#This Row],[Sale_Date]],"mmm")</f>
        <v>Jan</v>
      </c>
    </row>
    <row r="391" spans="1:11" x14ac:dyDescent="0.35">
      <c r="A391" s="7" t="s">
        <v>421</v>
      </c>
      <c r="B391" s="8">
        <v>45420</v>
      </c>
      <c r="C391" s="9" t="s">
        <v>31</v>
      </c>
      <c r="D391" s="9" t="s">
        <v>53</v>
      </c>
      <c r="E391" s="9" t="s">
        <v>13</v>
      </c>
      <c r="F391" s="9">
        <v>200</v>
      </c>
      <c r="G391" s="9">
        <v>148.77000000000001</v>
      </c>
      <c r="H391" s="9" t="s">
        <v>19</v>
      </c>
      <c r="I391" s="9">
        <v>5</v>
      </c>
      <c r="J391" s="10">
        <v>-51.229999999999897</v>
      </c>
      <c r="K391" s="9" t="str">
        <f>TEXT(Sales_of_Jordan[[#This Row],[Sale_Date]],"mmm")</f>
        <v>May</v>
      </c>
    </row>
    <row r="392" spans="1:11" x14ac:dyDescent="0.35">
      <c r="A392" s="7" t="s">
        <v>422</v>
      </c>
      <c r="B392" s="8">
        <v>45553</v>
      </c>
      <c r="C392" s="9" t="s">
        <v>11</v>
      </c>
      <c r="D392" s="9" t="s">
        <v>36</v>
      </c>
      <c r="E392" s="9" t="s">
        <v>18</v>
      </c>
      <c r="F392" s="9">
        <v>229</v>
      </c>
      <c r="G392" s="9">
        <v>395.27</v>
      </c>
      <c r="H392" s="9" t="s">
        <v>14</v>
      </c>
      <c r="I392" s="9">
        <v>2</v>
      </c>
      <c r="J392" s="10">
        <v>166.26999999999899</v>
      </c>
      <c r="K392" s="9" t="str">
        <f>TEXT(Sales_of_Jordan[[#This Row],[Sale_Date]],"mmm")</f>
        <v>Sep</v>
      </c>
    </row>
    <row r="393" spans="1:11" x14ac:dyDescent="0.35">
      <c r="A393" s="7" t="s">
        <v>423</v>
      </c>
      <c r="B393" s="8">
        <v>45442</v>
      </c>
      <c r="C393" s="9" t="s">
        <v>11</v>
      </c>
      <c r="D393" s="9" t="s">
        <v>34</v>
      </c>
      <c r="E393" s="9" t="s">
        <v>13</v>
      </c>
      <c r="F393" s="9">
        <v>228</v>
      </c>
      <c r="G393" s="9">
        <v>137.19</v>
      </c>
      <c r="H393" s="9" t="s">
        <v>32</v>
      </c>
      <c r="I393" s="9">
        <v>13</v>
      </c>
      <c r="J393" s="10">
        <v>-90.81</v>
      </c>
      <c r="K393" s="9" t="str">
        <f>TEXT(Sales_of_Jordan[[#This Row],[Sale_Date]],"mmm")</f>
        <v>May</v>
      </c>
    </row>
    <row r="394" spans="1:11" x14ac:dyDescent="0.35">
      <c r="A394" s="7" t="s">
        <v>424</v>
      </c>
      <c r="B394" s="8">
        <v>45903</v>
      </c>
      <c r="C394" s="9" t="s">
        <v>27</v>
      </c>
      <c r="D394" s="9" t="s">
        <v>12</v>
      </c>
      <c r="E394" s="9" t="s">
        <v>13</v>
      </c>
      <c r="F394" s="9">
        <v>137</v>
      </c>
      <c r="G394" s="9">
        <v>72.7</v>
      </c>
      <c r="H394" s="9" t="s">
        <v>19</v>
      </c>
      <c r="I394" s="9">
        <v>2</v>
      </c>
      <c r="J394" s="10">
        <v>-64.3</v>
      </c>
      <c r="K394" s="9" t="str">
        <f>TEXT(Sales_of_Jordan[[#This Row],[Sale_Date]],"mmm")</f>
        <v>Sep</v>
      </c>
    </row>
    <row r="395" spans="1:11" x14ac:dyDescent="0.35">
      <c r="A395" s="7" t="s">
        <v>425</v>
      </c>
      <c r="B395" s="8">
        <v>45573</v>
      </c>
      <c r="C395" s="9" t="s">
        <v>21</v>
      </c>
      <c r="D395" s="9" t="s">
        <v>22</v>
      </c>
      <c r="E395" s="9" t="s">
        <v>13</v>
      </c>
      <c r="F395" s="9">
        <v>223</v>
      </c>
      <c r="G395" s="9">
        <v>166.61</v>
      </c>
      <c r="H395" s="9" t="s">
        <v>19</v>
      </c>
      <c r="I395" s="9">
        <v>1</v>
      </c>
      <c r="J395" s="10">
        <v>-56.389999999999901</v>
      </c>
      <c r="K395" s="9" t="str">
        <f>TEXT(Sales_of_Jordan[[#This Row],[Sale_Date]],"mmm")</f>
        <v>Oct</v>
      </c>
    </row>
    <row r="396" spans="1:11" x14ac:dyDescent="0.35">
      <c r="A396" s="7" t="s">
        <v>426</v>
      </c>
      <c r="B396" s="8">
        <v>45427</v>
      </c>
      <c r="C396" s="9" t="s">
        <v>21</v>
      </c>
      <c r="D396" s="9" t="s">
        <v>36</v>
      </c>
      <c r="E396" s="9" t="s">
        <v>18</v>
      </c>
      <c r="F396" s="9">
        <v>215</v>
      </c>
      <c r="G396" s="9">
        <v>318.10000000000002</v>
      </c>
      <c r="H396" s="9" t="s">
        <v>19</v>
      </c>
      <c r="I396" s="9">
        <v>10</v>
      </c>
      <c r="J396" s="10">
        <v>103.1</v>
      </c>
      <c r="K396" s="9" t="str">
        <f>TEXT(Sales_of_Jordan[[#This Row],[Sale_Date]],"mmm")</f>
        <v>May</v>
      </c>
    </row>
    <row r="397" spans="1:11" x14ac:dyDescent="0.35">
      <c r="A397" s="7" t="s">
        <v>427</v>
      </c>
      <c r="B397" s="8">
        <v>45407</v>
      </c>
      <c r="C397" s="9" t="s">
        <v>21</v>
      </c>
      <c r="D397" s="9" t="s">
        <v>22</v>
      </c>
      <c r="E397" s="9" t="s">
        <v>18</v>
      </c>
      <c r="F397" s="9">
        <v>211</v>
      </c>
      <c r="G397" s="9">
        <v>727.9</v>
      </c>
      <c r="H397" s="9" t="s">
        <v>14</v>
      </c>
      <c r="I397" s="9">
        <v>7</v>
      </c>
      <c r="J397" s="10">
        <v>516.9</v>
      </c>
      <c r="K397" s="9" t="str">
        <f>TEXT(Sales_of_Jordan[[#This Row],[Sale_Date]],"mmm")</f>
        <v>Apr</v>
      </c>
    </row>
    <row r="398" spans="1:11" x14ac:dyDescent="0.35">
      <c r="A398" s="7" t="s">
        <v>428</v>
      </c>
      <c r="B398" s="8">
        <v>45166</v>
      </c>
      <c r="C398" s="9" t="s">
        <v>27</v>
      </c>
      <c r="D398" s="9" t="s">
        <v>55</v>
      </c>
      <c r="E398" s="9" t="s">
        <v>13</v>
      </c>
      <c r="F398" s="9">
        <v>128</v>
      </c>
      <c r="G398" s="9">
        <v>85.16</v>
      </c>
      <c r="H398" s="9" t="s">
        <v>32</v>
      </c>
      <c r="I398" s="9">
        <v>24</v>
      </c>
      <c r="J398" s="10">
        <v>-42.84</v>
      </c>
      <c r="K398" s="9" t="str">
        <f>TEXT(Sales_of_Jordan[[#This Row],[Sale_Date]],"mmm")</f>
        <v>Aug</v>
      </c>
    </row>
    <row r="399" spans="1:11" x14ac:dyDescent="0.35">
      <c r="A399" s="7" t="s">
        <v>429</v>
      </c>
      <c r="B399" s="8">
        <v>45069</v>
      </c>
      <c r="C399" s="9" t="s">
        <v>11</v>
      </c>
      <c r="D399" s="9" t="s">
        <v>36</v>
      </c>
      <c r="E399" s="9" t="s">
        <v>29</v>
      </c>
      <c r="F399" s="9">
        <v>226</v>
      </c>
      <c r="G399" s="9">
        <v>216.6</v>
      </c>
      <c r="H399" s="9" t="s">
        <v>25</v>
      </c>
      <c r="I399" s="9">
        <v>38</v>
      </c>
      <c r="J399" s="10">
        <v>-9.4</v>
      </c>
      <c r="K399" s="9" t="str">
        <f>TEXT(Sales_of_Jordan[[#This Row],[Sale_Date]],"mmm")</f>
        <v>May</v>
      </c>
    </row>
    <row r="400" spans="1:11" x14ac:dyDescent="0.35">
      <c r="A400" s="7" t="s">
        <v>430</v>
      </c>
      <c r="B400" s="8">
        <v>45013</v>
      </c>
      <c r="C400" s="9" t="s">
        <v>16</v>
      </c>
      <c r="D400" s="9" t="s">
        <v>17</v>
      </c>
      <c r="E400" s="9" t="s">
        <v>13</v>
      </c>
      <c r="F400" s="9">
        <v>170</v>
      </c>
      <c r="G400" s="9">
        <v>146.80000000000001</v>
      </c>
      <c r="H400" s="9" t="s">
        <v>19</v>
      </c>
      <c r="I400" s="9">
        <v>6</v>
      </c>
      <c r="J400" s="10">
        <v>-23.1999999999999</v>
      </c>
      <c r="K400" s="9" t="str">
        <f>TEXT(Sales_of_Jordan[[#This Row],[Sale_Date]],"mmm")</f>
        <v>Mar</v>
      </c>
    </row>
    <row r="401" spans="1:11" x14ac:dyDescent="0.35">
      <c r="A401" s="7" t="s">
        <v>431</v>
      </c>
      <c r="B401" s="8">
        <v>45586</v>
      </c>
      <c r="C401" s="9" t="s">
        <v>11</v>
      </c>
      <c r="D401" s="9" t="s">
        <v>46</v>
      </c>
      <c r="E401" s="9" t="s">
        <v>18</v>
      </c>
      <c r="F401" s="9">
        <v>225</v>
      </c>
      <c r="G401" s="9">
        <v>484.46</v>
      </c>
      <c r="H401" s="9" t="s">
        <v>25</v>
      </c>
      <c r="I401" s="9">
        <v>17</v>
      </c>
      <c r="J401" s="10">
        <v>259.45999999999998</v>
      </c>
      <c r="K401" s="9" t="str">
        <f>TEXT(Sales_of_Jordan[[#This Row],[Sale_Date]],"mmm")</f>
        <v>Oct</v>
      </c>
    </row>
    <row r="402" spans="1:11" x14ac:dyDescent="0.35">
      <c r="A402" s="7" t="s">
        <v>432</v>
      </c>
      <c r="B402" s="8">
        <v>45233</v>
      </c>
      <c r="C402" s="9" t="s">
        <v>27</v>
      </c>
      <c r="D402" s="9" t="s">
        <v>53</v>
      </c>
      <c r="E402" s="9" t="s">
        <v>18</v>
      </c>
      <c r="F402" s="9">
        <v>135</v>
      </c>
      <c r="G402" s="9">
        <v>204.64</v>
      </c>
      <c r="H402" s="9" t="s">
        <v>14</v>
      </c>
      <c r="I402" s="9">
        <v>14</v>
      </c>
      <c r="J402" s="10">
        <v>69.639999999999901</v>
      </c>
      <c r="K402" s="9" t="str">
        <f>TEXT(Sales_of_Jordan[[#This Row],[Sale_Date]],"mmm")</f>
        <v>Nov</v>
      </c>
    </row>
    <row r="403" spans="1:11" x14ac:dyDescent="0.35">
      <c r="A403" s="7" t="s">
        <v>433</v>
      </c>
      <c r="B403" s="8">
        <v>45769</v>
      </c>
      <c r="C403" s="9" t="s">
        <v>16</v>
      </c>
      <c r="D403" s="9" t="s">
        <v>34</v>
      </c>
      <c r="E403" s="9" t="s">
        <v>29</v>
      </c>
      <c r="F403" s="9">
        <v>172</v>
      </c>
      <c r="G403" s="9">
        <v>255.12</v>
      </c>
      <c r="H403" s="9" t="s">
        <v>32</v>
      </c>
      <c r="I403" s="9">
        <v>16</v>
      </c>
      <c r="J403" s="10">
        <v>83.12</v>
      </c>
      <c r="K403" s="9" t="str">
        <f>TEXT(Sales_of_Jordan[[#This Row],[Sale_Date]],"mmm")</f>
        <v>Apr</v>
      </c>
    </row>
    <row r="404" spans="1:11" x14ac:dyDescent="0.35">
      <c r="A404" s="7" t="s">
        <v>434</v>
      </c>
      <c r="B404" s="8">
        <v>45010</v>
      </c>
      <c r="C404" s="9" t="s">
        <v>21</v>
      </c>
      <c r="D404" s="9" t="s">
        <v>22</v>
      </c>
      <c r="E404" s="9" t="s">
        <v>18</v>
      </c>
      <c r="F404" s="9">
        <v>215</v>
      </c>
      <c r="G404" s="9">
        <v>437.92</v>
      </c>
      <c r="H404" s="9" t="s">
        <v>32</v>
      </c>
      <c r="I404" s="9">
        <v>15</v>
      </c>
      <c r="J404" s="10">
        <v>222.92</v>
      </c>
      <c r="K404" s="9" t="str">
        <f>TEXT(Sales_of_Jordan[[#This Row],[Sale_Date]],"mmm")</f>
        <v>Mar</v>
      </c>
    </row>
    <row r="405" spans="1:11" x14ac:dyDescent="0.35">
      <c r="A405" s="7" t="s">
        <v>435</v>
      </c>
      <c r="B405" s="8">
        <v>45298</v>
      </c>
      <c r="C405" s="9" t="s">
        <v>11</v>
      </c>
      <c r="D405" s="9" t="s">
        <v>12</v>
      </c>
      <c r="E405" s="9" t="s">
        <v>18</v>
      </c>
      <c r="F405" s="9">
        <v>226</v>
      </c>
      <c r="G405" s="9">
        <v>466.23</v>
      </c>
      <c r="H405" s="9" t="s">
        <v>19</v>
      </c>
      <c r="I405" s="9">
        <v>4</v>
      </c>
      <c r="J405" s="10">
        <v>240.23</v>
      </c>
      <c r="K405" s="9" t="str">
        <f>TEXT(Sales_of_Jordan[[#This Row],[Sale_Date]],"mmm")</f>
        <v>Jan</v>
      </c>
    </row>
    <row r="406" spans="1:11" x14ac:dyDescent="0.35">
      <c r="A406" s="7" t="s">
        <v>436</v>
      </c>
      <c r="B406" s="8">
        <v>44951</v>
      </c>
      <c r="C406" s="9" t="s">
        <v>11</v>
      </c>
      <c r="D406" s="9" t="s">
        <v>53</v>
      </c>
      <c r="E406" s="9" t="s">
        <v>29</v>
      </c>
      <c r="F406" s="9">
        <v>225</v>
      </c>
      <c r="G406" s="9">
        <v>300.67</v>
      </c>
      <c r="H406" s="9" t="s">
        <v>32</v>
      </c>
      <c r="I406" s="9">
        <v>59</v>
      </c>
      <c r="J406" s="10">
        <v>75.67</v>
      </c>
      <c r="K406" s="9" t="str">
        <f>TEXT(Sales_of_Jordan[[#This Row],[Sale_Date]],"mmm")</f>
        <v>Jan</v>
      </c>
    </row>
    <row r="407" spans="1:11" x14ac:dyDescent="0.35">
      <c r="A407" s="7" t="s">
        <v>437</v>
      </c>
      <c r="B407" s="8">
        <v>45412</v>
      </c>
      <c r="C407" s="9" t="s">
        <v>31</v>
      </c>
      <c r="D407" s="9" t="s">
        <v>36</v>
      </c>
      <c r="E407" s="9" t="s">
        <v>29</v>
      </c>
      <c r="F407" s="9">
        <v>205</v>
      </c>
      <c r="G407" s="9">
        <v>273.92</v>
      </c>
      <c r="H407" s="9" t="s">
        <v>25</v>
      </c>
      <c r="I407" s="9">
        <v>11</v>
      </c>
      <c r="J407" s="10">
        <v>68.92</v>
      </c>
      <c r="K407" s="9" t="str">
        <f>TEXT(Sales_of_Jordan[[#This Row],[Sale_Date]],"mmm")</f>
        <v>Apr</v>
      </c>
    </row>
    <row r="408" spans="1:11" x14ac:dyDescent="0.35">
      <c r="A408" s="7" t="s">
        <v>438</v>
      </c>
      <c r="B408" s="8">
        <v>45723</v>
      </c>
      <c r="C408" s="9" t="s">
        <v>11</v>
      </c>
      <c r="D408" s="9" t="s">
        <v>53</v>
      </c>
      <c r="E408" s="9" t="s">
        <v>29</v>
      </c>
      <c r="F408" s="9">
        <v>227</v>
      </c>
      <c r="G408" s="9">
        <v>323.70999999999998</v>
      </c>
      <c r="H408" s="9" t="s">
        <v>32</v>
      </c>
      <c r="I408" s="9">
        <v>39</v>
      </c>
      <c r="J408" s="10">
        <v>96.709999999999894</v>
      </c>
      <c r="K408" s="9" t="str">
        <f>TEXT(Sales_of_Jordan[[#This Row],[Sale_Date]],"mmm")</f>
        <v>Mar</v>
      </c>
    </row>
    <row r="409" spans="1:11" x14ac:dyDescent="0.35">
      <c r="A409" s="7" t="s">
        <v>439</v>
      </c>
      <c r="B409" s="8">
        <v>45291</v>
      </c>
      <c r="C409" s="9" t="s">
        <v>16</v>
      </c>
      <c r="D409" s="9" t="s">
        <v>12</v>
      </c>
      <c r="E409" s="9" t="s">
        <v>13</v>
      </c>
      <c r="F409" s="9">
        <v>170</v>
      </c>
      <c r="G409" s="9">
        <v>85.71</v>
      </c>
      <c r="H409" s="9" t="s">
        <v>32</v>
      </c>
      <c r="I409" s="9">
        <v>24</v>
      </c>
      <c r="J409" s="10">
        <v>-84.29</v>
      </c>
      <c r="K409" s="9" t="str">
        <f>TEXT(Sales_of_Jordan[[#This Row],[Sale_Date]],"mmm")</f>
        <v>Dec</v>
      </c>
    </row>
    <row r="410" spans="1:11" x14ac:dyDescent="0.35">
      <c r="A410" s="7" t="s">
        <v>440</v>
      </c>
      <c r="B410" s="8">
        <v>45522</v>
      </c>
      <c r="C410" s="9" t="s">
        <v>16</v>
      </c>
      <c r="D410" s="9" t="s">
        <v>53</v>
      </c>
      <c r="E410" s="9" t="s">
        <v>29</v>
      </c>
      <c r="F410" s="9">
        <v>190</v>
      </c>
      <c r="G410" s="9">
        <v>201.36</v>
      </c>
      <c r="H410" s="9" t="s">
        <v>32</v>
      </c>
      <c r="I410" s="9">
        <v>45</v>
      </c>
      <c r="J410" s="10">
        <v>11.36</v>
      </c>
      <c r="K410" s="9" t="str">
        <f>TEXT(Sales_of_Jordan[[#This Row],[Sale_Date]],"mmm")</f>
        <v>Aug</v>
      </c>
    </row>
    <row r="411" spans="1:11" x14ac:dyDescent="0.35">
      <c r="A411" s="7" t="s">
        <v>441</v>
      </c>
      <c r="B411" s="8">
        <v>45582</v>
      </c>
      <c r="C411" s="9" t="s">
        <v>21</v>
      </c>
      <c r="D411" s="9" t="s">
        <v>55</v>
      </c>
      <c r="E411" s="9" t="s">
        <v>18</v>
      </c>
      <c r="F411" s="9">
        <v>212</v>
      </c>
      <c r="G411" s="9">
        <v>271.93</v>
      </c>
      <c r="H411" s="9" t="s">
        <v>19</v>
      </c>
      <c r="I411" s="9">
        <v>3</v>
      </c>
      <c r="J411" s="10">
        <v>59.93</v>
      </c>
      <c r="K411" s="9" t="str">
        <f>TEXT(Sales_of_Jordan[[#This Row],[Sale_Date]],"mmm")</f>
        <v>Oct</v>
      </c>
    </row>
    <row r="412" spans="1:11" x14ac:dyDescent="0.35">
      <c r="A412" s="7" t="s">
        <v>442</v>
      </c>
      <c r="B412" s="8">
        <v>45709</v>
      </c>
      <c r="C412" s="9" t="s">
        <v>11</v>
      </c>
      <c r="D412" s="9" t="s">
        <v>39</v>
      </c>
      <c r="E412" s="9" t="s">
        <v>13</v>
      </c>
      <c r="F412" s="9">
        <v>229</v>
      </c>
      <c r="G412" s="9">
        <v>122.56</v>
      </c>
      <c r="H412" s="9" t="s">
        <v>19</v>
      </c>
      <c r="I412" s="9">
        <v>9</v>
      </c>
      <c r="J412" s="10">
        <v>-106.44</v>
      </c>
      <c r="K412" s="9" t="str">
        <f>TEXT(Sales_of_Jordan[[#This Row],[Sale_Date]],"mmm")</f>
        <v>Feb</v>
      </c>
    </row>
    <row r="413" spans="1:11" x14ac:dyDescent="0.35">
      <c r="A413" s="7" t="s">
        <v>443</v>
      </c>
      <c r="B413" s="8">
        <v>45000</v>
      </c>
      <c r="C413" s="9" t="s">
        <v>21</v>
      </c>
      <c r="D413" s="9" t="s">
        <v>17</v>
      </c>
      <c r="E413" s="9" t="s">
        <v>13</v>
      </c>
      <c r="F413" s="9">
        <v>220</v>
      </c>
      <c r="G413" s="9">
        <v>173.45</v>
      </c>
      <c r="H413" s="9" t="s">
        <v>32</v>
      </c>
      <c r="I413" s="9">
        <v>45</v>
      </c>
      <c r="J413" s="10">
        <v>-46.55</v>
      </c>
      <c r="K413" s="9" t="str">
        <f>TEXT(Sales_of_Jordan[[#This Row],[Sale_Date]],"mmm")</f>
        <v>Mar</v>
      </c>
    </row>
    <row r="414" spans="1:11" x14ac:dyDescent="0.35">
      <c r="A414" s="7" t="s">
        <v>444</v>
      </c>
      <c r="B414" s="8">
        <v>45301</v>
      </c>
      <c r="C414" s="9" t="s">
        <v>27</v>
      </c>
      <c r="D414" s="9" t="s">
        <v>55</v>
      </c>
      <c r="E414" s="9" t="s">
        <v>13</v>
      </c>
      <c r="F414" s="9">
        <v>129</v>
      </c>
      <c r="G414" s="9">
        <v>88.76</v>
      </c>
      <c r="H414" s="9" t="s">
        <v>32</v>
      </c>
      <c r="I414" s="9">
        <v>30</v>
      </c>
      <c r="J414" s="10">
        <v>-40.239999999999903</v>
      </c>
      <c r="K414" s="9" t="str">
        <f>TEXT(Sales_of_Jordan[[#This Row],[Sale_Date]],"mmm")</f>
        <v>Jan</v>
      </c>
    </row>
    <row r="415" spans="1:11" x14ac:dyDescent="0.35">
      <c r="A415" s="7" t="s">
        <v>445</v>
      </c>
      <c r="B415" s="8">
        <v>45332</v>
      </c>
      <c r="C415" s="9" t="s">
        <v>31</v>
      </c>
      <c r="D415" s="9" t="s">
        <v>53</v>
      </c>
      <c r="E415" s="9" t="s">
        <v>18</v>
      </c>
      <c r="F415" s="9">
        <v>204</v>
      </c>
      <c r="G415" s="9">
        <v>283.89999999999998</v>
      </c>
      <c r="H415" s="9" t="s">
        <v>32</v>
      </c>
      <c r="I415" s="9">
        <v>21</v>
      </c>
      <c r="J415" s="10">
        <v>79.899999999999906</v>
      </c>
      <c r="K415" s="9" t="str">
        <f>TEXT(Sales_of_Jordan[[#This Row],[Sale_Date]],"mmm")</f>
        <v>Feb</v>
      </c>
    </row>
    <row r="416" spans="1:11" x14ac:dyDescent="0.35">
      <c r="A416" s="7" t="s">
        <v>446</v>
      </c>
      <c r="B416" s="8">
        <v>44979</v>
      </c>
      <c r="C416" s="9" t="s">
        <v>11</v>
      </c>
      <c r="D416" s="9" t="s">
        <v>17</v>
      </c>
      <c r="E416" s="9" t="s">
        <v>18</v>
      </c>
      <c r="F416" s="9">
        <v>227</v>
      </c>
      <c r="G416" s="9">
        <v>660.37</v>
      </c>
      <c r="H416" s="9" t="s">
        <v>19</v>
      </c>
      <c r="I416" s="9">
        <v>6</v>
      </c>
      <c r="J416" s="10">
        <v>433.37</v>
      </c>
      <c r="K416" s="9" t="str">
        <f>TEXT(Sales_of_Jordan[[#This Row],[Sale_Date]],"mmm")</f>
        <v>Feb</v>
      </c>
    </row>
    <row r="417" spans="1:11" x14ac:dyDescent="0.35">
      <c r="A417" s="7" t="s">
        <v>447</v>
      </c>
      <c r="B417" s="8">
        <v>45418</v>
      </c>
      <c r="C417" s="9" t="s">
        <v>21</v>
      </c>
      <c r="D417" s="9" t="s">
        <v>36</v>
      </c>
      <c r="E417" s="9" t="s">
        <v>29</v>
      </c>
      <c r="F417" s="9">
        <v>214</v>
      </c>
      <c r="G417" s="9">
        <v>268.73</v>
      </c>
      <c r="H417" s="9" t="s">
        <v>32</v>
      </c>
      <c r="I417" s="9">
        <v>13</v>
      </c>
      <c r="J417" s="10">
        <v>54.73</v>
      </c>
      <c r="K417" s="9" t="str">
        <f>TEXT(Sales_of_Jordan[[#This Row],[Sale_Date]],"mmm")</f>
        <v>May</v>
      </c>
    </row>
    <row r="418" spans="1:11" x14ac:dyDescent="0.35">
      <c r="A418" s="7" t="s">
        <v>448</v>
      </c>
      <c r="B418" s="8">
        <v>45808</v>
      </c>
      <c r="C418" s="9" t="s">
        <v>31</v>
      </c>
      <c r="D418" s="9" t="s">
        <v>17</v>
      </c>
      <c r="E418" s="9" t="s">
        <v>29</v>
      </c>
      <c r="F418" s="9">
        <v>209</v>
      </c>
      <c r="G418" s="9">
        <v>248.5</v>
      </c>
      <c r="H418" s="9" t="s">
        <v>19</v>
      </c>
      <c r="I418" s="9">
        <v>8</v>
      </c>
      <c r="J418" s="10">
        <v>39.5</v>
      </c>
      <c r="K418" s="9" t="str">
        <f>TEXT(Sales_of_Jordan[[#This Row],[Sale_Date]],"mmm")</f>
        <v>May</v>
      </c>
    </row>
    <row r="419" spans="1:11" x14ac:dyDescent="0.35">
      <c r="A419" s="7" t="s">
        <v>449</v>
      </c>
      <c r="B419" s="8">
        <v>45875</v>
      </c>
      <c r="C419" s="9" t="s">
        <v>31</v>
      </c>
      <c r="D419" s="9" t="s">
        <v>34</v>
      </c>
      <c r="E419" s="9" t="s">
        <v>18</v>
      </c>
      <c r="F419" s="9">
        <v>203</v>
      </c>
      <c r="G419" s="9">
        <v>469.92</v>
      </c>
      <c r="H419" s="9" t="s">
        <v>23</v>
      </c>
      <c r="I419" s="9">
        <v>51</v>
      </c>
      <c r="J419" s="10">
        <v>266.92</v>
      </c>
      <c r="K419" s="9" t="str">
        <f>TEXT(Sales_of_Jordan[[#This Row],[Sale_Date]],"mmm")</f>
        <v>Aug</v>
      </c>
    </row>
    <row r="420" spans="1:11" x14ac:dyDescent="0.35">
      <c r="A420" s="7" t="s">
        <v>450</v>
      </c>
      <c r="B420" s="8">
        <v>45084</v>
      </c>
      <c r="C420" s="9" t="s">
        <v>11</v>
      </c>
      <c r="D420" s="9" t="s">
        <v>17</v>
      </c>
      <c r="E420" s="9" t="s">
        <v>13</v>
      </c>
      <c r="F420" s="9">
        <v>226</v>
      </c>
      <c r="G420" s="9">
        <v>164.76</v>
      </c>
      <c r="H420" s="9" t="s">
        <v>25</v>
      </c>
      <c r="I420" s="9">
        <v>24</v>
      </c>
      <c r="J420" s="10">
        <v>-61.24</v>
      </c>
      <c r="K420" s="9" t="str">
        <f>TEXT(Sales_of_Jordan[[#This Row],[Sale_Date]],"mmm")</f>
        <v>Jun</v>
      </c>
    </row>
    <row r="421" spans="1:11" x14ac:dyDescent="0.35">
      <c r="A421" s="7" t="s">
        <v>451</v>
      </c>
      <c r="B421" s="8">
        <v>44933</v>
      </c>
      <c r="C421" s="9" t="s">
        <v>16</v>
      </c>
      <c r="D421" s="9" t="s">
        <v>39</v>
      </c>
      <c r="E421" s="9" t="s">
        <v>13</v>
      </c>
      <c r="F421" s="9">
        <v>184</v>
      </c>
      <c r="G421" s="9">
        <v>138.65</v>
      </c>
      <c r="H421" s="9" t="s">
        <v>23</v>
      </c>
      <c r="I421" s="9">
        <v>9</v>
      </c>
      <c r="J421" s="10">
        <v>-45.349999999999902</v>
      </c>
      <c r="K421" s="9" t="str">
        <f>TEXT(Sales_of_Jordan[[#This Row],[Sale_Date]],"mmm")</f>
        <v>Jan</v>
      </c>
    </row>
    <row r="422" spans="1:11" x14ac:dyDescent="0.35">
      <c r="A422" s="7" t="s">
        <v>452</v>
      </c>
      <c r="B422" s="8">
        <v>45691</v>
      </c>
      <c r="C422" s="9" t="s">
        <v>27</v>
      </c>
      <c r="D422" s="9" t="s">
        <v>17</v>
      </c>
      <c r="E422" s="9" t="s">
        <v>13</v>
      </c>
      <c r="F422" s="9">
        <v>131</v>
      </c>
      <c r="G422" s="9">
        <v>100.04</v>
      </c>
      <c r="H422" s="9" t="s">
        <v>23</v>
      </c>
      <c r="I422" s="9">
        <v>25</v>
      </c>
      <c r="J422" s="10">
        <v>-30.959999999999901</v>
      </c>
      <c r="K422" s="9" t="str">
        <f>TEXT(Sales_of_Jordan[[#This Row],[Sale_Date]],"mmm")</f>
        <v>Feb</v>
      </c>
    </row>
    <row r="423" spans="1:11" x14ac:dyDescent="0.35">
      <c r="A423" s="7" t="s">
        <v>453</v>
      </c>
      <c r="B423" s="8">
        <v>45196</v>
      </c>
      <c r="C423" s="9" t="s">
        <v>31</v>
      </c>
      <c r="D423" s="9" t="s">
        <v>46</v>
      </c>
      <c r="E423" s="9" t="s">
        <v>13</v>
      </c>
      <c r="F423" s="9">
        <v>208</v>
      </c>
      <c r="G423" s="9">
        <v>139.30000000000001</v>
      </c>
      <c r="H423" s="9" t="s">
        <v>32</v>
      </c>
      <c r="I423" s="9">
        <v>60</v>
      </c>
      <c r="J423" s="10">
        <v>-68.699999999999903</v>
      </c>
      <c r="K423" s="9" t="str">
        <f>TEXT(Sales_of_Jordan[[#This Row],[Sale_Date]],"mmm")</f>
        <v>Sep</v>
      </c>
    </row>
    <row r="424" spans="1:11" x14ac:dyDescent="0.35">
      <c r="A424" s="7" t="s">
        <v>454</v>
      </c>
      <c r="B424" s="8">
        <v>45098</v>
      </c>
      <c r="C424" s="9" t="s">
        <v>16</v>
      </c>
      <c r="D424" s="9" t="s">
        <v>17</v>
      </c>
      <c r="E424" s="9" t="s">
        <v>29</v>
      </c>
      <c r="F424" s="9">
        <v>173</v>
      </c>
      <c r="G424" s="9">
        <v>211.4</v>
      </c>
      <c r="H424" s="9" t="s">
        <v>14</v>
      </c>
      <c r="I424" s="9">
        <v>8</v>
      </c>
      <c r="J424" s="10">
        <v>38.4</v>
      </c>
      <c r="K424" s="9" t="str">
        <f>TEXT(Sales_of_Jordan[[#This Row],[Sale_Date]],"mmm")</f>
        <v>Jun</v>
      </c>
    </row>
    <row r="425" spans="1:11" x14ac:dyDescent="0.35">
      <c r="A425" s="7" t="s">
        <v>455</v>
      </c>
      <c r="B425" s="8">
        <v>45802</v>
      </c>
      <c r="C425" s="9" t="s">
        <v>21</v>
      </c>
      <c r="D425" s="9" t="s">
        <v>36</v>
      </c>
      <c r="E425" s="9" t="s">
        <v>13</v>
      </c>
      <c r="F425" s="9">
        <v>216</v>
      </c>
      <c r="G425" s="9">
        <v>171.72</v>
      </c>
      <c r="H425" s="9" t="s">
        <v>19</v>
      </c>
      <c r="I425" s="9">
        <v>4</v>
      </c>
      <c r="J425" s="10">
        <v>-44.28</v>
      </c>
      <c r="K425" s="9" t="str">
        <f>TEXT(Sales_of_Jordan[[#This Row],[Sale_Date]],"mmm")</f>
        <v>May</v>
      </c>
    </row>
    <row r="426" spans="1:11" x14ac:dyDescent="0.35">
      <c r="A426" s="7" t="s">
        <v>456</v>
      </c>
      <c r="B426" s="8">
        <v>45606</v>
      </c>
      <c r="C426" s="9" t="s">
        <v>21</v>
      </c>
      <c r="D426" s="9" t="s">
        <v>34</v>
      </c>
      <c r="E426" s="9" t="s">
        <v>18</v>
      </c>
      <c r="F426" s="9">
        <v>225</v>
      </c>
      <c r="G426" s="9">
        <v>784.65</v>
      </c>
      <c r="H426" s="9" t="s">
        <v>23</v>
      </c>
      <c r="I426" s="9">
        <v>17</v>
      </c>
      <c r="J426" s="10">
        <v>559.65</v>
      </c>
      <c r="K426" s="9" t="str">
        <f>TEXT(Sales_of_Jordan[[#This Row],[Sale_Date]],"mmm")</f>
        <v>Nov</v>
      </c>
    </row>
    <row r="427" spans="1:11" x14ac:dyDescent="0.35">
      <c r="A427" s="7" t="s">
        <v>457</v>
      </c>
      <c r="B427" s="8">
        <v>45298</v>
      </c>
      <c r="C427" s="9" t="s">
        <v>16</v>
      </c>
      <c r="D427" s="9" t="s">
        <v>36</v>
      </c>
      <c r="E427" s="9" t="s">
        <v>29</v>
      </c>
      <c r="F427" s="9">
        <v>189</v>
      </c>
      <c r="G427" s="9">
        <v>248.6</v>
      </c>
      <c r="H427" s="9" t="s">
        <v>32</v>
      </c>
      <c r="I427" s="9">
        <v>56</v>
      </c>
      <c r="J427" s="10">
        <v>59.599999999999902</v>
      </c>
      <c r="K427" s="9" t="str">
        <f>TEXT(Sales_of_Jordan[[#This Row],[Sale_Date]],"mmm")</f>
        <v>Jan</v>
      </c>
    </row>
    <row r="428" spans="1:11" x14ac:dyDescent="0.35">
      <c r="A428" s="7" t="s">
        <v>458</v>
      </c>
      <c r="B428" s="8">
        <v>45077</v>
      </c>
      <c r="C428" s="9" t="s">
        <v>11</v>
      </c>
      <c r="D428" s="9" t="s">
        <v>46</v>
      </c>
      <c r="E428" s="9" t="s">
        <v>18</v>
      </c>
      <c r="F428" s="9">
        <v>227</v>
      </c>
      <c r="G428" s="9">
        <v>614.94000000000005</v>
      </c>
      <c r="H428" s="9" t="s">
        <v>14</v>
      </c>
      <c r="I428" s="9">
        <v>10</v>
      </c>
      <c r="J428" s="10">
        <v>387.94</v>
      </c>
      <c r="K428" s="9" t="str">
        <f>TEXT(Sales_of_Jordan[[#This Row],[Sale_Date]],"mmm")</f>
        <v>May</v>
      </c>
    </row>
    <row r="429" spans="1:11" x14ac:dyDescent="0.35">
      <c r="A429" s="7" t="s">
        <v>459</v>
      </c>
      <c r="B429" s="8">
        <v>45887</v>
      </c>
      <c r="C429" s="9" t="s">
        <v>31</v>
      </c>
      <c r="D429" s="9" t="s">
        <v>53</v>
      </c>
      <c r="E429" s="9" t="s">
        <v>13</v>
      </c>
      <c r="F429" s="9">
        <v>210</v>
      </c>
      <c r="G429" s="9">
        <v>165.15</v>
      </c>
      <c r="H429" s="9" t="s">
        <v>14</v>
      </c>
      <c r="I429" s="9">
        <v>4</v>
      </c>
      <c r="J429" s="10">
        <v>-44.849999999999902</v>
      </c>
      <c r="K429" s="9" t="str">
        <f>TEXT(Sales_of_Jordan[[#This Row],[Sale_Date]],"mmm")</f>
        <v>Aug</v>
      </c>
    </row>
    <row r="430" spans="1:11" x14ac:dyDescent="0.35">
      <c r="A430" s="7" t="s">
        <v>460</v>
      </c>
      <c r="B430" s="8">
        <v>45653</v>
      </c>
      <c r="C430" s="9" t="s">
        <v>16</v>
      </c>
      <c r="D430" s="9" t="s">
        <v>12</v>
      </c>
      <c r="E430" s="9" t="s">
        <v>29</v>
      </c>
      <c r="F430" s="9">
        <v>180</v>
      </c>
      <c r="G430" s="9">
        <v>255.03</v>
      </c>
      <c r="H430" s="9" t="s">
        <v>23</v>
      </c>
      <c r="I430" s="9">
        <v>32</v>
      </c>
      <c r="J430" s="10">
        <v>75.03</v>
      </c>
      <c r="K430" s="9" t="str">
        <f>TEXT(Sales_of_Jordan[[#This Row],[Sale_Date]],"mmm")</f>
        <v>Dec</v>
      </c>
    </row>
    <row r="431" spans="1:11" x14ac:dyDescent="0.35">
      <c r="A431" s="7" t="s">
        <v>461</v>
      </c>
      <c r="B431" s="8">
        <v>45388</v>
      </c>
      <c r="C431" s="9" t="s">
        <v>11</v>
      </c>
      <c r="D431" s="9" t="s">
        <v>22</v>
      </c>
      <c r="E431" s="9" t="s">
        <v>29</v>
      </c>
      <c r="F431" s="9">
        <v>229</v>
      </c>
      <c r="G431" s="9">
        <v>241.33</v>
      </c>
      <c r="H431" s="9" t="s">
        <v>19</v>
      </c>
      <c r="I431" s="9">
        <v>7</v>
      </c>
      <c r="J431" s="10">
        <v>12.33</v>
      </c>
      <c r="K431" s="9" t="str">
        <f>TEXT(Sales_of_Jordan[[#This Row],[Sale_Date]],"mmm")</f>
        <v>Apr</v>
      </c>
    </row>
    <row r="432" spans="1:11" x14ac:dyDescent="0.35">
      <c r="A432" s="7" t="s">
        <v>462</v>
      </c>
      <c r="B432" s="8">
        <v>45874</v>
      </c>
      <c r="C432" s="9" t="s">
        <v>21</v>
      </c>
      <c r="D432" s="9" t="s">
        <v>17</v>
      </c>
      <c r="E432" s="9" t="s">
        <v>29</v>
      </c>
      <c r="F432" s="9">
        <v>222</v>
      </c>
      <c r="G432" s="9">
        <v>199.85</v>
      </c>
      <c r="H432" s="9" t="s">
        <v>32</v>
      </c>
      <c r="I432" s="9">
        <v>42</v>
      </c>
      <c r="J432" s="10">
        <v>-22.15</v>
      </c>
      <c r="K432" s="9" t="str">
        <f>TEXT(Sales_of_Jordan[[#This Row],[Sale_Date]],"mmm")</f>
        <v>Aug</v>
      </c>
    </row>
    <row r="433" spans="1:11" x14ac:dyDescent="0.35">
      <c r="A433" s="7" t="s">
        <v>463</v>
      </c>
      <c r="B433" s="8">
        <v>45402</v>
      </c>
      <c r="C433" s="9" t="s">
        <v>16</v>
      </c>
      <c r="D433" s="9" t="s">
        <v>34</v>
      </c>
      <c r="E433" s="9" t="s">
        <v>13</v>
      </c>
      <c r="F433" s="9">
        <v>170</v>
      </c>
      <c r="G433" s="9">
        <v>132.84</v>
      </c>
      <c r="H433" s="9" t="s">
        <v>32</v>
      </c>
      <c r="I433" s="9">
        <v>13</v>
      </c>
      <c r="J433" s="10">
        <v>-37.159999999999997</v>
      </c>
      <c r="K433" s="9" t="str">
        <f>TEXT(Sales_of_Jordan[[#This Row],[Sale_Date]],"mmm")</f>
        <v>Apr</v>
      </c>
    </row>
    <row r="434" spans="1:11" x14ac:dyDescent="0.35">
      <c r="A434" s="7" t="s">
        <v>464</v>
      </c>
      <c r="B434" s="8">
        <v>44946</v>
      </c>
      <c r="C434" s="9" t="s">
        <v>16</v>
      </c>
      <c r="D434" s="9" t="s">
        <v>12</v>
      </c>
      <c r="E434" s="9" t="s">
        <v>29</v>
      </c>
      <c r="F434" s="9">
        <v>177</v>
      </c>
      <c r="G434" s="9">
        <v>200.32</v>
      </c>
      <c r="H434" s="9" t="s">
        <v>19</v>
      </c>
      <c r="I434" s="9">
        <v>10</v>
      </c>
      <c r="J434" s="10">
        <v>23.319999999999901</v>
      </c>
      <c r="K434" s="9" t="str">
        <f>TEXT(Sales_of_Jordan[[#This Row],[Sale_Date]],"mmm")</f>
        <v>Jan</v>
      </c>
    </row>
    <row r="435" spans="1:11" x14ac:dyDescent="0.35">
      <c r="A435" s="7" t="s">
        <v>465</v>
      </c>
      <c r="B435" s="8">
        <v>44988</v>
      </c>
      <c r="C435" s="9" t="s">
        <v>21</v>
      </c>
      <c r="D435" s="9" t="s">
        <v>36</v>
      </c>
      <c r="E435" s="9" t="s">
        <v>13</v>
      </c>
      <c r="F435" s="9">
        <v>215</v>
      </c>
      <c r="G435" s="9">
        <v>181.37</v>
      </c>
      <c r="H435" s="9" t="s">
        <v>23</v>
      </c>
      <c r="I435" s="9">
        <v>51</v>
      </c>
      <c r="J435" s="10">
        <v>-33.629999999999903</v>
      </c>
      <c r="K435" s="9" t="str">
        <f>TEXT(Sales_of_Jordan[[#This Row],[Sale_Date]],"mmm")</f>
        <v>Mar</v>
      </c>
    </row>
    <row r="436" spans="1:11" x14ac:dyDescent="0.35">
      <c r="A436" s="7" t="s">
        <v>466</v>
      </c>
      <c r="B436" s="8">
        <v>44939</v>
      </c>
      <c r="C436" s="9" t="s">
        <v>16</v>
      </c>
      <c r="D436" s="9" t="s">
        <v>55</v>
      </c>
      <c r="E436" s="9" t="s">
        <v>29</v>
      </c>
      <c r="F436" s="9">
        <v>186</v>
      </c>
      <c r="G436" s="9">
        <v>241.45</v>
      </c>
      <c r="H436" s="9" t="s">
        <v>19</v>
      </c>
      <c r="I436" s="9">
        <v>4</v>
      </c>
      <c r="J436" s="10">
        <v>55.449999999999903</v>
      </c>
      <c r="K436" s="9" t="str">
        <f>TEXT(Sales_of_Jordan[[#This Row],[Sale_Date]],"mmm")</f>
        <v>Jan</v>
      </c>
    </row>
    <row r="437" spans="1:11" x14ac:dyDescent="0.35">
      <c r="A437" s="7" t="s">
        <v>467</v>
      </c>
      <c r="B437" s="8">
        <v>45309</v>
      </c>
      <c r="C437" s="9" t="s">
        <v>16</v>
      </c>
      <c r="D437" s="9" t="s">
        <v>53</v>
      </c>
      <c r="E437" s="9" t="s">
        <v>29</v>
      </c>
      <c r="F437" s="9">
        <v>189</v>
      </c>
      <c r="G437" s="9">
        <v>283.42</v>
      </c>
      <c r="H437" s="9" t="s">
        <v>23</v>
      </c>
      <c r="I437" s="9">
        <v>27</v>
      </c>
      <c r="J437" s="10">
        <v>94.42</v>
      </c>
      <c r="K437" s="9" t="str">
        <f>TEXT(Sales_of_Jordan[[#This Row],[Sale_Date]],"mmm")</f>
        <v>Jan</v>
      </c>
    </row>
    <row r="438" spans="1:11" x14ac:dyDescent="0.35">
      <c r="A438" s="7" t="s">
        <v>468</v>
      </c>
      <c r="B438" s="8">
        <v>45231</v>
      </c>
      <c r="C438" s="9" t="s">
        <v>16</v>
      </c>
      <c r="D438" s="9" t="s">
        <v>17</v>
      </c>
      <c r="E438" s="9" t="s">
        <v>29</v>
      </c>
      <c r="F438" s="9">
        <v>178</v>
      </c>
      <c r="G438" s="9">
        <v>189.13</v>
      </c>
      <c r="H438" s="9" t="s">
        <v>25</v>
      </c>
      <c r="I438" s="9">
        <v>33</v>
      </c>
      <c r="J438" s="10">
        <v>11.1299999999999</v>
      </c>
      <c r="K438" s="9" t="str">
        <f>TEXT(Sales_of_Jordan[[#This Row],[Sale_Date]],"mmm")</f>
        <v>Nov</v>
      </c>
    </row>
    <row r="439" spans="1:11" x14ac:dyDescent="0.35">
      <c r="A439" s="7" t="s">
        <v>469</v>
      </c>
      <c r="B439" s="8">
        <v>45402</v>
      </c>
      <c r="C439" s="9" t="s">
        <v>11</v>
      </c>
      <c r="D439" s="9" t="s">
        <v>53</v>
      </c>
      <c r="E439" s="9" t="s">
        <v>18</v>
      </c>
      <c r="F439" s="9">
        <v>228</v>
      </c>
      <c r="G439" s="9">
        <v>497.81</v>
      </c>
      <c r="H439" s="9" t="s">
        <v>19</v>
      </c>
      <c r="I439" s="9">
        <v>14</v>
      </c>
      <c r="J439" s="10">
        <v>269.81</v>
      </c>
      <c r="K439" s="9" t="str">
        <f>TEXT(Sales_of_Jordan[[#This Row],[Sale_Date]],"mmm")</f>
        <v>Apr</v>
      </c>
    </row>
    <row r="440" spans="1:11" x14ac:dyDescent="0.35">
      <c r="A440" s="7" t="s">
        <v>470</v>
      </c>
      <c r="B440" s="8">
        <v>45360</v>
      </c>
      <c r="C440" s="9" t="s">
        <v>21</v>
      </c>
      <c r="D440" s="9" t="s">
        <v>12</v>
      </c>
      <c r="E440" s="9" t="s">
        <v>18</v>
      </c>
      <c r="F440" s="9">
        <v>210</v>
      </c>
      <c r="G440" s="9">
        <v>284.91000000000003</v>
      </c>
      <c r="H440" s="9" t="s">
        <v>19</v>
      </c>
      <c r="I440" s="9">
        <v>1</v>
      </c>
      <c r="J440" s="10">
        <v>74.91</v>
      </c>
      <c r="K440" s="9" t="str">
        <f>TEXT(Sales_of_Jordan[[#This Row],[Sale_Date]],"mmm")</f>
        <v>Mar</v>
      </c>
    </row>
    <row r="441" spans="1:11" x14ac:dyDescent="0.35">
      <c r="A441" s="7" t="s">
        <v>471</v>
      </c>
      <c r="B441" s="8">
        <v>45423</v>
      </c>
      <c r="C441" s="9" t="s">
        <v>31</v>
      </c>
      <c r="D441" s="9" t="s">
        <v>22</v>
      </c>
      <c r="E441" s="9" t="s">
        <v>29</v>
      </c>
      <c r="F441" s="9">
        <v>203</v>
      </c>
      <c r="G441" s="9">
        <v>247.06</v>
      </c>
      <c r="H441" s="9" t="s">
        <v>23</v>
      </c>
      <c r="I441" s="9">
        <v>13</v>
      </c>
      <c r="J441" s="10">
        <v>44.06</v>
      </c>
      <c r="K441" s="9" t="str">
        <f>TEXT(Sales_of_Jordan[[#This Row],[Sale_Date]],"mmm")</f>
        <v>May</v>
      </c>
    </row>
    <row r="442" spans="1:11" x14ac:dyDescent="0.35">
      <c r="A442" s="7" t="s">
        <v>472</v>
      </c>
      <c r="B442" s="8">
        <v>45167</v>
      </c>
      <c r="C442" s="9" t="s">
        <v>31</v>
      </c>
      <c r="D442" s="9" t="s">
        <v>22</v>
      </c>
      <c r="E442" s="9" t="s">
        <v>29</v>
      </c>
      <c r="F442" s="9">
        <v>205</v>
      </c>
      <c r="G442" s="9">
        <v>257.42</v>
      </c>
      <c r="H442" s="9" t="s">
        <v>25</v>
      </c>
      <c r="I442" s="9">
        <v>19</v>
      </c>
      <c r="J442" s="10">
        <v>52.42</v>
      </c>
      <c r="K442" s="9" t="str">
        <f>TEXT(Sales_of_Jordan[[#This Row],[Sale_Date]],"mmm")</f>
        <v>Aug</v>
      </c>
    </row>
    <row r="443" spans="1:11" x14ac:dyDescent="0.35">
      <c r="A443" s="7" t="s">
        <v>473</v>
      </c>
      <c r="B443" s="8">
        <v>45194</v>
      </c>
      <c r="C443" s="9" t="s">
        <v>31</v>
      </c>
      <c r="D443" s="9" t="s">
        <v>17</v>
      </c>
      <c r="E443" s="9" t="s">
        <v>13</v>
      </c>
      <c r="F443" s="9">
        <v>201</v>
      </c>
      <c r="G443" s="9">
        <v>134.75</v>
      </c>
      <c r="H443" s="9" t="s">
        <v>25</v>
      </c>
      <c r="I443" s="9">
        <v>55</v>
      </c>
      <c r="J443" s="10">
        <v>-66.25</v>
      </c>
      <c r="K443" s="9" t="str">
        <f>TEXT(Sales_of_Jordan[[#This Row],[Sale_Date]],"mmm")</f>
        <v>Sep</v>
      </c>
    </row>
    <row r="444" spans="1:11" x14ac:dyDescent="0.35">
      <c r="A444" s="7" t="s">
        <v>474</v>
      </c>
      <c r="B444" s="8">
        <v>45901</v>
      </c>
      <c r="C444" s="9" t="s">
        <v>31</v>
      </c>
      <c r="D444" s="9" t="s">
        <v>17</v>
      </c>
      <c r="E444" s="9" t="s">
        <v>18</v>
      </c>
      <c r="F444" s="9">
        <v>208</v>
      </c>
      <c r="G444" s="9">
        <v>619.83000000000004</v>
      </c>
      <c r="H444" s="9" t="s">
        <v>14</v>
      </c>
      <c r="I444" s="9">
        <v>14</v>
      </c>
      <c r="J444" s="10">
        <v>411.83</v>
      </c>
      <c r="K444" s="9" t="str">
        <f>TEXT(Sales_of_Jordan[[#This Row],[Sale_Date]],"mmm")</f>
        <v>Sep</v>
      </c>
    </row>
    <row r="445" spans="1:11" x14ac:dyDescent="0.35">
      <c r="A445" s="7" t="s">
        <v>475</v>
      </c>
      <c r="B445" s="8">
        <v>45340</v>
      </c>
      <c r="C445" s="9" t="s">
        <v>16</v>
      </c>
      <c r="D445" s="9" t="s">
        <v>34</v>
      </c>
      <c r="E445" s="9" t="s">
        <v>13</v>
      </c>
      <c r="F445" s="9">
        <v>171</v>
      </c>
      <c r="G445" s="9">
        <v>141.49</v>
      </c>
      <c r="H445" s="9" t="s">
        <v>25</v>
      </c>
      <c r="I445" s="9">
        <v>58</v>
      </c>
      <c r="J445" s="10">
        <v>-29.509999999999899</v>
      </c>
      <c r="K445" s="9" t="str">
        <f>TEXT(Sales_of_Jordan[[#This Row],[Sale_Date]],"mmm")</f>
        <v>Feb</v>
      </c>
    </row>
    <row r="446" spans="1:11" x14ac:dyDescent="0.35">
      <c r="A446" s="7" t="s">
        <v>476</v>
      </c>
      <c r="B446" s="8">
        <v>45200</v>
      </c>
      <c r="C446" s="9" t="s">
        <v>27</v>
      </c>
      <c r="D446" s="9" t="s">
        <v>34</v>
      </c>
      <c r="E446" s="9" t="s">
        <v>18</v>
      </c>
      <c r="F446" s="9">
        <v>137</v>
      </c>
      <c r="G446" s="9">
        <v>175.4</v>
      </c>
      <c r="H446" s="9" t="s">
        <v>23</v>
      </c>
      <c r="I446" s="9">
        <v>52</v>
      </c>
      <c r="J446" s="10">
        <v>38.4</v>
      </c>
      <c r="K446" s="9" t="str">
        <f>TEXT(Sales_of_Jordan[[#This Row],[Sale_Date]],"mmm")</f>
        <v>Oct</v>
      </c>
    </row>
    <row r="447" spans="1:11" x14ac:dyDescent="0.35">
      <c r="A447" s="7" t="s">
        <v>477</v>
      </c>
      <c r="B447" s="8">
        <v>44939</v>
      </c>
      <c r="C447" s="9" t="s">
        <v>27</v>
      </c>
      <c r="D447" s="9" t="s">
        <v>17</v>
      </c>
      <c r="E447" s="9" t="s">
        <v>13</v>
      </c>
      <c r="F447" s="9">
        <v>125</v>
      </c>
      <c r="G447" s="9">
        <v>104.1</v>
      </c>
      <c r="H447" s="9" t="s">
        <v>14</v>
      </c>
      <c r="I447" s="9">
        <v>10</v>
      </c>
      <c r="J447" s="10">
        <v>-20.9</v>
      </c>
      <c r="K447" s="9" t="str">
        <f>TEXT(Sales_of_Jordan[[#This Row],[Sale_Date]],"mmm")</f>
        <v>Jan</v>
      </c>
    </row>
    <row r="448" spans="1:11" x14ac:dyDescent="0.35">
      <c r="A448" s="7" t="s">
        <v>478</v>
      </c>
      <c r="B448" s="8">
        <v>44979</v>
      </c>
      <c r="C448" s="9" t="s">
        <v>21</v>
      </c>
      <c r="D448" s="9" t="s">
        <v>36</v>
      </c>
      <c r="E448" s="9" t="s">
        <v>29</v>
      </c>
      <c r="F448" s="9">
        <v>224</v>
      </c>
      <c r="G448" s="9">
        <v>225.34</v>
      </c>
      <c r="H448" s="9" t="s">
        <v>19</v>
      </c>
      <c r="I448" s="9">
        <v>3</v>
      </c>
      <c r="J448" s="10">
        <v>1.34</v>
      </c>
      <c r="K448" s="9" t="str">
        <f>TEXT(Sales_of_Jordan[[#This Row],[Sale_Date]],"mmm")</f>
        <v>Feb</v>
      </c>
    </row>
    <row r="449" spans="1:11" x14ac:dyDescent="0.35">
      <c r="A449" s="7" t="s">
        <v>479</v>
      </c>
      <c r="B449" s="8">
        <v>45853</v>
      </c>
      <c r="C449" s="9" t="s">
        <v>31</v>
      </c>
      <c r="D449" s="9" t="s">
        <v>55</v>
      </c>
      <c r="E449" s="9" t="s">
        <v>13</v>
      </c>
      <c r="F449" s="9">
        <v>202</v>
      </c>
      <c r="G449" s="9">
        <v>120.36</v>
      </c>
      <c r="H449" s="9" t="s">
        <v>19</v>
      </c>
      <c r="I449" s="9">
        <v>7</v>
      </c>
      <c r="J449" s="10">
        <v>-81.64</v>
      </c>
      <c r="K449" s="9" t="str">
        <f>TEXT(Sales_of_Jordan[[#This Row],[Sale_Date]],"mmm")</f>
        <v>Jul</v>
      </c>
    </row>
    <row r="450" spans="1:11" x14ac:dyDescent="0.35">
      <c r="A450" s="7" t="s">
        <v>480</v>
      </c>
      <c r="B450" s="8">
        <v>45183</v>
      </c>
      <c r="C450" s="9" t="s">
        <v>16</v>
      </c>
      <c r="D450" s="9" t="s">
        <v>22</v>
      </c>
      <c r="E450" s="9" t="s">
        <v>29</v>
      </c>
      <c r="F450" s="9">
        <v>176</v>
      </c>
      <c r="G450" s="9">
        <v>225.39</v>
      </c>
      <c r="H450" s="9" t="s">
        <v>32</v>
      </c>
      <c r="I450" s="9">
        <v>9</v>
      </c>
      <c r="J450" s="10">
        <v>49.389999999999901</v>
      </c>
      <c r="K450" s="9" t="str">
        <f>TEXT(Sales_of_Jordan[[#This Row],[Sale_Date]],"mmm")</f>
        <v>Sep</v>
      </c>
    </row>
    <row r="451" spans="1:11" x14ac:dyDescent="0.35">
      <c r="A451" s="7" t="s">
        <v>481</v>
      </c>
      <c r="B451" s="8">
        <v>45821</v>
      </c>
      <c r="C451" s="9" t="s">
        <v>11</v>
      </c>
      <c r="D451" s="9" t="s">
        <v>22</v>
      </c>
      <c r="E451" s="9" t="s">
        <v>29</v>
      </c>
      <c r="F451" s="9">
        <v>230</v>
      </c>
      <c r="G451" s="9">
        <v>325.16000000000003</v>
      </c>
      <c r="H451" s="9" t="s">
        <v>19</v>
      </c>
      <c r="I451" s="9">
        <v>4</v>
      </c>
      <c r="J451" s="10">
        <v>95.16</v>
      </c>
      <c r="K451" s="9" t="str">
        <f>TEXT(Sales_of_Jordan[[#This Row],[Sale_Date]],"mmm")</f>
        <v>Jun</v>
      </c>
    </row>
    <row r="452" spans="1:11" x14ac:dyDescent="0.35">
      <c r="A452" s="7" t="s">
        <v>482</v>
      </c>
      <c r="B452" s="8">
        <v>45156</v>
      </c>
      <c r="C452" s="9" t="s">
        <v>11</v>
      </c>
      <c r="D452" s="9" t="s">
        <v>22</v>
      </c>
      <c r="E452" s="9" t="s">
        <v>18</v>
      </c>
      <c r="F452" s="9">
        <v>229</v>
      </c>
      <c r="G452" s="9">
        <v>517.53</v>
      </c>
      <c r="H452" s="9" t="s">
        <v>32</v>
      </c>
      <c r="I452" s="9">
        <v>59</v>
      </c>
      <c r="J452" s="10">
        <v>288.52999999999997</v>
      </c>
      <c r="K452" s="9" t="str">
        <f>TEXT(Sales_of_Jordan[[#This Row],[Sale_Date]],"mmm")</f>
        <v>Aug</v>
      </c>
    </row>
    <row r="453" spans="1:11" x14ac:dyDescent="0.35">
      <c r="A453" s="7" t="s">
        <v>483</v>
      </c>
      <c r="B453" s="8">
        <v>45166</v>
      </c>
      <c r="C453" s="9" t="s">
        <v>11</v>
      </c>
      <c r="D453" s="9" t="s">
        <v>34</v>
      </c>
      <c r="E453" s="9" t="s">
        <v>13</v>
      </c>
      <c r="F453" s="9">
        <v>225</v>
      </c>
      <c r="G453" s="9">
        <v>115.52</v>
      </c>
      <c r="H453" s="9" t="s">
        <v>25</v>
      </c>
      <c r="I453" s="9">
        <v>58</v>
      </c>
      <c r="J453" s="10">
        <v>-109.48</v>
      </c>
      <c r="K453" s="9" t="str">
        <f>TEXT(Sales_of_Jordan[[#This Row],[Sale_Date]],"mmm")</f>
        <v>Aug</v>
      </c>
    </row>
    <row r="454" spans="1:11" x14ac:dyDescent="0.35">
      <c r="A454" s="7" t="s">
        <v>484</v>
      </c>
      <c r="B454" s="8">
        <v>45623</v>
      </c>
      <c r="C454" s="9" t="s">
        <v>27</v>
      </c>
      <c r="D454" s="9" t="s">
        <v>46</v>
      </c>
      <c r="E454" s="9" t="s">
        <v>13</v>
      </c>
      <c r="F454" s="9">
        <v>111</v>
      </c>
      <c r="G454" s="9">
        <v>83.74</v>
      </c>
      <c r="H454" s="9" t="s">
        <v>14</v>
      </c>
      <c r="I454" s="9">
        <v>7</v>
      </c>
      <c r="J454" s="10">
        <v>-27.26</v>
      </c>
      <c r="K454" s="9" t="str">
        <f>TEXT(Sales_of_Jordan[[#This Row],[Sale_Date]],"mmm")</f>
        <v>Nov</v>
      </c>
    </row>
    <row r="455" spans="1:11" x14ac:dyDescent="0.35">
      <c r="A455" s="7" t="s">
        <v>485</v>
      </c>
      <c r="B455" s="8">
        <v>45438</v>
      </c>
      <c r="C455" s="9" t="s">
        <v>31</v>
      </c>
      <c r="D455" s="9" t="s">
        <v>22</v>
      </c>
      <c r="E455" s="9" t="s">
        <v>29</v>
      </c>
      <c r="F455" s="9">
        <v>210</v>
      </c>
      <c r="G455" s="9">
        <v>237.99</v>
      </c>
      <c r="H455" s="9" t="s">
        <v>19</v>
      </c>
      <c r="I455" s="9">
        <v>13</v>
      </c>
      <c r="J455" s="10">
        <v>27.99</v>
      </c>
      <c r="K455" s="9" t="str">
        <f>TEXT(Sales_of_Jordan[[#This Row],[Sale_Date]],"mmm")</f>
        <v>May</v>
      </c>
    </row>
    <row r="456" spans="1:11" x14ac:dyDescent="0.35">
      <c r="A456" s="7" t="s">
        <v>486</v>
      </c>
      <c r="B456" s="8">
        <v>45567</v>
      </c>
      <c r="C456" s="9" t="s">
        <v>11</v>
      </c>
      <c r="D456" s="9" t="s">
        <v>53</v>
      </c>
      <c r="E456" s="9" t="s">
        <v>13</v>
      </c>
      <c r="F456" s="9">
        <v>229</v>
      </c>
      <c r="G456" s="9">
        <v>186.33</v>
      </c>
      <c r="H456" s="9" t="s">
        <v>23</v>
      </c>
      <c r="I456" s="9">
        <v>42</v>
      </c>
      <c r="J456" s="10">
        <v>-42.669999999999902</v>
      </c>
      <c r="K456" s="9" t="str">
        <f>TEXT(Sales_of_Jordan[[#This Row],[Sale_Date]],"mmm")</f>
        <v>Oct</v>
      </c>
    </row>
    <row r="457" spans="1:11" x14ac:dyDescent="0.35">
      <c r="A457" s="7" t="s">
        <v>487</v>
      </c>
      <c r="B457" s="8">
        <v>45182</v>
      </c>
      <c r="C457" s="9" t="s">
        <v>11</v>
      </c>
      <c r="D457" s="9" t="s">
        <v>12</v>
      </c>
      <c r="E457" s="9" t="s">
        <v>29</v>
      </c>
      <c r="F457" s="9">
        <v>225</v>
      </c>
      <c r="G457" s="9">
        <v>311.57</v>
      </c>
      <c r="H457" s="9" t="s">
        <v>19</v>
      </c>
      <c r="I457" s="9">
        <v>3</v>
      </c>
      <c r="J457" s="10">
        <v>86.57</v>
      </c>
      <c r="K457" s="9" t="str">
        <f>TEXT(Sales_of_Jordan[[#This Row],[Sale_Date]],"mmm")</f>
        <v>Sep</v>
      </c>
    </row>
    <row r="458" spans="1:11" x14ac:dyDescent="0.35">
      <c r="A458" s="7" t="s">
        <v>488</v>
      </c>
      <c r="B458" s="8">
        <v>45470</v>
      </c>
      <c r="C458" s="9" t="s">
        <v>21</v>
      </c>
      <c r="D458" s="9" t="s">
        <v>46</v>
      </c>
      <c r="E458" s="9" t="s">
        <v>29</v>
      </c>
      <c r="F458" s="9">
        <v>225</v>
      </c>
      <c r="G458" s="9">
        <v>222.41</v>
      </c>
      <c r="H458" s="9" t="s">
        <v>14</v>
      </c>
      <c r="I458" s="9">
        <v>4</v>
      </c>
      <c r="J458" s="10">
        <v>-2.59</v>
      </c>
      <c r="K458" s="9" t="str">
        <f>TEXT(Sales_of_Jordan[[#This Row],[Sale_Date]],"mmm")</f>
        <v>Jun</v>
      </c>
    </row>
    <row r="459" spans="1:11" x14ac:dyDescent="0.35">
      <c r="A459" s="7" t="s">
        <v>489</v>
      </c>
      <c r="B459" s="8">
        <v>45048</v>
      </c>
      <c r="C459" s="9" t="s">
        <v>31</v>
      </c>
      <c r="D459" s="9" t="s">
        <v>53</v>
      </c>
      <c r="E459" s="9" t="s">
        <v>13</v>
      </c>
      <c r="F459" s="9">
        <v>200</v>
      </c>
      <c r="G459" s="9">
        <v>172.1</v>
      </c>
      <c r="H459" s="9" t="s">
        <v>19</v>
      </c>
      <c r="I459" s="9">
        <v>9</v>
      </c>
      <c r="J459" s="10">
        <v>-27.9</v>
      </c>
      <c r="K459" s="9" t="str">
        <f>TEXT(Sales_of_Jordan[[#This Row],[Sale_Date]],"mmm")</f>
        <v>May</v>
      </c>
    </row>
    <row r="460" spans="1:11" x14ac:dyDescent="0.35">
      <c r="A460" s="7" t="s">
        <v>490</v>
      </c>
      <c r="B460" s="8">
        <v>45651</v>
      </c>
      <c r="C460" s="9" t="s">
        <v>21</v>
      </c>
      <c r="D460" s="9" t="s">
        <v>17</v>
      </c>
      <c r="E460" s="9" t="s">
        <v>18</v>
      </c>
      <c r="F460" s="9">
        <v>222</v>
      </c>
      <c r="G460" s="9">
        <v>756.15</v>
      </c>
      <c r="H460" s="9" t="s">
        <v>23</v>
      </c>
      <c r="I460" s="9">
        <v>33</v>
      </c>
      <c r="J460" s="10">
        <v>534.15</v>
      </c>
      <c r="K460" s="9" t="str">
        <f>TEXT(Sales_of_Jordan[[#This Row],[Sale_Date]],"mmm")</f>
        <v>Dec</v>
      </c>
    </row>
    <row r="461" spans="1:11" x14ac:dyDescent="0.35">
      <c r="A461" s="7" t="s">
        <v>491</v>
      </c>
      <c r="B461" s="8">
        <v>45276</v>
      </c>
      <c r="C461" s="9" t="s">
        <v>21</v>
      </c>
      <c r="D461" s="9" t="s">
        <v>17</v>
      </c>
      <c r="E461" s="9" t="s">
        <v>29</v>
      </c>
      <c r="F461" s="9">
        <v>215</v>
      </c>
      <c r="G461" s="9">
        <v>320.42</v>
      </c>
      <c r="H461" s="9" t="s">
        <v>32</v>
      </c>
      <c r="I461" s="9">
        <v>11</v>
      </c>
      <c r="J461" s="10">
        <v>105.42</v>
      </c>
      <c r="K461" s="9" t="str">
        <f>TEXT(Sales_of_Jordan[[#This Row],[Sale_Date]],"mmm")</f>
        <v>Dec</v>
      </c>
    </row>
    <row r="462" spans="1:11" x14ac:dyDescent="0.35">
      <c r="A462" s="7" t="s">
        <v>492</v>
      </c>
      <c r="B462" s="8">
        <v>45537</v>
      </c>
      <c r="C462" s="9" t="s">
        <v>27</v>
      </c>
      <c r="D462" s="9" t="s">
        <v>55</v>
      </c>
      <c r="E462" s="9" t="s">
        <v>18</v>
      </c>
      <c r="F462" s="9">
        <v>118</v>
      </c>
      <c r="G462" s="9">
        <v>179.22</v>
      </c>
      <c r="H462" s="9" t="s">
        <v>14</v>
      </c>
      <c r="I462" s="9">
        <v>9</v>
      </c>
      <c r="J462" s="10">
        <v>61.22</v>
      </c>
      <c r="K462" s="9" t="str">
        <f>TEXT(Sales_of_Jordan[[#This Row],[Sale_Date]],"mmm")</f>
        <v>Sep</v>
      </c>
    </row>
    <row r="463" spans="1:11" x14ac:dyDescent="0.35">
      <c r="A463" s="7" t="s">
        <v>493</v>
      </c>
      <c r="B463" s="8">
        <v>45745</v>
      </c>
      <c r="C463" s="9" t="s">
        <v>27</v>
      </c>
      <c r="D463" s="9" t="s">
        <v>22</v>
      </c>
      <c r="E463" s="9" t="s">
        <v>29</v>
      </c>
      <c r="F463" s="9">
        <v>119</v>
      </c>
      <c r="G463" s="9">
        <v>126.67</v>
      </c>
      <c r="H463" s="9" t="s">
        <v>32</v>
      </c>
      <c r="I463" s="9">
        <v>19</v>
      </c>
      <c r="J463" s="10">
        <v>7.67</v>
      </c>
      <c r="K463" s="9" t="str">
        <f>TEXT(Sales_of_Jordan[[#This Row],[Sale_Date]],"mmm")</f>
        <v>Mar</v>
      </c>
    </row>
    <row r="464" spans="1:11" x14ac:dyDescent="0.35">
      <c r="A464" s="7" t="s">
        <v>494</v>
      </c>
      <c r="B464" s="8">
        <v>45305</v>
      </c>
      <c r="C464" s="9" t="s">
        <v>31</v>
      </c>
      <c r="D464" s="9" t="s">
        <v>34</v>
      </c>
      <c r="E464" s="9" t="s">
        <v>29</v>
      </c>
      <c r="F464" s="9">
        <v>201</v>
      </c>
      <c r="G464" s="9">
        <v>195.3</v>
      </c>
      <c r="H464" s="9" t="s">
        <v>25</v>
      </c>
      <c r="I464" s="9">
        <v>26</v>
      </c>
      <c r="J464" s="10">
        <v>-5.6999999999999797</v>
      </c>
      <c r="K464" s="9" t="str">
        <f>TEXT(Sales_of_Jordan[[#This Row],[Sale_Date]],"mmm")</f>
        <v>Jan</v>
      </c>
    </row>
    <row r="465" spans="1:11" x14ac:dyDescent="0.35">
      <c r="A465" s="7" t="s">
        <v>495</v>
      </c>
      <c r="B465" s="8">
        <v>45186</v>
      </c>
      <c r="C465" s="9" t="s">
        <v>31</v>
      </c>
      <c r="D465" s="9" t="s">
        <v>53</v>
      </c>
      <c r="E465" s="9" t="s">
        <v>29</v>
      </c>
      <c r="F465" s="9">
        <v>207</v>
      </c>
      <c r="G465" s="9">
        <v>229.63</v>
      </c>
      <c r="H465" s="9" t="s">
        <v>19</v>
      </c>
      <c r="I465" s="9">
        <v>12</v>
      </c>
      <c r="J465" s="10">
        <v>22.6299999999999</v>
      </c>
      <c r="K465" s="9" t="str">
        <f>TEXT(Sales_of_Jordan[[#This Row],[Sale_Date]],"mmm")</f>
        <v>Sep</v>
      </c>
    </row>
    <row r="466" spans="1:11" x14ac:dyDescent="0.35">
      <c r="A466" s="7" t="s">
        <v>496</v>
      </c>
      <c r="B466" s="8">
        <v>45679</v>
      </c>
      <c r="C466" s="9" t="s">
        <v>21</v>
      </c>
      <c r="D466" s="9" t="s">
        <v>55</v>
      </c>
      <c r="E466" s="9" t="s">
        <v>18</v>
      </c>
      <c r="F466" s="9">
        <v>212</v>
      </c>
      <c r="G466" s="9">
        <v>270.14999999999998</v>
      </c>
      <c r="H466" s="9" t="s">
        <v>32</v>
      </c>
      <c r="I466" s="9">
        <v>14</v>
      </c>
      <c r="J466" s="10">
        <v>58.149999999999899</v>
      </c>
      <c r="K466" s="9" t="str">
        <f>TEXT(Sales_of_Jordan[[#This Row],[Sale_Date]],"mmm")</f>
        <v>Jan</v>
      </c>
    </row>
    <row r="467" spans="1:11" x14ac:dyDescent="0.35">
      <c r="A467" s="7" t="s">
        <v>497</v>
      </c>
      <c r="B467" s="8">
        <v>45486</v>
      </c>
      <c r="C467" s="9" t="s">
        <v>27</v>
      </c>
      <c r="D467" s="9" t="s">
        <v>22</v>
      </c>
      <c r="E467" s="9" t="s">
        <v>13</v>
      </c>
      <c r="F467" s="9">
        <v>128</v>
      </c>
      <c r="G467" s="9">
        <v>102.48</v>
      </c>
      <c r="H467" s="9" t="s">
        <v>25</v>
      </c>
      <c r="I467" s="9">
        <v>33</v>
      </c>
      <c r="J467" s="10">
        <v>-25.5199999999999</v>
      </c>
      <c r="K467" s="9" t="str">
        <f>TEXT(Sales_of_Jordan[[#This Row],[Sale_Date]],"mmm")</f>
        <v>Jul</v>
      </c>
    </row>
    <row r="468" spans="1:11" x14ac:dyDescent="0.35">
      <c r="A468" s="7" t="s">
        <v>498</v>
      </c>
      <c r="B468" s="8">
        <v>45768</v>
      </c>
      <c r="C468" s="9" t="s">
        <v>27</v>
      </c>
      <c r="D468" s="9" t="s">
        <v>53</v>
      </c>
      <c r="E468" s="9" t="s">
        <v>13</v>
      </c>
      <c r="F468" s="9">
        <v>133</v>
      </c>
      <c r="G468" s="9">
        <v>90.09</v>
      </c>
      <c r="H468" s="9" t="s">
        <v>23</v>
      </c>
      <c r="I468" s="9">
        <v>14</v>
      </c>
      <c r="J468" s="10">
        <v>-42.91</v>
      </c>
      <c r="K468" s="9" t="str">
        <f>TEXT(Sales_of_Jordan[[#This Row],[Sale_Date]],"mmm")</f>
        <v>Apr</v>
      </c>
    </row>
    <row r="469" spans="1:11" x14ac:dyDescent="0.35">
      <c r="A469" s="7" t="s">
        <v>499</v>
      </c>
      <c r="B469" s="8">
        <v>44971</v>
      </c>
      <c r="C469" s="9" t="s">
        <v>21</v>
      </c>
      <c r="D469" s="9" t="s">
        <v>12</v>
      </c>
      <c r="E469" s="9" t="s">
        <v>29</v>
      </c>
      <c r="F469" s="9">
        <v>216</v>
      </c>
      <c r="G469" s="9">
        <v>237.41</v>
      </c>
      <c r="H469" s="9" t="s">
        <v>25</v>
      </c>
      <c r="I469" s="9">
        <v>43</v>
      </c>
      <c r="J469" s="10">
        <v>21.409999999999901</v>
      </c>
      <c r="K469" s="9" t="str">
        <f>TEXT(Sales_of_Jordan[[#This Row],[Sale_Date]],"mmm")</f>
        <v>Feb</v>
      </c>
    </row>
    <row r="470" spans="1:11" x14ac:dyDescent="0.35">
      <c r="A470" s="7" t="s">
        <v>500</v>
      </c>
      <c r="B470" s="8">
        <v>45533</v>
      </c>
      <c r="C470" s="9" t="s">
        <v>16</v>
      </c>
      <c r="D470" s="9" t="s">
        <v>12</v>
      </c>
      <c r="E470" s="9" t="s">
        <v>13</v>
      </c>
      <c r="F470" s="9">
        <v>183</v>
      </c>
      <c r="G470" s="9">
        <v>122.3</v>
      </c>
      <c r="H470" s="9" t="s">
        <v>25</v>
      </c>
      <c r="I470" s="9">
        <v>43</v>
      </c>
      <c r="J470" s="10">
        <v>-60.7</v>
      </c>
      <c r="K470" s="9" t="str">
        <f>TEXT(Sales_of_Jordan[[#This Row],[Sale_Date]],"mmm")</f>
        <v>Aug</v>
      </c>
    </row>
    <row r="471" spans="1:11" x14ac:dyDescent="0.35">
      <c r="A471" s="7" t="s">
        <v>501</v>
      </c>
      <c r="B471" s="8">
        <v>45243</v>
      </c>
      <c r="C471" s="9" t="s">
        <v>31</v>
      </c>
      <c r="D471" s="9" t="s">
        <v>34</v>
      </c>
      <c r="E471" s="9" t="s">
        <v>29</v>
      </c>
      <c r="F471" s="9">
        <v>201</v>
      </c>
      <c r="G471" s="9">
        <v>273.58</v>
      </c>
      <c r="H471" s="9" t="s">
        <v>32</v>
      </c>
      <c r="I471" s="9">
        <v>55</v>
      </c>
      <c r="J471" s="10">
        <v>72.579999999999899</v>
      </c>
      <c r="K471" s="9" t="str">
        <f>TEXT(Sales_of_Jordan[[#This Row],[Sale_Date]],"mmm")</f>
        <v>Nov</v>
      </c>
    </row>
    <row r="472" spans="1:11" x14ac:dyDescent="0.35">
      <c r="A472" s="7" t="s">
        <v>502</v>
      </c>
      <c r="B472" s="8">
        <v>45032</v>
      </c>
      <c r="C472" s="9" t="s">
        <v>11</v>
      </c>
      <c r="D472" s="9" t="s">
        <v>22</v>
      </c>
      <c r="E472" s="9" t="s">
        <v>18</v>
      </c>
      <c r="F472" s="9">
        <v>229</v>
      </c>
      <c r="G472" s="9">
        <v>462.32</v>
      </c>
      <c r="H472" s="9" t="s">
        <v>23</v>
      </c>
      <c r="I472" s="9">
        <v>37</v>
      </c>
      <c r="J472" s="10">
        <v>233.32</v>
      </c>
      <c r="K472" s="9" t="str">
        <f>TEXT(Sales_of_Jordan[[#This Row],[Sale_Date]],"mmm")</f>
        <v>Apr</v>
      </c>
    </row>
    <row r="473" spans="1:11" x14ac:dyDescent="0.35">
      <c r="A473" s="7" t="s">
        <v>503</v>
      </c>
      <c r="B473" s="8">
        <v>45738</v>
      </c>
      <c r="C473" s="9" t="s">
        <v>31</v>
      </c>
      <c r="D473" s="9" t="s">
        <v>55</v>
      </c>
      <c r="E473" s="9" t="s">
        <v>29</v>
      </c>
      <c r="F473" s="9">
        <v>205</v>
      </c>
      <c r="G473" s="9">
        <v>230.04</v>
      </c>
      <c r="H473" s="9" t="s">
        <v>32</v>
      </c>
      <c r="I473" s="9">
        <v>29</v>
      </c>
      <c r="J473" s="10">
        <v>25.0399999999999</v>
      </c>
      <c r="K473" s="9" t="str">
        <f>TEXT(Sales_of_Jordan[[#This Row],[Sale_Date]],"mmm")</f>
        <v>Mar</v>
      </c>
    </row>
    <row r="474" spans="1:11" x14ac:dyDescent="0.35">
      <c r="A474" s="7" t="s">
        <v>504</v>
      </c>
      <c r="B474" s="8">
        <v>45692</v>
      </c>
      <c r="C474" s="9" t="s">
        <v>27</v>
      </c>
      <c r="D474" s="9" t="s">
        <v>22</v>
      </c>
      <c r="E474" s="9" t="s">
        <v>29</v>
      </c>
      <c r="F474" s="9">
        <v>111</v>
      </c>
      <c r="G474" s="9">
        <v>163.53</v>
      </c>
      <c r="H474" s="9" t="s">
        <v>25</v>
      </c>
      <c r="I474" s="9">
        <v>26</v>
      </c>
      <c r="J474" s="10">
        <v>52.53</v>
      </c>
      <c r="K474" s="9" t="str">
        <f>TEXT(Sales_of_Jordan[[#This Row],[Sale_Date]],"mmm")</f>
        <v>Feb</v>
      </c>
    </row>
    <row r="475" spans="1:11" x14ac:dyDescent="0.35">
      <c r="A475" s="7" t="s">
        <v>505</v>
      </c>
      <c r="B475" s="8">
        <v>45220</v>
      </c>
      <c r="C475" s="9" t="s">
        <v>16</v>
      </c>
      <c r="D475" s="9" t="s">
        <v>39</v>
      </c>
      <c r="E475" s="9" t="s">
        <v>13</v>
      </c>
      <c r="F475" s="9">
        <v>186</v>
      </c>
      <c r="G475" s="9">
        <v>164.61</v>
      </c>
      <c r="H475" s="9" t="s">
        <v>25</v>
      </c>
      <c r="I475" s="9">
        <v>43</v>
      </c>
      <c r="J475" s="10">
        <v>-21.389999999999901</v>
      </c>
      <c r="K475" s="9" t="str">
        <f>TEXT(Sales_of_Jordan[[#This Row],[Sale_Date]],"mmm")</f>
        <v>Oct</v>
      </c>
    </row>
    <row r="476" spans="1:11" x14ac:dyDescent="0.35">
      <c r="A476" s="7" t="s">
        <v>506</v>
      </c>
      <c r="B476" s="8">
        <v>45758</v>
      </c>
      <c r="C476" s="9" t="s">
        <v>21</v>
      </c>
      <c r="D476" s="9" t="s">
        <v>22</v>
      </c>
      <c r="E476" s="9" t="s">
        <v>29</v>
      </c>
      <c r="F476" s="9">
        <v>214</v>
      </c>
      <c r="G476" s="9">
        <v>291.56</v>
      </c>
      <c r="H476" s="9" t="s">
        <v>23</v>
      </c>
      <c r="I476" s="9">
        <v>54</v>
      </c>
      <c r="J476" s="10">
        <v>77.56</v>
      </c>
      <c r="K476" s="9" t="str">
        <f>TEXT(Sales_of_Jordan[[#This Row],[Sale_Date]],"mmm")</f>
        <v>Apr</v>
      </c>
    </row>
    <row r="477" spans="1:11" x14ac:dyDescent="0.35">
      <c r="A477" s="7" t="s">
        <v>507</v>
      </c>
      <c r="B477" s="8">
        <v>45575</v>
      </c>
      <c r="C477" s="9" t="s">
        <v>27</v>
      </c>
      <c r="D477" s="9" t="s">
        <v>12</v>
      </c>
      <c r="E477" s="9" t="s">
        <v>18</v>
      </c>
      <c r="F477" s="9">
        <v>140</v>
      </c>
      <c r="G477" s="9">
        <v>201.66</v>
      </c>
      <c r="H477" s="9" t="s">
        <v>32</v>
      </c>
      <c r="I477" s="9">
        <v>54</v>
      </c>
      <c r="J477" s="10">
        <v>61.66</v>
      </c>
      <c r="K477" s="9" t="str">
        <f>TEXT(Sales_of_Jordan[[#This Row],[Sale_Date]],"mmm")</f>
        <v>Oct</v>
      </c>
    </row>
    <row r="478" spans="1:11" x14ac:dyDescent="0.35">
      <c r="A478" s="7" t="s">
        <v>508</v>
      </c>
      <c r="B478" s="8">
        <v>45665</v>
      </c>
      <c r="C478" s="9" t="s">
        <v>31</v>
      </c>
      <c r="D478" s="9" t="s">
        <v>22</v>
      </c>
      <c r="E478" s="9" t="s">
        <v>18</v>
      </c>
      <c r="F478" s="9">
        <v>200</v>
      </c>
      <c r="G478" s="9">
        <v>469.41</v>
      </c>
      <c r="H478" s="9" t="s">
        <v>32</v>
      </c>
      <c r="I478" s="9">
        <v>41</v>
      </c>
      <c r="J478" s="10">
        <v>269.41000000000003</v>
      </c>
      <c r="K478" s="9" t="str">
        <f>TEXT(Sales_of_Jordan[[#This Row],[Sale_Date]],"mmm")</f>
        <v>Jan</v>
      </c>
    </row>
    <row r="479" spans="1:11" x14ac:dyDescent="0.35">
      <c r="A479" s="7" t="s">
        <v>509</v>
      </c>
      <c r="B479" s="8">
        <v>45008</v>
      </c>
      <c r="C479" s="9" t="s">
        <v>31</v>
      </c>
      <c r="D479" s="9" t="s">
        <v>34</v>
      </c>
      <c r="E479" s="9" t="s">
        <v>18</v>
      </c>
      <c r="F479" s="9">
        <v>207</v>
      </c>
      <c r="G479" s="9">
        <v>430.67</v>
      </c>
      <c r="H479" s="9" t="s">
        <v>32</v>
      </c>
      <c r="I479" s="9">
        <v>32</v>
      </c>
      <c r="J479" s="10">
        <v>223.67</v>
      </c>
      <c r="K479" s="9" t="str">
        <f>TEXT(Sales_of_Jordan[[#This Row],[Sale_Date]],"mmm")</f>
        <v>Mar</v>
      </c>
    </row>
    <row r="480" spans="1:11" x14ac:dyDescent="0.35">
      <c r="A480" s="7" t="s">
        <v>510</v>
      </c>
      <c r="B480" s="8">
        <v>45523</v>
      </c>
      <c r="C480" s="9" t="s">
        <v>31</v>
      </c>
      <c r="D480" s="9" t="s">
        <v>22</v>
      </c>
      <c r="E480" s="9" t="s">
        <v>18</v>
      </c>
      <c r="F480" s="9">
        <v>209</v>
      </c>
      <c r="G480" s="9">
        <v>699.44</v>
      </c>
      <c r="H480" s="9" t="s">
        <v>19</v>
      </c>
      <c r="I480" s="9">
        <v>4</v>
      </c>
      <c r="J480" s="10">
        <v>490.44</v>
      </c>
      <c r="K480" s="9" t="str">
        <f>TEXT(Sales_of_Jordan[[#This Row],[Sale_Date]],"mmm")</f>
        <v>Aug</v>
      </c>
    </row>
    <row r="481" spans="1:11" x14ac:dyDescent="0.35">
      <c r="A481" s="7" t="s">
        <v>511</v>
      </c>
      <c r="B481" s="8">
        <v>45789</v>
      </c>
      <c r="C481" s="9" t="s">
        <v>27</v>
      </c>
      <c r="D481" s="9" t="s">
        <v>55</v>
      </c>
      <c r="E481" s="9" t="s">
        <v>13</v>
      </c>
      <c r="F481" s="9">
        <v>131</v>
      </c>
      <c r="G481" s="9">
        <v>111.93</v>
      </c>
      <c r="H481" s="9" t="s">
        <v>19</v>
      </c>
      <c r="I481" s="9">
        <v>14</v>
      </c>
      <c r="J481" s="10">
        <v>-19.069999999999901</v>
      </c>
      <c r="K481" s="9" t="str">
        <f>TEXT(Sales_of_Jordan[[#This Row],[Sale_Date]],"mmm")</f>
        <v>May</v>
      </c>
    </row>
    <row r="482" spans="1:11" x14ac:dyDescent="0.35">
      <c r="A482" s="7" t="s">
        <v>512</v>
      </c>
      <c r="B482" s="8">
        <v>44936</v>
      </c>
      <c r="C482" s="9" t="s">
        <v>21</v>
      </c>
      <c r="D482" s="9" t="s">
        <v>17</v>
      </c>
      <c r="E482" s="9" t="s">
        <v>13</v>
      </c>
      <c r="F482" s="9">
        <v>210</v>
      </c>
      <c r="G482" s="9">
        <v>140.44</v>
      </c>
      <c r="H482" s="9" t="s">
        <v>25</v>
      </c>
      <c r="I482" s="9">
        <v>21</v>
      </c>
      <c r="J482" s="10">
        <v>-69.56</v>
      </c>
      <c r="K482" s="9" t="str">
        <f>TEXT(Sales_of_Jordan[[#This Row],[Sale_Date]],"mmm")</f>
        <v>Jan</v>
      </c>
    </row>
    <row r="483" spans="1:11" x14ac:dyDescent="0.35">
      <c r="A483" s="7" t="s">
        <v>513</v>
      </c>
      <c r="B483" s="8">
        <v>45356</v>
      </c>
      <c r="C483" s="9" t="s">
        <v>21</v>
      </c>
      <c r="D483" s="9" t="s">
        <v>53</v>
      </c>
      <c r="E483" s="9" t="s">
        <v>29</v>
      </c>
      <c r="F483" s="9">
        <v>218</v>
      </c>
      <c r="G483" s="9">
        <v>287.82</v>
      </c>
      <c r="H483" s="9" t="s">
        <v>32</v>
      </c>
      <c r="I483" s="9">
        <v>30</v>
      </c>
      <c r="J483" s="10">
        <v>69.819999999999993</v>
      </c>
      <c r="K483" s="9" t="str">
        <f>TEXT(Sales_of_Jordan[[#This Row],[Sale_Date]],"mmm")</f>
        <v>Mar</v>
      </c>
    </row>
    <row r="484" spans="1:11" x14ac:dyDescent="0.35">
      <c r="A484" s="7" t="s">
        <v>514</v>
      </c>
      <c r="B484" s="8">
        <v>45870</v>
      </c>
      <c r="C484" s="9" t="s">
        <v>31</v>
      </c>
      <c r="D484" s="9" t="s">
        <v>53</v>
      </c>
      <c r="E484" s="9" t="s">
        <v>29</v>
      </c>
      <c r="F484" s="9">
        <v>209</v>
      </c>
      <c r="G484" s="9">
        <v>195.82</v>
      </c>
      <c r="H484" s="9" t="s">
        <v>25</v>
      </c>
      <c r="I484" s="9">
        <v>57</v>
      </c>
      <c r="J484" s="10">
        <v>-13.18</v>
      </c>
      <c r="K484" s="9" t="str">
        <f>TEXT(Sales_of_Jordan[[#This Row],[Sale_Date]],"mmm")</f>
        <v>Aug</v>
      </c>
    </row>
    <row r="485" spans="1:11" x14ac:dyDescent="0.35">
      <c r="A485" s="7" t="s">
        <v>515</v>
      </c>
      <c r="B485" s="8">
        <v>45608</v>
      </c>
      <c r="C485" s="9" t="s">
        <v>11</v>
      </c>
      <c r="D485" s="9" t="s">
        <v>22</v>
      </c>
      <c r="E485" s="9" t="s">
        <v>13</v>
      </c>
      <c r="F485" s="9">
        <v>228</v>
      </c>
      <c r="G485" s="9">
        <v>148.47999999999999</v>
      </c>
      <c r="H485" s="9" t="s">
        <v>32</v>
      </c>
      <c r="I485" s="9">
        <v>13</v>
      </c>
      <c r="J485" s="10">
        <v>-79.52</v>
      </c>
      <c r="K485" s="9" t="str">
        <f>TEXT(Sales_of_Jordan[[#This Row],[Sale_Date]],"mmm")</f>
        <v>Nov</v>
      </c>
    </row>
    <row r="486" spans="1:11" x14ac:dyDescent="0.35">
      <c r="A486" s="7" t="s">
        <v>516</v>
      </c>
      <c r="B486" s="8">
        <v>45467</v>
      </c>
      <c r="C486" s="9" t="s">
        <v>31</v>
      </c>
      <c r="D486" s="9" t="s">
        <v>53</v>
      </c>
      <c r="E486" s="9" t="s">
        <v>13</v>
      </c>
      <c r="F486" s="9">
        <v>208</v>
      </c>
      <c r="G486" s="9">
        <v>184.7</v>
      </c>
      <c r="H486" s="9" t="s">
        <v>23</v>
      </c>
      <c r="I486" s="9">
        <v>45</v>
      </c>
      <c r="J486" s="10">
        <v>-23.3</v>
      </c>
      <c r="K486" s="9" t="str">
        <f>TEXT(Sales_of_Jordan[[#This Row],[Sale_Date]],"mmm")</f>
        <v>Jun</v>
      </c>
    </row>
    <row r="487" spans="1:11" x14ac:dyDescent="0.35">
      <c r="A487" s="7" t="s">
        <v>517</v>
      </c>
      <c r="B487" s="8">
        <v>45061</v>
      </c>
      <c r="C487" s="9" t="s">
        <v>16</v>
      </c>
      <c r="D487" s="9" t="s">
        <v>36</v>
      </c>
      <c r="E487" s="9" t="s">
        <v>18</v>
      </c>
      <c r="F487" s="9">
        <v>174</v>
      </c>
      <c r="G487" s="9">
        <v>592.9</v>
      </c>
      <c r="H487" s="9" t="s">
        <v>25</v>
      </c>
      <c r="I487" s="9">
        <v>41</v>
      </c>
      <c r="J487" s="10">
        <v>418.9</v>
      </c>
      <c r="K487" s="9" t="str">
        <f>TEXT(Sales_of_Jordan[[#This Row],[Sale_Date]],"mmm")</f>
        <v>May</v>
      </c>
    </row>
    <row r="488" spans="1:11" x14ac:dyDescent="0.35">
      <c r="A488" s="7" t="s">
        <v>518</v>
      </c>
      <c r="B488" s="8">
        <v>45651</v>
      </c>
      <c r="C488" s="9" t="s">
        <v>31</v>
      </c>
      <c r="D488" s="9" t="s">
        <v>53</v>
      </c>
      <c r="E488" s="9" t="s">
        <v>29</v>
      </c>
      <c r="F488" s="9">
        <v>206</v>
      </c>
      <c r="G488" s="9">
        <v>206.25</v>
      </c>
      <c r="H488" s="9" t="s">
        <v>23</v>
      </c>
      <c r="I488" s="9">
        <v>50</v>
      </c>
      <c r="J488" s="10">
        <v>0.25</v>
      </c>
      <c r="K488" s="9" t="str">
        <f>TEXT(Sales_of_Jordan[[#This Row],[Sale_Date]],"mmm")</f>
        <v>Dec</v>
      </c>
    </row>
    <row r="489" spans="1:11" x14ac:dyDescent="0.35">
      <c r="A489" s="7" t="s">
        <v>519</v>
      </c>
      <c r="B489" s="8">
        <v>45122</v>
      </c>
      <c r="C489" s="9" t="s">
        <v>11</v>
      </c>
      <c r="D489" s="9" t="s">
        <v>22</v>
      </c>
      <c r="E489" s="9" t="s">
        <v>13</v>
      </c>
      <c r="F489" s="9">
        <v>230</v>
      </c>
      <c r="G489" s="9">
        <v>170.62</v>
      </c>
      <c r="H489" s="9" t="s">
        <v>25</v>
      </c>
      <c r="I489" s="9">
        <v>21</v>
      </c>
      <c r="J489" s="10">
        <v>-59.379999999999903</v>
      </c>
      <c r="K489" s="9" t="str">
        <f>TEXT(Sales_of_Jordan[[#This Row],[Sale_Date]],"mmm")</f>
        <v>Jul</v>
      </c>
    </row>
    <row r="490" spans="1:11" x14ac:dyDescent="0.35">
      <c r="A490" s="7" t="s">
        <v>520</v>
      </c>
      <c r="B490" s="8">
        <v>45475</v>
      </c>
      <c r="C490" s="9" t="s">
        <v>11</v>
      </c>
      <c r="D490" s="9" t="s">
        <v>46</v>
      </c>
      <c r="E490" s="9" t="s">
        <v>13</v>
      </c>
      <c r="F490" s="9">
        <v>227</v>
      </c>
      <c r="G490" s="9">
        <v>114.93</v>
      </c>
      <c r="H490" s="9" t="s">
        <v>25</v>
      </c>
      <c r="I490" s="9">
        <v>19</v>
      </c>
      <c r="J490" s="10">
        <v>-112.07</v>
      </c>
      <c r="K490" s="9" t="str">
        <f>TEXT(Sales_of_Jordan[[#This Row],[Sale_Date]],"mmm")</f>
        <v>Jul</v>
      </c>
    </row>
    <row r="491" spans="1:11" x14ac:dyDescent="0.35">
      <c r="A491" s="7" t="s">
        <v>521</v>
      </c>
      <c r="B491" s="8">
        <v>45191</v>
      </c>
      <c r="C491" s="9" t="s">
        <v>27</v>
      </c>
      <c r="D491" s="9" t="s">
        <v>53</v>
      </c>
      <c r="E491" s="9" t="s">
        <v>18</v>
      </c>
      <c r="F491" s="9">
        <v>113</v>
      </c>
      <c r="G491" s="9">
        <v>238.32</v>
      </c>
      <c r="H491" s="9" t="s">
        <v>19</v>
      </c>
      <c r="I491" s="9">
        <v>10</v>
      </c>
      <c r="J491" s="10">
        <v>125.32</v>
      </c>
      <c r="K491" s="9" t="str">
        <f>TEXT(Sales_of_Jordan[[#This Row],[Sale_Date]],"mmm")</f>
        <v>Sep</v>
      </c>
    </row>
    <row r="492" spans="1:11" x14ac:dyDescent="0.35">
      <c r="A492" s="7" t="s">
        <v>522</v>
      </c>
      <c r="B492" s="8">
        <v>45428</v>
      </c>
      <c r="C492" s="9" t="s">
        <v>27</v>
      </c>
      <c r="D492" s="9" t="s">
        <v>12</v>
      </c>
      <c r="E492" s="9" t="s">
        <v>18</v>
      </c>
      <c r="F492" s="9">
        <v>115</v>
      </c>
      <c r="G492" s="9">
        <v>335.71</v>
      </c>
      <c r="H492" s="9" t="s">
        <v>14</v>
      </c>
      <c r="I492" s="9">
        <v>8</v>
      </c>
      <c r="J492" s="10">
        <v>220.70999999999901</v>
      </c>
      <c r="K492" s="9" t="str">
        <f>TEXT(Sales_of_Jordan[[#This Row],[Sale_Date]],"mmm")</f>
        <v>May</v>
      </c>
    </row>
    <row r="493" spans="1:11" x14ac:dyDescent="0.35">
      <c r="A493" s="7" t="s">
        <v>523</v>
      </c>
      <c r="B493" s="8">
        <v>45250</v>
      </c>
      <c r="C493" s="9" t="s">
        <v>11</v>
      </c>
      <c r="D493" s="9" t="s">
        <v>55</v>
      </c>
      <c r="E493" s="9" t="s">
        <v>13</v>
      </c>
      <c r="F493" s="9">
        <v>229</v>
      </c>
      <c r="G493" s="9">
        <v>141.62</v>
      </c>
      <c r="H493" s="9" t="s">
        <v>23</v>
      </c>
      <c r="I493" s="9">
        <v>38</v>
      </c>
      <c r="J493" s="10">
        <v>-87.38</v>
      </c>
      <c r="K493" s="9" t="str">
        <f>TEXT(Sales_of_Jordan[[#This Row],[Sale_Date]],"mmm")</f>
        <v>Nov</v>
      </c>
    </row>
    <row r="494" spans="1:11" x14ac:dyDescent="0.35">
      <c r="A494" s="7" t="s">
        <v>524</v>
      </c>
      <c r="B494" s="8">
        <v>45720</v>
      </c>
      <c r="C494" s="9" t="s">
        <v>27</v>
      </c>
      <c r="D494" s="9" t="s">
        <v>34</v>
      </c>
      <c r="E494" s="9" t="s">
        <v>18</v>
      </c>
      <c r="F494" s="9">
        <v>132</v>
      </c>
      <c r="G494" s="9">
        <v>191.69</v>
      </c>
      <c r="H494" s="9" t="s">
        <v>19</v>
      </c>
      <c r="I494" s="9">
        <v>13</v>
      </c>
      <c r="J494" s="10">
        <v>59.69</v>
      </c>
      <c r="K494" s="9" t="str">
        <f>TEXT(Sales_of_Jordan[[#This Row],[Sale_Date]],"mmm")</f>
        <v>Mar</v>
      </c>
    </row>
    <row r="495" spans="1:11" x14ac:dyDescent="0.35">
      <c r="A495" s="7" t="s">
        <v>525</v>
      </c>
      <c r="B495" s="8">
        <v>45494</v>
      </c>
      <c r="C495" s="9" t="s">
        <v>31</v>
      </c>
      <c r="D495" s="9" t="s">
        <v>17</v>
      </c>
      <c r="E495" s="9" t="s">
        <v>29</v>
      </c>
      <c r="F495" s="9">
        <v>206</v>
      </c>
      <c r="G495" s="9">
        <v>192.33</v>
      </c>
      <c r="H495" s="9" t="s">
        <v>14</v>
      </c>
      <c r="I495" s="9">
        <v>11</v>
      </c>
      <c r="J495" s="10">
        <v>-13.6699999999999</v>
      </c>
      <c r="K495" s="9" t="str">
        <f>TEXT(Sales_of_Jordan[[#This Row],[Sale_Date]],"mmm")</f>
        <v>Jul</v>
      </c>
    </row>
    <row r="496" spans="1:11" x14ac:dyDescent="0.35">
      <c r="A496" s="7" t="s">
        <v>526</v>
      </c>
      <c r="B496" s="8">
        <v>45358</v>
      </c>
      <c r="C496" s="9" t="s">
        <v>16</v>
      </c>
      <c r="D496" s="9" t="s">
        <v>46</v>
      </c>
      <c r="E496" s="9" t="s">
        <v>29</v>
      </c>
      <c r="F496" s="9">
        <v>170</v>
      </c>
      <c r="G496" s="9">
        <v>216.02</v>
      </c>
      <c r="H496" s="9" t="s">
        <v>23</v>
      </c>
      <c r="I496" s="9">
        <v>11</v>
      </c>
      <c r="J496" s="10">
        <v>46.02</v>
      </c>
      <c r="K496" s="9" t="str">
        <f>TEXT(Sales_of_Jordan[[#This Row],[Sale_Date]],"mmm")</f>
        <v>Mar</v>
      </c>
    </row>
    <row r="497" spans="1:11" x14ac:dyDescent="0.35">
      <c r="A497" s="7" t="s">
        <v>527</v>
      </c>
      <c r="B497" s="8">
        <v>45266</v>
      </c>
      <c r="C497" s="9" t="s">
        <v>21</v>
      </c>
      <c r="D497" s="9" t="s">
        <v>34</v>
      </c>
      <c r="E497" s="9" t="s">
        <v>18</v>
      </c>
      <c r="F497" s="9">
        <v>217</v>
      </c>
      <c r="G497" s="9">
        <v>397.39</v>
      </c>
      <c r="H497" s="9" t="s">
        <v>32</v>
      </c>
      <c r="I497" s="9">
        <v>59</v>
      </c>
      <c r="J497" s="10">
        <v>180.39</v>
      </c>
      <c r="K497" s="9" t="str">
        <f>TEXT(Sales_of_Jordan[[#This Row],[Sale_Date]],"mmm")</f>
        <v>Dec</v>
      </c>
    </row>
    <row r="498" spans="1:11" x14ac:dyDescent="0.35">
      <c r="A498" s="7" t="s">
        <v>528</v>
      </c>
      <c r="B498" s="8">
        <v>45106</v>
      </c>
      <c r="C498" s="9" t="s">
        <v>16</v>
      </c>
      <c r="D498" s="9" t="s">
        <v>12</v>
      </c>
      <c r="E498" s="9" t="s">
        <v>18</v>
      </c>
      <c r="F498" s="9">
        <v>178</v>
      </c>
      <c r="G498" s="9">
        <v>269.52999999999997</v>
      </c>
      <c r="H498" s="9" t="s">
        <v>14</v>
      </c>
      <c r="I498" s="9">
        <v>2</v>
      </c>
      <c r="J498" s="10">
        <v>91.529999999999902</v>
      </c>
      <c r="K498" s="9" t="str">
        <f>TEXT(Sales_of_Jordan[[#This Row],[Sale_Date]],"mmm")</f>
        <v>Jun</v>
      </c>
    </row>
    <row r="499" spans="1:11" x14ac:dyDescent="0.35">
      <c r="A499" s="7" t="s">
        <v>529</v>
      </c>
      <c r="B499" s="8">
        <v>45416</v>
      </c>
      <c r="C499" s="9" t="s">
        <v>11</v>
      </c>
      <c r="D499" s="9" t="s">
        <v>36</v>
      </c>
      <c r="E499" s="9" t="s">
        <v>18</v>
      </c>
      <c r="F499" s="9">
        <v>228</v>
      </c>
      <c r="G499" s="9">
        <v>626.79</v>
      </c>
      <c r="H499" s="9" t="s">
        <v>25</v>
      </c>
      <c r="I499" s="9">
        <v>11</v>
      </c>
      <c r="J499" s="10">
        <v>398.789999999999</v>
      </c>
      <c r="K499" s="9" t="str">
        <f>TEXT(Sales_of_Jordan[[#This Row],[Sale_Date]],"mmm")</f>
        <v>May</v>
      </c>
    </row>
    <row r="500" spans="1:11" x14ac:dyDescent="0.35">
      <c r="A500" s="7" t="s">
        <v>530</v>
      </c>
      <c r="B500" s="8">
        <v>45644</v>
      </c>
      <c r="C500" s="9" t="s">
        <v>21</v>
      </c>
      <c r="D500" s="9" t="s">
        <v>34</v>
      </c>
      <c r="E500" s="9" t="s">
        <v>13</v>
      </c>
      <c r="F500" s="9">
        <v>216</v>
      </c>
      <c r="G500" s="9">
        <v>131.97999999999999</v>
      </c>
      <c r="H500" s="9" t="s">
        <v>19</v>
      </c>
      <c r="I500" s="9">
        <v>6</v>
      </c>
      <c r="J500" s="10">
        <v>-84.02</v>
      </c>
      <c r="K500" s="9" t="str">
        <f>TEXT(Sales_of_Jordan[[#This Row],[Sale_Date]],"mmm")</f>
        <v>Dec</v>
      </c>
    </row>
    <row r="501" spans="1:11" x14ac:dyDescent="0.35">
      <c r="A501" s="7" t="s">
        <v>531</v>
      </c>
      <c r="B501" s="8">
        <v>45447</v>
      </c>
      <c r="C501" s="9" t="s">
        <v>21</v>
      </c>
      <c r="D501" s="9" t="s">
        <v>39</v>
      </c>
      <c r="E501" s="9" t="s">
        <v>29</v>
      </c>
      <c r="F501" s="9">
        <v>215</v>
      </c>
      <c r="G501" s="9">
        <v>223.47</v>
      </c>
      <c r="H501" s="9" t="s">
        <v>25</v>
      </c>
      <c r="I501" s="9">
        <v>11</v>
      </c>
      <c r="J501" s="10">
        <v>8.46999999999999</v>
      </c>
      <c r="K501" s="9" t="str">
        <f>TEXT(Sales_of_Jordan[[#This Row],[Sale_Date]],"mmm")</f>
        <v>Jun</v>
      </c>
    </row>
    <row r="502" spans="1:11" x14ac:dyDescent="0.35">
      <c r="A502" s="7" t="s">
        <v>532</v>
      </c>
      <c r="B502" s="8">
        <v>44987</v>
      </c>
      <c r="C502" s="9" t="s">
        <v>31</v>
      </c>
      <c r="D502" s="9" t="s">
        <v>39</v>
      </c>
      <c r="E502" s="9" t="s">
        <v>13</v>
      </c>
      <c r="F502" s="9">
        <v>208</v>
      </c>
      <c r="G502" s="9">
        <v>160.38</v>
      </c>
      <c r="H502" s="9" t="s">
        <v>32</v>
      </c>
      <c r="I502" s="9">
        <v>18</v>
      </c>
      <c r="J502" s="10">
        <v>-47.62</v>
      </c>
      <c r="K502" s="9" t="str">
        <f>TEXT(Sales_of_Jordan[[#This Row],[Sale_Date]],"mmm")</f>
        <v>Mar</v>
      </c>
    </row>
    <row r="503" spans="1:11" x14ac:dyDescent="0.35">
      <c r="A503" s="7" t="s">
        <v>533</v>
      </c>
      <c r="B503" s="8">
        <v>45431</v>
      </c>
      <c r="C503" s="9" t="s">
        <v>16</v>
      </c>
      <c r="D503" s="9" t="s">
        <v>46</v>
      </c>
      <c r="E503" s="9" t="s">
        <v>13</v>
      </c>
      <c r="F503" s="9">
        <v>181</v>
      </c>
      <c r="G503" s="9">
        <v>129.65</v>
      </c>
      <c r="H503" s="9" t="s">
        <v>25</v>
      </c>
      <c r="I503" s="9">
        <v>28</v>
      </c>
      <c r="J503" s="10">
        <v>-51.349999999999902</v>
      </c>
      <c r="K503" s="9" t="str">
        <f>TEXT(Sales_of_Jordan[[#This Row],[Sale_Date]],"mmm")</f>
        <v>May</v>
      </c>
    </row>
    <row r="504" spans="1:11" x14ac:dyDescent="0.35">
      <c r="A504" s="7" t="s">
        <v>534</v>
      </c>
      <c r="B504" s="8">
        <v>45642</v>
      </c>
      <c r="C504" s="9" t="s">
        <v>27</v>
      </c>
      <c r="D504" s="9" t="s">
        <v>39</v>
      </c>
      <c r="E504" s="9" t="s">
        <v>18</v>
      </c>
      <c r="F504" s="9">
        <v>130</v>
      </c>
      <c r="G504" s="9">
        <v>268.64999999999998</v>
      </c>
      <c r="H504" s="9" t="s">
        <v>19</v>
      </c>
      <c r="I504" s="9">
        <v>10</v>
      </c>
      <c r="J504" s="10">
        <v>138.64999999999901</v>
      </c>
      <c r="K504" s="9" t="str">
        <f>TEXT(Sales_of_Jordan[[#This Row],[Sale_Date]],"mmm")</f>
        <v>Dec</v>
      </c>
    </row>
    <row r="505" spans="1:11" x14ac:dyDescent="0.35">
      <c r="A505" s="7" t="s">
        <v>535</v>
      </c>
      <c r="B505" s="8">
        <v>45078</v>
      </c>
      <c r="C505" s="9" t="s">
        <v>11</v>
      </c>
      <c r="D505" s="9" t="s">
        <v>55</v>
      </c>
      <c r="E505" s="9" t="s">
        <v>18</v>
      </c>
      <c r="F505" s="9">
        <v>229</v>
      </c>
      <c r="G505" s="9">
        <v>590.46</v>
      </c>
      <c r="H505" s="9" t="s">
        <v>25</v>
      </c>
      <c r="I505" s="9">
        <v>41</v>
      </c>
      <c r="J505" s="10">
        <v>361.46</v>
      </c>
      <c r="K505" s="9" t="str">
        <f>TEXT(Sales_of_Jordan[[#This Row],[Sale_Date]],"mmm")</f>
        <v>Jun</v>
      </c>
    </row>
    <row r="506" spans="1:11" x14ac:dyDescent="0.35">
      <c r="A506" s="7" t="s">
        <v>536</v>
      </c>
      <c r="B506" s="8">
        <v>45141</v>
      </c>
      <c r="C506" s="9" t="s">
        <v>27</v>
      </c>
      <c r="D506" s="9" t="s">
        <v>34</v>
      </c>
      <c r="E506" s="9" t="s">
        <v>13</v>
      </c>
      <c r="F506" s="9">
        <v>116</v>
      </c>
      <c r="G506" s="9">
        <v>92.75</v>
      </c>
      <c r="H506" s="9" t="s">
        <v>19</v>
      </c>
      <c r="I506" s="9">
        <v>4</v>
      </c>
      <c r="J506" s="10">
        <v>-23.25</v>
      </c>
      <c r="K506" s="9" t="str">
        <f>TEXT(Sales_of_Jordan[[#This Row],[Sale_Date]],"mmm")</f>
        <v>Aug</v>
      </c>
    </row>
    <row r="507" spans="1:11" x14ac:dyDescent="0.35">
      <c r="A507" s="7" t="s">
        <v>537</v>
      </c>
      <c r="B507" s="8">
        <v>45707</v>
      </c>
      <c r="C507" s="9" t="s">
        <v>11</v>
      </c>
      <c r="D507" s="9" t="s">
        <v>17</v>
      </c>
      <c r="E507" s="9" t="s">
        <v>18</v>
      </c>
      <c r="F507" s="9">
        <v>230</v>
      </c>
      <c r="G507" s="9">
        <v>365.63</v>
      </c>
      <c r="H507" s="9" t="s">
        <v>14</v>
      </c>
      <c r="I507" s="9">
        <v>9</v>
      </c>
      <c r="J507" s="10">
        <v>135.63</v>
      </c>
      <c r="K507" s="9" t="str">
        <f>TEXT(Sales_of_Jordan[[#This Row],[Sale_Date]],"mmm")</f>
        <v>Feb</v>
      </c>
    </row>
    <row r="508" spans="1:11" x14ac:dyDescent="0.35">
      <c r="A508" s="7" t="s">
        <v>538</v>
      </c>
      <c r="B508" s="8">
        <v>45295</v>
      </c>
      <c r="C508" s="9" t="s">
        <v>27</v>
      </c>
      <c r="D508" s="9" t="s">
        <v>36</v>
      </c>
      <c r="E508" s="9" t="s">
        <v>29</v>
      </c>
      <c r="F508" s="9">
        <v>140</v>
      </c>
      <c r="G508" s="9">
        <v>155.38</v>
      </c>
      <c r="H508" s="9" t="s">
        <v>14</v>
      </c>
      <c r="I508" s="9">
        <v>7</v>
      </c>
      <c r="J508" s="10">
        <v>15.3799999999999</v>
      </c>
      <c r="K508" s="9" t="str">
        <f>TEXT(Sales_of_Jordan[[#This Row],[Sale_Date]],"mmm")</f>
        <v>Jan</v>
      </c>
    </row>
    <row r="509" spans="1:11" x14ac:dyDescent="0.35">
      <c r="A509" s="7" t="s">
        <v>539</v>
      </c>
      <c r="B509" s="8">
        <v>45179</v>
      </c>
      <c r="C509" s="9" t="s">
        <v>21</v>
      </c>
      <c r="D509" s="9" t="s">
        <v>34</v>
      </c>
      <c r="E509" s="9" t="s">
        <v>29</v>
      </c>
      <c r="F509" s="9">
        <v>217</v>
      </c>
      <c r="G509" s="9">
        <v>203.27</v>
      </c>
      <c r="H509" s="9" t="s">
        <v>23</v>
      </c>
      <c r="I509" s="9">
        <v>48</v>
      </c>
      <c r="J509" s="10">
        <v>-13.729999999999899</v>
      </c>
      <c r="K509" s="9" t="str">
        <f>TEXT(Sales_of_Jordan[[#This Row],[Sale_Date]],"mmm")</f>
        <v>Sep</v>
      </c>
    </row>
    <row r="510" spans="1:11" x14ac:dyDescent="0.35">
      <c r="A510" s="7" t="s">
        <v>540</v>
      </c>
      <c r="B510" s="8">
        <v>45811</v>
      </c>
      <c r="C510" s="9" t="s">
        <v>11</v>
      </c>
      <c r="D510" s="9" t="s">
        <v>36</v>
      </c>
      <c r="E510" s="9" t="s">
        <v>29</v>
      </c>
      <c r="F510" s="9">
        <v>225</v>
      </c>
      <c r="G510" s="9">
        <v>240.51</v>
      </c>
      <c r="H510" s="9" t="s">
        <v>23</v>
      </c>
      <c r="I510" s="9">
        <v>56</v>
      </c>
      <c r="J510" s="10">
        <v>15.5099999999999</v>
      </c>
      <c r="K510" s="9" t="str">
        <f>TEXT(Sales_of_Jordan[[#This Row],[Sale_Date]],"mmm")</f>
        <v>Jun</v>
      </c>
    </row>
    <row r="511" spans="1:11" x14ac:dyDescent="0.35">
      <c r="A511" s="7" t="s">
        <v>541</v>
      </c>
      <c r="B511" s="8">
        <v>45779</v>
      </c>
      <c r="C511" s="9" t="s">
        <v>16</v>
      </c>
      <c r="D511" s="9" t="s">
        <v>53</v>
      </c>
      <c r="E511" s="9" t="s">
        <v>18</v>
      </c>
      <c r="F511" s="9">
        <v>188</v>
      </c>
      <c r="G511" s="9">
        <v>313.01</v>
      </c>
      <c r="H511" s="9" t="s">
        <v>19</v>
      </c>
      <c r="I511" s="9">
        <v>6</v>
      </c>
      <c r="J511" s="10">
        <v>125.009999999999</v>
      </c>
      <c r="K511" s="9" t="str">
        <f>TEXT(Sales_of_Jordan[[#This Row],[Sale_Date]],"mmm")</f>
        <v>May</v>
      </c>
    </row>
    <row r="512" spans="1:11" x14ac:dyDescent="0.35">
      <c r="A512" s="7" t="s">
        <v>542</v>
      </c>
      <c r="B512" s="8">
        <v>45206</v>
      </c>
      <c r="C512" s="9" t="s">
        <v>31</v>
      </c>
      <c r="D512" s="9" t="s">
        <v>17</v>
      </c>
      <c r="E512" s="9" t="s">
        <v>29</v>
      </c>
      <c r="F512" s="9">
        <v>200</v>
      </c>
      <c r="G512" s="9">
        <v>196.8</v>
      </c>
      <c r="H512" s="9" t="s">
        <v>25</v>
      </c>
      <c r="I512" s="9">
        <v>50</v>
      </c>
      <c r="J512" s="10">
        <v>-3.1999999999999802</v>
      </c>
      <c r="K512" s="9" t="str">
        <f>TEXT(Sales_of_Jordan[[#This Row],[Sale_Date]],"mmm")</f>
        <v>Oct</v>
      </c>
    </row>
    <row r="513" spans="1:11" x14ac:dyDescent="0.35">
      <c r="A513" s="7" t="s">
        <v>543</v>
      </c>
      <c r="B513" s="8">
        <v>45262</v>
      </c>
      <c r="C513" s="9" t="s">
        <v>21</v>
      </c>
      <c r="D513" s="9" t="s">
        <v>53</v>
      </c>
      <c r="E513" s="9" t="s">
        <v>13</v>
      </c>
      <c r="F513" s="9">
        <v>224</v>
      </c>
      <c r="G513" s="9">
        <v>195.51</v>
      </c>
      <c r="H513" s="9" t="s">
        <v>32</v>
      </c>
      <c r="I513" s="9">
        <v>18</v>
      </c>
      <c r="J513" s="10">
        <v>-28.49</v>
      </c>
      <c r="K513" s="9" t="str">
        <f>TEXT(Sales_of_Jordan[[#This Row],[Sale_Date]],"mmm")</f>
        <v>Dec</v>
      </c>
    </row>
    <row r="514" spans="1:11" x14ac:dyDescent="0.35">
      <c r="A514" s="7" t="s">
        <v>544</v>
      </c>
      <c r="B514" s="8">
        <v>45492</v>
      </c>
      <c r="C514" s="9" t="s">
        <v>21</v>
      </c>
      <c r="D514" s="9" t="s">
        <v>39</v>
      </c>
      <c r="E514" s="9" t="s">
        <v>18</v>
      </c>
      <c r="F514" s="9">
        <v>210</v>
      </c>
      <c r="G514" s="9">
        <v>336.64</v>
      </c>
      <c r="H514" s="9" t="s">
        <v>23</v>
      </c>
      <c r="I514" s="9">
        <v>16</v>
      </c>
      <c r="J514" s="10">
        <v>126.63999999999901</v>
      </c>
      <c r="K514" s="9" t="str">
        <f>TEXT(Sales_of_Jordan[[#This Row],[Sale_Date]],"mmm")</f>
        <v>Jul</v>
      </c>
    </row>
    <row r="515" spans="1:11" x14ac:dyDescent="0.35">
      <c r="A515" s="7" t="s">
        <v>545</v>
      </c>
      <c r="B515" s="8">
        <v>45433</v>
      </c>
      <c r="C515" s="9" t="s">
        <v>11</v>
      </c>
      <c r="D515" s="9" t="s">
        <v>55</v>
      </c>
      <c r="E515" s="9" t="s">
        <v>29</v>
      </c>
      <c r="F515" s="9">
        <v>226</v>
      </c>
      <c r="G515" s="9">
        <v>330.71</v>
      </c>
      <c r="H515" s="9" t="s">
        <v>25</v>
      </c>
      <c r="I515" s="9">
        <v>23</v>
      </c>
      <c r="J515" s="10">
        <v>104.709999999999</v>
      </c>
      <c r="K515" s="9" t="str">
        <f>TEXT(Sales_of_Jordan[[#This Row],[Sale_Date]],"mmm")</f>
        <v>May</v>
      </c>
    </row>
    <row r="516" spans="1:11" x14ac:dyDescent="0.35">
      <c r="A516" s="7" t="s">
        <v>546</v>
      </c>
      <c r="B516" s="8">
        <v>45296</v>
      </c>
      <c r="C516" s="9" t="s">
        <v>27</v>
      </c>
      <c r="D516" s="9" t="s">
        <v>22</v>
      </c>
      <c r="E516" s="9" t="s">
        <v>13</v>
      </c>
      <c r="F516" s="9">
        <v>115</v>
      </c>
      <c r="G516" s="9">
        <v>71.11</v>
      </c>
      <c r="H516" s="9" t="s">
        <v>25</v>
      </c>
      <c r="I516" s="9">
        <v>39</v>
      </c>
      <c r="J516" s="10">
        <v>-43.89</v>
      </c>
      <c r="K516" s="9" t="str">
        <f>TEXT(Sales_of_Jordan[[#This Row],[Sale_Date]],"mmm")</f>
        <v>Jan</v>
      </c>
    </row>
    <row r="517" spans="1:11" x14ac:dyDescent="0.35">
      <c r="A517" s="7" t="s">
        <v>547</v>
      </c>
      <c r="B517" s="8">
        <v>45335</v>
      </c>
      <c r="C517" s="9" t="s">
        <v>16</v>
      </c>
      <c r="D517" s="9" t="s">
        <v>17</v>
      </c>
      <c r="E517" s="9" t="s">
        <v>13</v>
      </c>
      <c r="F517" s="9">
        <v>179</v>
      </c>
      <c r="G517" s="9">
        <v>125.52</v>
      </c>
      <c r="H517" s="9" t="s">
        <v>14</v>
      </c>
      <c r="I517" s="9">
        <v>8</v>
      </c>
      <c r="J517" s="10">
        <v>-53.48</v>
      </c>
      <c r="K517" s="9" t="str">
        <f>TEXT(Sales_of_Jordan[[#This Row],[Sale_Date]],"mmm")</f>
        <v>Feb</v>
      </c>
    </row>
    <row r="518" spans="1:11" x14ac:dyDescent="0.35">
      <c r="A518" s="7" t="s">
        <v>548</v>
      </c>
      <c r="B518" s="8">
        <v>45549</v>
      </c>
      <c r="C518" s="9" t="s">
        <v>16</v>
      </c>
      <c r="D518" s="9" t="s">
        <v>53</v>
      </c>
      <c r="E518" s="9" t="s">
        <v>29</v>
      </c>
      <c r="F518" s="9">
        <v>180</v>
      </c>
      <c r="G518" s="9">
        <v>171.47</v>
      </c>
      <c r="H518" s="9" t="s">
        <v>23</v>
      </c>
      <c r="I518" s="9">
        <v>28</v>
      </c>
      <c r="J518" s="10">
        <v>-8.5299999999999994</v>
      </c>
      <c r="K518" s="9" t="str">
        <f>TEXT(Sales_of_Jordan[[#This Row],[Sale_Date]],"mmm")</f>
        <v>Sep</v>
      </c>
    </row>
    <row r="519" spans="1:11" x14ac:dyDescent="0.35">
      <c r="A519" s="7" t="s">
        <v>549</v>
      </c>
      <c r="B519" s="8">
        <v>45207</v>
      </c>
      <c r="C519" s="9" t="s">
        <v>21</v>
      </c>
      <c r="D519" s="9" t="s">
        <v>12</v>
      </c>
      <c r="E519" s="9" t="s">
        <v>13</v>
      </c>
      <c r="F519" s="9">
        <v>211</v>
      </c>
      <c r="G519" s="9">
        <v>125.33</v>
      </c>
      <c r="H519" s="9" t="s">
        <v>25</v>
      </c>
      <c r="I519" s="9">
        <v>18</v>
      </c>
      <c r="J519" s="10">
        <v>-85.67</v>
      </c>
      <c r="K519" s="9" t="str">
        <f>TEXT(Sales_of_Jordan[[#This Row],[Sale_Date]],"mmm")</f>
        <v>Oct</v>
      </c>
    </row>
    <row r="520" spans="1:11" x14ac:dyDescent="0.35">
      <c r="A520" s="7" t="s">
        <v>550</v>
      </c>
      <c r="B520" s="8">
        <v>45100</v>
      </c>
      <c r="C520" s="9" t="s">
        <v>11</v>
      </c>
      <c r="D520" s="9" t="s">
        <v>12</v>
      </c>
      <c r="E520" s="9" t="s">
        <v>13</v>
      </c>
      <c r="F520" s="9">
        <v>230</v>
      </c>
      <c r="G520" s="9">
        <v>158.09</v>
      </c>
      <c r="H520" s="9" t="s">
        <v>25</v>
      </c>
      <c r="I520" s="9">
        <v>44</v>
      </c>
      <c r="J520" s="10">
        <v>-71.91</v>
      </c>
      <c r="K520" s="9" t="str">
        <f>TEXT(Sales_of_Jordan[[#This Row],[Sale_Date]],"mmm")</f>
        <v>Jun</v>
      </c>
    </row>
    <row r="521" spans="1:11" x14ac:dyDescent="0.35">
      <c r="A521" s="7" t="s">
        <v>551</v>
      </c>
      <c r="B521" s="8">
        <v>45518</v>
      </c>
      <c r="C521" s="9" t="s">
        <v>16</v>
      </c>
      <c r="D521" s="9" t="s">
        <v>17</v>
      </c>
      <c r="E521" s="9" t="s">
        <v>29</v>
      </c>
      <c r="F521" s="9">
        <v>190</v>
      </c>
      <c r="G521" s="9">
        <v>244.35</v>
      </c>
      <c r="H521" s="9" t="s">
        <v>23</v>
      </c>
      <c r="I521" s="9">
        <v>49</v>
      </c>
      <c r="J521" s="10">
        <v>54.349999999999902</v>
      </c>
      <c r="K521" s="9" t="str">
        <f>TEXT(Sales_of_Jordan[[#This Row],[Sale_Date]],"mmm")</f>
        <v>Aug</v>
      </c>
    </row>
    <row r="522" spans="1:11" x14ac:dyDescent="0.35">
      <c r="A522" s="7" t="s">
        <v>552</v>
      </c>
      <c r="B522" s="8">
        <v>45095</v>
      </c>
      <c r="C522" s="9" t="s">
        <v>31</v>
      </c>
      <c r="D522" s="9" t="s">
        <v>36</v>
      </c>
      <c r="E522" s="9" t="s">
        <v>13</v>
      </c>
      <c r="F522" s="9">
        <v>203</v>
      </c>
      <c r="G522" s="9">
        <v>125.81</v>
      </c>
      <c r="H522" s="9" t="s">
        <v>19</v>
      </c>
      <c r="I522" s="9">
        <v>4</v>
      </c>
      <c r="J522" s="10">
        <v>-77.19</v>
      </c>
      <c r="K522" s="9" t="str">
        <f>TEXT(Sales_of_Jordan[[#This Row],[Sale_Date]],"mmm")</f>
        <v>Jun</v>
      </c>
    </row>
    <row r="523" spans="1:11" x14ac:dyDescent="0.35">
      <c r="A523" s="7" t="s">
        <v>553</v>
      </c>
      <c r="B523" s="8">
        <v>45581</v>
      </c>
      <c r="C523" s="9" t="s">
        <v>16</v>
      </c>
      <c r="D523" s="9" t="s">
        <v>34</v>
      </c>
      <c r="E523" s="9" t="s">
        <v>29</v>
      </c>
      <c r="F523" s="9">
        <v>171</v>
      </c>
      <c r="G523" s="9">
        <v>204.78</v>
      </c>
      <c r="H523" s="9" t="s">
        <v>19</v>
      </c>
      <c r="I523" s="9">
        <v>13</v>
      </c>
      <c r="J523" s="10">
        <v>33.78</v>
      </c>
      <c r="K523" s="9" t="str">
        <f>TEXT(Sales_of_Jordan[[#This Row],[Sale_Date]],"mmm")</f>
        <v>Oct</v>
      </c>
    </row>
    <row r="524" spans="1:11" x14ac:dyDescent="0.35">
      <c r="A524" s="7" t="s">
        <v>554</v>
      </c>
      <c r="B524" s="8">
        <v>45787</v>
      </c>
      <c r="C524" s="9" t="s">
        <v>31</v>
      </c>
      <c r="D524" s="9" t="s">
        <v>12</v>
      </c>
      <c r="E524" s="9" t="s">
        <v>18</v>
      </c>
      <c r="F524" s="9">
        <v>206</v>
      </c>
      <c r="G524" s="9">
        <v>439.23</v>
      </c>
      <c r="H524" s="9" t="s">
        <v>23</v>
      </c>
      <c r="I524" s="9">
        <v>8</v>
      </c>
      <c r="J524" s="10">
        <v>233.23</v>
      </c>
      <c r="K524" s="9" t="str">
        <f>TEXT(Sales_of_Jordan[[#This Row],[Sale_Date]],"mmm")</f>
        <v>May</v>
      </c>
    </row>
    <row r="525" spans="1:11" x14ac:dyDescent="0.35">
      <c r="A525" s="7" t="s">
        <v>555</v>
      </c>
      <c r="B525" s="8">
        <v>45884</v>
      </c>
      <c r="C525" s="9" t="s">
        <v>31</v>
      </c>
      <c r="D525" s="9" t="s">
        <v>55</v>
      </c>
      <c r="E525" s="9" t="s">
        <v>29</v>
      </c>
      <c r="F525" s="9">
        <v>209</v>
      </c>
      <c r="G525" s="9">
        <v>241.81</v>
      </c>
      <c r="H525" s="9" t="s">
        <v>14</v>
      </c>
      <c r="I525" s="9">
        <v>2</v>
      </c>
      <c r="J525" s="10">
        <v>32.81</v>
      </c>
      <c r="K525" s="9" t="str">
        <f>TEXT(Sales_of_Jordan[[#This Row],[Sale_Date]],"mmm")</f>
        <v>Aug</v>
      </c>
    </row>
    <row r="526" spans="1:11" x14ac:dyDescent="0.35">
      <c r="A526" s="7" t="s">
        <v>556</v>
      </c>
      <c r="B526" s="8">
        <v>45831</v>
      </c>
      <c r="C526" s="9" t="s">
        <v>31</v>
      </c>
      <c r="D526" s="9" t="s">
        <v>39</v>
      </c>
      <c r="E526" s="9" t="s">
        <v>13</v>
      </c>
      <c r="F526" s="9">
        <v>207</v>
      </c>
      <c r="G526" s="9">
        <v>158.37</v>
      </c>
      <c r="H526" s="9" t="s">
        <v>19</v>
      </c>
      <c r="I526" s="9">
        <v>7</v>
      </c>
      <c r="J526" s="10">
        <v>-48.629999999999903</v>
      </c>
      <c r="K526" s="9" t="str">
        <f>TEXT(Sales_of_Jordan[[#This Row],[Sale_Date]],"mmm")</f>
        <v>Jun</v>
      </c>
    </row>
    <row r="527" spans="1:11" x14ac:dyDescent="0.35">
      <c r="A527" s="7" t="s">
        <v>557</v>
      </c>
      <c r="B527" s="8">
        <v>45652</v>
      </c>
      <c r="C527" s="9" t="s">
        <v>27</v>
      </c>
      <c r="D527" s="9" t="s">
        <v>46</v>
      </c>
      <c r="E527" s="9" t="s">
        <v>13</v>
      </c>
      <c r="F527" s="9">
        <v>125</v>
      </c>
      <c r="G527" s="9">
        <v>81.83</v>
      </c>
      <c r="H527" s="9" t="s">
        <v>14</v>
      </c>
      <c r="I527" s="9">
        <v>2</v>
      </c>
      <c r="J527" s="10">
        <v>-43.17</v>
      </c>
      <c r="K527" s="9" t="str">
        <f>TEXT(Sales_of_Jordan[[#This Row],[Sale_Date]],"mmm")</f>
        <v>Dec</v>
      </c>
    </row>
    <row r="528" spans="1:11" x14ac:dyDescent="0.35">
      <c r="A528" s="7" t="s">
        <v>558</v>
      </c>
      <c r="B528" s="8">
        <v>45525</v>
      </c>
      <c r="C528" s="9" t="s">
        <v>27</v>
      </c>
      <c r="D528" s="9" t="s">
        <v>46</v>
      </c>
      <c r="E528" s="9" t="s">
        <v>29</v>
      </c>
      <c r="F528" s="9">
        <v>128</v>
      </c>
      <c r="G528" s="9">
        <v>162.74</v>
      </c>
      <c r="H528" s="9" t="s">
        <v>19</v>
      </c>
      <c r="I528" s="9">
        <v>5</v>
      </c>
      <c r="J528" s="10">
        <v>34.74</v>
      </c>
      <c r="K528" s="9" t="str">
        <f>TEXT(Sales_of_Jordan[[#This Row],[Sale_Date]],"mmm")</f>
        <v>Aug</v>
      </c>
    </row>
    <row r="529" spans="1:11" x14ac:dyDescent="0.35">
      <c r="A529" s="7" t="s">
        <v>559</v>
      </c>
      <c r="B529" s="8">
        <v>45716</v>
      </c>
      <c r="C529" s="9" t="s">
        <v>31</v>
      </c>
      <c r="D529" s="9" t="s">
        <v>17</v>
      </c>
      <c r="E529" s="9" t="s">
        <v>29</v>
      </c>
      <c r="F529" s="9">
        <v>205</v>
      </c>
      <c r="G529" s="9">
        <v>296.56</v>
      </c>
      <c r="H529" s="9" t="s">
        <v>25</v>
      </c>
      <c r="I529" s="9">
        <v>11</v>
      </c>
      <c r="J529" s="10">
        <v>91.56</v>
      </c>
      <c r="K529" s="9" t="str">
        <f>TEXT(Sales_of_Jordan[[#This Row],[Sale_Date]],"mmm")</f>
        <v>Feb</v>
      </c>
    </row>
    <row r="530" spans="1:11" x14ac:dyDescent="0.35">
      <c r="A530" s="7" t="s">
        <v>560</v>
      </c>
      <c r="B530" s="8">
        <v>45245</v>
      </c>
      <c r="C530" s="9" t="s">
        <v>31</v>
      </c>
      <c r="D530" s="9" t="s">
        <v>17</v>
      </c>
      <c r="E530" s="9" t="s">
        <v>29</v>
      </c>
      <c r="F530" s="9">
        <v>202</v>
      </c>
      <c r="G530" s="9">
        <v>225.08</v>
      </c>
      <c r="H530" s="9" t="s">
        <v>14</v>
      </c>
      <c r="I530" s="9">
        <v>4</v>
      </c>
      <c r="J530" s="10">
        <v>23.08</v>
      </c>
      <c r="K530" s="9" t="str">
        <f>TEXT(Sales_of_Jordan[[#This Row],[Sale_Date]],"mmm")</f>
        <v>Nov</v>
      </c>
    </row>
    <row r="531" spans="1:11" x14ac:dyDescent="0.35">
      <c r="A531" s="7" t="s">
        <v>561</v>
      </c>
      <c r="B531" s="8">
        <v>45324</v>
      </c>
      <c r="C531" s="9" t="s">
        <v>31</v>
      </c>
      <c r="D531" s="9" t="s">
        <v>12</v>
      </c>
      <c r="E531" s="9" t="s">
        <v>13</v>
      </c>
      <c r="F531" s="9">
        <v>208</v>
      </c>
      <c r="G531" s="9">
        <v>186.3</v>
      </c>
      <c r="H531" s="9" t="s">
        <v>14</v>
      </c>
      <c r="I531" s="9">
        <v>12</v>
      </c>
      <c r="J531" s="10">
        <v>-21.6999999999999</v>
      </c>
      <c r="K531" s="9" t="str">
        <f>TEXT(Sales_of_Jordan[[#This Row],[Sale_Date]],"mmm")</f>
        <v>Feb</v>
      </c>
    </row>
    <row r="532" spans="1:11" x14ac:dyDescent="0.35">
      <c r="A532" s="7" t="s">
        <v>562</v>
      </c>
      <c r="B532" s="8">
        <v>45646</v>
      </c>
      <c r="C532" s="9" t="s">
        <v>11</v>
      </c>
      <c r="D532" s="9" t="s">
        <v>12</v>
      </c>
      <c r="E532" s="9" t="s">
        <v>18</v>
      </c>
      <c r="F532" s="9">
        <v>230</v>
      </c>
      <c r="G532" s="9">
        <v>289.86</v>
      </c>
      <c r="H532" s="9" t="s">
        <v>23</v>
      </c>
      <c r="I532" s="9">
        <v>5</v>
      </c>
      <c r="J532" s="10">
        <v>59.86</v>
      </c>
      <c r="K532" s="9" t="str">
        <f>TEXT(Sales_of_Jordan[[#This Row],[Sale_Date]],"mmm")</f>
        <v>Dec</v>
      </c>
    </row>
    <row r="533" spans="1:11" x14ac:dyDescent="0.35">
      <c r="A533" s="7" t="s">
        <v>563</v>
      </c>
      <c r="B533" s="8">
        <v>45017</v>
      </c>
      <c r="C533" s="9" t="s">
        <v>31</v>
      </c>
      <c r="D533" s="9" t="s">
        <v>55</v>
      </c>
      <c r="E533" s="9" t="s">
        <v>18</v>
      </c>
      <c r="F533" s="9">
        <v>201</v>
      </c>
      <c r="G533" s="9">
        <v>611.91999999999996</v>
      </c>
      <c r="H533" s="9" t="s">
        <v>25</v>
      </c>
      <c r="I533" s="9">
        <v>35</v>
      </c>
      <c r="J533" s="10">
        <v>410.91999999999899</v>
      </c>
      <c r="K533" s="9" t="str">
        <f>TEXT(Sales_of_Jordan[[#This Row],[Sale_Date]],"mmm")</f>
        <v>Apr</v>
      </c>
    </row>
    <row r="534" spans="1:11" x14ac:dyDescent="0.35">
      <c r="A534" s="7" t="s">
        <v>564</v>
      </c>
      <c r="B534" s="8">
        <v>45221</v>
      </c>
      <c r="C534" s="9" t="s">
        <v>21</v>
      </c>
      <c r="D534" s="9" t="s">
        <v>46</v>
      </c>
      <c r="E534" s="9" t="s">
        <v>13</v>
      </c>
      <c r="F534" s="9">
        <v>217</v>
      </c>
      <c r="G534" s="9">
        <v>129.58000000000001</v>
      </c>
      <c r="H534" s="9" t="s">
        <v>14</v>
      </c>
      <c r="I534" s="9">
        <v>7</v>
      </c>
      <c r="J534" s="10">
        <v>-87.419999999999902</v>
      </c>
      <c r="K534" s="9" t="str">
        <f>TEXT(Sales_of_Jordan[[#This Row],[Sale_Date]],"mmm")</f>
        <v>Oct</v>
      </c>
    </row>
    <row r="535" spans="1:11" x14ac:dyDescent="0.35">
      <c r="A535" s="7" t="s">
        <v>565</v>
      </c>
      <c r="B535" s="8">
        <v>45660</v>
      </c>
      <c r="C535" s="9" t="s">
        <v>31</v>
      </c>
      <c r="D535" s="9" t="s">
        <v>53</v>
      </c>
      <c r="E535" s="9" t="s">
        <v>18</v>
      </c>
      <c r="F535" s="9">
        <v>204</v>
      </c>
      <c r="G535" s="9">
        <v>361.33</v>
      </c>
      <c r="H535" s="9" t="s">
        <v>14</v>
      </c>
      <c r="I535" s="9">
        <v>1</v>
      </c>
      <c r="J535" s="10">
        <v>157.32999999999899</v>
      </c>
      <c r="K535" s="9" t="str">
        <f>TEXT(Sales_of_Jordan[[#This Row],[Sale_Date]],"mmm")</f>
        <v>Jan</v>
      </c>
    </row>
    <row r="536" spans="1:11" x14ac:dyDescent="0.35">
      <c r="A536" s="7" t="s">
        <v>566</v>
      </c>
      <c r="B536" s="8">
        <v>45201</v>
      </c>
      <c r="C536" s="9" t="s">
        <v>31</v>
      </c>
      <c r="D536" s="9" t="s">
        <v>46</v>
      </c>
      <c r="E536" s="9" t="s">
        <v>18</v>
      </c>
      <c r="F536" s="9">
        <v>201</v>
      </c>
      <c r="G536" s="9">
        <v>599.89</v>
      </c>
      <c r="H536" s="9" t="s">
        <v>25</v>
      </c>
      <c r="I536" s="9">
        <v>29</v>
      </c>
      <c r="J536" s="10">
        <v>398.89</v>
      </c>
      <c r="K536" s="9" t="str">
        <f>TEXT(Sales_of_Jordan[[#This Row],[Sale_Date]],"mmm")</f>
        <v>Oct</v>
      </c>
    </row>
    <row r="537" spans="1:11" x14ac:dyDescent="0.35">
      <c r="A537" s="7" t="s">
        <v>567</v>
      </c>
      <c r="B537" s="8">
        <v>45592</v>
      </c>
      <c r="C537" s="9" t="s">
        <v>16</v>
      </c>
      <c r="D537" s="9" t="s">
        <v>53</v>
      </c>
      <c r="E537" s="9" t="s">
        <v>18</v>
      </c>
      <c r="F537" s="9">
        <v>178</v>
      </c>
      <c r="G537" s="9">
        <v>249.8</v>
      </c>
      <c r="H537" s="9" t="s">
        <v>14</v>
      </c>
      <c r="I537" s="9">
        <v>6</v>
      </c>
      <c r="J537" s="10">
        <v>71.8</v>
      </c>
      <c r="K537" s="9" t="str">
        <f>TEXT(Sales_of_Jordan[[#This Row],[Sale_Date]],"mmm")</f>
        <v>Oct</v>
      </c>
    </row>
    <row r="538" spans="1:11" x14ac:dyDescent="0.35">
      <c r="A538" s="7" t="s">
        <v>568</v>
      </c>
      <c r="B538" s="8">
        <v>44976</v>
      </c>
      <c r="C538" s="9" t="s">
        <v>11</v>
      </c>
      <c r="D538" s="9" t="s">
        <v>17</v>
      </c>
      <c r="E538" s="9" t="s">
        <v>29</v>
      </c>
      <c r="F538" s="9">
        <v>227</v>
      </c>
      <c r="G538" s="9">
        <v>329.42</v>
      </c>
      <c r="H538" s="9" t="s">
        <v>14</v>
      </c>
      <c r="I538" s="9">
        <v>4</v>
      </c>
      <c r="J538" s="10">
        <v>102.42</v>
      </c>
      <c r="K538" s="9" t="str">
        <f>TEXT(Sales_of_Jordan[[#This Row],[Sale_Date]],"mmm")</f>
        <v>Feb</v>
      </c>
    </row>
    <row r="539" spans="1:11" x14ac:dyDescent="0.35">
      <c r="A539" s="7" t="s">
        <v>569</v>
      </c>
      <c r="B539" s="8">
        <v>45162</v>
      </c>
      <c r="C539" s="9" t="s">
        <v>16</v>
      </c>
      <c r="D539" s="9" t="s">
        <v>22</v>
      </c>
      <c r="E539" s="9" t="s">
        <v>18</v>
      </c>
      <c r="F539" s="9">
        <v>189</v>
      </c>
      <c r="G539" s="9">
        <v>319.08999999999997</v>
      </c>
      <c r="H539" s="9" t="s">
        <v>19</v>
      </c>
      <c r="I539" s="9">
        <v>1</v>
      </c>
      <c r="J539" s="10">
        <v>130.08999999999901</v>
      </c>
      <c r="K539" s="9" t="str">
        <f>TEXT(Sales_of_Jordan[[#This Row],[Sale_Date]],"mmm")</f>
        <v>Aug</v>
      </c>
    </row>
    <row r="540" spans="1:11" x14ac:dyDescent="0.35">
      <c r="A540" s="7" t="s">
        <v>570</v>
      </c>
      <c r="B540" s="8">
        <v>45044</v>
      </c>
      <c r="C540" s="9" t="s">
        <v>21</v>
      </c>
      <c r="D540" s="9" t="s">
        <v>34</v>
      </c>
      <c r="E540" s="9" t="s">
        <v>29</v>
      </c>
      <c r="F540" s="9">
        <v>211</v>
      </c>
      <c r="G540" s="9">
        <v>232.38</v>
      </c>
      <c r="H540" s="9" t="s">
        <v>23</v>
      </c>
      <c r="I540" s="9">
        <v>7</v>
      </c>
      <c r="J540" s="10">
        <v>21.3799999999999</v>
      </c>
      <c r="K540" s="9" t="str">
        <f>TEXT(Sales_of_Jordan[[#This Row],[Sale_Date]],"mmm")</f>
        <v>Apr</v>
      </c>
    </row>
    <row r="541" spans="1:11" x14ac:dyDescent="0.35">
      <c r="A541" s="7" t="s">
        <v>571</v>
      </c>
      <c r="B541" s="8">
        <v>45752</v>
      </c>
      <c r="C541" s="9" t="s">
        <v>11</v>
      </c>
      <c r="D541" s="9" t="s">
        <v>17</v>
      </c>
      <c r="E541" s="9" t="s">
        <v>29</v>
      </c>
      <c r="F541" s="9">
        <v>230</v>
      </c>
      <c r="G541" s="9">
        <v>242.46</v>
      </c>
      <c r="H541" s="9" t="s">
        <v>23</v>
      </c>
      <c r="I541" s="9">
        <v>23</v>
      </c>
      <c r="J541" s="10">
        <v>12.46</v>
      </c>
      <c r="K541" s="9" t="str">
        <f>TEXT(Sales_of_Jordan[[#This Row],[Sale_Date]],"mmm")</f>
        <v>Apr</v>
      </c>
    </row>
    <row r="542" spans="1:11" x14ac:dyDescent="0.35">
      <c r="A542" s="7" t="s">
        <v>572</v>
      </c>
      <c r="B542" s="8">
        <v>45379</v>
      </c>
      <c r="C542" s="9" t="s">
        <v>11</v>
      </c>
      <c r="D542" s="9" t="s">
        <v>22</v>
      </c>
      <c r="E542" s="9" t="s">
        <v>29</v>
      </c>
      <c r="F542" s="9">
        <v>228</v>
      </c>
      <c r="G542" s="9">
        <v>315.14999999999998</v>
      </c>
      <c r="H542" s="9" t="s">
        <v>25</v>
      </c>
      <c r="I542" s="9">
        <v>40</v>
      </c>
      <c r="J542" s="10">
        <v>87.149999999999906</v>
      </c>
      <c r="K542" s="9" t="str">
        <f>TEXT(Sales_of_Jordan[[#This Row],[Sale_Date]],"mmm")</f>
        <v>Mar</v>
      </c>
    </row>
    <row r="543" spans="1:11" x14ac:dyDescent="0.35">
      <c r="A543" s="7" t="s">
        <v>573</v>
      </c>
      <c r="B543" s="8">
        <v>45309</v>
      </c>
      <c r="C543" s="9" t="s">
        <v>16</v>
      </c>
      <c r="D543" s="9" t="s">
        <v>22</v>
      </c>
      <c r="E543" s="9" t="s">
        <v>29</v>
      </c>
      <c r="F543" s="9">
        <v>174</v>
      </c>
      <c r="G543" s="9">
        <v>249.09</v>
      </c>
      <c r="H543" s="9" t="s">
        <v>32</v>
      </c>
      <c r="I543" s="9">
        <v>27</v>
      </c>
      <c r="J543" s="10">
        <v>75.09</v>
      </c>
      <c r="K543" s="9" t="str">
        <f>TEXT(Sales_of_Jordan[[#This Row],[Sale_Date]],"mmm")</f>
        <v>Jan</v>
      </c>
    </row>
    <row r="544" spans="1:11" x14ac:dyDescent="0.35">
      <c r="A544" s="7" t="s">
        <v>574</v>
      </c>
      <c r="B544" s="8">
        <v>45893</v>
      </c>
      <c r="C544" s="9" t="s">
        <v>21</v>
      </c>
      <c r="D544" s="9" t="s">
        <v>55</v>
      </c>
      <c r="E544" s="9" t="s">
        <v>29</v>
      </c>
      <c r="F544" s="9">
        <v>217</v>
      </c>
      <c r="G544" s="9">
        <v>215.42</v>
      </c>
      <c r="H544" s="9" t="s">
        <v>14</v>
      </c>
      <c r="I544" s="9">
        <v>2</v>
      </c>
      <c r="J544" s="10">
        <v>-1.5800000000000101</v>
      </c>
      <c r="K544" s="9" t="str">
        <f>TEXT(Sales_of_Jordan[[#This Row],[Sale_Date]],"mmm")</f>
        <v>Aug</v>
      </c>
    </row>
    <row r="545" spans="1:11" x14ac:dyDescent="0.35">
      <c r="A545" s="7" t="s">
        <v>575</v>
      </c>
      <c r="B545" s="8">
        <v>45075</v>
      </c>
      <c r="C545" s="9" t="s">
        <v>27</v>
      </c>
      <c r="D545" s="9" t="s">
        <v>12</v>
      </c>
      <c r="E545" s="9" t="s">
        <v>29</v>
      </c>
      <c r="F545" s="9">
        <v>127</v>
      </c>
      <c r="G545" s="9">
        <v>125.81</v>
      </c>
      <c r="H545" s="9" t="s">
        <v>23</v>
      </c>
      <c r="I545" s="9">
        <v>24</v>
      </c>
      <c r="J545" s="10">
        <v>-1.18999999999999</v>
      </c>
      <c r="K545" s="9" t="str">
        <f>TEXT(Sales_of_Jordan[[#This Row],[Sale_Date]],"mmm")</f>
        <v>May</v>
      </c>
    </row>
    <row r="546" spans="1:11" x14ac:dyDescent="0.35">
      <c r="A546" s="7" t="s">
        <v>576</v>
      </c>
      <c r="B546" s="8">
        <v>45603</v>
      </c>
      <c r="C546" s="9" t="s">
        <v>16</v>
      </c>
      <c r="D546" s="9" t="s">
        <v>12</v>
      </c>
      <c r="E546" s="9" t="s">
        <v>29</v>
      </c>
      <c r="F546" s="9">
        <v>171</v>
      </c>
      <c r="G546" s="9">
        <v>191.61</v>
      </c>
      <c r="H546" s="9" t="s">
        <v>19</v>
      </c>
      <c r="I546" s="9">
        <v>2</v>
      </c>
      <c r="J546" s="10">
        <v>20.61</v>
      </c>
      <c r="K546" s="9" t="str">
        <f>TEXT(Sales_of_Jordan[[#This Row],[Sale_Date]],"mmm")</f>
        <v>Nov</v>
      </c>
    </row>
    <row r="547" spans="1:11" x14ac:dyDescent="0.35">
      <c r="A547" s="7" t="s">
        <v>577</v>
      </c>
      <c r="B547" s="8">
        <v>45698</v>
      </c>
      <c r="C547" s="9" t="s">
        <v>31</v>
      </c>
      <c r="D547" s="9" t="s">
        <v>46</v>
      </c>
      <c r="E547" s="9" t="s">
        <v>13</v>
      </c>
      <c r="F547" s="9">
        <v>206</v>
      </c>
      <c r="G547" s="9">
        <v>129.93</v>
      </c>
      <c r="H547" s="9" t="s">
        <v>23</v>
      </c>
      <c r="I547" s="9">
        <v>42</v>
      </c>
      <c r="J547" s="10">
        <v>-76.069999999999993</v>
      </c>
      <c r="K547" s="9" t="str">
        <f>TEXT(Sales_of_Jordan[[#This Row],[Sale_Date]],"mmm")</f>
        <v>Feb</v>
      </c>
    </row>
    <row r="548" spans="1:11" x14ac:dyDescent="0.35">
      <c r="A548" s="7" t="s">
        <v>578</v>
      </c>
      <c r="B548" s="8">
        <v>45612</v>
      </c>
      <c r="C548" s="9" t="s">
        <v>21</v>
      </c>
      <c r="D548" s="9" t="s">
        <v>39</v>
      </c>
      <c r="E548" s="9" t="s">
        <v>18</v>
      </c>
      <c r="F548" s="9">
        <v>213</v>
      </c>
      <c r="G548" s="9">
        <v>499.22</v>
      </c>
      <c r="H548" s="9" t="s">
        <v>25</v>
      </c>
      <c r="I548" s="9">
        <v>46</v>
      </c>
      <c r="J548" s="10">
        <v>286.22000000000003</v>
      </c>
      <c r="K548" s="9" t="str">
        <f>TEXT(Sales_of_Jordan[[#This Row],[Sale_Date]],"mmm")</f>
        <v>Nov</v>
      </c>
    </row>
    <row r="549" spans="1:11" x14ac:dyDescent="0.35">
      <c r="A549" s="7" t="s">
        <v>579</v>
      </c>
      <c r="B549" s="8">
        <v>45438</v>
      </c>
      <c r="C549" s="9" t="s">
        <v>21</v>
      </c>
      <c r="D549" s="9" t="s">
        <v>36</v>
      </c>
      <c r="E549" s="9" t="s">
        <v>29</v>
      </c>
      <c r="F549" s="9">
        <v>225</v>
      </c>
      <c r="G549" s="9">
        <v>319.76</v>
      </c>
      <c r="H549" s="9" t="s">
        <v>25</v>
      </c>
      <c r="I549" s="9">
        <v>33</v>
      </c>
      <c r="J549" s="10">
        <v>94.759999999999906</v>
      </c>
      <c r="K549" s="9" t="str">
        <f>TEXT(Sales_of_Jordan[[#This Row],[Sale_Date]],"mmm")</f>
        <v>May</v>
      </c>
    </row>
    <row r="550" spans="1:11" x14ac:dyDescent="0.35">
      <c r="A550" s="7" t="s">
        <v>580</v>
      </c>
      <c r="B550" s="8">
        <v>44992</v>
      </c>
      <c r="C550" s="9" t="s">
        <v>21</v>
      </c>
      <c r="D550" s="9" t="s">
        <v>55</v>
      </c>
      <c r="E550" s="9" t="s">
        <v>13</v>
      </c>
      <c r="F550" s="9">
        <v>213</v>
      </c>
      <c r="G550" s="9">
        <v>109.62</v>
      </c>
      <c r="H550" s="9" t="s">
        <v>32</v>
      </c>
      <c r="I550" s="9">
        <v>37</v>
      </c>
      <c r="J550" s="10">
        <v>-103.38</v>
      </c>
      <c r="K550" s="9" t="str">
        <f>TEXT(Sales_of_Jordan[[#This Row],[Sale_Date]],"mmm")</f>
        <v>Mar</v>
      </c>
    </row>
    <row r="551" spans="1:11" x14ac:dyDescent="0.35">
      <c r="A551" s="7" t="s">
        <v>581</v>
      </c>
      <c r="B551" s="8">
        <v>45315</v>
      </c>
      <c r="C551" s="9" t="s">
        <v>16</v>
      </c>
      <c r="D551" s="9" t="s">
        <v>36</v>
      </c>
      <c r="E551" s="9" t="s">
        <v>18</v>
      </c>
      <c r="F551" s="9">
        <v>175</v>
      </c>
      <c r="G551" s="9">
        <v>232.34</v>
      </c>
      <c r="H551" s="9" t="s">
        <v>32</v>
      </c>
      <c r="I551" s="9">
        <v>51</v>
      </c>
      <c r="J551" s="10">
        <v>57.34</v>
      </c>
      <c r="K551" s="9" t="str">
        <f>TEXT(Sales_of_Jordan[[#This Row],[Sale_Date]],"mmm")</f>
        <v>Jan</v>
      </c>
    </row>
    <row r="552" spans="1:11" x14ac:dyDescent="0.35">
      <c r="A552" s="7" t="s">
        <v>582</v>
      </c>
      <c r="B552" s="8">
        <v>45826</v>
      </c>
      <c r="C552" s="9" t="s">
        <v>31</v>
      </c>
      <c r="D552" s="9" t="s">
        <v>12</v>
      </c>
      <c r="E552" s="9" t="s">
        <v>18</v>
      </c>
      <c r="F552" s="9">
        <v>210</v>
      </c>
      <c r="G552" s="9">
        <v>687.65</v>
      </c>
      <c r="H552" s="9" t="s">
        <v>14</v>
      </c>
      <c r="I552" s="9">
        <v>3</v>
      </c>
      <c r="J552" s="10">
        <v>477.65</v>
      </c>
      <c r="K552" s="9" t="str">
        <f>TEXT(Sales_of_Jordan[[#This Row],[Sale_Date]],"mmm")</f>
        <v>Jun</v>
      </c>
    </row>
    <row r="553" spans="1:11" x14ac:dyDescent="0.35">
      <c r="A553" s="7" t="s">
        <v>583</v>
      </c>
      <c r="B553" s="8">
        <v>45747</v>
      </c>
      <c r="C553" s="9" t="s">
        <v>11</v>
      </c>
      <c r="D553" s="9" t="s">
        <v>12</v>
      </c>
      <c r="E553" s="9" t="s">
        <v>29</v>
      </c>
      <c r="F553" s="9">
        <v>230</v>
      </c>
      <c r="G553" s="9">
        <v>287.48</v>
      </c>
      <c r="H553" s="9" t="s">
        <v>19</v>
      </c>
      <c r="I553" s="9">
        <v>3</v>
      </c>
      <c r="J553" s="10">
        <v>57.48</v>
      </c>
      <c r="K553" s="9" t="str">
        <f>TEXT(Sales_of_Jordan[[#This Row],[Sale_Date]],"mmm")</f>
        <v>Mar</v>
      </c>
    </row>
    <row r="554" spans="1:11" x14ac:dyDescent="0.35">
      <c r="A554" s="7" t="s">
        <v>584</v>
      </c>
      <c r="B554" s="8">
        <v>45901</v>
      </c>
      <c r="C554" s="9" t="s">
        <v>31</v>
      </c>
      <c r="D554" s="9" t="s">
        <v>46</v>
      </c>
      <c r="E554" s="9" t="s">
        <v>18</v>
      </c>
      <c r="F554" s="9">
        <v>200</v>
      </c>
      <c r="G554" s="9">
        <v>246.17</v>
      </c>
      <c r="H554" s="9" t="s">
        <v>23</v>
      </c>
      <c r="I554" s="9">
        <v>37</v>
      </c>
      <c r="J554" s="10">
        <v>46.169999999999902</v>
      </c>
      <c r="K554" s="9" t="str">
        <f>TEXT(Sales_of_Jordan[[#This Row],[Sale_Date]],"mmm")</f>
        <v>Sep</v>
      </c>
    </row>
    <row r="555" spans="1:11" x14ac:dyDescent="0.35">
      <c r="A555" s="7" t="s">
        <v>585</v>
      </c>
      <c r="B555" s="8">
        <v>45581</v>
      </c>
      <c r="C555" s="9" t="s">
        <v>21</v>
      </c>
      <c r="D555" s="9" t="s">
        <v>12</v>
      </c>
      <c r="E555" s="9" t="s">
        <v>29</v>
      </c>
      <c r="F555" s="9">
        <v>217</v>
      </c>
      <c r="G555" s="9">
        <v>270.39999999999998</v>
      </c>
      <c r="H555" s="9" t="s">
        <v>25</v>
      </c>
      <c r="I555" s="9">
        <v>41</v>
      </c>
      <c r="J555" s="10">
        <v>53.399999999999899</v>
      </c>
      <c r="K555" s="9" t="str">
        <f>TEXT(Sales_of_Jordan[[#This Row],[Sale_Date]],"mmm")</f>
        <v>Oct</v>
      </c>
    </row>
    <row r="556" spans="1:11" x14ac:dyDescent="0.35">
      <c r="A556" s="7" t="s">
        <v>586</v>
      </c>
      <c r="B556" s="8">
        <v>45630</v>
      </c>
      <c r="C556" s="9" t="s">
        <v>31</v>
      </c>
      <c r="D556" s="9" t="s">
        <v>55</v>
      </c>
      <c r="E556" s="9" t="s">
        <v>18</v>
      </c>
      <c r="F556" s="9">
        <v>208</v>
      </c>
      <c r="G556" s="9">
        <v>655.45</v>
      </c>
      <c r="H556" s="9" t="s">
        <v>19</v>
      </c>
      <c r="I556" s="9">
        <v>2</v>
      </c>
      <c r="J556" s="10">
        <v>447.45</v>
      </c>
      <c r="K556" s="9" t="str">
        <f>TEXT(Sales_of_Jordan[[#This Row],[Sale_Date]],"mmm")</f>
        <v>Dec</v>
      </c>
    </row>
    <row r="557" spans="1:11" x14ac:dyDescent="0.35">
      <c r="A557" s="7" t="s">
        <v>587</v>
      </c>
      <c r="B557" s="8">
        <v>45320</v>
      </c>
      <c r="C557" s="9" t="s">
        <v>27</v>
      </c>
      <c r="D557" s="9" t="s">
        <v>55</v>
      </c>
      <c r="E557" s="9" t="s">
        <v>13</v>
      </c>
      <c r="F557" s="9">
        <v>122</v>
      </c>
      <c r="G557" s="9">
        <v>67.09</v>
      </c>
      <c r="H557" s="9" t="s">
        <v>32</v>
      </c>
      <c r="I557" s="9">
        <v>54</v>
      </c>
      <c r="J557" s="10">
        <v>-54.91</v>
      </c>
      <c r="K557" s="9" t="str">
        <f>TEXT(Sales_of_Jordan[[#This Row],[Sale_Date]],"mmm")</f>
        <v>Jan</v>
      </c>
    </row>
    <row r="558" spans="1:11" x14ac:dyDescent="0.35">
      <c r="A558" s="7" t="s">
        <v>588</v>
      </c>
      <c r="B558" s="8">
        <v>45569</v>
      </c>
      <c r="C558" s="9" t="s">
        <v>16</v>
      </c>
      <c r="D558" s="9" t="s">
        <v>34</v>
      </c>
      <c r="E558" s="9" t="s">
        <v>29</v>
      </c>
      <c r="F558" s="9">
        <v>175</v>
      </c>
      <c r="G558" s="9">
        <v>192.44</v>
      </c>
      <c r="H558" s="9" t="s">
        <v>32</v>
      </c>
      <c r="I558" s="9">
        <v>59</v>
      </c>
      <c r="J558" s="10">
        <v>17.439999999999898</v>
      </c>
      <c r="K558" s="9" t="str">
        <f>TEXT(Sales_of_Jordan[[#This Row],[Sale_Date]],"mmm")</f>
        <v>Oct</v>
      </c>
    </row>
    <row r="559" spans="1:11" x14ac:dyDescent="0.35">
      <c r="A559" s="7" t="s">
        <v>589</v>
      </c>
      <c r="B559" s="8">
        <v>45047</v>
      </c>
      <c r="C559" s="9" t="s">
        <v>11</v>
      </c>
      <c r="D559" s="9" t="s">
        <v>34</v>
      </c>
      <c r="E559" s="9" t="s">
        <v>18</v>
      </c>
      <c r="F559" s="9">
        <v>230</v>
      </c>
      <c r="G559" s="9">
        <v>756.63</v>
      </c>
      <c r="H559" s="9" t="s">
        <v>23</v>
      </c>
      <c r="I559" s="9">
        <v>30</v>
      </c>
      <c r="J559" s="10">
        <v>526.63</v>
      </c>
      <c r="K559" s="9" t="str">
        <f>TEXT(Sales_of_Jordan[[#This Row],[Sale_Date]],"mmm")</f>
        <v>May</v>
      </c>
    </row>
    <row r="560" spans="1:11" x14ac:dyDescent="0.35">
      <c r="A560" s="7" t="s">
        <v>590</v>
      </c>
      <c r="B560" s="8">
        <v>44951</v>
      </c>
      <c r="C560" s="9" t="s">
        <v>31</v>
      </c>
      <c r="D560" s="9" t="s">
        <v>12</v>
      </c>
      <c r="E560" s="9" t="s">
        <v>13</v>
      </c>
      <c r="F560" s="9">
        <v>209</v>
      </c>
      <c r="G560" s="9">
        <v>129.97999999999999</v>
      </c>
      <c r="H560" s="9" t="s">
        <v>14</v>
      </c>
      <c r="I560" s="9">
        <v>14</v>
      </c>
      <c r="J560" s="10">
        <v>-79.02</v>
      </c>
      <c r="K560" s="9" t="str">
        <f>TEXT(Sales_of_Jordan[[#This Row],[Sale_Date]],"mmm")</f>
        <v>Jan</v>
      </c>
    </row>
    <row r="561" spans="1:11" x14ac:dyDescent="0.35">
      <c r="A561" s="7" t="s">
        <v>591</v>
      </c>
      <c r="B561" s="8">
        <v>45738</v>
      </c>
      <c r="C561" s="9" t="s">
        <v>21</v>
      </c>
      <c r="D561" s="9" t="s">
        <v>55</v>
      </c>
      <c r="E561" s="9" t="s">
        <v>29</v>
      </c>
      <c r="F561" s="9">
        <v>215</v>
      </c>
      <c r="G561" s="9">
        <v>210.89</v>
      </c>
      <c r="H561" s="9" t="s">
        <v>19</v>
      </c>
      <c r="I561" s="9">
        <v>7</v>
      </c>
      <c r="J561" s="10">
        <v>-4.1100000000000101</v>
      </c>
      <c r="K561" s="9" t="str">
        <f>TEXT(Sales_of_Jordan[[#This Row],[Sale_Date]],"mmm")</f>
        <v>Mar</v>
      </c>
    </row>
    <row r="562" spans="1:11" x14ac:dyDescent="0.35">
      <c r="A562" s="7" t="s">
        <v>592</v>
      </c>
      <c r="B562" s="8">
        <v>45710</v>
      </c>
      <c r="C562" s="9" t="s">
        <v>27</v>
      </c>
      <c r="D562" s="9" t="s">
        <v>46</v>
      </c>
      <c r="E562" s="9" t="s">
        <v>18</v>
      </c>
      <c r="F562" s="9">
        <v>129</v>
      </c>
      <c r="G562" s="9">
        <v>376.52</v>
      </c>
      <c r="H562" s="9" t="s">
        <v>25</v>
      </c>
      <c r="I562" s="9">
        <v>42</v>
      </c>
      <c r="J562" s="10">
        <v>247.51999999999899</v>
      </c>
      <c r="K562" s="9" t="str">
        <f>TEXT(Sales_of_Jordan[[#This Row],[Sale_Date]],"mmm")</f>
        <v>Feb</v>
      </c>
    </row>
    <row r="563" spans="1:11" x14ac:dyDescent="0.35">
      <c r="A563" s="7" t="s">
        <v>593</v>
      </c>
      <c r="B563" s="8">
        <v>45867</v>
      </c>
      <c r="C563" s="9" t="s">
        <v>21</v>
      </c>
      <c r="D563" s="9" t="s">
        <v>53</v>
      </c>
      <c r="E563" s="9" t="s">
        <v>29</v>
      </c>
      <c r="F563" s="9">
        <v>219</v>
      </c>
      <c r="G563" s="9">
        <v>320.27</v>
      </c>
      <c r="H563" s="9" t="s">
        <v>32</v>
      </c>
      <c r="I563" s="9">
        <v>17</v>
      </c>
      <c r="J563" s="10">
        <v>101.269999999999</v>
      </c>
      <c r="K563" s="9" t="str">
        <f>TEXT(Sales_of_Jordan[[#This Row],[Sale_Date]],"mmm")</f>
        <v>Jul</v>
      </c>
    </row>
    <row r="564" spans="1:11" x14ac:dyDescent="0.35">
      <c r="A564" s="7" t="s">
        <v>594</v>
      </c>
      <c r="B564" s="8">
        <v>45107</v>
      </c>
      <c r="C564" s="9" t="s">
        <v>27</v>
      </c>
      <c r="D564" s="9" t="s">
        <v>22</v>
      </c>
      <c r="E564" s="9" t="s">
        <v>13</v>
      </c>
      <c r="F564" s="9">
        <v>126</v>
      </c>
      <c r="G564" s="9">
        <v>86.83</v>
      </c>
      <c r="H564" s="9" t="s">
        <v>19</v>
      </c>
      <c r="I564" s="9">
        <v>10</v>
      </c>
      <c r="J564" s="10">
        <v>-39.17</v>
      </c>
      <c r="K564" s="9" t="str">
        <f>TEXT(Sales_of_Jordan[[#This Row],[Sale_Date]],"mmm")</f>
        <v>Jun</v>
      </c>
    </row>
    <row r="565" spans="1:11" x14ac:dyDescent="0.35">
      <c r="A565" s="7" t="s">
        <v>595</v>
      </c>
      <c r="B565" s="8">
        <v>45306</v>
      </c>
      <c r="C565" s="9" t="s">
        <v>11</v>
      </c>
      <c r="D565" s="9" t="s">
        <v>53</v>
      </c>
      <c r="E565" s="9" t="s">
        <v>13</v>
      </c>
      <c r="F565" s="9">
        <v>226</v>
      </c>
      <c r="G565" s="9">
        <v>175.41</v>
      </c>
      <c r="H565" s="9" t="s">
        <v>32</v>
      </c>
      <c r="I565" s="9">
        <v>13</v>
      </c>
      <c r="J565" s="10">
        <v>-50.59</v>
      </c>
      <c r="K565" s="9" t="str">
        <f>TEXT(Sales_of_Jordan[[#This Row],[Sale_Date]],"mmm")</f>
        <v>Jan</v>
      </c>
    </row>
    <row r="566" spans="1:11" x14ac:dyDescent="0.35">
      <c r="A566" s="7" t="s">
        <v>596</v>
      </c>
      <c r="B566" s="8">
        <v>45207</v>
      </c>
      <c r="C566" s="9" t="s">
        <v>31</v>
      </c>
      <c r="D566" s="9" t="s">
        <v>39</v>
      </c>
      <c r="E566" s="9" t="s">
        <v>18</v>
      </c>
      <c r="F566" s="9">
        <v>205</v>
      </c>
      <c r="G566" s="9">
        <v>438.75</v>
      </c>
      <c r="H566" s="9" t="s">
        <v>25</v>
      </c>
      <c r="I566" s="9">
        <v>32</v>
      </c>
      <c r="J566" s="10">
        <v>233.75</v>
      </c>
      <c r="K566" s="9" t="str">
        <f>TEXT(Sales_of_Jordan[[#This Row],[Sale_Date]],"mmm")</f>
        <v>Oct</v>
      </c>
    </row>
    <row r="567" spans="1:11" x14ac:dyDescent="0.35">
      <c r="A567" s="7" t="s">
        <v>597</v>
      </c>
      <c r="B567" s="8">
        <v>45390</v>
      </c>
      <c r="C567" s="9" t="s">
        <v>31</v>
      </c>
      <c r="D567" s="9" t="s">
        <v>53</v>
      </c>
      <c r="E567" s="9" t="s">
        <v>18</v>
      </c>
      <c r="F567" s="9">
        <v>201</v>
      </c>
      <c r="G567" s="9">
        <v>456.2</v>
      </c>
      <c r="H567" s="9" t="s">
        <v>23</v>
      </c>
      <c r="I567" s="9">
        <v>17</v>
      </c>
      <c r="J567" s="10">
        <v>255.2</v>
      </c>
      <c r="K567" s="9" t="str">
        <f>TEXT(Sales_of_Jordan[[#This Row],[Sale_Date]],"mmm")</f>
        <v>Apr</v>
      </c>
    </row>
    <row r="568" spans="1:11" x14ac:dyDescent="0.35">
      <c r="A568" s="7" t="s">
        <v>598</v>
      </c>
      <c r="B568" s="8">
        <v>45435</v>
      </c>
      <c r="C568" s="9" t="s">
        <v>21</v>
      </c>
      <c r="D568" s="9" t="s">
        <v>39</v>
      </c>
      <c r="E568" s="9" t="s">
        <v>18</v>
      </c>
      <c r="F568" s="9">
        <v>220</v>
      </c>
      <c r="G568" s="9">
        <v>733.97</v>
      </c>
      <c r="H568" s="9" t="s">
        <v>19</v>
      </c>
      <c r="I568" s="9">
        <v>14</v>
      </c>
      <c r="J568" s="10">
        <v>513.97</v>
      </c>
      <c r="K568" s="9" t="str">
        <f>TEXT(Sales_of_Jordan[[#This Row],[Sale_Date]],"mmm")</f>
        <v>May</v>
      </c>
    </row>
    <row r="569" spans="1:11" x14ac:dyDescent="0.35">
      <c r="A569" s="7" t="s">
        <v>599</v>
      </c>
      <c r="B569" s="8">
        <v>45749</v>
      </c>
      <c r="C569" s="9" t="s">
        <v>31</v>
      </c>
      <c r="D569" s="9" t="s">
        <v>17</v>
      </c>
      <c r="E569" s="9" t="s">
        <v>13</v>
      </c>
      <c r="F569" s="9">
        <v>207</v>
      </c>
      <c r="G569" s="9">
        <v>161.25</v>
      </c>
      <c r="H569" s="9" t="s">
        <v>25</v>
      </c>
      <c r="I569" s="9">
        <v>44</v>
      </c>
      <c r="J569" s="10">
        <v>-45.75</v>
      </c>
      <c r="K569" s="9" t="str">
        <f>TEXT(Sales_of_Jordan[[#This Row],[Sale_Date]],"mmm")</f>
        <v>Apr</v>
      </c>
    </row>
    <row r="570" spans="1:11" x14ac:dyDescent="0.35">
      <c r="A570" s="7" t="s">
        <v>600</v>
      </c>
      <c r="B570" s="8">
        <v>45028</v>
      </c>
      <c r="C570" s="9" t="s">
        <v>11</v>
      </c>
      <c r="D570" s="9" t="s">
        <v>46</v>
      </c>
      <c r="E570" s="9" t="s">
        <v>13</v>
      </c>
      <c r="F570" s="9">
        <v>228</v>
      </c>
      <c r="G570" s="9">
        <v>157.34</v>
      </c>
      <c r="H570" s="9" t="s">
        <v>14</v>
      </c>
      <c r="I570" s="9">
        <v>8</v>
      </c>
      <c r="J570" s="10">
        <v>-70.66</v>
      </c>
      <c r="K570" s="9" t="str">
        <f>TEXT(Sales_of_Jordan[[#This Row],[Sale_Date]],"mmm")</f>
        <v>Apr</v>
      </c>
    </row>
    <row r="571" spans="1:11" x14ac:dyDescent="0.35">
      <c r="A571" s="7" t="s">
        <v>601</v>
      </c>
      <c r="B571" s="8">
        <v>45717</v>
      </c>
      <c r="C571" s="9" t="s">
        <v>16</v>
      </c>
      <c r="D571" s="9" t="s">
        <v>22</v>
      </c>
      <c r="E571" s="9" t="s">
        <v>18</v>
      </c>
      <c r="F571" s="9">
        <v>187</v>
      </c>
      <c r="G571" s="9">
        <v>561.42999999999995</v>
      </c>
      <c r="H571" s="9" t="s">
        <v>23</v>
      </c>
      <c r="I571" s="9">
        <v>16</v>
      </c>
      <c r="J571" s="10">
        <v>374.42999999999898</v>
      </c>
      <c r="K571" s="9" t="str">
        <f>TEXT(Sales_of_Jordan[[#This Row],[Sale_Date]],"mmm")</f>
        <v>Mar</v>
      </c>
    </row>
    <row r="572" spans="1:11" x14ac:dyDescent="0.35">
      <c r="A572" s="7" t="s">
        <v>602</v>
      </c>
      <c r="B572" s="8">
        <v>45221</v>
      </c>
      <c r="C572" s="9" t="s">
        <v>21</v>
      </c>
      <c r="D572" s="9" t="s">
        <v>36</v>
      </c>
      <c r="E572" s="9" t="s">
        <v>18</v>
      </c>
      <c r="F572" s="9">
        <v>218</v>
      </c>
      <c r="G572" s="9">
        <v>691.3</v>
      </c>
      <c r="H572" s="9" t="s">
        <v>25</v>
      </c>
      <c r="I572" s="9">
        <v>60</v>
      </c>
      <c r="J572" s="10">
        <v>473.29999999999899</v>
      </c>
      <c r="K572" s="9" t="str">
        <f>TEXT(Sales_of_Jordan[[#This Row],[Sale_Date]],"mmm")</f>
        <v>Oct</v>
      </c>
    </row>
    <row r="573" spans="1:11" x14ac:dyDescent="0.35">
      <c r="A573" s="7" t="s">
        <v>603</v>
      </c>
      <c r="B573" s="8">
        <v>45496</v>
      </c>
      <c r="C573" s="9" t="s">
        <v>11</v>
      </c>
      <c r="D573" s="9" t="s">
        <v>39</v>
      </c>
      <c r="E573" s="9" t="s">
        <v>13</v>
      </c>
      <c r="F573" s="9">
        <v>230</v>
      </c>
      <c r="G573" s="9">
        <v>172.51</v>
      </c>
      <c r="H573" s="9" t="s">
        <v>32</v>
      </c>
      <c r="I573" s="9">
        <v>56</v>
      </c>
      <c r="J573" s="10">
        <v>-57.49</v>
      </c>
      <c r="K573" s="9" t="str">
        <f>TEXT(Sales_of_Jordan[[#This Row],[Sale_Date]],"mmm")</f>
        <v>Jul</v>
      </c>
    </row>
    <row r="574" spans="1:11" x14ac:dyDescent="0.35">
      <c r="A574" s="7" t="s">
        <v>604</v>
      </c>
      <c r="B574" s="8">
        <v>45313</v>
      </c>
      <c r="C574" s="9" t="s">
        <v>21</v>
      </c>
      <c r="D574" s="9" t="s">
        <v>55</v>
      </c>
      <c r="E574" s="9" t="s">
        <v>18</v>
      </c>
      <c r="F574" s="9">
        <v>217</v>
      </c>
      <c r="G574" s="9">
        <v>640.64</v>
      </c>
      <c r="H574" s="9" t="s">
        <v>25</v>
      </c>
      <c r="I574" s="9">
        <v>58</v>
      </c>
      <c r="J574" s="10">
        <v>423.64</v>
      </c>
      <c r="K574" s="9" t="str">
        <f>TEXT(Sales_of_Jordan[[#This Row],[Sale_Date]],"mmm")</f>
        <v>Jan</v>
      </c>
    </row>
    <row r="575" spans="1:11" x14ac:dyDescent="0.35">
      <c r="A575" s="7" t="s">
        <v>605</v>
      </c>
      <c r="B575" s="8">
        <v>45333</v>
      </c>
      <c r="C575" s="9" t="s">
        <v>31</v>
      </c>
      <c r="D575" s="9" t="s">
        <v>53</v>
      </c>
      <c r="E575" s="9" t="s">
        <v>29</v>
      </c>
      <c r="F575" s="9">
        <v>208</v>
      </c>
      <c r="G575" s="9">
        <v>267.12</v>
      </c>
      <c r="H575" s="9" t="s">
        <v>14</v>
      </c>
      <c r="I575" s="9">
        <v>2</v>
      </c>
      <c r="J575" s="10">
        <v>59.12</v>
      </c>
      <c r="K575" s="9" t="str">
        <f>TEXT(Sales_of_Jordan[[#This Row],[Sale_Date]],"mmm")</f>
        <v>Feb</v>
      </c>
    </row>
    <row r="576" spans="1:11" x14ac:dyDescent="0.35">
      <c r="A576" s="7" t="s">
        <v>606</v>
      </c>
      <c r="B576" s="8">
        <v>45366</v>
      </c>
      <c r="C576" s="9" t="s">
        <v>11</v>
      </c>
      <c r="D576" s="9" t="s">
        <v>46</v>
      </c>
      <c r="E576" s="9" t="s">
        <v>29</v>
      </c>
      <c r="F576" s="9">
        <v>230</v>
      </c>
      <c r="G576" s="9">
        <v>209.16</v>
      </c>
      <c r="H576" s="9" t="s">
        <v>23</v>
      </c>
      <c r="I576" s="9">
        <v>26</v>
      </c>
      <c r="J576" s="10">
        <v>-20.84</v>
      </c>
      <c r="K576" s="9" t="str">
        <f>TEXT(Sales_of_Jordan[[#This Row],[Sale_Date]],"mmm")</f>
        <v>Mar</v>
      </c>
    </row>
    <row r="577" spans="1:11" x14ac:dyDescent="0.35">
      <c r="A577" s="7" t="s">
        <v>607</v>
      </c>
      <c r="B577" s="8">
        <v>45300</v>
      </c>
      <c r="C577" s="9" t="s">
        <v>21</v>
      </c>
      <c r="D577" s="9" t="s">
        <v>17</v>
      </c>
      <c r="E577" s="9" t="s">
        <v>29</v>
      </c>
      <c r="F577" s="9">
        <v>214</v>
      </c>
      <c r="G577" s="9">
        <v>289.07</v>
      </c>
      <c r="H577" s="9" t="s">
        <v>32</v>
      </c>
      <c r="I577" s="9">
        <v>43</v>
      </c>
      <c r="J577" s="10">
        <v>75.069999999999993</v>
      </c>
      <c r="K577" s="9" t="str">
        <f>TEXT(Sales_of_Jordan[[#This Row],[Sale_Date]],"mmm")</f>
        <v>Jan</v>
      </c>
    </row>
    <row r="578" spans="1:11" x14ac:dyDescent="0.35">
      <c r="A578" s="7" t="s">
        <v>608</v>
      </c>
      <c r="B578" s="8">
        <v>45304</v>
      </c>
      <c r="C578" s="9" t="s">
        <v>21</v>
      </c>
      <c r="D578" s="9" t="s">
        <v>53</v>
      </c>
      <c r="E578" s="9" t="s">
        <v>13</v>
      </c>
      <c r="F578" s="9">
        <v>217</v>
      </c>
      <c r="G578" s="9">
        <v>116.01</v>
      </c>
      <c r="H578" s="9" t="s">
        <v>19</v>
      </c>
      <c r="I578" s="9">
        <v>14</v>
      </c>
      <c r="J578" s="10">
        <v>-100.99</v>
      </c>
      <c r="K578" s="9" t="str">
        <f>TEXT(Sales_of_Jordan[[#This Row],[Sale_Date]],"mmm")</f>
        <v>Jan</v>
      </c>
    </row>
    <row r="579" spans="1:11" x14ac:dyDescent="0.35">
      <c r="A579" s="7" t="s">
        <v>609</v>
      </c>
      <c r="B579" s="8">
        <v>45510</v>
      </c>
      <c r="C579" s="9" t="s">
        <v>31</v>
      </c>
      <c r="D579" s="9" t="s">
        <v>36</v>
      </c>
      <c r="E579" s="9" t="s">
        <v>13</v>
      </c>
      <c r="F579" s="9">
        <v>200</v>
      </c>
      <c r="G579" s="9">
        <v>155.75</v>
      </c>
      <c r="H579" s="9" t="s">
        <v>19</v>
      </c>
      <c r="I579" s="9">
        <v>2</v>
      </c>
      <c r="J579" s="10">
        <v>-44.25</v>
      </c>
      <c r="K579" s="9" t="str">
        <f>TEXT(Sales_of_Jordan[[#This Row],[Sale_Date]],"mmm")</f>
        <v>Aug</v>
      </c>
    </row>
    <row r="580" spans="1:11" x14ac:dyDescent="0.35">
      <c r="A580" s="7" t="s">
        <v>610</v>
      </c>
      <c r="B580" s="8">
        <v>45361</v>
      </c>
      <c r="C580" s="9" t="s">
        <v>27</v>
      </c>
      <c r="D580" s="9" t="s">
        <v>34</v>
      </c>
      <c r="E580" s="9" t="s">
        <v>13</v>
      </c>
      <c r="F580" s="9">
        <v>111</v>
      </c>
      <c r="G580" s="9">
        <v>72.739999999999995</v>
      </c>
      <c r="H580" s="9" t="s">
        <v>19</v>
      </c>
      <c r="I580" s="9">
        <v>13</v>
      </c>
      <c r="J580" s="10">
        <v>-38.26</v>
      </c>
      <c r="K580" s="9" t="str">
        <f>TEXT(Sales_of_Jordan[[#This Row],[Sale_Date]],"mmm")</f>
        <v>Mar</v>
      </c>
    </row>
    <row r="581" spans="1:11" x14ac:dyDescent="0.35">
      <c r="A581" s="7" t="s">
        <v>611</v>
      </c>
      <c r="B581" s="8">
        <v>45457</v>
      </c>
      <c r="C581" s="9" t="s">
        <v>27</v>
      </c>
      <c r="D581" s="9" t="s">
        <v>34</v>
      </c>
      <c r="E581" s="9" t="s">
        <v>18</v>
      </c>
      <c r="F581" s="9">
        <v>120</v>
      </c>
      <c r="G581" s="9">
        <v>252.53</v>
      </c>
      <c r="H581" s="9" t="s">
        <v>25</v>
      </c>
      <c r="I581" s="9">
        <v>36</v>
      </c>
      <c r="J581" s="10">
        <v>132.53</v>
      </c>
      <c r="K581" s="9" t="str">
        <f>TEXT(Sales_of_Jordan[[#This Row],[Sale_Date]],"mmm")</f>
        <v>Jun</v>
      </c>
    </row>
    <row r="582" spans="1:11" x14ac:dyDescent="0.35">
      <c r="A582" s="7" t="s">
        <v>612</v>
      </c>
      <c r="B582" s="8">
        <v>45051</v>
      </c>
      <c r="C582" s="9" t="s">
        <v>16</v>
      </c>
      <c r="D582" s="9" t="s">
        <v>39</v>
      </c>
      <c r="E582" s="9" t="s">
        <v>18</v>
      </c>
      <c r="F582" s="9">
        <v>182</v>
      </c>
      <c r="G582" s="9">
        <v>379.72</v>
      </c>
      <c r="H582" s="9" t="s">
        <v>32</v>
      </c>
      <c r="I582" s="9">
        <v>32</v>
      </c>
      <c r="J582" s="10">
        <v>197.72</v>
      </c>
      <c r="K582" s="9" t="str">
        <f>TEXT(Sales_of_Jordan[[#This Row],[Sale_Date]],"mmm")</f>
        <v>May</v>
      </c>
    </row>
    <row r="583" spans="1:11" x14ac:dyDescent="0.35">
      <c r="A583" s="7" t="s">
        <v>613</v>
      </c>
      <c r="B583" s="8">
        <v>45149</v>
      </c>
      <c r="C583" s="9" t="s">
        <v>16</v>
      </c>
      <c r="D583" s="9" t="s">
        <v>55</v>
      </c>
      <c r="E583" s="9" t="s">
        <v>29</v>
      </c>
      <c r="F583" s="9">
        <v>176</v>
      </c>
      <c r="G583" s="9">
        <v>186.59</v>
      </c>
      <c r="H583" s="9" t="s">
        <v>23</v>
      </c>
      <c r="I583" s="9">
        <v>29</v>
      </c>
      <c r="J583" s="10">
        <v>10.59</v>
      </c>
      <c r="K583" s="9" t="str">
        <f>TEXT(Sales_of_Jordan[[#This Row],[Sale_Date]],"mmm")</f>
        <v>Aug</v>
      </c>
    </row>
    <row r="584" spans="1:11" x14ac:dyDescent="0.35">
      <c r="A584" s="7" t="s">
        <v>614</v>
      </c>
      <c r="B584" s="8">
        <v>45507</v>
      </c>
      <c r="C584" s="9" t="s">
        <v>27</v>
      </c>
      <c r="D584" s="9" t="s">
        <v>39</v>
      </c>
      <c r="E584" s="9" t="s">
        <v>29</v>
      </c>
      <c r="F584" s="9">
        <v>126</v>
      </c>
      <c r="G584" s="9">
        <v>135.27000000000001</v>
      </c>
      <c r="H584" s="9" t="s">
        <v>14</v>
      </c>
      <c r="I584" s="9">
        <v>13</v>
      </c>
      <c r="J584" s="10">
        <v>9.2700000000000102</v>
      </c>
      <c r="K584" s="9" t="str">
        <f>TEXT(Sales_of_Jordan[[#This Row],[Sale_Date]],"mmm")</f>
        <v>Aug</v>
      </c>
    </row>
    <row r="585" spans="1:11" x14ac:dyDescent="0.35">
      <c r="A585" s="7" t="s">
        <v>615</v>
      </c>
      <c r="B585" s="8">
        <v>45060</v>
      </c>
      <c r="C585" s="9" t="s">
        <v>16</v>
      </c>
      <c r="D585" s="9" t="s">
        <v>46</v>
      </c>
      <c r="E585" s="9" t="s">
        <v>13</v>
      </c>
      <c r="F585" s="9">
        <v>182</v>
      </c>
      <c r="G585" s="9">
        <v>158.35</v>
      </c>
      <c r="H585" s="9" t="s">
        <v>32</v>
      </c>
      <c r="I585" s="9">
        <v>56</v>
      </c>
      <c r="J585" s="10">
        <v>-23.65</v>
      </c>
      <c r="K585" s="9" t="str">
        <f>TEXT(Sales_of_Jordan[[#This Row],[Sale_Date]],"mmm")</f>
        <v>May</v>
      </c>
    </row>
    <row r="586" spans="1:11" x14ac:dyDescent="0.35">
      <c r="A586" s="7" t="s">
        <v>616</v>
      </c>
      <c r="B586" s="8">
        <v>45347</v>
      </c>
      <c r="C586" s="9" t="s">
        <v>11</v>
      </c>
      <c r="D586" s="9" t="s">
        <v>39</v>
      </c>
      <c r="E586" s="9" t="s">
        <v>29</v>
      </c>
      <c r="F586" s="9">
        <v>228</v>
      </c>
      <c r="G586" s="9">
        <v>218.47</v>
      </c>
      <c r="H586" s="9" t="s">
        <v>19</v>
      </c>
      <c r="I586" s="9">
        <v>12</v>
      </c>
      <c r="J586" s="10">
        <v>-9.5299999999999994</v>
      </c>
      <c r="K586" s="9" t="str">
        <f>TEXT(Sales_of_Jordan[[#This Row],[Sale_Date]],"mmm")</f>
        <v>Feb</v>
      </c>
    </row>
    <row r="587" spans="1:11" x14ac:dyDescent="0.35">
      <c r="A587" s="7" t="s">
        <v>617</v>
      </c>
      <c r="B587" s="8">
        <v>45891</v>
      </c>
      <c r="C587" s="9" t="s">
        <v>16</v>
      </c>
      <c r="D587" s="9" t="s">
        <v>55</v>
      </c>
      <c r="E587" s="9" t="s">
        <v>18</v>
      </c>
      <c r="F587" s="9">
        <v>188</v>
      </c>
      <c r="G587" s="9">
        <v>564.52</v>
      </c>
      <c r="H587" s="9" t="s">
        <v>14</v>
      </c>
      <c r="I587" s="9">
        <v>5</v>
      </c>
      <c r="J587" s="10">
        <v>376.52</v>
      </c>
      <c r="K587" s="9" t="str">
        <f>TEXT(Sales_of_Jordan[[#This Row],[Sale_Date]],"mmm")</f>
        <v>Aug</v>
      </c>
    </row>
    <row r="588" spans="1:11" x14ac:dyDescent="0.35">
      <c r="A588" s="7" t="s">
        <v>618</v>
      </c>
      <c r="B588" s="8">
        <v>45336</v>
      </c>
      <c r="C588" s="9" t="s">
        <v>31</v>
      </c>
      <c r="D588" s="9" t="s">
        <v>22</v>
      </c>
      <c r="E588" s="9" t="s">
        <v>13</v>
      </c>
      <c r="F588" s="9">
        <v>209</v>
      </c>
      <c r="G588" s="9">
        <v>167.65</v>
      </c>
      <c r="H588" s="9" t="s">
        <v>23</v>
      </c>
      <c r="I588" s="9">
        <v>7</v>
      </c>
      <c r="J588" s="10">
        <v>-41.349999999999902</v>
      </c>
      <c r="K588" s="9" t="str">
        <f>TEXT(Sales_of_Jordan[[#This Row],[Sale_Date]],"mmm")</f>
        <v>Feb</v>
      </c>
    </row>
    <row r="589" spans="1:11" x14ac:dyDescent="0.35">
      <c r="A589" s="7" t="s">
        <v>619</v>
      </c>
      <c r="B589" s="8">
        <v>45223</v>
      </c>
      <c r="C589" s="9" t="s">
        <v>27</v>
      </c>
      <c r="D589" s="9" t="s">
        <v>53</v>
      </c>
      <c r="E589" s="9" t="s">
        <v>13</v>
      </c>
      <c r="F589" s="9">
        <v>139</v>
      </c>
      <c r="G589" s="9">
        <v>109.28</v>
      </c>
      <c r="H589" s="9" t="s">
        <v>32</v>
      </c>
      <c r="I589" s="9">
        <v>35</v>
      </c>
      <c r="J589" s="10">
        <v>-29.72</v>
      </c>
      <c r="K589" s="9" t="str">
        <f>TEXT(Sales_of_Jordan[[#This Row],[Sale_Date]],"mmm")</f>
        <v>Oct</v>
      </c>
    </row>
    <row r="590" spans="1:11" x14ac:dyDescent="0.35">
      <c r="A590" s="7" t="s">
        <v>620</v>
      </c>
      <c r="B590" s="8">
        <v>45577</v>
      </c>
      <c r="C590" s="9" t="s">
        <v>21</v>
      </c>
      <c r="D590" s="9" t="s">
        <v>39</v>
      </c>
      <c r="E590" s="9" t="s">
        <v>18</v>
      </c>
      <c r="F590" s="9">
        <v>211</v>
      </c>
      <c r="G590" s="9">
        <v>662.85</v>
      </c>
      <c r="H590" s="9" t="s">
        <v>32</v>
      </c>
      <c r="I590" s="9">
        <v>47</v>
      </c>
      <c r="J590" s="10">
        <v>451.85</v>
      </c>
      <c r="K590" s="9" t="str">
        <f>TEXT(Sales_of_Jordan[[#This Row],[Sale_Date]],"mmm")</f>
        <v>Oct</v>
      </c>
    </row>
    <row r="591" spans="1:11" x14ac:dyDescent="0.35">
      <c r="A591" s="7" t="s">
        <v>621</v>
      </c>
      <c r="B591" s="8">
        <v>45104</v>
      </c>
      <c r="C591" s="9" t="s">
        <v>31</v>
      </c>
      <c r="D591" s="9" t="s">
        <v>36</v>
      </c>
      <c r="E591" s="9" t="s">
        <v>13</v>
      </c>
      <c r="F591" s="9">
        <v>200</v>
      </c>
      <c r="G591" s="9">
        <v>112.92</v>
      </c>
      <c r="H591" s="9" t="s">
        <v>19</v>
      </c>
      <c r="I591" s="9">
        <v>13</v>
      </c>
      <c r="J591" s="10">
        <v>-87.08</v>
      </c>
      <c r="K591" s="9" t="str">
        <f>TEXT(Sales_of_Jordan[[#This Row],[Sale_Date]],"mmm")</f>
        <v>Jun</v>
      </c>
    </row>
    <row r="592" spans="1:11" x14ac:dyDescent="0.35">
      <c r="A592" s="7" t="s">
        <v>622</v>
      </c>
      <c r="B592" s="8">
        <v>45084</v>
      </c>
      <c r="C592" s="9" t="s">
        <v>16</v>
      </c>
      <c r="D592" s="9" t="s">
        <v>22</v>
      </c>
      <c r="E592" s="9" t="s">
        <v>18</v>
      </c>
      <c r="F592" s="9">
        <v>186</v>
      </c>
      <c r="G592" s="9">
        <v>610.95000000000005</v>
      </c>
      <c r="H592" s="9" t="s">
        <v>23</v>
      </c>
      <c r="I592" s="9">
        <v>6</v>
      </c>
      <c r="J592" s="10">
        <v>424.95</v>
      </c>
      <c r="K592" s="9" t="str">
        <f>TEXT(Sales_of_Jordan[[#This Row],[Sale_Date]],"mmm")</f>
        <v>Jun</v>
      </c>
    </row>
    <row r="593" spans="1:11" x14ac:dyDescent="0.35">
      <c r="A593" s="7" t="s">
        <v>623</v>
      </c>
      <c r="B593" s="8">
        <v>45825</v>
      </c>
      <c r="C593" s="9" t="s">
        <v>27</v>
      </c>
      <c r="D593" s="9" t="s">
        <v>34</v>
      </c>
      <c r="E593" s="9" t="s">
        <v>29</v>
      </c>
      <c r="F593" s="9">
        <v>130</v>
      </c>
      <c r="G593" s="9">
        <v>188.52</v>
      </c>
      <c r="H593" s="9" t="s">
        <v>23</v>
      </c>
      <c r="I593" s="9">
        <v>24</v>
      </c>
      <c r="J593" s="10">
        <v>58.52</v>
      </c>
      <c r="K593" s="9" t="str">
        <f>TEXT(Sales_of_Jordan[[#This Row],[Sale_Date]],"mmm")</f>
        <v>Jun</v>
      </c>
    </row>
    <row r="594" spans="1:11" x14ac:dyDescent="0.35">
      <c r="A594" s="7" t="s">
        <v>624</v>
      </c>
      <c r="B594" s="8">
        <v>45878</v>
      </c>
      <c r="C594" s="9" t="s">
        <v>27</v>
      </c>
      <c r="D594" s="9" t="s">
        <v>34</v>
      </c>
      <c r="E594" s="9" t="s">
        <v>13</v>
      </c>
      <c r="F594" s="9">
        <v>138</v>
      </c>
      <c r="G594" s="9">
        <v>73.739999999999995</v>
      </c>
      <c r="H594" s="9" t="s">
        <v>19</v>
      </c>
      <c r="I594" s="9">
        <v>1</v>
      </c>
      <c r="J594" s="10">
        <v>-64.260000000000005</v>
      </c>
      <c r="K594" s="9" t="str">
        <f>TEXT(Sales_of_Jordan[[#This Row],[Sale_Date]],"mmm")</f>
        <v>Aug</v>
      </c>
    </row>
    <row r="595" spans="1:11" x14ac:dyDescent="0.35">
      <c r="A595" s="7" t="s">
        <v>625</v>
      </c>
      <c r="B595" s="8">
        <v>45442</v>
      </c>
      <c r="C595" s="9" t="s">
        <v>11</v>
      </c>
      <c r="D595" s="9" t="s">
        <v>46</v>
      </c>
      <c r="E595" s="9" t="s">
        <v>18</v>
      </c>
      <c r="F595" s="9">
        <v>228</v>
      </c>
      <c r="G595" s="9">
        <v>585.69000000000005</v>
      </c>
      <c r="H595" s="9" t="s">
        <v>25</v>
      </c>
      <c r="I595" s="9">
        <v>6</v>
      </c>
      <c r="J595" s="10">
        <v>357.69</v>
      </c>
      <c r="K595" s="9" t="str">
        <f>TEXT(Sales_of_Jordan[[#This Row],[Sale_Date]],"mmm")</f>
        <v>May</v>
      </c>
    </row>
    <row r="596" spans="1:11" x14ac:dyDescent="0.35">
      <c r="A596" s="7" t="s">
        <v>626</v>
      </c>
      <c r="B596" s="8">
        <v>45328</v>
      </c>
      <c r="C596" s="9" t="s">
        <v>31</v>
      </c>
      <c r="D596" s="9" t="s">
        <v>53</v>
      </c>
      <c r="E596" s="9" t="s">
        <v>18</v>
      </c>
      <c r="F596" s="9">
        <v>202</v>
      </c>
      <c r="G596" s="9">
        <v>520.47</v>
      </c>
      <c r="H596" s="9" t="s">
        <v>32</v>
      </c>
      <c r="I596" s="9">
        <v>50</v>
      </c>
      <c r="J596" s="10">
        <v>318.47000000000003</v>
      </c>
      <c r="K596" s="9" t="str">
        <f>TEXT(Sales_of_Jordan[[#This Row],[Sale_Date]],"mmm")</f>
        <v>Feb</v>
      </c>
    </row>
    <row r="597" spans="1:11" x14ac:dyDescent="0.35">
      <c r="A597" s="7" t="s">
        <v>627</v>
      </c>
      <c r="B597" s="8">
        <v>45070</v>
      </c>
      <c r="C597" s="9" t="s">
        <v>16</v>
      </c>
      <c r="D597" s="9" t="s">
        <v>17</v>
      </c>
      <c r="E597" s="9" t="s">
        <v>18</v>
      </c>
      <c r="F597" s="9">
        <v>179</v>
      </c>
      <c r="G597" s="9">
        <v>421.03</v>
      </c>
      <c r="H597" s="9" t="s">
        <v>19</v>
      </c>
      <c r="I597" s="9">
        <v>6</v>
      </c>
      <c r="J597" s="10">
        <v>242.02999999999901</v>
      </c>
      <c r="K597" s="9" t="str">
        <f>TEXT(Sales_of_Jordan[[#This Row],[Sale_Date]],"mmm")</f>
        <v>May</v>
      </c>
    </row>
    <row r="598" spans="1:11" x14ac:dyDescent="0.35">
      <c r="A598" s="7" t="s">
        <v>628</v>
      </c>
      <c r="B598" s="8">
        <v>45500</v>
      </c>
      <c r="C598" s="9" t="s">
        <v>21</v>
      </c>
      <c r="D598" s="9" t="s">
        <v>34</v>
      </c>
      <c r="E598" s="9" t="s">
        <v>13</v>
      </c>
      <c r="F598" s="9">
        <v>213</v>
      </c>
      <c r="G598" s="9">
        <v>138.21</v>
      </c>
      <c r="H598" s="9" t="s">
        <v>23</v>
      </c>
      <c r="I598" s="9">
        <v>27</v>
      </c>
      <c r="J598" s="10">
        <v>-74.789999999999907</v>
      </c>
      <c r="K598" s="9" t="str">
        <f>TEXT(Sales_of_Jordan[[#This Row],[Sale_Date]],"mmm")</f>
        <v>Jul</v>
      </c>
    </row>
    <row r="599" spans="1:11" x14ac:dyDescent="0.35">
      <c r="A599" s="7" t="s">
        <v>629</v>
      </c>
      <c r="B599" s="8">
        <v>44947</v>
      </c>
      <c r="C599" s="9" t="s">
        <v>16</v>
      </c>
      <c r="D599" s="9" t="s">
        <v>12</v>
      </c>
      <c r="E599" s="9" t="s">
        <v>29</v>
      </c>
      <c r="F599" s="9">
        <v>172</v>
      </c>
      <c r="G599" s="9">
        <v>168.25</v>
      </c>
      <c r="H599" s="9" t="s">
        <v>19</v>
      </c>
      <c r="I599" s="9">
        <v>12</v>
      </c>
      <c r="J599" s="10">
        <v>-3.75</v>
      </c>
      <c r="K599" s="9" t="str">
        <f>TEXT(Sales_of_Jordan[[#This Row],[Sale_Date]],"mmm")</f>
        <v>Jan</v>
      </c>
    </row>
    <row r="600" spans="1:11" x14ac:dyDescent="0.35">
      <c r="A600" s="7" t="s">
        <v>630</v>
      </c>
      <c r="B600" s="8">
        <v>45083</v>
      </c>
      <c r="C600" s="9" t="s">
        <v>21</v>
      </c>
      <c r="D600" s="9" t="s">
        <v>46</v>
      </c>
      <c r="E600" s="9" t="s">
        <v>18</v>
      </c>
      <c r="F600" s="9">
        <v>215</v>
      </c>
      <c r="G600" s="9">
        <v>456.57</v>
      </c>
      <c r="H600" s="9" t="s">
        <v>25</v>
      </c>
      <c r="I600" s="9">
        <v>48</v>
      </c>
      <c r="J600" s="10">
        <v>241.57</v>
      </c>
      <c r="K600" s="9" t="str">
        <f>TEXT(Sales_of_Jordan[[#This Row],[Sale_Date]],"mmm")</f>
        <v>Jun</v>
      </c>
    </row>
    <row r="601" spans="1:11" x14ac:dyDescent="0.35">
      <c r="A601" s="7" t="s">
        <v>631</v>
      </c>
      <c r="B601" s="8">
        <v>45623</v>
      </c>
      <c r="C601" s="9" t="s">
        <v>16</v>
      </c>
      <c r="D601" s="9" t="s">
        <v>53</v>
      </c>
      <c r="E601" s="9" t="s">
        <v>29</v>
      </c>
      <c r="F601" s="9">
        <v>177</v>
      </c>
      <c r="G601" s="9">
        <v>183.7</v>
      </c>
      <c r="H601" s="9" t="s">
        <v>14</v>
      </c>
      <c r="I601" s="9">
        <v>2</v>
      </c>
      <c r="J601" s="10">
        <v>6.6999999999999797</v>
      </c>
      <c r="K601" s="9" t="str">
        <f>TEXT(Sales_of_Jordan[[#This Row],[Sale_Date]],"mmm")</f>
        <v>Nov</v>
      </c>
    </row>
    <row r="602" spans="1:11" x14ac:dyDescent="0.35">
      <c r="A602" s="7" t="s">
        <v>632</v>
      </c>
      <c r="B602" s="8">
        <v>45767</v>
      </c>
      <c r="C602" s="9" t="s">
        <v>27</v>
      </c>
      <c r="D602" s="9" t="s">
        <v>12</v>
      </c>
      <c r="E602" s="9" t="s">
        <v>29</v>
      </c>
      <c r="F602" s="9">
        <v>115</v>
      </c>
      <c r="G602" s="9">
        <v>164.7</v>
      </c>
      <c r="H602" s="9" t="s">
        <v>23</v>
      </c>
      <c r="I602" s="9">
        <v>19</v>
      </c>
      <c r="J602" s="10">
        <v>49.699999999999903</v>
      </c>
      <c r="K602" s="9" t="str">
        <f>TEXT(Sales_of_Jordan[[#This Row],[Sale_Date]],"mmm")</f>
        <v>Apr</v>
      </c>
    </row>
    <row r="603" spans="1:11" x14ac:dyDescent="0.35">
      <c r="A603" s="7" t="s">
        <v>633</v>
      </c>
      <c r="B603" s="8">
        <v>45133</v>
      </c>
      <c r="C603" s="9" t="s">
        <v>16</v>
      </c>
      <c r="D603" s="9" t="s">
        <v>46</v>
      </c>
      <c r="E603" s="9" t="s">
        <v>13</v>
      </c>
      <c r="F603" s="9">
        <v>178</v>
      </c>
      <c r="G603" s="9">
        <v>141</v>
      </c>
      <c r="H603" s="9" t="s">
        <v>19</v>
      </c>
      <c r="I603" s="9">
        <v>6</v>
      </c>
      <c r="J603" s="10">
        <v>-37</v>
      </c>
      <c r="K603" s="9" t="str">
        <f>TEXT(Sales_of_Jordan[[#This Row],[Sale_Date]],"mmm")</f>
        <v>Jul</v>
      </c>
    </row>
    <row r="604" spans="1:11" x14ac:dyDescent="0.35">
      <c r="A604" s="7" t="s">
        <v>634</v>
      </c>
      <c r="B604" s="8">
        <v>45168</v>
      </c>
      <c r="C604" s="9" t="s">
        <v>21</v>
      </c>
      <c r="D604" s="9" t="s">
        <v>39</v>
      </c>
      <c r="E604" s="9" t="s">
        <v>29</v>
      </c>
      <c r="F604" s="9">
        <v>215</v>
      </c>
      <c r="G604" s="9">
        <v>221.98</v>
      </c>
      <c r="H604" s="9" t="s">
        <v>14</v>
      </c>
      <c r="I604" s="9">
        <v>11</v>
      </c>
      <c r="J604" s="10">
        <v>6.9799999999999898</v>
      </c>
      <c r="K604" s="9" t="str">
        <f>TEXT(Sales_of_Jordan[[#This Row],[Sale_Date]],"mmm")</f>
        <v>Aug</v>
      </c>
    </row>
    <row r="605" spans="1:11" x14ac:dyDescent="0.35">
      <c r="A605" s="7" t="s">
        <v>635</v>
      </c>
      <c r="B605" s="8">
        <v>45773</v>
      </c>
      <c r="C605" s="9" t="s">
        <v>27</v>
      </c>
      <c r="D605" s="9" t="s">
        <v>46</v>
      </c>
      <c r="E605" s="9" t="s">
        <v>18</v>
      </c>
      <c r="F605" s="9">
        <v>117</v>
      </c>
      <c r="G605" s="9">
        <v>385.58</v>
      </c>
      <c r="H605" s="9" t="s">
        <v>32</v>
      </c>
      <c r="I605" s="9">
        <v>33</v>
      </c>
      <c r="J605" s="10">
        <v>268.58</v>
      </c>
      <c r="K605" s="9" t="str">
        <f>TEXT(Sales_of_Jordan[[#This Row],[Sale_Date]],"mmm")</f>
        <v>Apr</v>
      </c>
    </row>
    <row r="606" spans="1:11" x14ac:dyDescent="0.35">
      <c r="A606" s="7" t="s">
        <v>636</v>
      </c>
      <c r="B606" s="8">
        <v>45918</v>
      </c>
      <c r="C606" s="9" t="s">
        <v>16</v>
      </c>
      <c r="D606" s="9" t="s">
        <v>12</v>
      </c>
      <c r="E606" s="9" t="s">
        <v>18</v>
      </c>
      <c r="F606" s="9">
        <v>172</v>
      </c>
      <c r="G606" s="9">
        <v>238.24</v>
      </c>
      <c r="H606" s="9" t="s">
        <v>23</v>
      </c>
      <c r="I606" s="9">
        <v>58</v>
      </c>
      <c r="J606" s="10">
        <v>66.239999999999995</v>
      </c>
      <c r="K606" s="9" t="str">
        <f>TEXT(Sales_of_Jordan[[#This Row],[Sale_Date]],"mmm")</f>
        <v>Sep</v>
      </c>
    </row>
    <row r="607" spans="1:11" x14ac:dyDescent="0.35">
      <c r="A607" s="7" t="s">
        <v>637</v>
      </c>
      <c r="B607" s="8">
        <v>45666</v>
      </c>
      <c r="C607" s="9" t="s">
        <v>11</v>
      </c>
      <c r="D607" s="9" t="s">
        <v>17</v>
      </c>
      <c r="E607" s="9" t="s">
        <v>29</v>
      </c>
      <c r="F607" s="9">
        <v>230</v>
      </c>
      <c r="G607" s="9">
        <v>258.55</v>
      </c>
      <c r="H607" s="9" t="s">
        <v>19</v>
      </c>
      <c r="I607" s="9">
        <v>5</v>
      </c>
      <c r="J607" s="10">
        <v>28.55</v>
      </c>
      <c r="K607" s="9" t="str">
        <f>TEXT(Sales_of_Jordan[[#This Row],[Sale_Date]],"mmm")</f>
        <v>Jan</v>
      </c>
    </row>
    <row r="608" spans="1:11" x14ac:dyDescent="0.35">
      <c r="A608" s="7" t="s">
        <v>638</v>
      </c>
      <c r="B608" s="8">
        <v>44931</v>
      </c>
      <c r="C608" s="9" t="s">
        <v>16</v>
      </c>
      <c r="D608" s="9" t="s">
        <v>53</v>
      </c>
      <c r="E608" s="9" t="s">
        <v>13</v>
      </c>
      <c r="F608" s="9">
        <v>190</v>
      </c>
      <c r="G608" s="9">
        <v>130.41999999999999</v>
      </c>
      <c r="H608" s="9" t="s">
        <v>25</v>
      </c>
      <c r="I608" s="9">
        <v>7</v>
      </c>
      <c r="J608" s="10">
        <v>-59.58</v>
      </c>
      <c r="K608" s="9" t="str">
        <f>TEXT(Sales_of_Jordan[[#This Row],[Sale_Date]],"mmm")</f>
        <v>Jan</v>
      </c>
    </row>
    <row r="609" spans="1:11" x14ac:dyDescent="0.35">
      <c r="A609" s="7" t="s">
        <v>639</v>
      </c>
      <c r="B609" s="8">
        <v>44966</v>
      </c>
      <c r="C609" s="9" t="s">
        <v>21</v>
      </c>
      <c r="D609" s="9" t="s">
        <v>36</v>
      </c>
      <c r="E609" s="9" t="s">
        <v>29</v>
      </c>
      <c r="F609" s="9">
        <v>216</v>
      </c>
      <c r="G609" s="9">
        <v>212.8</v>
      </c>
      <c r="H609" s="9" t="s">
        <v>25</v>
      </c>
      <c r="I609" s="9">
        <v>60</v>
      </c>
      <c r="J609" s="10">
        <v>-3.1999999999999802</v>
      </c>
      <c r="K609" s="9" t="str">
        <f>TEXT(Sales_of_Jordan[[#This Row],[Sale_Date]],"mmm")</f>
        <v>Feb</v>
      </c>
    </row>
    <row r="610" spans="1:11" x14ac:dyDescent="0.35">
      <c r="A610" s="7" t="s">
        <v>640</v>
      </c>
      <c r="B610" s="8">
        <v>45563</v>
      </c>
      <c r="C610" s="9" t="s">
        <v>21</v>
      </c>
      <c r="D610" s="9" t="s">
        <v>46</v>
      </c>
      <c r="E610" s="9" t="s">
        <v>18</v>
      </c>
      <c r="F610" s="9">
        <v>216</v>
      </c>
      <c r="G610" s="9">
        <v>509.66</v>
      </c>
      <c r="H610" s="9" t="s">
        <v>23</v>
      </c>
      <c r="I610" s="9">
        <v>27</v>
      </c>
      <c r="J610" s="10">
        <v>293.66000000000003</v>
      </c>
      <c r="K610" s="9" t="str">
        <f>TEXT(Sales_of_Jordan[[#This Row],[Sale_Date]],"mmm")</f>
        <v>Sep</v>
      </c>
    </row>
    <row r="611" spans="1:11" x14ac:dyDescent="0.35">
      <c r="A611" s="7" t="s">
        <v>641</v>
      </c>
      <c r="B611" s="8">
        <v>45754</v>
      </c>
      <c r="C611" s="9" t="s">
        <v>31</v>
      </c>
      <c r="D611" s="9" t="s">
        <v>36</v>
      </c>
      <c r="E611" s="9" t="s">
        <v>18</v>
      </c>
      <c r="F611" s="9">
        <v>207</v>
      </c>
      <c r="G611" s="9">
        <v>666.36</v>
      </c>
      <c r="H611" s="9" t="s">
        <v>14</v>
      </c>
      <c r="I611" s="9">
        <v>9</v>
      </c>
      <c r="J611" s="10">
        <v>459.36</v>
      </c>
      <c r="K611" s="9" t="str">
        <f>TEXT(Sales_of_Jordan[[#This Row],[Sale_Date]],"mmm")</f>
        <v>Apr</v>
      </c>
    </row>
    <row r="612" spans="1:11" x14ac:dyDescent="0.35">
      <c r="A612" s="7" t="s">
        <v>642</v>
      </c>
      <c r="B612" s="8">
        <v>44935</v>
      </c>
      <c r="C612" s="9" t="s">
        <v>11</v>
      </c>
      <c r="D612" s="9" t="s">
        <v>46</v>
      </c>
      <c r="E612" s="9" t="s">
        <v>29</v>
      </c>
      <c r="F612" s="9">
        <v>228</v>
      </c>
      <c r="G612" s="9">
        <v>256.58</v>
      </c>
      <c r="H612" s="9" t="s">
        <v>14</v>
      </c>
      <c r="I612" s="9">
        <v>10</v>
      </c>
      <c r="J612" s="10">
        <v>28.579999999999899</v>
      </c>
      <c r="K612" s="9" t="str">
        <f>TEXT(Sales_of_Jordan[[#This Row],[Sale_Date]],"mmm")</f>
        <v>Jan</v>
      </c>
    </row>
    <row r="613" spans="1:11" x14ac:dyDescent="0.35">
      <c r="A613" s="7" t="s">
        <v>643</v>
      </c>
      <c r="B613" s="8">
        <v>45535</v>
      </c>
      <c r="C613" s="9" t="s">
        <v>16</v>
      </c>
      <c r="D613" s="9" t="s">
        <v>46</v>
      </c>
      <c r="E613" s="9" t="s">
        <v>29</v>
      </c>
      <c r="F613" s="9">
        <v>175</v>
      </c>
      <c r="G613" s="9">
        <v>182.07</v>
      </c>
      <c r="H613" s="9" t="s">
        <v>25</v>
      </c>
      <c r="I613" s="9">
        <v>36</v>
      </c>
      <c r="J613" s="10">
        <v>7.0699999999999896</v>
      </c>
      <c r="K613" s="9" t="str">
        <f>TEXT(Sales_of_Jordan[[#This Row],[Sale_Date]],"mmm")</f>
        <v>Aug</v>
      </c>
    </row>
    <row r="614" spans="1:11" x14ac:dyDescent="0.35">
      <c r="A614" s="7" t="s">
        <v>644</v>
      </c>
      <c r="B614" s="8">
        <v>45237</v>
      </c>
      <c r="C614" s="9" t="s">
        <v>21</v>
      </c>
      <c r="D614" s="9" t="s">
        <v>12</v>
      </c>
      <c r="E614" s="9" t="s">
        <v>18</v>
      </c>
      <c r="F614" s="9">
        <v>213</v>
      </c>
      <c r="G614" s="9">
        <v>451.83</v>
      </c>
      <c r="H614" s="9" t="s">
        <v>32</v>
      </c>
      <c r="I614" s="9">
        <v>7</v>
      </c>
      <c r="J614" s="10">
        <v>238.82999999999899</v>
      </c>
      <c r="K614" s="9" t="str">
        <f>TEXT(Sales_of_Jordan[[#This Row],[Sale_Date]],"mmm")</f>
        <v>Nov</v>
      </c>
    </row>
    <row r="615" spans="1:11" x14ac:dyDescent="0.35">
      <c r="A615" s="7" t="s">
        <v>645</v>
      </c>
      <c r="B615" s="8">
        <v>45569</v>
      </c>
      <c r="C615" s="9" t="s">
        <v>27</v>
      </c>
      <c r="D615" s="9" t="s">
        <v>36</v>
      </c>
      <c r="E615" s="9" t="s">
        <v>13</v>
      </c>
      <c r="F615" s="9">
        <v>136</v>
      </c>
      <c r="G615" s="9">
        <v>68.94</v>
      </c>
      <c r="H615" s="9" t="s">
        <v>25</v>
      </c>
      <c r="I615" s="9">
        <v>41</v>
      </c>
      <c r="J615" s="10">
        <v>-67.06</v>
      </c>
      <c r="K615" s="9" t="str">
        <f>TEXT(Sales_of_Jordan[[#This Row],[Sale_Date]],"mmm")</f>
        <v>Oct</v>
      </c>
    </row>
    <row r="616" spans="1:11" x14ac:dyDescent="0.35">
      <c r="A616" s="7" t="s">
        <v>646</v>
      </c>
      <c r="B616" s="8">
        <v>45156</v>
      </c>
      <c r="C616" s="9" t="s">
        <v>21</v>
      </c>
      <c r="D616" s="9" t="s">
        <v>53</v>
      </c>
      <c r="E616" s="9" t="s">
        <v>18</v>
      </c>
      <c r="F616" s="9">
        <v>221</v>
      </c>
      <c r="G616" s="9">
        <v>745.45</v>
      </c>
      <c r="H616" s="9" t="s">
        <v>23</v>
      </c>
      <c r="I616" s="9">
        <v>27</v>
      </c>
      <c r="J616" s="10">
        <v>524.45000000000005</v>
      </c>
      <c r="K616" s="9" t="str">
        <f>TEXT(Sales_of_Jordan[[#This Row],[Sale_Date]],"mmm")</f>
        <v>Aug</v>
      </c>
    </row>
    <row r="617" spans="1:11" x14ac:dyDescent="0.35">
      <c r="A617" s="7" t="s">
        <v>647</v>
      </c>
      <c r="B617" s="8">
        <v>45081</v>
      </c>
      <c r="C617" s="9" t="s">
        <v>31</v>
      </c>
      <c r="D617" s="9" t="s">
        <v>36</v>
      </c>
      <c r="E617" s="9" t="s">
        <v>13</v>
      </c>
      <c r="F617" s="9">
        <v>208</v>
      </c>
      <c r="G617" s="9">
        <v>164.94</v>
      </c>
      <c r="H617" s="9" t="s">
        <v>14</v>
      </c>
      <c r="I617" s="9">
        <v>2</v>
      </c>
      <c r="J617" s="10">
        <v>-43.06</v>
      </c>
      <c r="K617" s="9" t="str">
        <f>TEXT(Sales_of_Jordan[[#This Row],[Sale_Date]],"mmm")</f>
        <v>Jun</v>
      </c>
    </row>
    <row r="618" spans="1:11" x14ac:dyDescent="0.35">
      <c r="A618" s="7" t="s">
        <v>648</v>
      </c>
      <c r="B618" s="8">
        <v>44986</v>
      </c>
      <c r="C618" s="9" t="s">
        <v>31</v>
      </c>
      <c r="D618" s="9" t="s">
        <v>55</v>
      </c>
      <c r="E618" s="9" t="s">
        <v>29</v>
      </c>
      <c r="F618" s="9">
        <v>202</v>
      </c>
      <c r="G618" s="9">
        <v>249.6</v>
      </c>
      <c r="H618" s="9" t="s">
        <v>14</v>
      </c>
      <c r="I618" s="9">
        <v>10</v>
      </c>
      <c r="J618" s="10">
        <v>47.599999999999902</v>
      </c>
      <c r="K618" s="9" t="str">
        <f>TEXT(Sales_of_Jordan[[#This Row],[Sale_Date]],"mmm")</f>
        <v>Mar</v>
      </c>
    </row>
    <row r="619" spans="1:11" x14ac:dyDescent="0.35">
      <c r="A619" s="7" t="s">
        <v>649</v>
      </c>
      <c r="B619" s="8">
        <v>45880</v>
      </c>
      <c r="C619" s="9" t="s">
        <v>16</v>
      </c>
      <c r="D619" s="9" t="s">
        <v>46</v>
      </c>
      <c r="E619" s="9" t="s">
        <v>29</v>
      </c>
      <c r="F619" s="9">
        <v>183</v>
      </c>
      <c r="G619" s="9">
        <v>259.01</v>
      </c>
      <c r="H619" s="9" t="s">
        <v>32</v>
      </c>
      <c r="I619" s="9">
        <v>59</v>
      </c>
      <c r="J619" s="10">
        <v>76.009999999999906</v>
      </c>
      <c r="K619" s="9" t="str">
        <f>TEXT(Sales_of_Jordan[[#This Row],[Sale_Date]],"mmm")</f>
        <v>Aug</v>
      </c>
    </row>
    <row r="620" spans="1:11" x14ac:dyDescent="0.35">
      <c r="A620" s="7" t="s">
        <v>650</v>
      </c>
      <c r="B620" s="8">
        <v>44933</v>
      </c>
      <c r="C620" s="9" t="s">
        <v>27</v>
      </c>
      <c r="D620" s="9" t="s">
        <v>12</v>
      </c>
      <c r="E620" s="9" t="s">
        <v>18</v>
      </c>
      <c r="F620" s="9">
        <v>131</v>
      </c>
      <c r="G620" s="9">
        <v>168.89</v>
      </c>
      <c r="H620" s="9" t="s">
        <v>32</v>
      </c>
      <c r="I620" s="9">
        <v>49</v>
      </c>
      <c r="J620" s="10">
        <v>37.889999999999901</v>
      </c>
      <c r="K620" s="9" t="str">
        <f>TEXT(Sales_of_Jordan[[#This Row],[Sale_Date]],"mmm")</f>
        <v>Jan</v>
      </c>
    </row>
    <row r="621" spans="1:11" x14ac:dyDescent="0.35">
      <c r="A621" s="7" t="s">
        <v>651</v>
      </c>
      <c r="B621" s="8">
        <v>45205</v>
      </c>
      <c r="C621" s="9" t="s">
        <v>11</v>
      </c>
      <c r="D621" s="9" t="s">
        <v>22</v>
      </c>
      <c r="E621" s="9" t="s">
        <v>29</v>
      </c>
      <c r="F621" s="9">
        <v>228</v>
      </c>
      <c r="G621" s="9">
        <v>239.11</v>
      </c>
      <c r="H621" s="9" t="s">
        <v>25</v>
      </c>
      <c r="I621" s="9">
        <v>21</v>
      </c>
      <c r="J621" s="10">
        <v>11.11</v>
      </c>
      <c r="K621" s="9" t="str">
        <f>TEXT(Sales_of_Jordan[[#This Row],[Sale_Date]],"mmm")</f>
        <v>Oct</v>
      </c>
    </row>
    <row r="622" spans="1:11" x14ac:dyDescent="0.35">
      <c r="A622" s="7" t="s">
        <v>652</v>
      </c>
      <c r="B622" s="8">
        <v>45573</v>
      </c>
      <c r="C622" s="9" t="s">
        <v>31</v>
      </c>
      <c r="D622" s="9" t="s">
        <v>55</v>
      </c>
      <c r="E622" s="9" t="s">
        <v>29</v>
      </c>
      <c r="F622" s="9">
        <v>209</v>
      </c>
      <c r="G622" s="9">
        <v>261.14</v>
      </c>
      <c r="H622" s="9" t="s">
        <v>25</v>
      </c>
      <c r="I622" s="9">
        <v>43</v>
      </c>
      <c r="J622" s="10">
        <v>52.139999999999901</v>
      </c>
      <c r="K622" s="9" t="str">
        <f>TEXT(Sales_of_Jordan[[#This Row],[Sale_Date]],"mmm")</f>
        <v>Oct</v>
      </c>
    </row>
    <row r="623" spans="1:11" x14ac:dyDescent="0.35">
      <c r="A623" s="7" t="s">
        <v>653</v>
      </c>
      <c r="B623" s="8">
        <v>45287</v>
      </c>
      <c r="C623" s="9" t="s">
        <v>11</v>
      </c>
      <c r="D623" s="9" t="s">
        <v>36</v>
      </c>
      <c r="E623" s="9" t="s">
        <v>29</v>
      </c>
      <c r="F623" s="9">
        <v>228</v>
      </c>
      <c r="G623" s="9">
        <v>310.29000000000002</v>
      </c>
      <c r="H623" s="9" t="s">
        <v>19</v>
      </c>
      <c r="I623" s="9">
        <v>10</v>
      </c>
      <c r="J623" s="10">
        <v>82.29</v>
      </c>
      <c r="K623" s="9" t="str">
        <f>TEXT(Sales_of_Jordan[[#This Row],[Sale_Date]],"mmm")</f>
        <v>Dec</v>
      </c>
    </row>
    <row r="624" spans="1:11" x14ac:dyDescent="0.35">
      <c r="A624" s="7" t="s">
        <v>654</v>
      </c>
      <c r="B624" s="8">
        <v>45178</v>
      </c>
      <c r="C624" s="9" t="s">
        <v>11</v>
      </c>
      <c r="D624" s="9" t="s">
        <v>36</v>
      </c>
      <c r="E624" s="9" t="s">
        <v>13</v>
      </c>
      <c r="F624" s="9">
        <v>229</v>
      </c>
      <c r="G624" s="9">
        <v>174.32</v>
      </c>
      <c r="H624" s="9" t="s">
        <v>23</v>
      </c>
      <c r="I624" s="9">
        <v>5</v>
      </c>
      <c r="J624" s="10">
        <v>-54.68</v>
      </c>
      <c r="K624" s="9" t="str">
        <f>TEXT(Sales_of_Jordan[[#This Row],[Sale_Date]],"mmm")</f>
        <v>Sep</v>
      </c>
    </row>
    <row r="625" spans="1:11" x14ac:dyDescent="0.35">
      <c r="A625" s="7" t="s">
        <v>655</v>
      </c>
      <c r="B625" s="8">
        <v>45302</v>
      </c>
      <c r="C625" s="9" t="s">
        <v>21</v>
      </c>
      <c r="D625" s="9" t="s">
        <v>22</v>
      </c>
      <c r="E625" s="9" t="s">
        <v>13</v>
      </c>
      <c r="F625" s="9">
        <v>219</v>
      </c>
      <c r="G625" s="9">
        <v>116.89</v>
      </c>
      <c r="H625" s="9" t="s">
        <v>23</v>
      </c>
      <c r="I625" s="9">
        <v>54</v>
      </c>
      <c r="J625" s="10">
        <v>-102.11</v>
      </c>
      <c r="K625" s="9" t="str">
        <f>TEXT(Sales_of_Jordan[[#This Row],[Sale_Date]],"mmm")</f>
        <v>Jan</v>
      </c>
    </row>
    <row r="626" spans="1:11" x14ac:dyDescent="0.35">
      <c r="A626" s="7" t="s">
        <v>656</v>
      </c>
      <c r="B626" s="8">
        <v>45143</v>
      </c>
      <c r="C626" s="9" t="s">
        <v>31</v>
      </c>
      <c r="D626" s="9" t="s">
        <v>17</v>
      </c>
      <c r="E626" s="9" t="s">
        <v>13</v>
      </c>
      <c r="F626" s="9">
        <v>200</v>
      </c>
      <c r="G626" s="9">
        <v>115.01</v>
      </c>
      <c r="H626" s="9" t="s">
        <v>25</v>
      </c>
      <c r="I626" s="9">
        <v>56</v>
      </c>
      <c r="J626" s="10">
        <v>-84.99</v>
      </c>
      <c r="K626" s="9" t="str">
        <f>TEXT(Sales_of_Jordan[[#This Row],[Sale_Date]],"mmm")</f>
        <v>Aug</v>
      </c>
    </row>
    <row r="627" spans="1:11" x14ac:dyDescent="0.35">
      <c r="A627" s="7" t="s">
        <v>657</v>
      </c>
      <c r="B627" s="8">
        <v>45208</v>
      </c>
      <c r="C627" s="9" t="s">
        <v>31</v>
      </c>
      <c r="D627" s="9" t="s">
        <v>39</v>
      </c>
      <c r="E627" s="9" t="s">
        <v>13</v>
      </c>
      <c r="F627" s="9">
        <v>205</v>
      </c>
      <c r="G627" s="9">
        <v>106.43</v>
      </c>
      <c r="H627" s="9" t="s">
        <v>23</v>
      </c>
      <c r="I627" s="9">
        <v>35</v>
      </c>
      <c r="J627" s="10">
        <v>-98.57</v>
      </c>
      <c r="K627" s="9" t="str">
        <f>TEXT(Sales_of_Jordan[[#This Row],[Sale_Date]],"mmm")</f>
        <v>Oct</v>
      </c>
    </row>
    <row r="628" spans="1:11" x14ac:dyDescent="0.35">
      <c r="A628" s="7" t="s">
        <v>658</v>
      </c>
      <c r="B628" s="8">
        <v>45014</v>
      </c>
      <c r="C628" s="9" t="s">
        <v>21</v>
      </c>
      <c r="D628" s="9" t="s">
        <v>46</v>
      </c>
      <c r="E628" s="9" t="s">
        <v>13</v>
      </c>
      <c r="F628" s="9">
        <v>215</v>
      </c>
      <c r="G628" s="9">
        <v>111.58</v>
      </c>
      <c r="H628" s="9" t="s">
        <v>32</v>
      </c>
      <c r="I628" s="9">
        <v>51</v>
      </c>
      <c r="J628" s="10">
        <v>-103.42</v>
      </c>
      <c r="K628" s="9" t="str">
        <f>TEXT(Sales_of_Jordan[[#This Row],[Sale_Date]],"mmm")</f>
        <v>Mar</v>
      </c>
    </row>
    <row r="629" spans="1:11" x14ac:dyDescent="0.35">
      <c r="A629" s="7" t="s">
        <v>659</v>
      </c>
      <c r="B629" s="8">
        <v>45031</v>
      </c>
      <c r="C629" s="9" t="s">
        <v>16</v>
      </c>
      <c r="D629" s="9" t="s">
        <v>22</v>
      </c>
      <c r="E629" s="9" t="s">
        <v>13</v>
      </c>
      <c r="F629" s="9">
        <v>174</v>
      </c>
      <c r="G629" s="9">
        <v>121.54</v>
      </c>
      <c r="H629" s="9" t="s">
        <v>14</v>
      </c>
      <c r="I629" s="9">
        <v>4</v>
      </c>
      <c r="J629" s="10">
        <v>-52.459999999999901</v>
      </c>
      <c r="K629" s="9" t="str">
        <f>TEXT(Sales_of_Jordan[[#This Row],[Sale_Date]],"mmm")</f>
        <v>Apr</v>
      </c>
    </row>
    <row r="630" spans="1:11" x14ac:dyDescent="0.35">
      <c r="A630" s="7" t="s">
        <v>660</v>
      </c>
      <c r="B630" s="8">
        <v>45587</v>
      </c>
      <c r="C630" s="9" t="s">
        <v>21</v>
      </c>
      <c r="D630" s="9" t="s">
        <v>55</v>
      </c>
      <c r="E630" s="9" t="s">
        <v>13</v>
      </c>
      <c r="F630" s="9">
        <v>213</v>
      </c>
      <c r="G630" s="9">
        <v>109</v>
      </c>
      <c r="H630" s="9" t="s">
        <v>23</v>
      </c>
      <c r="I630" s="9">
        <v>47</v>
      </c>
      <c r="J630" s="10">
        <v>-104</v>
      </c>
      <c r="K630" s="9" t="str">
        <f>TEXT(Sales_of_Jordan[[#This Row],[Sale_Date]],"mmm")</f>
        <v>Oct</v>
      </c>
    </row>
    <row r="631" spans="1:11" x14ac:dyDescent="0.35">
      <c r="A631" s="7" t="s">
        <v>661</v>
      </c>
      <c r="B631" s="8">
        <v>44992</v>
      </c>
      <c r="C631" s="9" t="s">
        <v>11</v>
      </c>
      <c r="D631" s="9" t="s">
        <v>46</v>
      </c>
      <c r="E631" s="9" t="s">
        <v>13</v>
      </c>
      <c r="F631" s="9">
        <v>230</v>
      </c>
      <c r="G631" s="9">
        <v>144.88</v>
      </c>
      <c r="H631" s="9" t="s">
        <v>25</v>
      </c>
      <c r="I631" s="9">
        <v>19</v>
      </c>
      <c r="J631" s="10">
        <v>-85.12</v>
      </c>
      <c r="K631" s="9" t="str">
        <f>TEXT(Sales_of_Jordan[[#This Row],[Sale_Date]],"mmm")</f>
        <v>Mar</v>
      </c>
    </row>
    <row r="632" spans="1:11" x14ac:dyDescent="0.35">
      <c r="A632" s="7" t="s">
        <v>662</v>
      </c>
      <c r="B632" s="8">
        <v>45798</v>
      </c>
      <c r="C632" s="9" t="s">
        <v>16</v>
      </c>
      <c r="D632" s="9" t="s">
        <v>34</v>
      </c>
      <c r="E632" s="9" t="s">
        <v>13</v>
      </c>
      <c r="F632" s="9">
        <v>189</v>
      </c>
      <c r="G632" s="9">
        <v>165.45</v>
      </c>
      <c r="H632" s="9" t="s">
        <v>14</v>
      </c>
      <c r="I632" s="9">
        <v>12</v>
      </c>
      <c r="J632" s="10">
        <v>-23.55</v>
      </c>
      <c r="K632" s="9" t="str">
        <f>TEXT(Sales_of_Jordan[[#This Row],[Sale_Date]],"mmm")</f>
        <v>May</v>
      </c>
    </row>
    <row r="633" spans="1:11" x14ac:dyDescent="0.35">
      <c r="A633" s="7" t="s">
        <v>663</v>
      </c>
      <c r="B633" s="8">
        <v>45015</v>
      </c>
      <c r="C633" s="9" t="s">
        <v>31</v>
      </c>
      <c r="D633" s="9" t="s">
        <v>12</v>
      </c>
      <c r="E633" s="9" t="s">
        <v>18</v>
      </c>
      <c r="F633" s="9">
        <v>206</v>
      </c>
      <c r="G633" s="9">
        <v>640.4</v>
      </c>
      <c r="H633" s="9" t="s">
        <v>19</v>
      </c>
      <c r="I633" s="9">
        <v>6</v>
      </c>
      <c r="J633" s="10">
        <v>434.4</v>
      </c>
      <c r="K633" s="9" t="str">
        <f>TEXT(Sales_of_Jordan[[#This Row],[Sale_Date]],"mmm")</f>
        <v>Mar</v>
      </c>
    </row>
    <row r="634" spans="1:11" x14ac:dyDescent="0.35">
      <c r="A634" s="7" t="s">
        <v>664</v>
      </c>
      <c r="B634" s="8">
        <v>45638</v>
      </c>
      <c r="C634" s="9" t="s">
        <v>31</v>
      </c>
      <c r="D634" s="9" t="s">
        <v>34</v>
      </c>
      <c r="E634" s="9" t="s">
        <v>13</v>
      </c>
      <c r="F634" s="9">
        <v>205</v>
      </c>
      <c r="G634" s="9">
        <v>145.25</v>
      </c>
      <c r="H634" s="9" t="s">
        <v>25</v>
      </c>
      <c r="I634" s="9">
        <v>50</v>
      </c>
      <c r="J634" s="10">
        <v>-59.75</v>
      </c>
      <c r="K634" s="9" t="str">
        <f>TEXT(Sales_of_Jordan[[#This Row],[Sale_Date]],"mmm")</f>
        <v>Dec</v>
      </c>
    </row>
    <row r="635" spans="1:11" x14ac:dyDescent="0.35">
      <c r="A635" s="7" t="s">
        <v>665</v>
      </c>
      <c r="B635" s="8">
        <v>45819</v>
      </c>
      <c r="C635" s="9" t="s">
        <v>27</v>
      </c>
      <c r="D635" s="9" t="s">
        <v>17</v>
      </c>
      <c r="E635" s="9" t="s">
        <v>13</v>
      </c>
      <c r="F635" s="9">
        <v>119</v>
      </c>
      <c r="G635" s="9">
        <v>92.5</v>
      </c>
      <c r="H635" s="9" t="s">
        <v>25</v>
      </c>
      <c r="I635" s="9">
        <v>42</v>
      </c>
      <c r="J635" s="10">
        <v>-26.5</v>
      </c>
      <c r="K635" s="9" t="str">
        <f>TEXT(Sales_of_Jordan[[#This Row],[Sale_Date]],"mmm")</f>
        <v>Jun</v>
      </c>
    </row>
    <row r="636" spans="1:11" x14ac:dyDescent="0.35">
      <c r="A636" s="7" t="s">
        <v>666</v>
      </c>
      <c r="B636" s="8">
        <v>45880</v>
      </c>
      <c r="C636" s="9" t="s">
        <v>11</v>
      </c>
      <c r="D636" s="9" t="s">
        <v>46</v>
      </c>
      <c r="E636" s="9" t="s">
        <v>18</v>
      </c>
      <c r="F636" s="9">
        <v>225</v>
      </c>
      <c r="G636" s="9">
        <v>606.95000000000005</v>
      </c>
      <c r="H636" s="9" t="s">
        <v>14</v>
      </c>
      <c r="I636" s="9">
        <v>3</v>
      </c>
      <c r="J636" s="10">
        <v>381.95</v>
      </c>
      <c r="K636" s="9" t="str">
        <f>TEXT(Sales_of_Jordan[[#This Row],[Sale_Date]],"mmm")</f>
        <v>Aug</v>
      </c>
    </row>
    <row r="637" spans="1:11" x14ac:dyDescent="0.35">
      <c r="A637" s="7" t="s">
        <v>667</v>
      </c>
      <c r="B637" s="8">
        <v>45394</v>
      </c>
      <c r="C637" s="9" t="s">
        <v>27</v>
      </c>
      <c r="D637" s="9" t="s">
        <v>55</v>
      </c>
      <c r="E637" s="9" t="s">
        <v>13</v>
      </c>
      <c r="F637" s="9">
        <v>130</v>
      </c>
      <c r="G637" s="9">
        <v>109.93</v>
      </c>
      <c r="H637" s="9" t="s">
        <v>14</v>
      </c>
      <c r="I637" s="9">
        <v>3</v>
      </c>
      <c r="J637" s="10">
        <v>-20.069999999999901</v>
      </c>
      <c r="K637" s="9" t="str">
        <f>TEXT(Sales_of_Jordan[[#This Row],[Sale_Date]],"mmm")</f>
        <v>Apr</v>
      </c>
    </row>
    <row r="638" spans="1:11" x14ac:dyDescent="0.35">
      <c r="A638" s="7" t="s">
        <v>668</v>
      </c>
      <c r="B638" s="8">
        <v>44947</v>
      </c>
      <c r="C638" s="9" t="s">
        <v>31</v>
      </c>
      <c r="D638" s="9" t="s">
        <v>36</v>
      </c>
      <c r="E638" s="9" t="s">
        <v>13</v>
      </c>
      <c r="F638" s="9">
        <v>206</v>
      </c>
      <c r="G638" s="9">
        <v>127.31</v>
      </c>
      <c r="H638" s="9" t="s">
        <v>32</v>
      </c>
      <c r="I638" s="9">
        <v>59</v>
      </c>
      <c r="J638" s="10">
        <v>-78.69</v>
      </c>
      <c r="K638" s="9" t="str">
        <f>TEXT(Sales_of_Jordan[[#This Row],[Sale_Date]],"mmm")</f>
        <v>Jan</v>
      </c>
    </row>
    <row r="639" spans="1:11" x14ac:dyDescent="0.35">
      <c r="A639" s="7" t="s">
        <v>669</v>
      </c>
      <c r="B639" s="8">
        <v>45755</v>
      </c>
      <c r="C639" s="9" t="s">
        <v>31</v>
      </c>
      <c r="D639" s="9" t="s">
        <v>22</v>
      </c>
      <c r="E639" s="9" t="s">
        <v>18</v>
      </c>
      <c r="F639" s="9">
        <v>208</v>
      </c>
      <c r="G639" s="9">
        <v>299.69</v>
      </c>
      <c r="H639" s="9" t="s">
        <v>14</v>
      </c>
      <c r="I639" s="9">
        <v>14</v>
      </c>
      <c r="J639" s="10">
        <v>91.69</v>
      </c>
      <c r="K639" s="9" t="str">
        <f>TEXT(Sales_of_Jordan[[#This Row],[Sale_Date]],"mmm")</f>
        <v>Apr</v>
      </c>
    </row>
    <row r="640" spans="1:11" x14ac:dyDescent="0.35">
      <c r="A640" s="7" t="s">
        <v>670</v>
      </c>
      <c r="B640" s="8">
        <v>45260</v>
      </c>
      <c r="C640" s="9" t="s">
        <v>16</v>
      </c>
      <c r="D640" s="9" t="s">
        <v>53</v>
      </c>
      <c r="E640" s="9" t="s">
        <v>13</v>
      </c>
      <c r="F640" s="9">
        <v>173</v>
      </c>
      <c r="G640" s="9">
        <v>106.13</v>
      </c>
      <c r="H640" s="9" t="s">
        <v>14</v>
      </c>
      <c r="I640" s="9">
        <v>2</v>
      </c>
      <c r="J640" s="10">
        <v>-66.87</v>
      </c>
      <c r="K640" s="9" t="str">
        <f>TEXT(Sales_of_Jordan[[#This Row],[Sale_Date]],"mmm")</f>
        <v>Nov</v>
      </c>
    </row>
    <row r="641" spans="1:11" x14ac:dyDescent="0.35">
      <c r="A641" s="7" t="s">
        <v>671</v>
      </c>
      <c r="B641" s="8">
        <v>45294</v>
      </c>
      <c r="C641" s="9" t="s">
        <v>21</v>
      </c>
      <c r="D641" s="9" t="s">
        <v>22</v>
      </c>
      <c r="E641" s="9" t="s">
        <v>29</v>
      </c>
      <c r="F641" s="9">
        <v>219</v>
      </c>
      <c r="G641" s="9">
        <v>211.7</v>
      </c>
      <c r="H641" s="9" t="s">
        <v>23</v>
      </c>
      <c r="I641" s="9">
        <v>13</v>
      </c>
      <c r="J641" s="10">
        <v>-7.3000000000000096</v>
      </c>
      <c r="K641" s="9" t="str">
        <f>TEXT(Sales_of_Jordan[[#This Row],[Sale_Date]],"mmm")</f>
        <v>Jan</v>
      </c>
    </row>
    <row r="642" spans="1:11" x14ac:dyDescent="0.35">
      <c r="A642" s="7" t="s">
        <v>672</v>
      </c>
      <c r="B642" s="8">
        <v>45849</v>
      </c>
      <c r="C642" s="9" t="s">
        <v>11</v>
      </c>
      <c r="D642" s="9" t="s">
        <v>36</v>
      </c>
      <c r="E642" s="9" t="s">
        <v>13</v>
      </c>
      <c r="F642" s="9">
        <v>229</v>
      </c>
      <c r="G642" s="9">
        <v>163.30000000000001</v>
      </c>
      <c r="H642" s="9" t="s">
        <v>25</v>
      </c>
      <c r="I642" s="9">
        <v>9</v>
      </c>
      <c r="J642" s="10">
        <v>-65.699999999999903</v>
      </c>
      <c r="K642" s="9" t="str">
        <f>TEXT(Sales_of_Jordan[[#This Row],[Sale_Date]],"mmm")</f>
        <v>Jul</v>
      </c>
    </row>
    <row r="643" spans="1:11" x14ac:dyDescent="0.35">
      <c r="A643" s="7" t="s">
        <v>673</v>
      </c>
      <c r="B643" s="8">
        <v>45461</v>
      </c>
      <c r="C643" s="9" t="s">
        <v>21</v>
      </c>
      <c r="D643" s="9" t="s">
        <v>55</v>
      </c>
      <c r="E643" s="9" t="s">
        <v>29</v>
      </c>
      <c r="F643" s="9">
        <v>210</v>
      </c>
      <c r="G643" s="9">
        <v>278.14999999999998</v>
      </c>
      <c r="H643" s="9" t="s">
        <v>19</v>
      </c>
      <c r="I643" s="9">
        <v>10</v>
      </c>
      <c r="J643" s="10">
        <v>68.149999999999906</v>
      </c>
      <c r="K643" s="9" t="str">
        <f>TEXT(Sales_of_Jordan[[#This Row],[Sale_Date]],"mmm")</f>
        <v>Jun</v>
      </c>
    </row>
    <row r="644" spans="1:11" x14ac:dyDescent="0.35">
      <c r="A644" s="7" t="s">
        <v>674</v>
      </c>
      <c r="B644" s="8">
        <v>45752</v>
      </c>
      <c r="C644" s="9" t="s">
        <v>31</v>
      </c>
      <c r="D644" s="9" t="s">
        <v>34</v>
      </c>
      <c r="E644" s="9" t="s">
        <v>18</v>
      </c>
      <c r="F644" s="9">
        <v>206</v>
      </c>
      <c r="G644" s="9">
        <v>310.58</v>
      </c>
      <c r="H644" s="9" t="s">
        <v>19</v>
      </c>
      <c r="I644" s="9">
        <v>13</v>
      </c>
      <c r="J644" s="10">
        <v>104.579999999999</v>
      </c>
      <c r="K644" s="9" t="str">
        <f>TEXT(Sales_of_Jordan[[#This Row],[Sale_Date]],"mmm")</f>
        <v>Apr</v>
      </c>
    </row>
    <row r="645" spans="1:11" x14ac:dyDescent="0.35">
      <c r="A645" s="7" t="s">
        <v>675</v>
      </c>
      <c r="B645" s="8">
        <v>45884</v>
      </c>
      <c r="C645" s="9" t="s">
        <v>21</v>
      </c>
      <c r="D645" s="9" t="s">
        <v>46</v>
      </c>
      <c r="E645" s="9" t="s">
        <v>13</v>
      </c>
      <c r="F645" s="9">
        <v>221</v>
      </c>
      <c r="G645" s="9">
        <v>186.8</v>
      </c>
      <c r="H645" s="9" t="s">
        <v>32</v>
      </c>
      <c r="I645" s="9">
        <v>17</v>
      </c>
      <c r="J645" s="10">
        <v>-34.199999999999903</v>
      </c>
      <c r="K645" s="9" t="str">
        <f>TEXT(Sales_of_Jordan[[#This Row],[Sale_Date]],"mmm")</f>
        <v>Aug</v>
      </c>
    </row>
    <row r="646" spans="1:11" x14ac:dyDescent="0.35">
      <c r="A646" s="7" t="s">
        <v>676</v>
      </c>
      <c r="B646" s="8">
        <v>45167</v>
      </c>
      <c r="C646" s="9" t="s">
        <v>11</v>
      </c>
      <c r="D646" s="9" t="s">
        <v>22</v>
      </c>
      <c r="E646" s="9" t="s">
        <v>13</v>
      </c>
      <c r="F646" s="9">
        <v>226</v>
      </c>
      <c r="G646" s="9">
        <v>196.96</v>
      </c>
      <c r="H646" s="9" t="s">
        <v>14</v>
      </c>
      <c r="I646" s="9">
        <v>13</v>
      </c>
      <c r="J646" s="10">
        <v>-29.0399999999999</v>
      </c>
      <c r="K646" s="9" t="str">
        <f>TEXT(Sales_of_Jordan[[#This Row],[Sale_Date]],"mmm")</f>
        <v>Aug</v>
      </c>
    </row>
    <row r="647" spans="1:11" x14ac:dyDescent="0.35">
      <c r="A647" s="7" t="s">
        <v>677</v>
      </c>
      <c r="B647" s="8">
        <v>45802</v>
      </c>
      <c r="C647" s="9" t="s">
        <v>27</v>
      </c>
      <c r="D647" s="9" t="s">
        <v>39</v>
      </c>
      <c r="E647" s="9" t="s">
        <v>13</v>
      </c>
      <c r="F647" s="9">
        <v>120</v>
      </c>
      <c r="G647" s="9">
        <v>62.3</v>
      </c>
      <c r="H647" s="9" t="s">
        <v>25</v>
      </c>
      <c r="I647" s="9">
        <v>6</v>
      </c>
      <c r="J647" s="10">
        <v>-57.7</v>
      </c>
      <c r="K647" s="9" t="str">
        <f>TEXT(Sales_of_Jordan[[#This Row],[Sale_Date]],"mmm")</f>
        <v>May</v>
      </c>
    </row>
    <row r="648" spans="1:11" x14ac:dyDescent="0.35">
      <c r="A648" s="7" t="s">
        <v>678</v>
      </c>
      <c r="B648" s="8">
        <v>45091</v>
      </c>
      <c r="C648" s="9" t="s">
        <v>31</v>
      </c>
      <c r="D648" s="9" t="s">
        <v>12</v>
      </c>
      <c r="E648" s="9" t="s">
        <v>18</v>
      </c>
      <c r="F648" s="9">
        <v>200</v>
      </c>
      <c r="G648" s="9">
        <v>311.73</v>
      </c>
      <c r="H648" s="9" t="s">
        <v>32</v>
      </c>
      <c r="I648" s="9">
        <v>29</v>
      </c>
      <c r="J648" s="10">
        <v>111.73</v>
      </c>
      <c r="K648" s="9" t="str">
        <f>TEXT(Sales_of_Jordan[[#This Row],[Sale_Date]],"mmm")</f>
        <v>Jun</v>
      </c>
    </row>
    <row r="649" spans="1:11" x14ac:dyDescent="0.35">
      <c r="A649" s="7" t="s">
        <v>679</v>
      </c>
      <c r="B649" s="8">
        <v>45477</v>
      </c>
      <c r="C649" s="9" t="s">
        <v>16</v>
      </c>
      <c r="D649" s="9" t="s">
        <v>34</v>
      </c>
      <c r="E649" s="9" t="s">
        <v>29</v>
      </c>
      <c r="F649" s="9">
        <v>179</v>
      </c>
      <c r="G649" s="9">
        <v>219.32</v>
      </c>
      <c r="H649" s="9" t="s">
        <v>19</v>
      </c>
      <c r="I649" s="9">
        <v>2</v>
      </c>
      <c r="J649" s="10">
        <v>40.319999999999901</v>
      </c>
      <c r="K649" s="9" t="str">
        <f>TEXT(Sales_of_Jordan[[#This Row],[Sale_Date]],"mmm")</f>
        <v>Jul</v>
      </c>
    </row>
    <row r="650" spans="1:11" x14ac:dyDescent="0.35">
      <c r="A650" s="7" t="s">
        <v>680</v>
      </c>
      <c r="B650" s="8">
        <v>45786</v>
      </c>
      <c r="C650" s="9" t="s">
        <v>21</v>
      </c>
      <c r="D650" s="9" t="s">
        <v>53</v>
      </c>
      <c r="E650" s="9" t="s">
        <v>18</v>
      </c>
      <c r="F650" s="9">
        <v>222</v>
      </c>
      <c r="G650" s="9">
        <v>301</v>
      </c>
      <c r="H650" s="9" t="s">
        <v>23</v>
      </c>
      <c r="I650" s="9">
        <v>60</v>
      </c>
      <c r="J650" s="10">
        <v>79</v>
      </c>
      <c r="K650" s="9" t="str">
        <f>TEXT(Sales_of_Jordan[[#This Row],[Sale_Date]],"mmm")</f>
        <v>May</v>
      </c>
    </row>
    <row r="651" spans="1:11" x14ac:dyDescent="0.35">
      <c r="A651" s="7" t="s">
        <v>681</v>
      </c>
      <c r="B651" s="8">
        <v>45009</v>
      </c>
      <c r="C651" s="9" t="s">
        <v>27</v>
      </c>
      <c r="D651" s="9" t="s">
        <v>22</v>
      </c>
      <c r="E651" s="9" t="s">
        <v>29</v>
      </c>
      <c r="F651" s="9">
        <v>120</v>
      </c>
      <c r="G651" s="9">
        <v>146.19999999999999</v>
      </c>
      <c r="H651" s="9" t="s">
        <v>23</v>
      </c>
      <c r="I651" s="9">
        <v>16</v>
      </c>
      <c r="J651" s="10">
        <v>26.1999999999999</v>
      </c>
      <c r="K651" s="9" t="str">
        <f>TEXT(Sales_of_Jordan[[#This Row],[Sale_Date]],"mmm")</f>
        <v>Mar</v>
      </c>
    </row>
    <row r="652" spans="1:11" x14ac:dyDescent="0.35">
      <c r="A652" s="7" t="s">
        <v>682</v>
      </c>
      <c r="B652" s="8">
        <v>45425</v>
      </c>
      <c r="C652" s="9" t="s">
        <v>16</v>
      </c>
      <c r="D652" s="9" t="s">
        <v>39</v>
      </c>
      <c r="E652" s="9" t="s">
        <v>29</v>
      </c>
      <c r="F652" s="9">
        <v>185</v>
      </c>
      <c r="G652" s="9">
        <v>266.19</v>
      </c>
      <c r="H652" s="9" t="s">
        <v>25</v>
      </c>
      <c r="I652" s="9">
        <v>52</v>
      </c>
      <c r="J652" s="10">
        <v>81.19</v>
      </c>
      <c r="K652" s="9" t="str">
        <f>TEXT(Sales_of_Jordan[[#This Row],[Sale_Date]],"mmm")</f>
        <v>May</v>
      </c>
    </row>
    <row r="653" spans="1:11" x14ac:dyDescent="0.35">
      <c r="A653" s="7" t="s">
        <v>683</v>
      </c>
      <c r="B653" s="8">
        <v>45512</v>
      </c>
      <c r="C653" s="9" t="s">
        <v>21</v>
      </c>
      <c r="D653" s="9" t="s">
        <v>55</v>
      </c>
      <c r="E653" s="9" t="s">
        <v>29</v>
      </c>
      <c r="F653" s="9">
        <v>221</v>
      </c>
      <c r="G653" s="9">
        <v>270.44</v>
      </c>
      <c r="H653" s="9" t="s">
        <v>32</v>
      </c>
      <c r="I653" s="9">
        <v>18</v>
      </c>
      <c r="J653" s="10">
        <v>49.44</v>
      </c>
      <c r="K653" s="9" t="str">
        <f>TEXT(Sales_of_Jordan[[#This Row],[Sale_Date]],"mmm")</f>
        <v>Aug</v>
      </c>
    </row>
    <row r="654" spans="1:11" x14ac:dyDescent="0.35">
      <c r="A654" s="7" t="s">
        <v>684</v>
      </c>
      <c r="B654" s="8">
        <v>45056</v>
      </c>
      <c r="C654" s="9" t="s">
        <v>21</v>
      </c>
      <c r="D654" s="9" t="s">
        <v>22</v>
      </c>
      <c r="E654" s="9" t="s">
        <v>13</v>
      </c>
      <c r="F654" s="9">
        <v>211</v>
      </c>
      <c r="G654" s="9">
        <v>147.96</v>
      </c>
      <c r="H654" s="9" t="s">
        <v>14</v>
      </c>
      <c r="I654" s="9">
        <v>14</v>
      </c>
      <c r="J654" s="10">
        <v>-63.0399999999999</v>
      </c>
      <c r="K654" s="9" t="str">
        <f>TEXT(Sales_of_Jordan[[#This Row],[Sale_Date]],"mmm")</f>
        <v>May</v>
      </c>
    </row>
    <row r="655" spans="1:11" x14ac:dyDescent="0.35">
      <c r="A655" s="7" t="s">
        <v>685</v>
      </c>
      <c r="B655" s="8">
        <v>45777</v>
      </c>
      <c r="C655" s="9" t="s">
        <v>31</v>
      </c>
      <c r="D655" s="9" t="s">
        <v>55</v>
      </c>
      <c r="E655" s="9" t="s">
        <v>18</v>
      </c>
      <c r="F655" s="9">
        <v>209</v>
      </c>
      <c r="G655" s="9">
        <v>375.41</v>
      </c>
      <c r="H655" s="9" t="s">
        <v>32</v>
      </c>
      <c r="I655" s="9">
        <v>43</v>
      </c>
      <c r="J655" s="10">
        <v>166.41</v>
      </c>
      <c r="K655" s="9" t="str">
        <f>TEXT(Sales_of_Jordan[[#This Row],[Sale_Date]],"mmm")</f>
        <v>Apr</v>
      </c>
    </row>
    <row r="656" spans="1:11" x14ac:dyDescent="0.35">
      <c r="A656" s="7" t="s">
        <v>686</v>
      </c>
      <c r="B656" s="8">
        <v>45397</v>
      </c>
      <c r="C656" s="9" t="s">
        <v>11</v>
      </c>
      <c r="D656" s="9" t="s">
        <v>53</v>
      </c>
      <c r="E656" s="9" t="s">
        <v>13</v>
      </c>
      <c r="F656" s="9">
        <v>227</v>
      </c>
      <c r="G656" s="9">
        <v>155.32</v>
      </c>
      <c r="H656" s="9" t="s">
        <v>25</v>
      </c>
      <c r="I656" s="9">
        <v>33</v>
      </c>
      <c r="J656" s="10">
        <v>-71.680000000000007</v>
      </c>
      <c r="K656" s="9" t="str">
        <f>TEXT(Sales_of_Jordan[[#This Row],[Sale_Date]],"mmm")</f>
        <v>Apr</v>
      </c>
    </row>
    <row r="657" spans="1:11" x14ac:dyDescent="0.35">
      <c r="A657" s="7" t="s">
        <v>687</v>
      </c>
      <c r="B657" s="8">
        <v>44951</v>
      </c>
      <c r="C657" s="9" t="s">
        <v>27</v>
      </c>
      <c r="D657" s="9" t="s">
        <v>39</v>
      </c>
      <c r="E657" s="9" t="s">
        <v>29</v>
      </c>
      <c r="F657" s="9">
        <v>135</v>
      </c>
      <c r="G657" s="9">
        <v>148.35</v>
      </c>
      <c r="H657" s="9" t="s">
        <v>19</v>
      </c>
      <c r="I657" s="9">
        <v>1</v>
      </c>
      <c r="J657" s="10">
        <v>13.3499999999999</v>
      </c>
      <c r="K657" s="9" t="str">
        <f>TEXT(Sales_of_Jordan[[#This Row],[Sale_Date]],"mmm")</f>
        <v>Jan</v>
      </c>
    </row>
    <row r="658" spans="1:11" x14ac:dyDescent="0.35">
      <c r="A658" s="7" t="s">
        <v>688</v>
      </c>
      <c r="B658" s="8">
        <v>45690</v>
      </c>
      <c r="C658" s="9" t="s">
        <v>31</v>
      </c>
      <c r="D658" s="9" t="s">
        <v>22</v>
      </c>
      <c r="E658" s="9" t="s">
        <v>29</v>
      </c>
      <c r="F658" s="9">
        <v>210</v>
      </c>
      <c r="G658" s="9">
        <v>193.74</v>
      </c>
      <c r="H658" s="9" t="s">
        <v>14</v>
      </c>
      <c r="I658" s="9">
        <v>5</v>
      </c>
      <c r="J658" s="10">
        <v>-16.259999999999899</v>
      </c>
      <c r="K658" s="9" t="str">
        <f>TEXT(Sales_of_Jordan[[#This Row],[Sale_Date]],"mmm")</f>
        <v>Feb</v>
      </c>
    </row>
    <row r="659" spans="1:11" x14ac:dyDescent="0.35">
      <c r="A659" s="7" t="s">
        <v>689</v>
      </c>
      <c r="B659" s="8">
        <v>45709</v>
      </c>
      <c r="C659" s="9" t="s">
        <v>31</v>
      </c>
      <c r="D659" s="9" t="s">
        <v>53</v>
      </c>
      <c r="E659" s="9" t="s">
        <v>29</v>
      </c>
      <c r="F659" s="9">
        <v>201</v>
      </c>
      <c r="G659" s="9">
        <v>286.10000000000002</v>
      </c>
      <c r="H659" s="9" t="s">
        <v>14</v>
      </c>
      <c r="I659" s="9">
        <v>14</v>
      </c>
      <c r="J659" s="10">
        <v>85.1</v>
      </c>
      <c r="K659" s="9" t="str">
        <f>TEXT(Sales_of_Jordan[[#This Row],[Sale_Date]],"mmm")</f>
        <v>Feb</v>
      </c>
    </row>
    <row r="660" spans="1:11" x14ac:dyDescent="0.35">
      <c r="A660" s="7" t="s">
        <v>690</v>
      </c>
      <c r="B660" s="8">
        <v>45410</v>
      </c>
      <c r="C660" s="9" t="s">
        <v>21</v>
      </c>
      <c r="D660" s="9" t="s">
        <v>55</v>
      </c>
      <c r="E660" s="9" t="s">
        <v>18</v>
      </c>
      <c r="F660" s="9">
        <v>222</v>
      </c>
      <c r="G660" s="9">
        <v>705.67</v>
      </c>
      <c r="H660" s="9" t="s">
        <v>32</v>
      </c>
      <c r="I660" s="9">
        <v>40</v>
      </c>
      <c r="J660" s="10">
        <v>483.66999999999899</v>
      </c>
      <c r="K660" s="9" t="str">
        <f>TEXT(Sales_of_Jordan[[#This Row],[Sale_Date]],"mmm")</f>
        <v>Apr</v>
      </c>
    </row>
    <row r="661" spans="1:11" x14ac:dyDescent="0.35">
      <c r="A661" s="7" t="s">
        <v>691</v>
      </c>
      <c r="B661" s="8">
        <v>45514</v>
      </c>
      <c r="C661" s="9" t="s">
        <v>16</v>
      </c>
      <c r="D661" s="9" t="s">
        <v>17</v>
      </c>
      <c r="E661" s="9" t="s">
        <v>29</v>
      </c>
      <c r="F661" s="9">
        <v>170</v>
      </c>
      <c r="G661" s="9">
        <v>227.26</v>
      </c>
      <c r="H661" s="9" t="s">
        <v>25</v>
      </c>
      <c r="I661" s="9">
        <v>53</v>
      </c>
      <c r="J661" s="10">
        <v>57.259999999999899</v>
      </c>
      <c r="K661" s="9" t="str">
        <f>TEXT(Sales_of_Jordan[[#This Row],[Sale_Date]],"mmm")</f>
        <v>Aug</v>
      </c>
    </row>
    <row r="662" spans="1:11" x14ac:dyDescent="0.35">
      <c r="A662" s="7" t="s">
        <v>692</v>
      </c>
      <c r="B662" s="8">
        <v>45865</v>
      </c>
      <c r="C662" s="9" t="s">
        <v>11</v>
      </c>
      <c r="D662" s="9" t="s">
        <v>46</v>
      </c>
      <c r="E662" s="9" t="s">
        <v>18</v>
      </c>
      <c r="F662" s="9">
        <v>229</v>
      </c>
      <c r="G662" s="9">
        <v>436.59</v>
      </c>
      <c r="H662" s="9" t="s">
        <v>32</v>
      </c>
      <c r="I662" s="9">
        <v>60</v>
      </c>
      <c r="J662" s="10">
        <v>207.58999999999901</v>
      </c>
      <c r="K662" s="9" t="str">
        <f>TEXT(Sales_of_Jordan[[#This Row],[Sale_Date]],"mmm")</f>
        <v>Jul</v>
      </c>
    </row>
    <row r="663" spans="1:11" x14ac:dyDescent="0.35">
      <c r="A663" s="7" t="s">
        <v>693</v>
      </c>
      <c r="B663" s="8">
        <v>45703</v>
      </c>
      <c r="C663" s="9" t="s">
        <v>16</v>
      </c>
      <c r="D663" s="9" t="s">
        <v>22</v>
      </c>
      <c r="E663" s="9" t="s">
        <v>13</v>
      </c>
      <c r="F663" s="9">
        <v>180</v>
      </c>
      <c r="G663" s="9">
        <v>130.84</v>
      </c>
      <c r="H663" s="9" t="s">
        <v>19</v>
      </c>
      <c r="I663" s="9">
        <v>10</v>
      </c>
      <c r="J663" s="10">
        <v>-49.16</v>
      </c>
      <c r="K663" s="9" t="str">
        <f>TEXT(Sales_of_Jordan[[#This Row],[Sale_Date]],"mmm")</f>
        <v>Feb</v>
      </c>
    </row>
    <row r="664" spans="1:11" x14ac:dyDescent="0.35">
      <c r="A664" s="7" t="s">
        <v>694</v>
      </c>
      <c r="B664" s="8">
        <v>45223</v>
      </c>
      <c r="C664" s="9" t="s">
        <v>11</v>
      </c>
      <c r="D664" s="9" t="s">
        <v>17</v>
      </c>
      <c r="E664" s="9" t="s">
        <v>29</v>
      </c>
      <c r="F664" s="9">
        <v>228</v>
      </c>
      <c r="G664" s="9">
        <v>291.97000000000003</v>
      </c>
      <c r="H664" s="9" t="s">
        <v>19</v>
      </c>
      <c r="I664" s="9">
        <v>10</v>
      </c>
      <c r="J664" s="10">
        <v>63.97</v>
      </c>
      <c r="K664" s="9" t="str">
        <f>TEXT(Sales_of_Jordan[[#This Row],[Sale_Date]],"mmm")</f>
        <v>Oct</v>
      </c>
    </row>
    <row r="665" spans="1:11" x14ac:dyDescent="0.35">
      <c r="A665" s="7" t="s">
        <v>695</v>
      </c>
      <c r="B665" s="8">
        <v>44969</v>
      </c>
      <c r="C665" s="9" t="s">
        <v>31</v>
      </c>
      <c r="D665" s="9" t="s">
        <v>22</v>
      </c>
      <c r="E665" s="9" t="s">
        <v>29</v>
      </c>
      <c r="F665" s="9">
        <v>206</v>
      </c>
      <c r="G665" s="9">
        <v>271.79000000000002</v>
      </c>
      <c r="H665" s="9" t="s">
        <v>14</v>
      </c>
      <c r="I665" s="9">
        <v>1</v>
      </c>
      <c r="J665" s="10">
        <v>65.790000000000006</v>
      </c>
      <c r="K665" s="9" t="str">
        <f>TEXT(Sales_of_Jordan[[#This Row],[Sale_Date]],"mmm")</f>
        <v>Feb</v>
      </c>
    </row>
    <row r="666" spans="1:11" x14ac:dyDescent="0.35">
      <c r="A666" s="7" t="s">
        <v>696</v>
      </c>
      <c r="B666" s="8">
        <v>45176</v>
      </c>
      <c r="C666" s="9" t="s">
        <v>16</v>
      </c>
      <c r="D666" s="9" t="s">
        <v>12</v>
      </c>
      <c r="E666" s="9" t="s">
        <v>29</v>
      </c>
      <c r="F666" s="9">
        <v>185</v>
      </c>
      <c r="G666" s="9">
        <v>197.37</v>
      </c>
      <c r="H666" s="9" t="s">
        <v>25</v>
      </c>
      <c r="I666" s="9">
        <v>44</v>
      </c>
      <c r="J666" s="10">
        <v>12.37</v>
      </c>
      <c r="K666" s="9" t="str">
        <f>TEXT(Sales_of_Jordan[[#This Row],[Sale_Date]],"mmm")</f>
        <v>Sep</v>
      </c>
    </row>
    <row r="667" spans="1:11" x14ac:dyDescent="0.35">
      <c r="A667" s="7" t="s">
        <v>697</v>
      </c>
      <c r="B667" s="8">
        <v>45246</v>
      </c>
      <c r="C667" s="9" t="s">
        <v>16</v>
      </c>
      <c r="D667" s="9" t="s">
        <v>12</v>
      </c>
      <c r="E667" s="9" t="s">
        <v>18</v>
      </c>
      <c r="F667" s="9">
        <v>173</v>
      </c>
      <c r="G667" s="9">
        <v>222.92</v>
      </c>
      <c r="H667" s="9" t="s">
        <v>23</v>
      </c>
      <c r="I667" s="9">
        <v>5</v>
      </c>
      <c r="J667" s="10">
        <v>49.919999999999902</v>
      </c>
      <c r="K667" s="9" t="str">
        <f>TEXT(Sales_of_Jordan[[#This Row],[Sale_Date]],"mmm")</f>
        <v>Nov</v>
      </c>
    </row>
    <row r="668" spans="1:11" x14ac:dyDescent="0.35">
      <c r="A668" s="7" t="s">
        <v>698</v>
      </c>
      <c r="B668" s="8">
        <v>45228</v>
      </c>
      <c r="C668" s="9" t="s">
        <v>31</v>
      </c>
      <c r="D668" s="9" t="s">
        <v>39</v>
      </c>
      <c r="E668" s="9" t="s">
        <v>13</v>
      </c>
      <c r="F668" s="9">
        <v>204</v>
      </c>
      <c r="G668" s="9">
        <v>150.46</v>
      </c>
      <c r="H668" s="9" t="s">
        <v>23</v>
      </c>
      <c r="I668" s="9">
        <v>40</v>
      </c>
      <c r="J668" s="10">
        <v>-53.5399999999999</v>
      </c>
      <c r="K668" s="9" t="str">
        <f>TEXT(Sales_of_Jordan[[#This Row],[Sale_Date]],"mmm")</f>
        <v>Oct</v>
      </c>
    </row>
    <row r="669" spans="1:11" x14ac:dyDescent="0.35">
      <c r="A669" s="7" t="s">
        <v>699</v>
      </c>
      <c r="B669" s="8">
        <v>45764</v>
      </c>
      <c r="C669" s="9" t="s">
        <v>21</v>
      </c>
      <c r="D669" s="9" t="s">
        <v>46</v>
      </c>
      <c r="E669" s="9" t="s">
        <v>29</v>
      </c>
      <c r="F669" s="9">
        <v>216</v>
      </c>
      <c r="G669" s="9">
        <v>312.44</v>
      </c>
      <c r="H669" s="9" t="s">
        <v>23</v>
      </c>
      <c r="I669" s="9">
        <v>25</v>
      </c>
      <c r="J669" s="10">
        <v>96.44</v>
      </c>
      <c r="K669" s="9" t="str">
        <f>TEXT(Sales_of_Jordan[[#This Row],[Sale_Date]],"mmm")</f>
        <v>Apr</v>
      </c>
    </row>
    <row r="670" spans="1:11" x14ac:dyDescent="0.35">
      <c r="A670" s="7" t="s">
        <v>700</v>
      </c>
      <c r="B670" s="8">
        <v>45113</v>
      </c>
      <c r="C670" s="9" t="s">
        <v>21</v>
      </c>
      <c r="D670" s="9" t="s">
        <v>36</v>
      </c>
      <c r="E670" s="9" t="s">
        <v>18</v>
      </c>
      <c r="F670" s="9">
        <v>222</v>
      </c>
      <c r="G670" s="9">
        <v>413.45</v>
      </c>
      <c r="H670" s="9" t="s">
        <v>19</v>
      </c>
      <c r="I670" s="9">
        <v>6</v>
      </c>
      <c r="J670" s="10">
        <v>191.45</v>
      </c>
      <c r="K670" s="9" t="str">
        <f>TEXT(Sales_of_Jordan[[#This Row],[Sale_Date]],"mmm")</f>
        <v>Jul</v>
      </c>
    </row>
    <row r="671" spans="1:11" x14ac:dyDescent="0.35">
      <c r="A671" s="7" t="s">
        <v>701</v>
      </c>
      <c r="B671" s="8">
        <v>45249</v>
      </c>
      <c r="C671" s="9" t="s">
        <v>27</v>
      </c>
      <c r="D671" s="9" t="s">
        <v>36</v>
      </c>
      <c r="E671" s="9" t="s">
        <v>18</v>
      </c>
      <c r="F671" s="9">
        <v>124</v>
      </c>
      <c r="G671" s="9">
        <v>315.02</v>
      </c>
      <c r="H671" s="9" t="s">
        <v>23</v>
      </c>
      <c r="I671" s="9">
        <v>53</v>
      </c>
      <c r="J671" s="10">
        <v>191.01999999999899</v>
      </c>
      <c r="K671" s="9" t="str">
        <f>TEXT(Sales_of_Jordan[[#This Row],[Sale_Date]],"mmm")</f>
        <v>Nov</v>
      </c>
    </row>
    <row r="672" spans="1:11" x14ac:dyDescent="0.35">
      <c r="A672" s="7" t="s">
        <v>702</v>
      </c>
      <c r="B672" s="8">
        <v>45153</v>
      </c>
      <c r="C672" s="9" t="s">
        <v>16</v>
      </c>
      <c r="D672" s="9" t="s">
        <v>46</v>
      </c>
      <c r="E672" s="9" t="s">
        <v>18</v>
      </c>
      <c r="F672" s="9">
        <v>179</v>
      </c>
      <c r="G672" s="9">
        <v>364.04</v>
      </c>
      <c r="H672" s="9" t="s">
        <v>23</v>
      </c>
      <c r="I672" s="9">
        <v>59</v>
      </c>
      <c r="J672" s="10">
        <v>185.04</v>
      </c>
      <c r="K672" s="9" t="str">
        <f>TEXT(Sales_of_Jordan[[#This Row],[Sale_Date]],"mmm")</f>
        <v>Aug</v>
      </c>
    </row>
    <row r="673" spans="1:11" x14ac:dyDescent="0.35">
      <c r="A673" s="7" t="s">
        <v>703</v>
      </c>
      <c r="B673" s="8">
        <v>45039</v>
      </c>
      <c r="C673" s="9" t="s">
        <v>27</v>
      </c>
      <c r="D673" s="9" t="s">
        <v>53</v>
      </c>
      <c r="E673" s="9" t="s">
        <v>29</v>
      </c>
      <c r="F673" s="9">
        <v>120</v>
      </c>
      <c r="G673" s="9">
        <v>114.96</v>
      </c>
      <c r="H673" s="9" t="s">
        <v>25</v>
      </c>
      <c r="I673" s="9">
        <v>8</v>
      </c>
      <c r="J673" s="10">
        <v>-5.04</v>
      </c>
      <c r="K673" s="9" t="str">
        <f>TEXT(Sales_of_Jordan[[#This Row],[Sale_Date]],"mmm")</f>
        <v>Apr</v>
      </c>
    </row>
    <row r="674" spans="1:11" x14ac:dyDescent="0.35">
      <c r="A674" s="7" t="s">
        <v>704</v>
      </c>
      <c r="B674" s="8">
        <v>44963</v>
      </c>
      <c r="C674" s="9" t="s">
        <v>16</v>
      </c>
      <c r="D674" s="9" t="s">
        <v>36</v>
      </c>
      <c r="E674" s="9" t="s">
        <v>18</v>
      </c>
      <c r="F674" s="9">
        <v>187</v>
      </c>
      <c r="G674" s="9">
        <v>368.44</v>
      </c>
      <c r="H674" s="9" t="s">
        <v>14</v>
      </c>
      <c r="I674" s="9">
        <v>11</v>
      </c>
      <c r="J674" s="10">
        <v>181.44</v>
      </c>
      <c r="K674" s="9" t="str">
        <f>TEXT(Sales_of_Jordan[[#This Row],[Sale_Date]],"mmm")</f>
        <v>Feb</v>
      </c>
    </row>
    <row r="675" spans="1:11" x14ac:dyDescent="0.35">
      <c r="A675" s="7" t="s">
        <v>705</v>
      </c>
      <c r="B675" s="8">
        <v>45101</v>
      </c>
      <c r="C675" s="9" t="s">
        <v>16</v>
      </c>
      <c r="D675" s="9" t="s">
        <v>53</v>
      </c>
      <c r="E675" s="9" t="s">
        <v>29</v>
      </c>
      <c r="F675" s="9">
        <v>177</v>
      </c>
      <c r="G675" s="9">
        <v>221.08</v>
      </c>
      <c r="H675" s="9" t="s">
        <v>23</v>
      </c>
      <c r="I675" s="9">
        <v>12</v>
      </c>
      <c r="J675" s="10">
        <v>44.08</v>
      </c>
      <c r="K675" s="9" t="str">
        <f>TEXT(Sales_of_Jordan[[#This Row],[Sale_Date]],"mmm")</f>
        <v>Jun</v>
      </c>
    </row>
    <row r="676" spans="1:11" x14ac:dyDescent="0.35">
      <c r="A676" s="7" t="s">
        <v>706</v>
      </c>
      <c r="B676" s="8">
        <v>45546</v>
      </c>
      <c r="C676" s="9" t="s">
        <v>16</v>
      </c>
      <c r="D676" s="9" t="s">
        <v>39</v>
      </c>
      <c r="E676" s="9" t="s">
        <v>18</v>
      </c>
      <c r="F676" s="9">
        <v>188</v>
      </c>
      <c r="G676" s="9">
        <v>559.9</v>
      </c>
      <c r="H676" s="9" t="s">
        <v>25</v>
      </c>
      <c r="I676" s="9">
        <v>7</v>
      </c>
      <c r="J676" s="10">
        <v>371.9</v>
      </c>
      <c r="K676" s="9" t="str">
        <f>TEXT(Sales_of_Jordan[[#This Row],[Sale_Date]],"mmm")</f>
        <v>Sep</v>
      </c>
    </row>
    <row r="677" spans="1:11" x14ac:dyDescent="0.35">
      <c r="A677" s="7" t="s">
        <v>707</v>
      </c>
      <c r="B677" s="8">
        <v>45008</v>
      </c>
      <c r="C677" s="9" t="s">
        <v>21</v>
      </c>
      <c r="D677" s="9" t="s">
        <v>12</v>
      </c>
      <c r="E677" s="9" t="s">
        <v>13</v>
      </c>
      <c r="F677" s="9">
        <v>222</v>
      </c>
      <c r="G677" s="9">
        <v>126.09</v>
      </c>
      <c r="H677" s="9" t="s">
        <v>25</v>
      </c>
      <c r="I677" s="9">
        <v>26</v>
      </c>
      <c r="J677" s="10">
        <v>-95.91</v>
      </c>
      <c r="K677" s="9" t="str">
        <f>TEXT(Sales_of_Jordan[[#This Row],[Sale_Date]],"mmm")</f>
        <v>Mar</v>
      </c>
    </row>
    <row r="678" spans="1:11" x14ac:dyDescent="0.35">
      <c r="A678" s="7" t="s">
        <v>708</v>
      </c>
      <c r="B678" s="8">
        <v>45553</v>
      </c>
      <c r="C678" s="9" t="s">
        <v>31</v>
      </c>
      <c r="D678" s="9" t="s">
        <v>12</v>
      </c>
      <c r="E678" s="9" t="s">
        <v>29</v>
      </c>
      <c r="F678" s="9">
        <v>209</v>
      </c>
      <c r="G678" s="9">
        <v>221.67</v>
      </c>
      <c r="H678" s="9" t="s">
        <v>14</v>
      </c>
      <c r="I678" s="9">
        <v>7</v>
      </c>
      <c r="J678" s="10">
        <v>12.6699999999999</v>
      </c>
      <c r="K678" s="9" t="str">
        <f>TEXT(Sales_of_Jordan[[#This Row],[Sale_Date]],"mmm")</f>
        <v>Sep</v>
      </c>
    </row>
    <row r="679" spans="1:11" x14ac:dyDescent="0.35">
      <c r="A679" s="7" t="s">
        <v>709</v>
      </c>
      <c r="B679" s="8">
        <v>45112</v>
      </c>
      <c r="C679" s="9" t="s">
        <v>27</v>
      </c>
      <c r="D679" s="9" t="s">
        <v>12</v>
      </c>
      <c r="E679" s="9" t="s">
        <v>29</v>
      </c>
      <c r="F679" s="9">
        <v>136</v>
      </c>
      <c r="G679" s="9">
        <v>185.37</v>
      </c>
      <c r="H679" s="9" t="s">
        <v>14</v>
      </c>
      <c r="I679" s="9">
        <v>11</v>
      </c>
      <c r="J679" s="10">
        <v>49.37</v>
      </c>
      <c r="K679" s="9" t="str">
        <f>TEXT(Sales_of_Jordan[[#This Row],[Sale_Date]],"mmm")</f>
        <v>Jul</v>
      </c>
    </row>
    <row r="680" spans="1:11" x14ac:dyDescent="0.35">
      <c r="A680" s="7" t="s">
        <v>710</v>
      </c>
      <c r="B680" s="8">
        <v>45323</v>
      </c>
      <c r="C680" s="9" t="s">
        <v>16</v>
      </c>
      <c r="D680" s="9" t="s">
        <v>46</v>
      </c>
      <c r="E680" s="9" t="s">
        <v>13</v>
      </c>
      <c r="F680" s="9">
        <v>180</v>
      </c>
      <c r="G680" s="9">
        <v>114.15</v>
      </c>
      <c r="H680" s="9" t="s">
        <v>32</v>
      </c>
      <c r="I680" s="9">
        <v>28</v>
      </c>
      <c r="J680" s="10">
        <v>-65.849999999999994</v>
      </c>
      <c r="K680" s="9" t="str">
        <f>TEXT(Sales_of_Jordan[[#This Row],[Sale_Date]],"mmm")</f>
        <v>Feb</v>
      </c>
    </row>
    <row r="681" spans="1:11" x14ac:dyDescent="0.35">
      <c r="A681" s="7" t="s">
        <v>711</v>
      </c>
      <c r="B681" s="8">
        <v>45429</v>
      </c>
      <c r="C681" s="9" t="s">
        <v>31</v>
      </c>
      <c r="D681" s="9" t="s">
        <v>39</v>
      </c>
      <c r="E681" s="9" t="s">
        <v>18</v>
      </c>
      <c r="F681" s="9">
        <v>209</v>
      </c>
      <c r="G681" s="9">
        <v>477.41</v>
      </c>
      <c r="H681" s="9" t="s">
        <v>32</v>
      </c>
      <c r="I681" s="9">
        <v>51</v>
      </c>
      <c r="J681" s="10">
        <v>268.41000000000003</v>
      </c>
      <c r="K681" s="9" t="str">
        <f>TEXT(Sales_of_Jordan[[#This Row],[Sale_Date]],"mmm")</f>
        <v>May</v>
      </c>
    </row>
    <row r="682" spans="1:11" x14ac:dyDescent="0.35">
      <c r="A682" s="7" t="s">
        <v>712</v>
      </c>
      <c r="B682" s="8">
        <v>45672</v>
      </c>
      <c r="C682" s="9" t="s">
        <v>27</v>
      </c>
      <c r="D682" s="9" t="s">
        <v>55</v>
      </c>
      <c r="E682" s="9" t="s">
        <v>29</v>
      </c>
      <c r="F682" s="9">
        <v>128</v>
      </c>
      <c r="G682" s="9">
        <v>160.74</v>
      </c>
      <c r="H682" s="9" t="s">
        <v>14</v>
      </c>
      <c r="I682" s="9">
        <v>12</v>
      </c>
      <c r="J682" s="10">
        <v>32.74</v>
      </c>
      <c r="K682" s="9" t="str">
        <f>TEXT(Sales_of_Jordan[[#This Row],[Sale_Date]],"mmm")</f>
        <v>Jan</v>
      </c>
    </row>
    <row r="683" spans="1:11" x14ac:dyDescent="0.35">
      <c r="A683" s="7" t="s">
        <v>713</v>
      </c>
      <c r="B683" s="8">
        <v>45083</v>
      </c>
      <c r="C683" s="9" t="s">
        <v>11</v>
      </c>
      <c r="D683" s="9" t="s">
        <v>17</v>
      </c>
      <c r="E683" s="9" t="s">
        <v>29</v>
      </c>
      <c r="F683" s="9">
        <v>226</v>
      </c>
      <c r="G683" s="9">
        <v>257.62</v>
      </c>
      <c r="H683" s="9" t="s">
        <v>25</v>
      </c>
      <c r="I683" s="9">
        <v>40</v>
      </c>
      <c r="J683" s="10">
        <v>31.62</v>
      </c>
      <c r="K683" s="9" t="str">
        <f>TEXT(Sales_of_Jordan[[#This Row],[Sale_Date]],"mmm")</f>
        <v>Jun</v>
      </c>
    </row>
    <row r="684" spans="1:11" x14ac:dyDescent="0.35">
      <c r="A684" s="7" t="s">
        <v>714</v>
      </c>
      <c r="B684" s="8">
        <v>45071</v>
      </c>
      <c r="C684" s="9" t="s">
        <v>31</v>
      </c>
      <c r="D684" s="9" t="s">
        <v>34</v>
      </c>
      <c r="E684" s="9" t="s">
        <v>13</v>
      </c>
      <c r="F684" s="9">
        <v>206</v>
      </c>
      <c r="G684" s="9">
        <v>134.91</v>
      </c>
      <c r="H684" s="9" t="s">
        <v>14</v>
      </c>
      <c r="I684" s="9">
        <v>4</v>
      </c>
      <c r="J684" s="10">
        <v>-71.09</v>
      </c>
      <c r="K684" s="9" t="str">
        <f>TEXT(Sales_of_Jordan[[#This Row],[Sale_Date]],"mmm")</f>
        <v>May</v>
      </c>
    </row>
    <row r="685" spans="1:11" x14ac:dyDescent="0.35">
      <c r="A685" s="7" t="s">
        <v>715</v>
      </c>
      <c r="B685" s="8">
        <v>45656</v>
      </c>
      <c r="C685" s="9" t="s">
        <v>27</v>
      </c>
      <c r="D685" s="9" t="s">
        <v>17</v>
      </c>
      <c r="E685" s="9" t="s">
        <v>18</v>
      </c>
      <c r="F685" s="9">
        <v>116</v>
      </c>
      <c r="G685" s="9">
        <v>292.95</v>
      </c>
      <c r="H685" s="9" t="s">
        <v>14</v>
      </c>
      <c r="I685" s="9">
        <v>7</v>
      </c>
      <c r="J685" s="10">
        <v>176.95</v>
      </c>
      <c r="K685" s="9" t="str">
        <f>TEXT(Sales_of_Jordan[[#This Row],[Sale_Date]],"mmm")</f>
        <v>Dec</v>
      </c>
    </row>
    <row r="686" spans="1:11" x14ac:dyDescent="0.35">
      <c r="A686" s="7" t="s">
        <v>716</v>
      </c>
      <c r="B686" s="8">
        <v>45792</v>
      </c>
      <c r="C686" s="9" t="s">
        <v>27</v>
      </c>
      <c r="D686" s="9" t="s">
        <v>36</v>
      </c>
      <c r="E686" s="9" t="s">
        <v>29</v>
      </c>
      <c r="F686" s="9">
        <v>116</v>
      </c>
      <c r="G686" s="9">
        <v>153.38999999999999</v>
      </c>
      <c r="H686" s="9" t="s">
        <v>32</v>
      </c>
      <c r="I686" s="9">
        <v>42</v>
      </c>
      <c r="J686" s="10">
        <v>37.389999999999901</v>
      </c>
      <c r="K686" s="9" t="str">
        <f>TEXT(Sales_of_Jordan[[#This Row],[Sale_Date]],"mmm")</f>
        <v>May</v>
      </c>
    </row>
    <row r="687" spans="1:11" x14ac:dyDescent="0.35">
      <c r="A687" s="7" t="s">
        <v>717</v>
      </c>
      <c r="B687" s="8">
        <v>45001</v>
      </c>
      <c r="C687" s="9" t="s">
        <v>31</v>
      </c>
      <c r="D687" s="9" t="s">
        <v>53</v>
      </c>
      <c r="E687" s="9" t="s">
        <v>29</v>
      </c>
      <c r="F687" s="9">
        <v>203</v>
      </c>
      <c r="G687" s="9">
        <v>296.23</v>
      </c>
      <c r="H687" s="9" t="s">
        <v>19</v>
      </c>
      <c r="I687" s="9">
        <v>7</v>
      </c>
      <c r="J687" s="10">
        <v>93.23</v>
      </c>
      <c r="K687" s="9" t="str">
        <f>TEXT(Sales_of_Jordan[[#This Row],[Sale_Date]],"mmm")</f>
        <v>Mar</v>
      </c>
    </row>
    <row r="688" spans="1:11" x14ac:dyDescent="0.35">
      <c r="A688" s="7" t="s">
        <v>718</v>
      </c>
      <c r="B688" s="8">
        <v>45172</v>
      </c>
      <c r="C688" s="9" t="s">
        <v>16</v>
      </c>
      <c r="D688" s="9" t="s">
        <v>36</v>
      </c>
      <c r="E688" s="9" t="s">
        <v>29</v>
      </c>
      <c r="F688" s="9">
        <v>183</v>
      </c>
      <c r="G688" s="9">
        <v>206.08</v>
      </c>
      <c r="H688" s="9" t="s">
        <v>19</v>
      </c>
      <c r="I688" s="9">
        <v>12</v>
      </c>
      <c r="J688" s="10">
        <v>23.08</v>
      </c>
      <c r="K688" s="9" t="str">
        <f>TEXT(Sales_of_Jordan[[#This Row],[Sale_Date]],"mmm")</f>
        <v>Sep</v>
      </c>
    </row>
    <row r="689" spans="1:11" x14ac:dyDescent="0.35">
      <c r="A689" s="7" t="s">
        <v>719</v>
      </c>
      <c r="B689" s="8">
        <v>45261</v>
      </c>
      <c r="C689" s="9" t="s">
        <v>16</v>
      </c>
      <c r="D689" s="9" t="s">
        <v>53</v>
      </c>
      <c r="E689" s="9" t="s">
        <v>18</v>
      </c>
      <c r="F689" s="9">
        <v>175</v>
      </c>
      <c r="G689" s="9">
        <v>343.51</v>
      </c>
      <c r="H689" s="9" t="s">
        <v>14</v>
      </c>
      <c r="I689" s="9">
        <v>4</v>
      </c>
      <c r="J689" s="10">
        <v>168.51</v>
      </c>
      <c r="K689" s="9" t="str">
        <f>TEXT(Sales_of_Jordan[[#This Row],[Sale_Date]],"mmm")</f>
        <v>Dec</v>
      </c>
    </row>
    <row r="690" spans="1:11" x14ac:dyDescent="0.35">
      <c r="A690" s="7" t="s">
        <v>720</v>
      </c>
      <c r="B690" s="8">
        <v>45275</v>
      </c>
      <c r="C690" s="9" t="s">
        <v>16</v>
      </c>
      <c r="D690" s="9" t="s">
        <v>46</v>
      </c>
      <c r="E690" s="9" t="s">
        <v>13</v>
      </c>
      <c r="F690" s="9">
        <v>176</v>
      </c>
      <c r="G690" s="9">
        <v>88.3</v>
      </c>
      <c r="H690" s="9" t="s">
        <v>32</v>
      </c>
      <c r="I690" s="9">
        <v>29</v>
      </c>
      <c r="J690" s="10">
        <v>-87.7</v>
      </c>
      <c r="K690" s="9" t="str">
        <f>TEXT(Sales_of_Jordan[[#This Row],[Sale_Date]],"mmm")</f>
        <v>Dec</v>
      </c>
    </row>
    <row r="691" spans="1:11" x14ac:dyDescent="0.35">
      <c r="A691" s="7" t="s">
        <v>721</v>
      </c>
      <c r="B691" s="8">
        <v>45712</v>
      </c>
      <c r="C691" s="9" t="s">
        <v>21</v>
      </c>
      <c r="D691" s="9" t="s">
        <v>12</v>
      </c>
      <c r="E691" s="9" t="s">
        <v>18</v>
      </c>
      <c r="F691" s="9">
        <v>212</v>
      </c>
      <c r="G691" s="9">
        <v>569.6</v>
      </c>
      <c r="H691" s="9" t="s">
        <v>14</v>
      </c>
      <c r="I691" s="9">
        <v>12</v>
      </c>
      <c r="J691" s="10">
        <v>357.6</v>
      </c>
      <c r="K691" s="9" t="str">
        <f>TEXT(Sales_of_Jordan[[#This Row],[Sale_Date]],"mmm")</f>
        <v>Feb</v>
      </c>
    </row>
    <row r="692" spans="1:11" x14ac:dyDescent="0.35">
      <c r="A692" s="7" t="s">
        <v>722</v>
      </c>
      <c r="B692" s="8">
        <v>45642</v>
      </c>
      <c r="C692" s="9" t="s">
        <v>27</v>
      </c>
      <c r="D692" s="9" t="s">
        <v>34</v>
      </c>
      <c r="E692" s="9" t="s">
        <v>18</v>
      </c>
      <c r="F692" s="9">
        <v>115</v>
      </c>
      <c r="G692" s="9">
        <v>156.02000000000001</v>
      </c>
      <c r="H692" s="9" t="s">
        <v>19</v>
      </c>
      <c r="I692" s="9">
        <v>13</v>
      </c>
      <c r="J692" s="10">
        <v>41.02</v>
      </c>
      <c r="K692" s="9" t="str">
        <f>TEXT(Sales_of_Jordan[[#This Row],[Sale_Date]],"mmm")</f>
        <v>Dec</v>
      </c>
    </row>
    <row r="693" spans="1:11" x14ac:dyDescent="0.35">
      <c r="A693" s="7" t="s">
        <v>723</v>
      </c>
      <c r="B693" s="8">
        <v>45687</v>
      </c>
      <c r="C693" s="9" t="s">
        <v>11</v>
      </c>
      <c r="D693" s="9" t="s">
        <v>12</v>
      </c>
      <c r="E693" s="9" t="s">
        <v>18</v>
      </c>
      <c r="F693" s="9">
        <v>228</v>
      </c>
      <c r="G693" s="9">
        <v>491.49</v>
      </c>
      <c r="H693" s="9" t="s">
        <v>32</v>
      </c>
      <c r="I693" s="9">
        <v>33</v>
      </c>
      <c r="J693" s="10">
        <v>263.49</v>
      </c>
      <c r="K693" s="9" t="str">
        <f>TEXT(Sales_of_Jordan[[#This Row],[Sale_Date]],"mmm")</f>
        <v>Jan</v>
      </c>
    </row>
    <row r="694" spans="1:11" x14ac:dyDescent="0.35">
      <c r="A694" s="7" t="s">
        <v>724</v>
      </c>
      <c r="B694" s="8">
        <v>44999</v>
      </c>
      <c r="C694" s="9" t="s">
        <v>27</v>
      </c>
      <c r="D694" s="9" t="s">
        <v>36</v>
      </c>
      <c r="E694" s="9" t="s">
        <v>13</v>
      </c>
      <c r="F694" s="9">
        <v>110</v>
      </c>
      <c r="G694" s="9">
        <v>82.16</v>
      </c>
      <c r="H694" s="9" t="s">
        <v>32</v>
      </c>
      <c r="I694" s="9">
        <v>9</v>
      </c>
      <c r="J694" s="10">
        <v>-27.84</v>
      </c>
      <c r="K694" s="9" t="str">
        <f>TEXT(Sales_of_Jordan[[#This Row],[Sale_Date]],"mmm")</f>
        <v>Mar</v>
      </c>
    </row>
    <row r="695" spans="1:11" x14ac:dyDescent="0.35">
      <c r="A695" s="7" t="s">
        <v>725</v>
      </c>
      <c r="B695" s="8">
        <v>45198</v>
      </c>
      <c r="C695" s="9" t="s">
        <v>16</v>
      </c>
      <c r="D695" s="9" t="s">
        <v>22</v>
      </c>
      <c r="E695" s="9" t="s">
        <v>13</v>
      </c>
      <c r="F695" s="9">
        <v>179</v>
      </c>
      <c r="G695" s="9">
        <v>104.52</v>
      </c>
      <c r="H695" s="9" t="s">
        <v>14</v>
      </c>
      <c r="I695" s="9">
        <v>9</v>
      </c>
      <c r="J695" s="10">
        <v>-74.48</v>
      </c>
      <c r="K695" s="9" t="str">
        <f>TEXT(Sales_of_Jordan[[#This Row],[Sale_Date]],"mmm")</f>
        <v>Sep</v>
      </c>
    </row>
    <row r="696" spans="1:11" x14ac:dyDescent="0.35">
      <c r="A696" s="7" t="s">
        <v>726</v>
      </c>
      <c r="B696" s="8">
        <v>45183</v>
      </c>
      <c r="C696" s="9" t="s">
        <v>31</v>
      </c>
      <c r="D696" s="9" t="s">
        <v>36</v>
      </c>
      <c r="E696" s="9" t="s">
        <v>13</v>
      </c>
      <c r="F696" s="9">
        <v>205</v>
      </c>
      <c r="G696" s="9">
        <v>154.91</v>
      </c>
      <c r="H696" s="9" t="s">
        <v>23</v>
      </c>
      <c r="I696" s="9">
        <v>43</v>
      </c>
      <c r="J696" s="10">
        <v>-50.09</v>
      </c>
      <c r="K696" s="9" t="str">
        <f>TEXT(Sales_of_Jordan[[#This Row],[Sale_Date]],"mmm")</f>
        <v>Sep</v>
      </c>
    </row>
    <row r="697" spans="1:11" x14ac:dyDescent="0.35">
      <c r="A697" s="7" t="s">
        <v>727</v>
      </c>
      <c r="B697" s="8">
        <v>45061</v>
      </c>
      <c r="C697" s="9" t="s">
        <v>11</v>
      </c>
      <c r="D697" s="9" t="s">
        <v>46</v>
      </c>
      <c r="E697" s="9" t="s">
        <v>29</v>
      </c>
      <c r="F697" s="9">
        <v>227</v>
      </c>
      <c r="G697" s="9">
        <v>335.87</v>
      </c>
      <c r="H697" s="9" t="s">
        <v>19</v>
      </c>
      <c r="I697" s="9">
        <v>5</v>
      </c>
      <c r="J697" s="10">
        <v>108.87</v>
      </c>
      <c r="K697" s="9" t="str">
        <f>TEXT(Sales_of_Jordan[[#This Row],[Sale_Date]],"mmm")</f>
        <v>May</v>
      </c>
    </row>
    <row r="698" spans="1:11" x14ac:dyDescent="0.35">
      <c r="A698" s="7" t="s">
        <v>728</v>
      </c>
      <c r="B698" s="8">
        <v>45083</v>
      </c>
      <c r="C698" s="9" t="s">
        <v>31</v>
      </c>
      <c r="D698" s="9" t="s">
        <v>53</v>
      </c>
      <c r="E698" s="9" t="s">
        <v>29</v>
      </c>
      <c r="F698" s="9">
        <v>205</v>
      </c>
      <c r="G698" s="9">
        <v>231.21</v>
      </c>
      <c r="H698" s="9" t="s">
        <v>32</v>
      </c>
      <c r="I698" s="9">
        <v>48</v>
      </c>
      <c r="J698" s="10">
        <v>26.21</v>
      </c>
      <c r="K698" s="9" t="str">
        <f>TEXT(Sales_of_Jordan[[#This Row],[Sale_Date]],"mmm")</f>
        <v>Jun</v>
      </c>
    </row>
    <row r="699" spans="1:11" x14ac:dyDescent="0.35">
      <c r="A699" s="7" t="s">
        <v>729</v>
      </c>
      <c r="B699" s="8">
        <v>45648</v>
      </c>
      <c r="C699" s="9" t="s">
        <v>11</v>
      </c>
      <c r="D699" s="9" t="s">
        <v>46</v>
      </c>
      <c r="E699" s="9" t="s">
        <v>29</v>
      </c>
      <c r="F699" s="9">
        <v>229</v>
      </c>
      <c r="G699" s="9">
        <v>207.1</v>
      </c>
      <c r="H699" s="9" t="s">
        <v>25</v>
      </c>
      <c r="I699" s="9">
        <v>35</v>
      </c>
      <c r="J699" s="10">
        <v>-21.9</v>
      </c>
      <c r="K699" s="9" t="str">
        <f>TEXT(Sales_of_Jordan[[#This Row],[Sale_Date]],"mmm")</f>
        <v>Dec</v>
      </c>
    </row>
    <row r="700" spans="1:11" x14ac:dyDescent="0.35">
      <c r="A700" s="7" t="s">
        <v>730</v>
      </c>
      <c r="B700" s="8">
        <v>44949</v>
      </c>
      <c r="C700" s="9" t="s">
        <v>21</v>
      </c>
      <c r="D700" s="9" t="s">
        <v>46</v>
      </c>
      <c r="E700" s="9" t="s">
        <v>18</v>
      </c>
      <c r="F700" s="9">
        <v>223</v>
      </c>
      <c r="G700" s="9">
        <v>593.64</v>
      </c>
      <c r="H700" s="9" t="s">
        <v>14</v>
      </c>
      <c r="I700" s="9">
        <v>8</v>
      </c>
      <c r="J700" s="10">
        <v>370.64</v>
      </c>
      <c r="K700" s="9" t="str">
        <f>TEXT(Sales_of_Jordan[[#This Row],[Sale_Date]],"mmm")</f>
        <v>Jan</v>
      </c>
    </row>
    <row r="701" spans="1:11" x14ac:dyDescent="0.35">
      <c r="A701" s="7" t="s">
        <v>731</v>
      </c>
      <c r="B701" s="8">
        <v>44961</v>
      </c>
      <c r="C701" s="9" t="s">
        <v>16</v>
      </c>
      <c r="D701" s="9" t="s">
        <v>36</v>
      </c>
      <c r="E701" s="9" t="s">
        <v>18</v>
      </c>
      <c r="F701" s="9">
        <v>170</v>
      </c>
      <c r="G701" s="9">
        <v>563.67999999999995</v>
      </c>
      <c r="H701" s="9" t="s">
        <v>32</v>
      </c>
      <c r="I701" s="9">
        <v>26</v>
      </c>
      <c r="J701" s="10">
        <v>393.67999999999898</v>
      </c>
      <c r="K701" s="9" t="str">
        <f>TEXT(Sales_of_Jordan[[#This Row],[Sale_Date]],"mmm")</f>
        <v>Feb</v>
      </c>
    </row>
    <row r="702" spans="1:11" x14ac:dyDescent="0.35">
      <c r="A702" s="7" t="s">
        <v>732</v>
      </c>
      <c r="B702" s="8">
        <v>45568</v>
      </c>
      <c r="C702" s="9" t="s">
        <v>16</v>
      </c>
      <c r="D702" s="9" t="s">
        <v>12</v>
      </c>
      <c r="E702" s="9" t="s">
        <v>29</v>
      </c>
      <c r="F702" s="9">
        <v>173</v>
      </c>
      <c r="G702" s="9">
        <v>190.37</v>
      </c>
      <c r="H702" s="9" t="s">
        <v>14</v>
      </c>
      <c r="I702" s="9">
        <v>14</v>
      </c>
      <c r="J702" s="10">
        <v>17.37</v>
      </c>
      <c r="K702" s="9" t="str">
        <f>TEXT(Sales_of_Jordan[[#This Row],[Sale_Date]],"mmm")</f>
        <v>Oct</v>
      </c>
    </row>
    <row r="703" spans="1:11" x14ac:dyDescent="0.35">
      <c r="A703" s="7" t="s">
        <v>733</v>
      </c>
      <c r="B703" s="8">
        <v>45203</v>
      </c>
      <c r="C703" s="9" t="s">
        <v>27</v>
      </c>
      <c r="D703" s="9" t="s">
        <v>22</v>
      </c>
      <c r="E703" s="9" t="s">
        <v>18</v>
      </c>
      <c r="F703" s="9">
        <v>114</v>
      </c>
      <c r="G703" s="9">
        <v>255.56</v>
      </c>
      <c r="H703" s="9" t="s">
        <v>14</v>
      </c>
      <c r="I703" s="9">
        <v>14</v>
      </c>
      <c r="J703" s="10">
        <v>141.56</v>
      </c>
      <c r="K703" s="9" t="str">
        <f>TEXT(Sales_of_Jordan[[#This Row],[Sale_Date]],"mmm")</f>
        <v>Oct</v>
      </c>
    </row>
    <row r="704" spans="1:11" x14ac:dyDescent="0.35">
      <c r="A704" s="7" t="s">
        <v>734</v>
      </c>
      <c r="B704" s="8">
        <v>45187</v>
      </c>
      <c r="C704" s="9" t="s">
        <v>16</v>
      </c>
      <c r="D704" s="9" t="s">
        <v>34</v>
      </c>
      <c r="E704" s="9" t="s">
        <v>18</v>
      </c>
      <c r="F704" s="9">
        <v>178</v>
      </c>
      <c r="G704" s="9">
        <v>434.81</v>
      </c>
      <c r="H704" s="9" t="s">
        <v>25</v>
      </c>
      <c r="I704" s="9">
        <v>33</v>
      </c>
      <c r="J704" s="10">
        <v>256.81</v>
      </c>
      <c r="K704" s="9" t="str">
        <f>TEXT(Sales_of_Jordan[[#This Row],[Sale_Date]],"mmm")</f>
        <v>Sep</v>
      </c>
    </row>
    <row r="705" spans="1:11" x14ac:dyDescent="0.35">
      <c r="A705" s="7" t="s">
        <v>735</v>
      </c>
      <c r="B705" s="8">
        <v>45583</v>
      </c>
      <c r="C705" s="9" t="s">
        <v>27</v>
      </c>
      <c r="D705" s="9" t="s">
        <v>53</v>
      </c>
      <c r="E705" s="9" t="s">
        <v>18</v>
      </c>
      <c r="F705" s="9">
        <v>121</v>
      </c>
      <c r="G705" s="9">
        <v>151.74</v>
      </c>
      <c r="H705" s="9" t="s">
        <v>32</v>
      </c>
      <c r="I705" s="9">
        <v>50</v>
      </c>
      <c r="J705" s="10">
        <v>30.74</v>
      </c>
      <c r="K705" s="9" t="str">
        <f>TEXT(Sales_of_Jordan[[#This Row],[Sale_Date]],"mmm")</f>
        <v>Oct</v>
      </c>
    </row>
    <row r="706" spans="1:11" x14ac:dyDescent="0.35">
      <c r="A706" s="7" t="s">
        <v>736</v>
      </c>
      <c r="B706" s="8">
        <v>45158</v>
      </c>
      <c r="C706" s="9" t="s">
        <v>27</v>
      </c>
      <c r="D706" s="9" t="s">
        <v>53</v>
      </c>
      <c r="E706" s="9" t="s">
        <v>18</v>
      </c>
      <c r="F706" s="9">
        <v>127</v>
      </c>
      <c r="G706" s="9">
        <v>404.38</v>
      </c>
      <c r="H706" s="9" t="s">
        <v>14</v>
      </c>
      <c r="I706" s="9">
        <v>8</v>
      </c>
      <c r="J706" s="10">
        <v>277.38</v>
      </c>
      <c r="K706" s="9" t="str">
        <f>TEXT(Sales_of_Jordan[[#This Row],[Sale_Date]],"mmm")</f>
        <v>Aug</v>
      </c>
    </row>
    <row r="707" spans="1:11" x14ac:dyDescent="0.35">
      <c r="A707" s="7" t="s">
        <v>737</v>
      </c>
      <c r="B707" s="8">
        <v>45803</v>
      </c>
      <c r="C707" s="9" t="s">
        <v>27</v>
      </c>
      <c r="D707" s="9" t="s">
        <v>12</v>
      </c>
      <c r="E707" s="9" t="s">
        <v>18</v>
      </c>
      <c r="F707" s="9">
        <v>114</v>
      </c>
      <c r="G707" s="9">
        <v>373.14</v>
      </c>
      <c r="H707" s="9" t="s">
        <v>14</v>
      </c>
      <c r="I707" s="9">
        <v>1</v>
      </c>
      <c r="J707" s="10">
        <v>259.14</v>
      </c>
      <c r="K707" s="9" t="str">
        <f>TEXT(Sales_of_Jordan[[#This Row],[Sale_Date]],"mmm")</f>
        <v>May</v>
      </c>
    </row>
    <row r="708" spans="1:11" x14ac:dyDescent="0.35">
      <c r="A708" s="7" t="s">
        <v>738</v>
      </c>
      <c r="B708" s="8">
        <v>45604</v>
      </c>
      <c r="C708" s="9" t="s">
        <v>27</v>
      </c>
      <c r="D708" s="9" t="s">
        <v>34</v>
      </c>
      <c r="E708" s="9" t="s">
        <v>18</v>
      </c>
      <c r="F708" s="9">
        <v>133</v>
      </c>
      <c r="G708" s="9">
        <v>317.38</v>
      </c>
      <c r="H708" s="9" t="s">
        <v>19</v>
      </c>
      <c r="I708" s="9">
        <v>3</v>
      </c>
      <c r="J708" s="10">
        <v>184.38</v>
      </c>
      <c r="K708" s="9" t="str">
        <f>TEXT(Sales_of_Jordan[[#This Row],[Sale_Date]],"mmm")</f>
        <v>Nov</v>
      </c>
    </row>
    <row r="709" spans="1:11" x14ac:dyDescent="0.35">
      <c r="A709" s="7" t="s">
        <v>739</v>
      </c>
      <c r="B709" s="8">
        <v>45302</v>
      </c>
      <c r="C709" s="9" t="s">
        <v>31</v>
      </c>
      <c r="D709" s="9" t="s">
        <v>22</v>
      </c>
      <c r="E709" s="9" t="s">
        <v>29</v>
      </c>
      <c r="F709" s="9">
        <v>210</v>
      </c>
      <c r="G709" s="9">
        <v>284.14</v>
      </c>
      <c r="H709" s="9" t="s">
        <v>32</v>
      </c>
      <c r="I709" s="9">
        <v>22</v>
      </c>
      <c r="J709" s="10">
        <v>74.139999999999901</v>
      </c>
      <c r="K709" s="9" t="str">
        <f>TEXT(Sales_of_Jordan[[#This Row],[Sale_Date]],"mmm")</f>
        <v>Jan</v>
      </c>
    </row>
    <row r="710" spans="1:11" x14ac:dyDescent="0.35">
      <c r="A710" s="7" t="s">
        <v>740</v>
      </c>
      <c r="B710" s="8">
        <v>45157</v>
      </c>
      <c r="C710" s="9" t="s">
        <v>27</v>
      </c>
      <c r="D710" s="9" t="s">
        <v>17</v>
      </c>
      <c r="E710" s="9" t="s">
        <v>29</v>
      </c>
      <c r="F710" s="9">
        <v>126</v>
      </c>
      <c r="G710" s="9">
        <v>140.68</v>
      </c>
      <c r="H710" s="9" t="s">
        <v>23</v>
      </c>
      <c r="I710" s="9">
        <v>19</v>
      </c>
      <c r="J710" s="10">
        <v>14.68</v>
      </c>
      <c r="K710" s="9" t="str">
        <f>TEXT(Sales_of_Jordan[[#This Row],[Sale_Date]],"mmm")</f>
        <v>Aug</v>
      </c>
    </row>
    <row r="711" spans="1:11" x14ac:dyDescent="0.35">
      <c r="A711" s="7" t="s">
        <v>741</v>
      </c>
      <c r="B711" s="8">
        <v>45495</v>
      </c>
      <c r="C711" s="9" t="s">
        <v>31</v>
      </c>
      <c r="D711" s="9" t="s">
        <v>55</v>
      </c>
      <c r="E711" s="9" t="s">
        <v>13</v>
      </c>
      <c r="F711" s="9">
        <v>206</v>
      </c>
      <c r="G711" s="9">
        <v>138.88</v>
      </c>
      <c r="H711" s="9" t="s">
        <v>32</v>
      </c>
      <c r="I711" s="9">
        <v>53</v>
      </c>
      <c r="J711" s="10">
        <v>-67.12</v>
      </c>
      <c r="K711" s="9" t="str">
        <f>TEXT(Sales_of_Jordan[[#This Row],[Sale_Date]],"mmm")</f>
        <v>Jul</v>
      </c>
    </row>
    <row r="712" spans="1:11" x14ac:dyDescent="0.35">
      <c r="A712" s="7" t="s">
        <v>742</v>
      </c>
      <c r="B712" s="8">
        <v>45137</v>
      </c>
      <c r="C712" s="9" t="s">
        <v>11</v>
      </c>
      <c r="D712" s="9" t="s">
        <v>46</v>
      </c>
      <c r="E712" s="9" t="s">
        <v>29</v>
      </c>
      <c r="F712" s="9">
        <v>229</v>
      </c>
      <c r="G712" s="9">
        <v>220.92</v>
      </c>
      <c r="H712" s="9" t="s">
        <v>25</v>
      </c>
      <c r="I712" s="9">
        <v>52</v>
      </c>
      <c r="J712" s="10">
        <v>-8.0800000000000107</v>
      </c>
      <c r="K712" s="9" t="str">
        <f>TEXT(Sales_of_Jordan[[#This Row],[Sale_Date]],"mmm")</f>
        <v>Jul</v>
      </c>
    </row>
    <row r="713" spans="1:11" x14ac:dyDescent="0.35">
      <c r="A713" s="7" t="s">
        <v>743</v>
      </c>
      <c r="B713" s="8">
        <v>45825</v>
      </c>
      <c r="C713" s="9" t="s">
        <v>11</v>
      </c>
      <c r="D713" s="9" t="s">
        <v>55</v>
      </c>
      <c r="E713" s="9" t="s">
        <v>18</v>
      </c>
      <c r="F713" s="9">
        <v>226</v>
      </c>
      <c r="G713" s="9">
        <v>374.49</v>
      </c>
      <c r="H713" s="9" t="s">
        <v>25</v>
      </c>
      <c r="I713" s="9">
        <v>57</v>
      </c>
      <c r="J713" s="10">
        <v>148.49</v>
      </c>
      <c r="K713" s="9" t="str">
        <f>TEXT(Sales_of_Jordan[[#This Row],[Sale_Date]],"mmm")</f>
        <v>Jun</v>
      </c>
    </row>
    <row r="714" spans="1:11" x14ac:dyDescent="0.35">
      <c r="A714" s="7" t="s">
        <v>744</v>
      </c>
      <c r="B714" s="8">
        <v>44945</v>
      </c>
      <c r="C714" s="9" t="s">
        <v>21</v>
      </c>
      <c r="D714" s="9" t="s">
        <v>36</v>
      </c>
      <c r="E714" s="9" t="s">
        <v>18</v>
      </c>
      <c r="F714" s="9">
        <v>214</v>
      </c>
      <c r="G714" s="9">
        <v>451.27</v>
      </c>
      <c r="H714" s="9" t="s">
        <v>25</v>
      </c>
      <c r="I714" s="9">
        <v>42</v>
      </c>
      <c r="J714" s="10">
        <v>237.26999999999899</v>
      </c>
      <c r="K714" s="9" t="str">
        <f>TEXT(Sales_of_Jordan[[#This Row],[Sale_Date]],"mmm")</f>
        <v>Jan</v>
      </c>
    </row>
    <row r="715" spans="1:11" x14ac:dyDescent="0.35">
      <c r="A715" s="7" t="s">
        <v>745</v>
      </c>
      <c r="B715" s="8">
        <v>45760</v>
      </c>
      <c r="C715" s="9" t="s">
        <v>21</v>
      </c>
      <c r="D715" s="9" t="s">
        <v>39</v>
      </c>
      <c r="E715" s="9" t="s">
        <v>13</v>
      </c>
      <c r="F715" s="9">
        <v>222</v>
      </c>
      <c r="G715" s="9">
        <v>126.87</v>
      </c>
      <c r="H715" s="9" t="s">
        <v>25</v>
      </c>
      <c r="I715" s="9">
        <v>24</v>
      </c>
      <c r="J715" s="10">
        <v>-95.13</v>
      </c>
      <c r="K715" s="9" t="str">
        <f>TEXT(Sales_of_Jordan[[#This Row],[Sale_Date]],"mmm")</f>
        <v>Apr</v>
      </c>
    </row>
    <row r="716" spans="1:11" x14ac:dyDescent="0.35">
      <c r="A716" s="7" t="s">
        <v>746</v>
      </c>
      <c r="B716" s="8">
        <v>45692</v>
      </c>
      <c r="C716" s="9" t="s">
        <v>11</v>
      </c>
      <c r="D716" s="9" t="s">
        <v>12</v>
      </c>
      <c r="E716" s="9" t="s">
        <v>29</v>
      </c>
      <c r="F716" s="9">
        <v>227</v>
      </c>
      <c r="G716" s="9">
        <v>330.24</v>
      </c>
      <c r="H716" s="9" t="s">
        <v>23</v>
      </c>
      <c r="I716" s="9">
        <v>60</v>
      </c>
      <c r="J716" s="10">
        <v>103.24</v>
      </c>
      <c r="K716" s="9" t="str">
        <f>TEXT(Sales_of_Jordan[[#This Row],[Sale_Date]],"mmm")</f>
        <v>Feb</v>
      </c>
    </row>
    <row r="717" spans="1:11" x14ac:dyDescent="0.35">
      <c r="A717" s="7" t="s">
        <v>747</v>
      </c>
      <c r="B717" s="8">
        <v>44972</v>
      </c>
      <c r="C717" s="9" t="s">
        <v>11</v>
      </c>
      <c r="D717" s="9" t="s">
        <v>53</v>
      </c>
      <c r="E717" s="9" t="s">
        <v>18</v>
      </c>
      <c r="F717" s="9">
        <v>227</v>
      </c>
      <c r="G717" s="9">
        <v>312</v>
      </c>
      <c r="H717" s="9" t="s">
        <v>19</v>
      </c>
      <c r="I717" s="9">
        <v>9</v>
      </c>
      <c r="J717" s="10">
        <v>85</v>
      </c>
      <c r="K717" s="9" t="str">
        <f>TEXT(Sales_of_Jordan[[#This Row],[Sale_Date]],"mmm")</f>
        <v>Feb</v>
      </c>
    </row>
    <row r="718" spans="1:11" x14ac:dyDescent="0.35">
      <c r="A718" s="7" t="s">
        <v>748</v>
      </c>
      <c r="B718" s="8">
        <v>45126</v>
      </c>
      <c r="C718" s="9" t="s">
        <v>31</v>
      </c>
      <c r="D718" s="9" t="s">
        <v>34</v>
      </c>
      <c r="E718" s="9" t="s">
        <v>18</v>
      </c>
      <c r="F718" s="9">
        <v>209</v>
      </c>
      <c r="G718" s="9">
        <v>646.85</v>
      </c>
      <c r="H718" s="9" t="s">
        <v>32</v>
      </c>
      <c r="I718" s="9">
        <v>37</v>
      </c>
      <c r="J718" s="10">
        <v>437.85</v>
      </c>
      <c r="K718" s="9" t="str">
        <f>TEXT(Sales_of_Jordan[[#This Row],[Sale_Date]],"mmm")</f>
        <v>Jul</v>
      </c>
    </row>
    <row r="719" spans="1:11" x14ac:dyDescent="0.35">
      <c r="A719" s="7" t="s">
        <v>749</v>
      </c>
      <c r="B719" s="8">
        <v>44963</v>
      </c>
      <c r="C719" s="9" t="s">
        <v>16</v>
      </c>
      <c r="D719" s="9" t="s">
        <v>46</v>
      </c>
      <c r="E719" s="9" t="s">
        <v>29</v>
      </c>
      <c r="F719" s="9">
        <v>187</v>
      </c>
      <c r="G719" s="9">
        <v>269.55</v>
      </c>
      <c r="H719" s="9" t="s">
        <v>23</v>
      </c>
      <c r="I719" s="9">
        <v>57</v>
      </c>
      <c r="J719" s="10">
        <v>82.55</v>
      </c>
      <c r="K719" s="9" t="str">
        <f>TEXT(Sales_of_Jordan[[#This Row],[Sale_Date]],"mmm")</f>
        <v>Feb</v>
      </c>
    </row>
    <row r="720" spans="1:11" x14ac:dyDescent="0.35">
      <c r="A720" s="7" t="s">
        <v>750</v>
      </c>
      <c r="B720" s="8">
        <v>45798</v>
      </c>
      <c r="C720" s="9" t="s">
        <v>16</v>
      </c>
      <c r="D720" s="9" t="s">
        <v>34</v>
      </c>
      <c r="E720" s="9" t="s">
        <v>18</v>
      </c>
      <c r="F720" s="9">
        <v>170</v>
      </c>
      <c r="G720" s="9">
        <v>458.6</v>
      </c>
      <c r="H720" s="9" t="s">
        <v>32</v>
      </c>
      <c r="I720" s="9">
        <v>41</v>
      </c>
      <c r="J720" s="10">
        <v>288.60000000000002</v>
      </c>
      <c r="K720" s="9" t="str">
        <f>TEXT(Sales_of_Jordan[[#This Row],[Sale_Date]],"mmm")</f>
        <v>May</v>
      </c>
    </row>
    <row r="721" spans="1:11" x14ac:dyDescent="0.35">
      <c r="A721" s="7" t="s">
        <v>751</v>
      </c>
      <c r="B721" s="8">
        <v>45428</v>
      </c>
      <c r="C721" s="9" t="s">
        <v>31</v>
      </c>
      <c r="D721" s="9" t="s">
        <v>39</v>
      </c>
      <c r="E721" s="9" t="s">
        <v>13</v>
      </c>
      <c r="F721" s="9">
        <v>204</v>
      </c>
      <c r="G721" s="9">
        <v>144.31</v>
      </c>
      <c r="H721" s="9" t="s">
        <v>25</v>
      </c>
      <c r="I721" s="9">
        <v>57</v>
      </c>
      <c r="J721" s="10">
        <v>-59.69</v>
      </c>
      <c r="K721" s="9" t="str">
        <f>TEXT(Sales_of_Jordan[[#This Row],[Sale_Date]],"mmm")</f>
        <v>May</v>
      </c>
    </row>
    <row r="722" spans="1:11" x14ac:dyDescent="0.35">
      <c r="A722" s="7" t="s">
        <v>752</v>
      </c>
      <c r="B722" s="8">
        <v>45045</v>
      </c>
      <c r="C722" s="9" t="s">
        <v>31</v>
      </c>
      <c r="D722" s="9" t="s">
        <v>46</v>
      </c>
      <c r="E722" s="9" t="s">
        <v>13</v>
      </c>
      <c r="F722" s="9">
        <v>210</v>
      </c>
      <c r="G722" s="9">
        <v>158.46</v>
      </c>
      <c r="H722" s="9" t="s">
        <v>32</v>
      </c>
      <c r="I722" s="9">
        <v>14</v>
      </c>
      <c r="J722" s="10">
        <v>-51.5399999999999</v>
      </c>
      <c r="K722" s="9" t="str">
        <f>TEXT(Sales_of_Jordan[[#This Row],[Sale_Date]],"mmm")</f>
        <v>Apr</v>
      </c>
    </row>
    <row r="723" spans="1:11" x14ac:dyDescent="0.35">
      <c r="A723" s="7" t="s">
        <v>753</v>
      </c>
      <c r="B723" s="8">
        <v>45415</v>
      </c>
      <c r="C723" s="9" t="s">
        <v>21</v>
      </c>
      <c r="D723" s="9" t="s">
        <v>34</v>
      </c>
      <c r="E723" s="9" t="s">
        <v>18</v>
      </c>
      <c r="F723" s="9">
        <v>219</v>
      </c>
      <c r="G723" s="9">
        <v>307.26</v>
      </c>
      <c r="H723" s="9" t="s">
        <v>32</v>
      </c>
      <c r="I723" s="9">
        <v>35</v>
      </c>
      <c r="J723" s="10">
        <v>88.259999999999906</v>
      </c>
      <c r="K723" s="9" t="str">
        <f>TEXT(Sales_of_Jordan[[#This Row],[Sale_Date]],"mmm")</f>
        <v>May</v>
      </c>
    </row>
    <row r="724" spans="1:11" x14ac:dyDescent="0.35">
      <c r="A724" s="7" t="s">
        <v>754</v>
      </c>
      <c r="B724" s="8">
        <v>45037</v>
      </c>
      <c r="C724" s="9" t="s">
        <v>16</v>
      </c>
      <c r="D724" s="9" t="s">
        <v>46</v>
      </c>
      <c r="E724" s="9" t="s">
        <v>29</v>
      </c>
      <c r="F724" s="9">
        <v>173</v>
      </c>
      <c r="G724" s="9">
        <v>231.29</v>
      </c>
      <c r="H724" s="9" t="s">
        <v>14</v>
      </c>
      <c r="I724" s="9">
        <v>8</v>
      </c>
      <c r="J724" s="10">
        <v>58.2899999999999</v>
      </c>
      <c r="K724" s="9" t="str">
        <f>TEXT(Sales_of_Jordan[[#This Row],[Sale_Date]],"mmm")</f>
        <v>Apr</v>
      </c>
    </row>
    <row r="725" spans="1:11" x14ac:dyDescent="0.35">
      <c r="A725" s="7" t="s">
        <v>755</v>
      </c>
      <c r="B725" s="8">
        <v>45054</v>
      </c>
      <c r="C725" s="9" t="s">
        <v>16</v>
      </c>
      <c r="D725" s="9" t="s">
        <v>53</v>
      </c>
      <c r="E725" s="9" t="s">
        <v>13</v>
      </c>
      <c r="F725" s="9">
        <v>178</v>
      </c>
      <c r="G725" s="9">
        <v>145.16999999999999</v>
      </c>
      <c r="H725" s="9" t="s">
        <v>19</v>
      </c>
      <c r="I725" s="9">
        <v>1</v>
      </c>
      <c r="J725" s="10">
        <v>-32.83</v>
      </c>
      <c r="K725" s="9" t="str">
        <f>TEXT(Sales_of_Jordan[[#This Row],[Sale_Date]],"mmm")</f>
        <v>May</v>
      </c>
    </row>
    <row r="726" spans="1:11" x14ac:dyDescent="0.35">
      <c r="A726" s="7" t="s">
        <v>756</v>
      </c>
      <c r="B726" s="8">
        <v>45613</v>
      </c>
      <c r="C726" s="9" t="s">
        <v>16</v>
      </c>
      <c r="D726" s="9" t="s">
        <v>46</v>
      </c>
      <c r="E726" s="9" t="s">
        <v>13</v>
      </c>
      <c r="F726" s="9">
        <v>171</v>
      </c>
      <c r="G726" s="9">
        <v>142.52000000000001</v>
      </c>
      <c r="H726" s="9" t="s">
        <v>32</v>
      </c>
      <c r="I726" s="9">
        <v>51</v>
      </c>
      <c r="J726" s="10">
        <v>-28.479999999999901</v>
      </c>
      <c r="K726" s="9" t="str">
        <f>TEXT(Sales_of_Jordan[[#This Row],[Sale_Date]],"mmm")</f>
        <v>Nov</v>
      </c>
    </row>
    <row r="727" spans="1:11" x14ac:dyDescent="0.35">
      <c r="A727" s="7" t="s">
        <v>757</v>
      </c>
      <c r="B727" s="8">
        <v>45470</v>
      </c>
      <c r="C727" s="9" t="s">
        <v>11</v>
      </c>
      <c r="D727" s="9" t="s">
        <v>55</v>
      </c>
      <c r="E727" s="9" t="s">
        <v>18</v>
      </c>
      <c r="F727" s="9">
        <v>230</v>
      </c>
      <c r="G727" s="9">
        <v>570.87</v>
      </c>
      <c r="H727" s="9" t="s">
        <v>23</v>
      </c>
      <c r="I727" s="9">
        <v>20</v>
      </c>
      <c r="J727" s="10">
        <v>340.87</v>
      </c>
      <c r="K727" s="9" t="str">
        <f>TEXT(Sales_of_Jordan[[#This Row],[Sale_Date]],"mmm")</f>
        <v>Jun</v>
      </c>
    </row>
    <row r="728" spans="1:11" x14ac:dyDescent="0.35">
      <c r="A728" s="7" t="s">
        <v>758</v>
      </c>
      <c r="B728" s="8">
        <v>45487</v>
      </c>
      <c r="C728" s="9" t="s">
        <v>21</v>
      </c>
      <c r="D728" s="9" t="s">
        <v>53</v>
      </c>
      <c r="E728" s="9" t="s">
        <v>18</v>
      </c>
      <c r="F728" s="9">
        <v>221</v>
      </c>
      <c r="G728" s="9">
        <v>506.49</v>
      </c>
      <c r="H728" s="9" t="s">
        <v>32</v>
      </c>
      <c r="I728" s="9">
        <v>9</v>
      </c>
      <c r="J728" s="10">
        <v>285.49</v>
      </c>
      <c r="K728" s="9" t="str">
        <f>TEXT(Sales_of_Jordan[[#This Row],[Sale_Date]],"mmm")</f>
        <v>Jul</v>
      </c>
    </row>
    <row r="729" spans="1:11" x14ac:dyDescent="0.35">
      <c r="A729" s="7" t="s">
        <v>759</v>
      </c>
      <c r="B729" s="8">
        <v>45581</v>
      </c>
      <c r="C729" s="9" t="s">
        <v>11</v>
      </c>
      <c r="D729" s="9" t="s">
        <v>39</v>
      </c>
      <c r="E729" s="9" t="s">
        <v>18</v>
      </c>
      <c r="F729" s="9">
        <v>229</v>
      </c>
      <c r="G729" s="9">
        <v>637.64</v>
      </c>
      <c r="H729" s="9" t="s">
        <v>19</v>
      </c>
      <c r="I729" s="9">
        <v>2</v>
      </c>
      <c r="J729" s="10">
        <v>408.64</v>
      </c>
      <c r="K729" s="9" t="str">
        <f>TEXT(Sales_of_Jordan[[#This Row],[Sale_Date]],"mmm")</f>
        <v>Oct</v>
      </c>
    </row>
    <row r="730" spans="1:11" x14ac:dyDescent="0.35">
      <c r="A730" s="7" t="s">
        <v>760</v>
      </c>
      <c r="B730" s="8">
        <v>45379</v>
      </c>
      <c r="C730" s="9" t="s">
        <v>16</v>
      </c>
      <c r="D730" s="9" t="s">
        <v>34</v>
      </c>
      <c r="E730" s="9" t="s">
        <v>29</v>
      </c>
      <c r="F730" s="9">
        <v>187</v>
      </c>
      <c r="G730" s="9">
        <v>257.99</v>
      </c>
      <c r="H730" s="9" t="s">
        <v>19</v>
      </c>
      <c r="I730" s="9">
        <v>4</v>
      </c>
      <c r="J730" s="10">
        <v>70.989999999999995</v>
      </c>
      <c r="K730" s="9" t="str">
        <f>TEXT(Sales_of_Jordan[[#This Row],[Sale_Date]],"mmm")</f>
        <v>Mar</v>
      </c>
    </row>
    <row r="731" spans="1:11" x14ac:dyDescent="0.35">
      <c r="A731" s="7" t="s">
        <v>761</v>
      </c>
      <c r="B731" s="8">
        <v>45403</v>
      </c>
      <c r="C731" s="9" t="s">
        <v>27</v>
      </c>
      <c r="D731" s="9" t="s">
        <v>17</v>
      </c>
      <c r="E731" s="9" t="s">
        <v>13</v>
      </c>
      <c r="F731" s="9">
        <v>117</v>
      </c>
      <c r="G731" s="9">
        <v>86.85</v>
      </c>
      <c r="H731" s="9" t="s">
        <v>14</v>
      </c>
      <c r="I731" s="9">
        <v>2</v>
      </c>
      <c r="J731" s="10">
        <v>-30.15</v>
      </c>
      <c r="K731" s="9" t="str">
        <f>TEXT(Sales_of_Jordan[[#This Row],[Sale_Date]],"mmm")</f>
        <v>Apr</v>
      </c>
    </row>
    <row r="732" spans="1:11" x14ac:dyDescent="0.35">
      <c r="A732" s="7" t="s">
        <v>762</v>
      </c>
      <c r="B732" s="8">
        <v>45334</v>
      </c>
      <c r="C732" s="9" t="s">
        <v>16</v>
      </c>
      <c r="D732" s="9" t="s">
        <v>22</v>
      </c>
      <c r="E732" s="9" t="s">
        <v>18</v>
      </c>
      <c r="F732" s="9">
        <v>184</v>
      </c>
      <c r="G732" s="9">
        <v>510.34</v>
      </c>
      <c r="H732" s="9" t="s">
        <v>14</v>
      </c>
      <c r="I732" s="9">
        <v>8</v>
      </c>
      <c r="J732" s="10">
        <v>326.33999999999997</v>
      </c>
      <c r="K732" s="9" t="str">
        <f>TEXT(Sales_of_Jordan[[#This Row],[Sale_Date]],"mmm")</f>
        <v>Feb</v>
      </c>
    </row>
    <row r="733" spans="1:11" x14ac:dyDescent="0.35">
      <c r="A733" s="7" t="s">
        <v>763</v>
      </c>
      <c r="B733" s="8">
        <v>45249</v>
      </c>
      <c r="C733" s="9" t="s">
        <v>21</v>
      </c>
      <c r="D733" s="9" t="s">
        <v>53</v>
      </c>
      <c r="E733" s="9" t="s">
        <v>13</v>
      </c>
      <c r="F733" s="9">
        <v>210</v>
      </c>
      <c r="G733" s="9">
        <v>147.88999999999999</v>
      </c>
      <c r="H733" s="9" t="s">
        <v>25</v>
      </c>
      <c r="I733" s="9">
        <v>51</v>
      </c>
      <c r="J733" s="10">
        <v>-62.11</v>
      </c>
      <c r="K733" s="9" t="str">
        <f>TEXT(Sales_of_Jordan[[#This Row],[Sale_Date]],"mmm")</f>
        <v>Nov</v>
      </c>
    </row>
    <row r="734" spans="1:11" x14ac:dyDescent="0.35">
      <c r="A734" s="7" t="s">
        <v>764</v>
      </c>
      <c r="B734" s="8">
        <v>45476</v>
      </c>
      <c r="C734" s="9" t="s">
        <v>27</v>
      </c>
      <c r="D734" s="9" t="s">
        <v>22</v>
      </c>
      <c r="E734" s="9" t="s">
        <v>29</v>
      </c>
      <c r="F734" s="9">
        <v>135</v>
      </c>
      <c r="G734" s="9">
        <v>122.18</v>
      </c>
      <c r="H734" s="9" t="s">
        <v>19</v>
      </c>
      <c r="I734" s="9">
        <v>6</v>
      </c>
      <c r="J734" s="10">
        <v>-12.819999999999901</v>
      </c>
      <c r="K734" s="9" t="str">
        <f>TEXT(Sales_of_Jordan[[#This Row],[Sale_Date]],"mmm")</f>
        <v>Jul</v>
      </c>
    </row>
    <row r="735" spans="1:11" x14ac:dyDescent="0.35">
      <c r="A735" s="7" t="s">
        <v>765</v>
      </c>
      <c r="B735" s="8">
        <v>45713</v>
      </c>
      <c r="C735" s="9" t="s">
        <v>16</v>
      </c>
      <c r="D735" s="9" t="s">
        <v>34</v>
      </c>
      <c r="E735" s="9" t="s">
        <v>18</v>
      </c>
      <c r="F735" s="9">
        <v>183</v>
      </c>
      <c r="G735" s="9">
        <v>322.08</v>
      </c>
      <c r="H735" s="9" t="s">
        <v>25</v>
      </c>
      <c r="I735" s="9">
        <v>32</v>
      </c>
      <c r="J735" s="10">
        <v>139.07999999999899</v>
      </c>
      <c r="K735" s="9" t="str">
        <f>TEXT(Sales_of_Jordan[[#This Row],[Sale_Date]],"mmm")</f>
        <v>Feb</v>
      </c>
    </row>
    <row r="736" spans="1:11" x14ac:dyDescent="0.35">
      <c r="A736" s="7" t="s">
        <v>766</v>
      </c>
      <c r="B736" s="8">
        <v>45003</v>
      </c>
      <c r="C736" s="9" t="s">
        <v>27</v>
      </c>
      <c r="D736" s="9" t="s">
        <v>46</v>
      </c>
      <c r="E736" s="9" t="s">
        <v>18</v>
      </c>
      <c r="F736" s="9">
        <v>118</v>
      </c>
      <c r="G736" s="9">
        <v>240.27</v>
      </c>
      <c r="H736" s="9" t="s">
        <v>25</v>
      </c>
      <c r="I736" s="9">
        <v>43</v>
      </c>
      <c r="J736" s="10">
        <v>122.27</v>
      </c>
      <c r="K736" s="9" t="str">
        <f>TEXT(Sales_of_Jordan[[#This Row],[Sale_Date]],"mmm")</f>
        <v>Mar</v>
      </c>
    </row>
    <row r="737" spans="1:11" x14ac:dyDescent="0.35">
      <c r="A737" s="7" t="s">
        <v>767</v>
      </c>
      <c r="B737" s="8">
        <v>45425</v>
      </c>
      <c r="C737" s="9" t="s">
        <v>31</v>
      </c>
      <c r="D737" s="9" t="s">
        <v>36</v>
      </c>
      <c r="E737" s="9" t="s">
        <v>13</v>
      </c>
      <c r="F737" s="9">
        <v>200</v>
      </c>
      <c r="G737" s="9">
        <v>142.65</v>
      </c>
      <c r="H737" s="9" t="s">
        <v>19</v>
      </c>
      <c r="I737" s="9">
        <v>1</v>
      </c>
      <c r="J737" s="10">
        <v>-57.349999999999902</v>
      </c>
      <c r="K737" s="9" t="str">
        <f>TEXT(Sales_of_Jordan[[#This Row],[Sale_Date]],"mmm")</f>
        <v>May</v>
      </c>
    </row>
    <row r="738" spans="1:11" x14ac:dyDescent="0.35">
      <c r="A738" s="7" t="s">
        <v>768</v>
      </c>
      <c r="B738" s="8">
        <v>45485</v>
      </c>
      <c r="C738" s="9" t="s">
        <v>16</v>
      </c>
      <c r="D738" s="9" t="s">
        <v>55</v>
      </c>
      <c r="E738" s="9" t="s">
        <v>29</v>
      </c>
      <c r="F738" s="9">
        <v>181</v>
      </c>
      <c r="G738" s="9">
        <v>212.28</v>
      </c>
      <c r="H738" s="9" t="s">
        <v>25</v>
      </c>
      <c r="I738" s="9">
        <v>13</v>
      </c>
      <c r="J738" s="10">
        <v>31.28</v>
      </c>
      <c r="K738" s="9" t="str">
        <f>TEXT(Sales_of_Jordan[[#This Row],[Sale_Date]],"mmm")</f>
        <v>Jul</v>
      </c>
    </row>
    <row r="739" spans="1:11" x14ac:dyDescent="0.35">
      <c r="A739" s="7" t="s">
        <v>769</v>
      </c>
      <c r="B739" s="8">
        <v>45288</v>
      </c>
      <c r="C739" s="9" t="s">
        <v>27</v>
      </c>
      <c r="D739" s="9" t="s">
        <v>12</v>
      </c>
      <c r="E739" s="9" t="s">
        <v>18</v>
      </c>
      <c r="F739" s="9">
        <v>138</v>
      </c>
      <c r="G739" s="9">
        <v>374</v>
      </c>
      <c r="H739" s="9" t="s">
        <v>23</v>
      </c>
      <c r="I739" s="9">
        <v>11</v>
      </c>
      <c r="J739" s="10">
        <v>236</v>
      </c>
      <c r="K739" s="9" t="str">
        <f>TEXT(Sales_of_Jordan[[#This Row],[Sale_Date]],"mmm")</f>
        <v>Dec</v>
      </c>
    </row>
    <row r="740" spans="1:11" x14ac:dyDescent="0.35">
      <c r="A740" s="7" t="s">
        <v>770</v>
      </c>
      <c r="B740" s="8">
        <v>45107</v>
      </c>
      <c r="C740" s="9" t="s">
        <v>16</v>
      </c>
      <c r="D740" s="9" t="s">
        <v>36</v>
      </c>
      <c r="E740" s="9" t="s">
        <v>29</v>
      </c>
      <c r="F740" s="9">
        <v>176</v>
      </c>
      <c r="G740" s="9">
        <v>199.82</v>
      </c>
      <c r="H740" s="9" t="s">
        <v>25</v>
      </c>
      <c r="I740" s="9">
        <v>23</v>
      </c>
      <c r="J740" s="10">
        <v>23.819999999999901</v>
      </c>
      <c r="K740" s="9" t="str">
        <f>TEXT(Sales_of_Jordan[[#This Row],[Sale_Date]],"mmm")</f>
        <v>Jun</v>
      </c>
    </row>
    <row r="741" spans="1:11" x14ac:dyDescent="0.35">
      <c r="A741" s="7" t="s">
        <v>771</v>
      </c>
      <c r="B741" s="8">
        <v>44958</v>
      </c>
      <c r="C741" s="9" t="s">
        <v>11</v>
      </c>
      <c r="D741" s="9" t="s">
        <v>22</v>
      </c>
      <c r="E741" s="9" t="s">
        <v>13</v>
      </c>
      <c r="F741" s="9">
        <v>230</v>
      </c>
      <c r="G741" s="9">
        <v>184.44</v>
      </c>
      <c r="H741" s="9" t="s">
        <v>32</v>
      </c>
      <c r="I741" s="9">
        <v>16</v>
      </c>
      <c r="J741" s="10">
        <v>-45.56</v>
      </c>
      <c r="K741" s="9" t="str">
        <f>TEXT(Sales_of_Jordan[[#This Row],[Sale_Date]],"mmm")</f>
        <v>Feb</v>
      </c>
    </row>
    <row r="742" spans="1:11" x14ac:dyDescent="0.35">
      <c r="A742" s="7" t="s">
        <v>772</v>
      </c>
      <c r="B742" s="8">
        <v>45205</v>
      </c>
      <c r="C742" s="9" t="s">
        <v>27</v>
      </c>
      <c r="D742" s="9" t="s">
        <v>12</v>
      </c>
      <c r="E742" s="9" t="s">
        <v>29</v>
      </c>
      <c r="F742" s="9">
        <v>117</v>
      </c>
      <c r="G742" s="9">
        <v>151.5</v>
      </c>
      <c r="H742" s="9" t="s">
        <v>23</v>
      </c>
      <c r="I742" s="9">
        <v>5</v>
      </c>
      <c r="J742" s="10">
        <v>34.5</v>
      </c>
      <c r="K742" s="9" t="str">
        <f>TEXT(Sales_of_Jordan[[#This Row],[Sale_Date]],"mmm")</f>
        <v>Oct</v>
      </c>
    </row>
    <row r="743" spans="1:11" x14ac:dyDescent="0.35">
      <c r="A743" s="7" t="s">
        <v>773</v>
      </c>
      <c r="B743" s="8">
        <v>45409</v>
      </c>
      <c r="C743" s="9" t="s">
        <v>11</v>
      </c>
      <c r="D743" s="9" t="s">
        <v>36</v>
      </c>
      <c r="E743" s="9" t="s">
        <v>13</v>
      </c>
      <c r="F743" s="9">
        <v>226</v>
      </c>
      <c r="G743" s="9">
        <v>184.31</v>
      </c>
      <c r="H743" s="9" t="s">
        <v>19</v>
      </c>
      <c r="I743" s="9">
        <v>3</v>
      </c>
      <c r="J743" s="10">
        <v>-41.69</v>
      </c>
      <c r="K743" s="9" t="str">
        <f>TEXT(Sales_of_Jordan[[#This Row],[Sale_Date]],"mmm")</f>
        <v>Apr</v>
      </c>
    </row>
    <row r="744" spans="1:11" x14ac:dyDescent="0.35">
      <c r="A744" s="7" t="s">
        <v>774</v>
      </c>
      <c r="B744" s="8">
        <v>45410</v>
      </c>
      <c r="C744" s="9" t="s">
        <v>31</v>
      </c>
      <c r="D744" s="9" t="s">
        <v>39</v>
      </c>
      <c r="E744" s="9" t="s">
        <v>29</v>
      </c>
      <c r="F744" s="9">
        <v>200</v>
      </c>
      <c r="G744" s="9">
        <v>261.39</v>
      </c>
      <c r="H744" s="9" t="s">
        <v>25</v>
      </c>
      <c r="I744" s="9">
        <v>23</v>
      </c>
      <c r="J744" s="10">
        <v>61.389999999999901</v>
      </c>
      <c r="K744" s="9" t="str">
        <f>TEXT(Sales_of_Jordan[[#This Row],[Sale_Date]],"mmm")</f>
        <v>Apr</v>
      </c>
    </row>
    <row r="745" spans="1:11" x14ac:dyDescent="0.35">
      <c r="A745" s="7" t="s">
        <v>775</v>
      </c>
      <c r="B745" s="8">
        <v>45187</v>
      </c>
      <c r="C745" s="9" t="s">
        <v>21</v>
      </c>
      <c r="D745" s="9" t="s">
        <v>53</v>
      </c>
      <c r="E745" s="9" t="s">
        <v>18</v>
      </c>
      <c r="F745" s="9">
        <v>221</v>
      </c>
      <c r="G745" s="9">
        <v>382.97</v>
      </c>
      <c r="H745" s="9" t="s">
        <v>23</v>
      </c>
      <c r="I745" s="9">
        <v>15</v>
      </c>
      <c r="J745" s="10">
        <v>161.97</v>
      </c>
      <c r="K745" s="9" t="str">
        <f>TEXT(Sales_of_Jordan[[#This Row],[Sale_Date]],"mmm")</f>
        <v>Sep</v>
      </c>
    </row>
    <row r="746" spans="1:11" x14ac:dyDescent="0.35">
      <c r="A746" s="7" t="s">
        <v>776</v>
      </c>
      <c r="B746" s="8">
        <v>45852</v>
      </c>
      <c r="C746" s="9" t="s">
        <v>31</v>
      </c>
      <c r="D746" s="9" t="s">
        <v>12</v>
      </c>
      <c r="E746" s="9" t="s">
        <v>13</v>
      </c>
      <c r="F746" s="9">
        <v>204</v>
      </c>
      <c r="G746" s="9">
        <v>155.29</v>
      </c>
      <c r="H746" s="9" t="s">
        <v>23</v>
      </c>
      <c r="I746" s="9">
        <v>48</v>
      </c>
      <c r="J746" s="10">
        <v>-48.71</v>
      </c>
      <c r="K746" s="9" t="str">
        <f>TEXT(Sales_of_Jordan[[#This Row],[Sale_Date]],"mmm")</f>
        <v>Jul</v>
      </c>
    </row>
    <row r="747" spans="1:11" x14ac:dyDescent="0.35">
      <c r="A747" s="7" t="s">
        <v>777</v>
      </c>
      <c r="B747" s="8">
        <v>45076</v>
      </c>
      <c r="C747" s="9" t="s">
        <v>27</v>
      </c>
      <c r="D747" s="9" t="s">
        <v>36</v>
      </c>
      <c r="E747" s="9" t="s">
        <v>18</v>
      </c>
      <c r="F747" s="9">
        <v>140</v>
      </c>
      <c r="G747" s="9">
        <v>485.95</v>
      </c>
      <c r="H747" s="9" t="s">
        <v>32</v>
      </c>
      <c r="I747" s="9">
        <v>57</v>
      </c>
      <c r="J747" s="10">
        <v>345.95</v>
      </c>
      <c r="K747" s="9" t="str">
        <f>TEXT(Sales_of_Jordan[[#This Row],[Sale_Date]],"mmm")</f>
        <v>May</v>
      </c>
    </row>
    <row r="748" spans="1:11" x14ac:dyDescent="0.35">
      <c r="A748" s="7" t="s">
        <v>778</v>
      </c>
      <c r="B748" s="8">
        <v>45864</v>
      </c>
      <c r="C748" s="9" t="s">
        <v>31</v>
      </c>
      <c r="D748" s="9" t="s">
        <v>17</v>
      </c>
      <c r="E748" s="9" t="s">
        <v>18</v>
      </c>
      <c r="F748" s="9">
        <v>206</v>
      </c>
      <c r="G748" s="9">
        <v>462.19</v>
      </c>
      <c r="H748" s="9" t="s">
        <v>14</v>
      </c>
      <c r="I748" s="9">
        <v>4</v>
      </c>
      <c r="J748" s="10">
        <v>256.19</v>
      </c>
      <c r="K748" s="9" t="str">
        <f>TEXT(Sales_of_Jordan[[#This Row],[Sale_Date]],"mmm")</f>
        <v>Jul</v>
      </c>
    </row>
    <row r="749" spans="1:11" x14ac:dyDescent="0.35">
      <c r="A749" s="7" t="s">
        <v>779</v>
      </c>
      <c r="B749" s="8">
        <v>45819</v>
      </c>
      <c r="C749" s="9" t="s">
        <v>31</v>
      </c>
      <c r="D749" s="9" t="s">
        <v>36</v>
      </c>
      <c r="E749" s="9" t="s">
        <v>13</v>
      </c>
      <c r="F749" s="9">
        <v>203</v>
      </c>
      <c r="G749" s="9">
        <v>104.13</v>
      </c>
      <c r="H749" s="9" t="s">
        <v>32</v>
      </c>
      <c r="I749" s="9">
        <v>28</v>
      </c>
      <c r="J749" s="10">
        <v>-98.87</v>
      </c>
      <c r="K749" s="9" t="str">
        <f>TEXT(Sales_of_Jordan[[#This Row],[Sale_Date]],"mmm")</f>
        <v>Jun</v>
      </c>
    </row>
    <row r="750" spans="1:11" x14ac:dyDescent="0.35">
      <c r="A750" s="7" t="s">
        <v>780</v>
      </c>
      <c r="B750" s="8">
        <v>45200</v>
      </c>
      <c r="C750" s="9" t="s">
        <v>16</v>
      </c>
      <c r="D750" s="9" t="s">
        <v>53</v>
      </c>
      <c r="E750" s="9" t="s">
        <v>13</v>
      </c>
      <c r="F750" s="9">
        <v>170</v>
      </c>
      <c r="G750" s="9">
        <v>143.33000000000001</v>
      </c>
      <c r="H750" s="9" t="s">
        <v>32</v>
      </c>
      <c r="I750" s="9">
        <v>36</v>
      </c>
      <c r="J750" s="10">
        <v>-26.669999999999899</v>
      </c>
      <c r="K750" s="9" t="str">
        <f>TEXT(Sales_of_Jordan[[#This Row],[Sale_Date]],"mmm")</f>
        <v>Oct</v>
      </c>
    </row>
    <row r="751" spans="1:11" x14ac:dyDescent="0.35">
      <c r="A751" s="7" t="s">
        <v>781</v>
      </c>
      <c r="B751" s="8">
        <v>45625</v>
      </c>
      <c r="C751" s="9" t="s">
        <v>27</v>
      </c>
      <c r="D751" s="9" t="s">
        <v>55</v>
      </c>
      <c r="E751" s="9" t="s">
        <v>13</v>
      </c>
      <c r="F751" s="9">
        <v>111</v>
      </c>
      <c r="G751" s="9">
        <v>90.56</v>
      </c>
      <c r="H751" s="9" t="s">
        <v>25</v>
      </c>
      <c r="I751" s="9">
        <v>50</v>
      </c>
      <c r="J751" s="10">
        <v>-20.439999999999898</v>
      </c>
      <c r="K751" s="9" t="str">
        <f>TEXT(Sales_of_Jordan[[#This Row],[Sale_Date]],"mmm")</f>
        <v>Nov</v>
      </c>
    </row>
    <row r="752" spans="1:11" x14ac:dyDescent="0.35">
      <c r="A752" s="7" t="s">
        <v>782</v>
      </c>
      <c r="B752" s="8">
        <v>45552</v>
      </c>
      <c r="C752" s="9" t="s">
        <v>21</v>
      </c>
      <c r="D752" s="9" t="s">
        <v>46</v>
      </c>
      <c r="E752" s="9" t="s">
        <v>18</v>
      </c>
      <c r="F752" s="9">
        <v>213</v>
      </c>
      <c r="G752" s="9">
        <v>730.88</v>
      </c>
      <c r="H752" s="9" t="s">
        <v>14</v>
      </c>
      <c r="I752" s="9">
        <v>7</v>
      </c>
      <c r="J752" s="10">
        <v>517.88</v>
      </c>
      <c r="K752" s="9" t="str">
        <f>TEXT(Sales_of_Jordan[[#This Row],[Sale_Date]],"mmm")</f>
        <v>Sep</v>
      </c>
    </row>
    <row r="753" spans="1:11" x14ac:dyDescent="0.35">
      <c r="A753" s="7" t="s">
        <v>783</v>
      </c>
      <c r="B753" s="8">
        <v>45049</v>
      </c>
      <c r="C753" s="9" t="s">
        <v>16</v>
      </c>
      <c r="D753" s="9" t="s">
        <v>34</v>
      </c>
      <c r="E753" s="9" t="s">
        <v>13</v>
      </c>
      <c r="F753" s="9">
        <v>185</v>
      </c>
      <c r="G753" s="9">
        <v>113.58</v>
      </c>
      <c r="H753" s="9" t="s">
        <v>14</v>
      </c>
      <c r="I753" s="9">
        <v>7</v>
      </c>
      <c r="J753" s="10">
        <v>-71.42</v>
      </c>
      <c r="K753" s="9" t="str">
        <f>TEXT(Sales_of_Jordan[[#This Row],[Sale_Date]],"mmm")</f>
        <v>May</v>
      </c>
    </row>
    <row r="754" spans="1:11" x14ac:dyDescent="0.35">
      <c r="A754" s="7" t="s">
        <v>784</v>
      </c>
      <c r="B754" s="8">
        <v>45709</v>
      </c>
      <c r="C754" s="9" t="s">
        <v>27</v>
      </c>
      <c r="D754" s="9" t="s">
        <v>55</v>
      </c>
      <c r="E754" s="9" t="s">
        <v>29</v>
      </c>
      <c r="F754" s="9">
        <v>132</v>
      </c>
      <c r="G754" s="9">
        <v>133.36000000000001</v>
      </c>
      <c r="H754" s="9" t="s">
        <v>32</v>
      </c>
      <c r="I754" s="9">
        <v>35</v>
      </c>
      <c r="J754" s="10">
        <v>1.3600000000000101</v>
      </c>
      <c r="K754" s="9" t="str">
        <f>TEXT(Sales_of_Jordan[[#This Row],[Sale_Date]],"mmm")</f>
        <v>Feb</v>
      </c>
    </row>
    <row r="755" spans="1:11" x14ac:dyDescent="0.35">
      <c r="A755" s="7" t="s">
        <v>785</v>
      </c>
      <c r="B755" s="8">
        <v>45106</v>
      </c>
      <c r="C755" s="9" t="s">
        <v>11</v>
      </c>
      <c r="D755" s="9" t="s">
        <v>36</v>
      </c>
      <c r="E755" s="9" t="s">
        <v>18</v>
      </c>
      <c r="F755" s="9">
        <v>227</v>
      </c>
      <c r="G755" s="9">
        <v>599.76</v>
      </c>
      <c r="H755" s="9" t="s">
        <v>32</v>
      </c>
      <c r="I755" s="9">
        <v>20</v>
      </c>
      <c r="J755" s="10">
        <v>372.76</v>
      </c>
      <c r="K755" s="9" t="str">
        <f>TEXT(Sales_of_Jordan[[#This Row],[Sale_Date]],"mmm")</f>
        <v>Jun</v>
      </c>
    </row>
    <row r="756" spans="1:11" x14ac:dyDescent="0.35">
      <c r="A756" s="7" t="s">
        <v>786</v>
      </c>
      <c r="B756" s="8">
        <v>45230</v>
      </c>
      <c r="C756" s="9" t="s">
        <v>16</v>
      </c>
      <c r="D756" s="9" t="s">
        <v>53</v>
      </c>
      <c r="E756" s="9" t="s">
        <v>18</v>
      </c>
      <c r="F756" s="9">
        <v>185</v>
      </c>
      <c r="G756" s="9">
        <v>593.29999999999995</v>
      </c>
      <c r="H756" s="9" t="s">
        <v>19</v>
      </c>
      <c r="I756" s="9">
        <v>5</v>
      </c>
      <c r="J756" s="10">
        <v>408.29999999999899</v>
      </c>
      <c r="K756" s="9" t="str">
        <f>TEXT(Sales_of_Jordan[[#This Row],[Sale_Date]],"mmm")</f>
        <v>Oct</v>
      </c>
    </row>
    <row r="757" spans="1:11" x14ac:dyDescent="0.35">
      <c r="A757" s="7" t="s">
        <v>787</v>
      </c>
      <c r="B757" s="8">
        <v>45817</v>
      </c>
      <c r="C757" s="9" t="s">
        <v>21</v>
      </c>
      <c r="D757" s="9" t="s">
        <v>53</v>
      </c>
      <c r="E757" s="9" t="s">
        <v>18</v>
      </c>
      <c r="F757" s="9">
        <v>218</v>
      </c>
      <c r="G757" s="9">
        <v>492.08</v>
      </c>
      <c r="H757" s="9" t="s">
        <v>25</v>
      </c>
      <c r="I757" s="9">
        <v>34</v>
      </c>
      <c r="J757" s="10">
        <v>274.08</v>
      </c>
      <c r="K757" s="9" t="str">
        <f>TEXT(Sales_of_Jordan[[#This Row],[Sale_Date]],"mmm")</f>
        <v>Jun</v>
      </c>
    </row>
    <row r="758" spans="1:11" x14ac:dyDescent="0.35">
      <c r="A758" s="7" t="s">
        <v>788</v>
      </c>
      <c r="B758" s="8">
        <v>45017</v>
      </c>
      <c r="C758" s="9" t="s">
        <v>27</v>
      </c>
      <c r="D758" s="9" t="s">
        <v>55</v>
      </c>
      <c r="E758" s="9" t="s">
        <v>29</v>
      </c>
      <c r="F758" s="9">
        <v>136</v>
      </c>
      <c r="G758" s="9">
        <v>158.66999999999999</v>
      </c>
      <c r="H758" s="9" t="s">
        <v>14</v>
      </c>
      <c r="I758" s="9">
        <v>8</v>
      </c>
      <c r="J758" s="10">
        <v>22.669999999999899</v>
      </c>
      <c r="K758" s="9" t="str">
        <f>TEXT(Sales_of_Jordan[[#This Row],[Sale_Date]],"mmm")</f>
        <v>Apr</v>
      </c>
    </row>
    <row r="759" spans="1:11" x14ac:dyDescent="0.35">
      <c r="A759" s="7" t="s">
        <v>789</v>
      </c>
      <c r="B759" s="8">
        <v>45292</v>
      </c>
      <c r="C759" s="9" t="s">
        <v>27</v>
      </c>
      <c r="D759" s="9" t="s">
        <v>34</v>
      </c>
      <c r="E759" s="9" t="s">
        <v>13</v>
      </c>
      <c r="F759" s="9">
        <v>131</v>
      </c>
      <c r="G759" s="9">
        <v>73.099999999999994</v>
      </c>
      <c r="H759" s="9" t="s">
        <v>23</v>
      </c>
      <c r="I759" s="9">
        <v>43</v>
      </c>
      <c r="J759" s="10">
        <v>-57.9</v>
      </c>
      <c r="K759" s="9" t="str">
        <f>TEXT(Sales_of_Jordan[[#This Row],[Sale_Date]],"mmm")</f>
        <v>Jan</v>
      </c>
    </row>
    <row r="760" spans="1:11" x14ac:dyDescent="0.35">
      <c r="A760" s="7" t="s">
        <v>790</v>
      </c>
      <c r="B760" s="8">
        <v>45783</v>
      </c>
      <c r="C760" s="9" t="s">
        <v>31</v>
      </c>
      <c r="D760" s="9" t="s">
        <v>55</v>
      </c>
      <c r="E760" s="9" t="s">
        <v>18</v>
      </c>
      <c r="F760" s="9">
        <v>205</v>
      </c>
      <c r="G760" s="9">
        <v>367.81</v>
      </c>
      <c r="H760" s="9" t="s">
        <v>32</v>
      </c>
      <c r="I760" s="9">
        <v>13</v>
      </c>
      <c r="J760" s="10">
        <v>162.81</v>
      </c>
      <c r="K760" s="9" t="str">
        <f>TEXT(Sales_of_Jordan[[#This Row],[Sale_Date]],"mmm")</f>
        <v>May</v>
      </c>
    </row>
    <row r="761" spans="1:11" x14ac:dyDescent="0.35">
      <c r="A761" s="7" t="s">
        <v>791</v>
      </c>
      <c r="B761" s="8">
        <v>45085</v>
      </c>
      <c r="C761" s="9" t="s">
        <v>31</v>
      </c>
      <c r="D761" s="9" t="s">
        <v>17</v>
      </c>
      <c r="E761" s="9" t="s">
        <v>29</v>
      </c>
      <c r="F761" s="9">
        <v>205</v>
      </c>
      <c r="G761" s="9">
        <v>259.60000000000002</v>
      </c>
      <c r="H761" s="9" t="s">
        <v>14</v>
      </c>
      <c r="I761" s="9">
        <v>12</v>
      </c>
      <c r="J761" s="10">
        <v>54.6</v>
      </c>
      <c r="K761" s="9" t="str">
        <f>TEXT(Sales_of_Jordan[[#This Row],[Sale_Date]],"mmm")</f>
        <v>Jun</v>
      </c>
    </row>
    <row r="762" spans="1:11" x14ac:dyDescent="0.35">
      <c r="A762" s="7" t="s">
        <v>792</v>
      </c>
      <c r="B762" s="8">
        <v>45498</v>
      </c>
      <c r="C762" s="9" t="s">
        <v>31</v>
      </c>
      <c r="D762" s="9" t="s">
        <v>53</v>
      </c>
      <c r="E762" s="9" t="s">
        <v>18</v>
      </c>
      <c r="F762" s="9">
        <v>208</v>
      </c>
      <c r="G762" s="9">
        <v>259.18</v>
      </c>
      <c r="H762" s="9" t="s">
        <v>32</v>
      </c>
      <c r="I762" s="9">
        <v>23</v>
      </c>
      <c r="J762" s="10">
        <v>51.18</v>
      </c>
      <c r="K762" s="9" t="str">
        <f>TEXT(Sales_of_Jordan[[#This Row],[Sale_Date]],"mmm")</f>
        <v>Jul</v>
      </c>
    </row>
    <row r="763" spans="1:11" x14ac:dyDescent="0.35">
      <c r="A763" s="7" t="s">
        <v>793</v>
      </c>
      <c r="B763" s="8">
        <v>45263</v>
      </c>
      <c r="C763" s="9" t="s">
        <v>11</v>
      </c>
      <c r="D763" s="9" t="s">
        <v>46</v>
      </c>
      <c r="E763" s="9" t="s">
        <v>29</v>
      </c>
      <c r="F763" s="9">
        <v>226</v>
      </c>
      <c r="G763" s="9">
        <v>270.29000000000002</v>
      </c>
      <c r="H763" s="9" t="s">
        <v>19</v>
      </c>
      <c r="I763" s="9">
        <v>7</v>
      </c>
      <c r="J763" s="10">
        <v>44.29</v>
      </c>
      <c r="K763" s="9" t="str">
        <f>TEXT(Sales_of_Jordan[[#This Row],[Sale_Date]],"mmm")</f>
        <v>Dec</v>
      </c>
    </row>
    <row r="764" spans="1:11" x14ac:dyDescent="0.35">
      <c r="A764" s="7" t="s">
        <v>794</v>
      </c>
      <c r="B764" s="8">
        <v>45593</v>
      </c>
      <c r="C764" s="9" t="s">
        <v>11</v>
      </c>
      <c r="D764" s="9" t="s">
        <v>46</v>
      </c>
      <c r="E764" s="9" t="s">
        <v>29</v>
      </c>
      <c r="F764" s="9">
        <v>229</v>
      </c>
      <c r="G764" s="9">
        <v>263.76</v>
      </c>
      <c r="H764" s="9" t="s">
        <v>25</v>
      </c>
      <c r="I764" s="9">
        <v>25</v>
      </c>
      <c r="J764" s="10">
        <v>34.759999999999899</v>
      </c>
      <c r="K764" s="9" t="str">
        <f>TEXT(Sales_of_Jordan[[#This Row],[Sale_Date]],"mmm")</f>
        <v>Oct</v>
      </c>
    </row>
    <row r="765" spans="1:11" x14ac:dyDescent="0.35">
      <c r="A765" s="7" t="s">
        <v>795</v>
      </c>
      <c r="B765" s="8">
        <v>45003</v>
      </c>
      <c r="C765" s="9" t="s">
        <v>27</v>
      </c>
      <c r="D765" s="9" t="s">
        <v>53</v>
      </c>
      <c r="E765" s="9" t="s">
        <v>29</v>
      </c>
      <c r="F765" s="9">
        <v>134</v>
      </c>
      <c r="G765" s="9">
        <v>192.27</v>
      </c>
      <c r="H765" s="9" t="s">
        <v>23</v>
      </c>
      <c r="I765" s="9">
        <v>26</v>
      </c>
      <c r="J765" s="10">
        <v>58.27</v>
      </c>
      <c r="K765" s="9" t="str">
        <f>TEXT(Sales_of_Jordan[[#This Row],[Sale_Date]],"mmm")</f>
        <v>Mar</v>
      </c>
    </row>
    <row r="766" spans="1:11" x14ac:dyDescent="0.35">
      <c r="A766" s="7" t="s">
        <v>796</v>
      </c>
      <c r="B766" s="8">
        <v>45074</v>
      </c>
      <c r="C766" s="9" t="s">
        <v>16</v>
      </c>
      <c r="D766" s="9" t="s">
        <v>46</v>
      </c>
      <c r="E766" s="9" t="s">
        <v>29</v>
      </c>
      <c r="F766" s="9">
        <v>189</v>
      </c>
      <c r="G766" s="9">
        <v>238.81</v>
      </c>
      <c r="H766" s="9" t="s">
        <v>23</v>
      </c>
      <c r="I766" s="9">
        <v>43</v>
      </c>
      <c r="J766" s="10">
        <v>49.81</v>
      </c>
      <c r="K766" s="9" t="str">
        <f>TEXT(Sales_of_Jordan[[#This Row],[Sale_Date]],"mmm")</f>
        <v>May</v>
      </c>
    </row>
    <row r="767" spans="1:11" x14ac:dyDescent="0.35">
      <c r="A767" s="7" t="s">
        <v>797</v>
      </c>
      <c r="B767" s="8">
        <v>44947</v>
      </c>
      <c r="C767" s="9" t="s">
        <v>31</v>
      </c>
      <c r="D767" s="9" t="s">
        <v>34</v>
      </c>
      <c r="E767" s="9" t="s">
        <v>18</v>
      </c>
      <c r="F767" s="9">
        <v>202</v>
      </c>
      <c r="G767" s="9">
        <v>314.45999999999998</v>
      </c>
      <c r="H767" s="9" t="s">
        <v>23</v>
      </c>
      <c r="I767" s="9">
        <v>53</v>
      </c>
      <c r="J767" s="10">
        <v>112.459999999999</v>
      </c>
      <c r="K767" s="9" t="str">
        <f>TEXT(Sales_of_Jordan[[#This Row],[Sale_Date]],"mmm")</f>
        <v>Jan</v>
      </c>
    </row>
    <row r="768" spans="1:11" x14ac:dyDescent="0.35">
      <c r="A768" s="7" t="s">
        <v>798</v>
      </c>
      <c r="B768" s="8">
        <v>44977</v>
      </c>
      <c r="C768" s="9" t="s">
        <v>11</v>
      </c>
      <c r="D768" s="9" t="s">
        <v>53</v>
      </c>
      <c r="E768" s="9" t="s">
        <v>13</v>
      </c>
      <c r="F768" s="9">
        <v>225</v>
      </c>
      <c r="G768" s="9">
        <v>172.54</v>
      </c>
      <c r="H768" s="9" t="s">
        <v>23</v>
      </c>
      <c r="I768" s="9">
        <v>18</v>
      </c>
      <c r="J768" s="10">
        <v>-52.46</v>
      </c>
      <c r="K768" s="9" t="str">
        <f>TEXT(Sales_of_Jordan[[#This Row],[Sale_Date]],"mmm")</f>
        <v>Feb</v>
      </c>
    </row>
    <row r="769" spans="1:11" x14ac:dyDescent="0.35">
      <c r="A769" s="7" t="s">
        <v>799</v>
      </c>
      <c r="B769" s="8">
        <v>45625</v>
      </c>
      <c r="C769" s="9" t="s">
        <v>21</v>
      </c>
      <c r="D769" s="9" t="s">
        <v>17</v>
      </c>
      <c r="E769" s="9" t="s">
        <v>18</v>
      </c>
      <c r="F769" s="9">
        <v>221</v>
      </c>
      <c r="G769" s="9">
        <v>650.9</v>
      </c>
      <c r="H769" s="9" t="s">
        <v>32</v>
      </c>
      <c r="I769" s="9">
        <v>7</v>
      </c>
      <c r="J769" s="10">
        <v>429.9</v>
      </c>
      <c r="K769" s="9" t="str">
        <f>TEXT(Sales_of_Jordan[[#This Row],[Sale_Date]],"mmm")</f>
        <v>Nov</v>
      </c>
    </row>
    <row r="770" spans="1:11" x14ac:dyDescent="0.35">
      <c r="A770" s="7" t="s">
        <v>800</v>
      </c>
      <c r="B770" s="8">
        <v>45037</v>
      </c>
      <c r="C770" s="9" t="s">
        <v>11</v>
      </c>
      <c r="D770" s="9" t="s">
        <v>53</v>
      </c>
      <c r="E770" s="9" t="s">
        <v>29</v>
      </c>
      <c r="F770" s="9">
        <v>226</v>
      </c>
      <c r="G770" s="9">
        <v>246.81</v>
      </c>
      <c r="H770" s="9" t="s">
        <v>19</v>
      </c>
      <c r="I770" s="9">
        <v>5</v>
      </c>
      <c r="J770" s="10">
        <v>20.81</v>
      </c>
      <c r="K770" s="9" t="str">
        <f>TEXT(Sales_of_Jordan[[#This Row],[Sale_Date]],"mmm")</f>
        <v>Apr</v>
      </c>
    </row>
    <row r="771" spans="1:11" x14ac:dyDescent="0.35">
      <c r="A771" s="7" t="s">
        <v>801</v>
      </c>
      <c r="B771" s="8">
        <v>45910</v>
      </c>
      <c r="C771" s="9" t="s">
        <v>21</v>
      </c>
      <c r="D771" s="9" t="s">
        <v>12</v>
      </c>
      <c r="E771" s="9" t="s">
        <v>29</v>
      </c>
      <c r="F771" s="9">
        <v>216</v>
      </c>
      <c r="G771" s="9">
        <v>206.18</v>
      </c>
      <c r="H771" s="9" t="s">
        <v>32</v>
      </c>
      <c r="I771" s="9">
        <v>43</v>
      </c>
      <c r="J771" s="10">
        <v>-9.8199999999999896</v>
      </c>
      <c r="K771" s="9" t="str">
        <f>TEXT(Sales_of_Jordan[[#This Row],[Sale_Date]],"mmm")</f>
        <v>Sep</v>
      </c>
    </row>
    <row r="772" spans="1:11" x14ac:dyDescent="0.35">
      <c r="A772" s="7" t="s">
        <v>802</v>
      </c>
      <c r="B772" s="8">
        <v>45665</v>
      </c>
      <c r="C772" s="9" t="s">
        <v>27</v>
      </c>
      <c r="D772" s="9" t="s">
        <v>55</v>
      </c>
      <c r="E772" s="9" t="s">
        <v>29</v>
      </c>
      <c r="F772" s="9">
        <v>121</v>
      </c>
      <c r="G772" s="9">
        <v>120.38</v>
      </c>
      <c r="H772" s="9" t="s">
        <v>23</v>
      </c>
      <c r="I772" s="9">
        <v>50</v>
      </c>
      <c r="J772" s="10">
        <v>-0.62000000000000399</v>
      </c>
      <c r="K772" s="9" t="str">
        <f>TEXT(Sales_of_Jordan[[#This Row],[Sale_Date]],"mmm")</f>
        <v>Jan</v>
      </c>
    </row>
    <row r="773" spans="1:11" x14ac:dyDescent="0.35">
      <c r="A773" s="7" t="s">
        <v>803</v>
      </c>
      <c r="B773" s="8">
        <v>45900</v>
      </c>
      <c r="C773" s="9" t="s">
        <v>31</v>
      </c>
      <c r="D773" s="9" t="s">
        <v>34</v>
      </c>
      <c r="E773" s="9" t="s">
        <v>29</v>
      </c>
      <c r="F773" s="9">
        <v>209</v>
      </c>
      <c r="G773" s="9">
        <v>280.02</v>
      </c>
      <c r="H773" s="9" t="s">
        <v>23</v>
      </c>
      <c r="I773" s="9">
        <v>7</v>
      </c>
      <c r="J773" s="10">
        <v>71.019999999999897</v>
      </c>
      <c r="K773" s="9" t="str">
        <f>TEXT(Sales_of_Jordan[[#This Row],[Sale_Date]],"mmm")</f>
        <v>Aug</v>
      </c>
    </row>
    <row r="774" spans="1:11" x14ac:dyDescent="0.35">
      <c r="A774" s="7" t="s">
        <v>804</v>
      </c>
      <c r="B774" s="8">
        <v>45114</v>
      </c>
      <c r="C774" s="9" t="s">
        <v>27</v>
      </c>
      <c r="D774" s="9" t="s">
        <v>17</v>
      </c>
      <c r="E774" s="9" t="s">
        <v>29</v>
      </c>
      <c r="F774" s="9">
        <v>137</v>
      </c>
      <c r="G774" s="9">
        <v>197.34</v>
      </c>
      <c r="H774" s="9" t="s">
        <v>14</v>
      </c>
      <c r="I774" s="9">
        <v>6</v>
      </c>
      <c r="J774" s="10">
        <v>60.34</v>
      </c>
      <c r="K774" s="9" t="str">
        <f>TEXT(Sales_of_Jordan[[#This Row],[Sale_Date]],"mmm")</f>
        <v>Jul</v>
      </c>
    </row>
    <row r="775" spans="1:11" x14ac:dyDescent="0.35">
      <c r="A775" s="7" t="s">
        <v>805</v>
      </c>
      <c r="B775" s="8">
        <v>45671</v>
      </c>
      <c r="C775" s="9" t="s">
        <v>21</v>
      </c>
      <c r="D775" s="9" t="s">
        <v>39</v>
      </c>
      <c r="E775" s="9" t="s">
        <v>13</v>
      </c>
      <c r="F775" s="9">
        <v>220</v>
      </c>
      <c r="G775" s="9">
        <v>131.87</v>
      </c>
      <c r="H775" s="9" t="s">
        <v>19</v>
      </c>
      <c r="I775" s="9">
        <v>13</v>
      </c>
      <c r="J775" s="10">
        <v>-88.13</v>
      </c>
      <c r="K775" s="9" t="str">
        <f>TEXT(Sales_of_Jordan[[#This Row],[Sale_Date]],"mmm")</f>
        <v>Jan</v>
      </c>
    </row>
    <row r="776" spans="1:11" x14ac:dyDescent="0.35">
      <c r="A776" s="7" t="s">
        <v>806</v>
      </c>
      <c r="B776" s="8">
        <v>45848</v>
      </c>
      <c r="C776" s="9" t="s">
        <v>27</v>
      </c>
      <c r="D776" s="9" t="s">
        <v>46</v>
      </c>
      <c r="E776" s="9" t="s">
        <v>13</v>
      </c>
      <c r="F776" s="9">
        <v>115</v>
      </c>
      <c r="G776" s="9">
        <v>64.48</v>
      </c>
      <c r="H776" s="9" t="s">
        <v>25</v>
      </c>
      <c r="I776" s="9">
        <v>20</v>
      </c>
      <c r="J776" s="10">
        <v>-50.519999999999897</v>
      </c>
      <c r="K776" s="9" t="str">
        <f>TEXT(Sales_of_Jordan[[#This Row],[Sale_Date]],"mmm")</f>
        <v>Jul</v>
      </c>
    </row>
    <row r="777" spans="1:11" x14ac:dyDescent="0.35">
      <c r="A777" s="7" t="s">
        <v>807</v>
      </c>
      <c r="B777" s="8">
        <v>45455</v>
      </c>
      <c r="C777" s="9" t="s">
        <v>11</v>
      </c>
      <c r="D777" s="9" t="s">
        <v>39</v>
      </c>
      <c r="E777" s="9" t="s">
        <v>18</v>
      </c>
      <c r="F777" s="9">
        <v>230</v>
      </c>
      <c r="G777" s="9">
        <v>400.92</v>
      </c>
      <c r="H777" s="9" t="s">
        <v>32</v>
      </c>
      <c r="I777" s="9">
        <v>34</v>
      </c>
      <c r="J777" s="10">
        <v>170.92</v>
      </c>
      <c r="K777" s="9" t="str">
        <f>TEXT(Sales_of_Jordan[[#This Row],[Sale_Date]],"mmm")</f>
        <v>Jun</v>
      </c>
    </row>
    <row r="778" spans="1:11" x14ac:dyDescent="0.35">
      <c r="A778" s="7" t="s">
        <v>808</v>
      </c>
      <c r="B778" s="8">
        <v>45324</v>
      </c>
      <c r="C778" s="9" t="s">
        <v>27</v>
      </c>
      <c r="D778" s="9" t="s">
        <v>39</v>
      </c>
      <c r="E778" s="9" t="s">
        <v>13</v>
      </c>
      <c r="F778" s="9">
        <v>135</v>
      </c>
      <c r="G778" s="9">
        <v>105.49</v>
      </c>
      <c r="H778" s="9" t="s">
        <v>32</v>
      </c>
      <c r="I778" s="9">
        <v>54</v>
      </c>
      <c r="J778" s="10">
        <v>-29.51</v>
      </c>
      <c r="K778" s="9" t="str">
        <f>TEXT(Sales_of_Jordan[[#This Row],[Sale_Date]],"mmm")</f>
        <v>Feb</v>
      </c>
    </row>
    <row r="779" spans="1:11" x14ac:dyDescent="0.35">
      <c r="A779" s="7" t="s">
        <v>809</v>
      </c>
      <c r="B779" s="8">
        <v>45135</v>
      </c>
      <c r="C779" s="9" t="s">
        <v>11</v>
      </c>
      <c r="D779" s="9" t="s">
        <v>36</v>
      </c>
      <c r="E779" s="9" t="s">
        <v>29</v>
      </c>
      <c r="F779" s="9">
        <v>226</v>
      </c>
      <c r="G779" s="9">
        <v>226.13</v>
      </c>
      <c r="H779" s="9" t="s">
        <v>14</v>
      </c>
      <c r="I779" s="9">
        <v>9</v>
      </c>
      <c r="J779" s="10">
        <v>0.12999999999999501</v>
      </c>
      <c r="K779" s="9" t="str">
        <f>TEXT(Sales_of_Jordan[[#This Row],[Sale_Date]],"mmm")</f>
        <v>Jul</v>
      </c>
    </row>
    <row r="780" spans="1:11" x14ac:dyDescent="0.35">
      <c r="A780" s="7" t="s">
        <v>810</v>
      </c>
      <c r="B780" s="8">
        <v>45045</v>
      </c>
      <c r="C780" s="9" t="s">
        <v>11</v>
      </c>
      <c r="D780" s="9" t="s">
        <v>46</v>
      </c>
      <c r="E780" s="9" t="s">
        <v>18</v>
      </c>
      <c r="F780" s="9">
        <v>226</v>
      </c>
      <c r="G780" s="9">
        <v>778.03</v>
      </c>
      <c r="H780" s="9" t="s">
        <v>25</v>
      </c>
      <c r="I780" s="9">
        <v>29</v>
      </c>
      <c r="J780" s="10">
        <v>552.03</v>
      </c>
      <c r="K780" s="9" t="str">
        <f>TEXT(Sales_of_Jordan[[#This Row],[Sale_Date]],"mmm")</f>
        <v>Apr</v>
      </c>
    </row>
    <row r="781" spans="1:11" x14ac:dyDescent="0.35">
      <c r="A781" s="7" t="s">
        <v>811</v>
      </c>
      <c r="B781" s="8">
        <v>45518</v>
      </c>
      <c r="C781" s="9" t="s">
        <v>27</v>
      </c>
      <c r="D781" s="9" t="s">
        <v>53</v>
      </c>
      <c r="E781" s="9" t="s">
        <v>29</v>
      </c>
      <c r="F781" s="9">
        <v>134</v>
      </c>
      <c r="G781" s="9">
        <v>125.75</v>
      </c>
      <c r="H781" s="9" t="s">
        <v>25</v>
      </c>
      <c r="I781" s="9">
        <v>46</v>
      </c>
      <c r="J781" s="10">
        <v>-8.25</v>
      </c>
      <c r="K781" s="9" t="str">
        <f>TEXT(Sales_of_Jordan[[#This Row],[Sale_Date]],"mmm")</f>
        <v>Aug</v>
      </c>
    </row>
    <row r="782" spans="1:11" x14ac:dyDescent="0.35">
      <c r="A782" s="7" t="s">
        <v>812</v>
      </c>
      <c r="B782" s="8">
        <v>45276</v>
      </c>
      <c r="C782" s="9" t="s">
        <v>21</v>
      </c>
      <c r="D782" s="9" t="s">
        <v>22</v>
      </c>
      <c r="E782" s="9" t="s">
        <v>29</v>
      </c>
      <c r="F782" s="9">
        <v>222</v>
      </c>
      <c r="G782" s="9">
        <v>200.26</v>
      </c>
      <c r="H782" s="9" t="s">
        <v>14</v>
      </c>
      <c r="I782" s="9">
        <v>4</v>
      </c>
      <c r="J782" s="10">
        <v>-21.74</v>
      </c>
      <c r="K782" s="9" t="str">
        <f>TEXT(Sales_of_Jordan[[#This Row],[Sale_Date]],"mmm")</f>
        <v>Dec</v>
      </c>
    </row>
    <row r="783" spans="1:11" x14ac:dyDescent="0.35">
      <c r="A783" s="7" t="s">
        <v>813</v>
      </c>
      <c r="B783" s="8">
        <v>45926</v>
      </c>
      <c r="C783" s="9" t="s">
        <v>27</v>
      </c>
      <c r="D783" s="9" t="s">
        <v>34</v>
      </c>
      <c r="E783" s="9" t="s">
        <v>13</v>
      </c>
      <c r="F783" s="9">
        <v>111</v>
      </c>
      <c r="G783" s="9">
        <v>68.92</v>
      </c>
      <c r="H783" s="9" t="s">
        <v>23</v>
      </c>
      <c r="I783" s="9">
        <v>50</v>
      </c>
      <c r="J783" s="10">
        <v>-42.08</v>
      </c>
      <c r="K783" s="9" t="str">
        <f>TEXT(Sales_of_Jordan[[#This Row],[Sale_Date]],"mmm")</f>
        <v>Sep</v>
      </c>
    </row>
    <row r="784" spans="1:11" x14ac:dyDescent="0.35">
      <c r="A784" s="7" t="s">
        <v>814</v>
      </c>
      <c r="B784" s="8">
        <v>45126</v>
      </c>
      <c r="C784" s="9" t="s">
        <v>27</v>
      </c>
      <c r="D784" s="9" t="s">
        <v>39</v>
      </c>
      <c r="E784" s="9" t="s">
        <v>13</v>
      </c>
      <c r="F784" s="9">
        <v>120</v>
      </c>
      <c r="G784" s="9">
        <v>80.739999999999995</v>
      </c>
      <c r="H784" s="9" t="s">
        <v>32</v>
      </c>
      <c r="I784" s="9">
        <v>30</v>
      </c>
      <c r="J784" s="10">
        <v>-39.26</v>
      </c>
      <c r="K784" s="9" t="str">
        <f>TEXT(Sales_of_Jordan[[#This Row],[Sale_Date]],"mmm")</f>
        <v>Jul</v>
      </c>
    </row>
    <row r="785" spans="1:11" x14ac:dyDescent="0.35">
      <c r="A785" s="7" t="s">
        <v>815</v>
      </c>
      <c r="B785" s="8">
        <v>45186</v>
      </c>
      <c r="C785" s="9" t="s">
        <v>16</v>
      </c>
      <c r="D785" s="9" t="s">
        <v>17</v>
      </c>
      <c r="E785" s="9" t="s">
        <v>13</v>
      </c>
      <c r="F785" s="9">
        <v>177</v>
      </c>
      <c r="G785" s="9">
        <v>100.66</v>
      </c>
      <c r="H785" s="9" t="s">
        <v>23</v>
      </c>
      <c r="I785" s="9">
        <v>29</v>
      </c>
      <c r="J785" s="10">
        <v>-76.34</v>
      </c>
      <c r="K785" s="9" t="str">
        <f>TEXT(Sales_of_Jordan[[#This Row],[Sale_Date]],"mmm")</f>
        <v>Sep</v>
      </c>
    </row>
    <row r="786" spans="1:11" x14ac:dyDescent="0.35">
      <c r="A786" s="7" t="s">
        <v>816</v>
      </c>
      <c r="B786" s="8">
        <v>45533</v>
      </c>
      <c r="C786" s="9" t="s">
        <v>31</v>
      </c>
      <c r="D786" s="9" t="s">
        <v>17</v>
      </c>
      <c r="E786" s="9" t="s">
        <v>18</v>
      </c>
      <c r="F786" s="9">
        <v>208</v>
      </c>
      <c r="G786" s="9">
        <v>470.9</v>
      </c>
      <c r="H786" s="9" t="s">
        <v>25</v>
      </c>
      <c r="I786" s="9">
        <v>31</v>
      </c>
      <c r="J786" s="10">
        <v>262.89999999999998</v>
      </c>
      <c r="K786" s="9" t="str">
        <f>TEXT(Sales_of_Jordan[[#This Row],[Sale_Date]],"mmm")</f>
        <v>Aug</v>
      </c>
    </row>
    <row r="787" spans="1:11" x14ac:dyDescent="0.35">
      <c r="A787" s="7" t="s">
        <v>817</v>
      </c>
      <c r="B787" s="8">
        <v>45908</v>
      </c>
      <c r="C787" s="9" t="s">
        <v>16</v>
      </c>
      <c r="D787" s="9" t="s">
        <v>36</v>
      </c>
      <c r="E787" s="9" t="s">
        <v>18</v>
      </c>
      <c r="F787" s="9">
        <v>177</v>
      </c>
      <c r="G787" s="9">
        <v>215.71</v>
      </c>
      <c r="H787" s="9" t="s">
        <v>19</v>
      </c>
      <c r="I787" s="9">
        <v>11</v>
      </c>
      <c r="J787" s="10">
        <v>38.71</v>
      </c>
      <c r="K787" s="9" t="str">
        <f>TEXT(Sales_of_Jordan[[#This Row],[Sale_Date]],"mmm")</f>
        <v>Sep</v>
      </c>
    </row>
    <row r="788" spans="1:11" x14ac:dyDescent="0.35">
      <c r="A788" s="7" t="s">
        <v>818</v>
      </c>
      <c r="B788" s="8">
        <v>45616</v>
      </c>
      <c r="C788" s="9" t="s">
        <v>21</v>
      </c>
      <c r="D788" s="9" t="s">
        <v>12</v>
      </c>
      <c r="E788" s="9" t="s">
        <v>13</v>
      </c>
      <c r="F788" s="9">
        <v>225</v>
      </c>
      <c r="G788" s="9">
        <v>141.21</v>
      </c>
      <c r="H788" s="9" t="s">
        <v>19</v>
      </c>
      <c r="I788" s="9">
        <v>14</v>
      </c>
      <c r="J788" s="10">
        <v>-83.789999999999907</v>
      </c>
      <c r="K788" s="9" t="str">
        <f>TEXT(Sales_of_Jordan[[#This Row],[Sale_Date]],"mmm")</f>
        <v>Nov</v>
      </c>
    </row>
    <row r="789" spans="1:11" x14ac:dyDescent="0.35">
      <c r="A789" s="7" t="s">
        <v>819</v>
      </c>
      <c r="B789" s="8">
        <v>45608</v>
      </c>
      <c r="C789" s="9" t="s">
        <v>31</v>
      </c>
      <c r="D789" s="9" t="s">
        <v>55</v>
      </c>
      <c r="E789" s="9" t="s">
        <v>29</v>
      </c>
      <c r="F789" s="9">
        <v>202</v>
      </c>
      <c r="G789" s="9">
        <v>285.18</v>
      </c>
      <c r="H789" s="9" t="s">
        <v>19</v>
      </c>
      <c r="I789" s="9">
        <v>12</v>
      </c>
      <c r="J789" s="10">
        <v>83.18</v>
      </c>
      <c r="K789" s="9" t="str">
        <f>TEXT(Sales_of_Jordan[[#This Row],[Sale_Date]],"mmm")</f>
        <v>Nov</v>
      </c>
    </row>
    <row r="790" spans="1:11" x14ac:dyDescent="0.35">
      <c r="A790" s="7" t="s">
        <v>820</v>
      </c>
      <c r="B790" s="8">
        <v>45643</v>
      </c>
      <c r="C790" s="9" t="s">
        <v>11</v>
      </c>
      <c r="D790" s="9" t="s">
        <v>39</v>
      </c>
      <c r="E790" s="9" t="s">
        <v>29</v>
      </c>
      <c r="F790" s="9">
        <v>225</v>
      </c>
      <c r="G790" s="9">
        <v>311.73</v>
      </c>
      <c r="H790" s="9" t="s">
        <v>19</v>
      </c>
      <c r="I790" s="9">
        <v>12</v>
      </c>
      <c r="J790" s="10">
        <v>86.73</v>
      </c>
      <c r="K790" s="9" t="str">
        <f>TEXT(Sales_of_Jordan[[#This Row],[Sale_Date]],"mmm")</f>
        <v>Dec</v>
      </c>
    </row>
    <row r="791" spans="1:11" x14ac:dyDescent="0.35">
      <c r="A791" s="7" t="s">
        <v>821</v>
      </c>
      <c r="B791" s="8">
        <v>45645</v>
      </c>
      <c r="C791" s="9" t="s">
        <v>31</v>
      </c>
      <c r="D791" s="9" t="s">
        <v>39</v>
      </c>
      <c r="E791" s="9" t="s">
        <v>18</v>
      </c>
      <c r="F791" s="9">
        <v>208</v>
      </c>
      <c r="G791" s="9">
        <v>386.65</v>
      </c>
      <c r="H791" s="9" t="s">
        <v>19</v>
      </c>
      <c r="I791" s="9">
        <v>9</v>
      </c>
      <c r="J791" s="10">
        <v>178.64999999999901</v>
      </c>
      <c r="K791" s="9" t="str">
        <f>TEXT(Sales_of_Jordan[[#This Row],[Sale_Date]],"mmm")</f>
        <v>Dec</v>
      </c>
    </row>
    <row r="792" spans="1:11" x14ac:dyDescent="0.35">
      <c r="A792" s="7" t="s">
        <v>822</v>
      </c>
      <c r="B792" s="8">
        <v>45075</v>
      </c>
      <c r="C792" s="9" t="s">
        <v>21</v>
      </c>
      <c r="D792" s="9" t="s">
        <v>55</v>
      </c>
      <c r="E792" s="9" t="s">
        <v>29</v>
      </c>
      <c r="F792" s="9">
        <v>218</v>
      </c>
      <c r="G792" s="9">
        <v>276.73</v>
      </c>
      <c r="H792" s="9" t="s">
        <v>25</v>
      </c>
      <c r="I792" s="9">
        <v>33</v>
      </c>
      <c r="J792" s="10">
        <v>58.73</v>
      </c>
      <c r="K792" s="9" t="str">
        <f>TEXT(Sales_of_Jordan[[#This Row],[Sale_Date]],"mmm")</f>
        <v>May</v>
      </c>
    </row>
    <row r="793" spans="1:11" x14ac:dyDescent="0.35">
      <c r="A793" s="7" t="s">
        <v>823</v>
      </c>
      <c r="B793" s="8">
        <v>44977</v>
      </c>
      <c r="C793" s="9" t="s">
        <v>21</v>
      </c>
      <c r="D793" s="9" t="s">
        <v>34</v>
      </c>
      <c r="E793" s="9" t="s">
        <v>13</v>
      </c>
      <c r="F793" s="9">
        <v>221</v>
      </c>
      <c r="G793" s="9">
        <v>182.61</v>
      </c>
      <c r="H793" s="9" t="s">
        <v>23</v>
      </c>
      <c r="I793" s="9">
        <v>21</v>
      </c>
      <c r="J793" s="10">
        <v>-38.389999999999901</v>
      </c>
      <c r="K793" s="9" t="str">
        <f>TEXT(Sales_of_Jordan[[#This Row],[Sale_Date]],"mmm")</f>
        <v>Feb</v>
      </c>
    </row>
    <row r="794" spans="1:11" x14ac:dyDescent="0.35">
      <c r="A794" s="7" t="s">
        <v>824</v>
      </c>
      <c r="B794" s="8">
        <v>45363</v>
      </c>
      <c r="C794" s="9" t="s">
        <v>11</v>
      </c>
      <c r="D794" s="9" t="s">
        <v>12</v>
      </c>
      <c r="E794" s="9" t="s">
        <v>29</v>
      </c>
      <c r="F794" s="9">
        <v>225</v>
      </c>
      <c r="G794" s="9">
        <v>260.86</v>
      </c>
      <c r="H794" s="9" t="s">
        <v>23</v>
      </c>
      <c r="I794" s="9">
        <v>26</v>
      </c>
      <c r="J794" s="10">
        <v>35.86</v>
      </c>
      <c r="K794" s="9" t="str">
        <f>TEXT(Sales_of_Jordan[[#This Row],[Sale_Date]],"mmm")</f>
        <v>Mar</v>
      </c>
    </row>
    <row r="795" spans="1:11" x14ac:dyDescent="0.35">
      <c r="A795" s="7" t="s">
        <v>825</v>
      </c>
      <c r="B795" s="8">
        <v>45651</v>
      </c>
      <c r="C795" s="9" t="s">
        <v>31</v>
      </c>
      <c r="D795" s="9" t="s">
        <v>46</v>
      </c>
      <c r="E795" s="9" t="s">
        <v>13</v>
      </c>
      <c r="F795" s="9">
        <v>201</v>
      </c>
      <c r="G795" s="9">
        <v>171.3</v>
      </c>
      <c r="H795" s="9" t="s">
        <v>23</v>
      </c>
      <c r="I795" s="9">
        <v>12</v>
      </c>
      <c r="J795" s="10">
        <v>-29.6999999999999</v>
      </c>
      <c r="K795" s="9" t="str">
        <f>TEXT(Sales_of_Jordan[[#This Row],[Sale_Date]],"mmm")</f>
        <v>Dec</v>
      </c>
    </row>
    <row r="796" spans="1:11" x14ac:dyDescent="0.35">
      <c r="A796" s="7" t="s">
        <v>826</v>
      </c>
      <c r="B796" s="8">
        <v>45844</v>
      </c>
      <c r="C796" s="9" t="s">
        <v>27</v>
      </c>
      <c r="D796" s="9" t="s">
        <v>55</v>
      </c>
      <c r="E796" s="9" t="s">
        <v>13</v>
      </c>
      <c r="F796" s="9">
        <v>130</v>
      </c>
      <c r="G796" s="9">
        <v>109.09</v>
      </c>
      <c r="H796" s="9" t="s">
        <v>14</v>
      </c>
      <c r="I796" s="9">
        <v>14</v>
      </c>
      <c r="J796" s="10">
        <v>-20.909999999999901</v>
      </c>
      <c r="K796" s="9" t="str">
        <f>TEXT(Sales_of_Jordan[[#This Row],[Sale_Date]],"mmm")</f>
        <v>Jul</v>
      </c>
    </row>
    <row r="797" spans="1:11" x14ac:dyDescent="0.35">
      <c r="A797" s="7" t="s">
        <v>827</v>
      </c>
      <c r="B797" s="8">
        <v>45819</v>
      </c>
      <c r="C797" s="9" t="s">
        <v>27</v>
      </c>
      <c r="D797" s="9" t="s">
        <v>53</v>
      </c>
      <c r="E797" s="9" t="s">
        <v>13</v>
      </c>
      <c r="F797" s="9">
        <v>116</v>
      </c>
      <c r="G797" s="9">
        <v>87.61</v>
      </c>
      <c r="H797" s="9" t="s">
        <v>14</v>
      </c>
      <c r="I797" s="9">
        <v>8</v>
      </c>
      <c r="J797" s="10">
        <v>-28.39</v>
      </c>
      <c r="K797" s="9" t="str">
        <f>TEXT(Sales_of_Jordan[[#This Row],[Sale_Date]],"mmm")</f>
        <v>Jun</v>
      </c>
    </row>
    <row r="798" spans="1:11" x14ac:dyDescent="0.35">
      <c r="A798" s="7" t="s">
        <v>828</v>
      </c>
      <c r="B798" s="8">
        <v>45785</v>
      </c>
      <c r="C798" s="9" t="s">
        <v>27</v>
      </c>
      <c r="D798" s="9" t="s">
        <v>39</v>
      </c>
      <c r="E798" s="9" t="s">
        <v>18</v>
      </c>
      <c r="F798" s="9">
        <v>137</v>
      </c>
      <c r="G798" s="9">
        <v>363.54</v>
      </c>
      <c r="H798" s="9" t="s">
        <v>32</v>
      </c>
      <c r="I798" s="9">
        <v>52</v>
      </c>
      <c r="J798" s="10">
        <v>226.54</v>
      </c>
      <c r="K798" s="9" t="str">
        <f>TEXT(Sales_of_Jordan[[#This Row],[Sale_Date]],"mmm")</f>
        <v>May</v>
      </c>
    </row>
    <row r="799" spans="1:11" x14ac:dyDescent="0.35">
      <c r="A799" s="7" t="s">
        <v>829</v>
      </c>
      <c r="B799" s="8">
        <v>45039</v>
      </c>
      <c r="C799" s="9" t="s">
        <v>11</v>
      </c>
      <c r="D799" s="9" t="s">
        <v>17</v>
      </c>
      <c r="E799" s="9" t="s">
        <v>18</v>
      </c>
      <c r="F799" s="9">
        <v>227</v>
      </c>
      <c r="G799" s="9">
        <v>340.5</v>
      </c>
      <c r="H799" s="9" t="s">
        <v>32</v>
      </c>
      <c r="I799" s="9">
        <v>29</v>
      </c>
      <c r="J799" s="10">
        <v>113.5</v>
      </c>
      <c r="K799" s="9" t="str">
        <f>TEXT(Sales_of_Jordan[[#This Row],[Sale_Date]],"mmm")</f>
        <v>Apr</v>
      </c>
    </row>
    <row r="800" spans="1:11" x14ac:dyDescent="0.35">
      <c r="A800" s="7" t="s">
        <v>830</v>
      </c>
      <c r="B800" s="8">
        <v>45321</v>
      </c>
      <c r="C800" s="9" t="s">
        <v>21</v>
      </c>
      <c r="D800" s="9" t="s">
        <v>55</v>
      </c>
      <c r="E800" s="9" t="s">
        <v>18</v>
      </c>
      <c r="F800" s="9">
        <v>211</v>
      </c>
      <c r="G800" s="9">
        <v>694.2</v>
      </c>
      <c r="H800" s="9" t="s">
        <v>32</v>
      </c>
      <c r="I800" s="9">
        <v>51</v>
      </c>
      <c r="J800" s="10">
        <v>483.2</v>
      </c>
      <c r="K800" s="9" t="str">
        <f>TEXT(Sales_of_Jordan[[#This Row],[Sale_Date]],"mmm")</f>
        <v>Jan</v>
      </c>
    </row>
    <row r="801" spans="1:11" x14ac:dyDescent="0.35">
      <c r="A801" s="7" t="s">
        <v>831</v>
      </c>
      <c r="B801" s="8">
        <v>45804</v>
      </c>
      <c r="C801" s="9" t="s">
        <v>21</v>
      </c>
      <c r="D801" s="9" t="s">
        <v>39</v>
      </c>
      <c r="E801" s="9" t="s">
        <v>18</v>
      </c>
      <c r="F801" s="9">
        <v>225</v>
      </c>
      <c r="G801" s="9">
        <v>307.39</v>
      </c>
      <c r="H801" s="9" t="s">
        <v>23</v>
      </c>
      <c r="I801" s="9">
        <v>14</v>
      </c>
      <c r="J801" s="10">
        <v>82.389999999999901</v>
      </c>
      <c r="K801" s="9" t="str">
        <f>TEXT(Sales_of_Jordan[[#This Row],[Sale_Date]],"mmm")</f>
        <v>May</v>
      </c>
    </row>
    <row r="802" spans="1:11" x14ac:dyDescent="0.35">
      <c r="A802" s="7" t="s">
        <v>832</v>
      </c>
      <c r="B802" s="8">
        <v>45384</v>
      </c>
      <c r="C802" s="9" t="s">
        <v>21</v>
      </c>
      <c r="D802" s="9" t="s">
        <v>53</v>
      </c>
      <c r="E802" s="9" t="s">
        <v>18</v>
      </c>
      <c r="F802" s="9">
        <v>211</v>
      </c>
      <c r="G802" s="9">
        <v>688.12</v>
      </c>
      <c r="H802" s="9" t="s">
        <v>23</v>
      </c>
      <c r="I802" s="9">
        <v>36</v>
      </c>
      <c r="J802" s="10">
        <v>477.12</v>
      </c>
      <c r="K802" s="9" t="str">
        <f>TEXT(Sales_of_Jordan[[#This Row],[Sale_Date]],"mmm")</f>
        <v>Apr</v>
      </c>
    </row>
    <row r="803" spans="1:11" x14ac:dyDescent="0.35">
      <c r="A803" s="7" t="s">
        <v>833</v>
      </c>
      <c r="B803" s="8">
        <v>45324</v>
      </c>
      <c r="C803" s="9" t="s">
        <v>11</v>
      </c>
      <c r="D803" s="9" t="s">
        <v>17</v>
      </c>
      <c r="E803" s="9" t="s">
        <v>29</v>
      </c>
      <c r="F803" s="9">
        <v>229</v>
      </c>
      <c r="G803" s="9">
        <v>295.44</v>
      </c>
      <c r="H803" s="9" t="s">
        <v>32</v>
      </c>
      <c r="I803" s="9">
        <v>18</v>
      </c>
      <c r="J803" s="10">
        <v>66.44</v>
      </c>
      <c r="K803" s="9" t="str">
        <f>TEXT(Sales_of_Jordan[[#This Row],[Sale_Date]],"mmm")</f>
        <v>Feb</v>
      </c>
    </row>
    <row r="804" spans="1:11" x14ac:dyDescent="0.35">
      <c r="A804" s="7" t="s">
        <v>834</v>
      </c>
      <c r="B804" s="8">
        <v>45188</v>
      </c>
      <c r="C804" s="9" t="s">
        <v>16</v>
      </c>
      <c r="D804" s="9" t="s">
        <v>34</v>
      </c>
      <c r="E804" s="9" t="s">
        <v>13</v>
      </c>
      <c r="F804" s="9">
        <v>187</v>
      </c>
      <c r="G804" s="9">
        <v>166.23</v>
      </c>
      <c r="H804" s="9" t="s">
        <v>14</v>
      </c>
      <c r="I804" s="9">
        <v>10</v>
      </c>
      <c r="J804" s="10">
        <v>-20.77</v>
      </c>
      <c r="K804" s="9" t="str">
        <f>TEXT(Sales_of_Jordan[[#This Row],[Sale_Date]],"mmm")</f>
        <v>Sep</v>
      </c>
    </row>
    <row r="805" spans="1:11" x14ac:dyDescent="0.35">
      <c r="A805" s="7" t="s">
        <v>835</v>
      </c>
      <c r="B805" s="8">
        <v>45653</v>
      </c>
      <c r="C805" s="9" t="s">
        <v>21</v>
      </c>
      <c r="D805" s="9" t="s">
        <v>39</v>
      </c>
      <c r="E805" s="9" t="s">
        <v>18</v>
      </c>
      <c r="F805" s="9">
        <v>215</v>
      </c>
      <c r="G805" s="9">
        <v>332.1</v>
      </c>
      <c r="H805" s="9" t="s">
        <v>23</v>
      </c>
      <c r="I805" s="9">
        <v>42</v>
      </c>
      <c r="J805" s="10">
        <v>117.1</v>
      </c>
      <c r="K805" s="9" t="str">
        <f>TEXT(Sales_of_Jordan[[#This Row],[Sale_Date]],"mmm")</f>
        <v>Dec</v>
      </c>
    </row>
    <row r="806" spans="1:11" x14ac:dyDescent="0.35">
      <c r="A806" s="7" t="s">
        <v>836</v>
      </c>
      <c r="B806" s="8">
        <v>45800</v>
      </c>
      <c r="C806" s="9" t="s">
        <v>11</v>
      </c>
      <c r="D806" s="9" t="s">
        <v>34</v>
      </c>
      <c r="E806" s="9" t="s">
        <v>18</v>
      </c>
      <c r="F806" s="9">
        <v>228</v>
      </c>
      <c r="G806" s="9">
        <v>694.38</v>
      </c>
      <c r="H806" s="9" t="s">
        <v>14</v>
      </c>
      <c r="I806" s="9">
        <v>3</v>
      </c>
      <c r="J806" s="10">
        <v>466.38</v>
      </c>
      <c r="K806" s="9" t="str">
        <f>TEXT(Sales_of_Jordan[[#This Row],[Sale_Date]],"mmm")</f>
        <v>May</v>
      </c>
    </row>
    <row r="807" spans="1:11" x14ac:dyDescent="0.35">
      <c r="A807" s="7" t="s">
        <v>837</v>
      </c>
      <c r="B807" s="8">
        <v>45472</v>
      </c>
      <c r="C807" s="9" t="s">
        <v>31</v>
      </c>
      <c r="D807" s="9" t="s">
        <v>46</v>
      </c>
      <c r="E807" s="9" t="s">
        <v>29</v>
      </c>
      <c r="F807" s="9">
        <v>205</v>
      </c>
      <c r="G807" s="9">
        <v>223.94</v>
      </c>
      <c r="H807" s="9" t="s">
        <v>23</v>
      </c>
      <c r="I807" s="9">
        <v>18</v>
      </c>
      <c r="J807" s="10">
        <v>18.939999999999898</v>
      </c>
      <c r="K807" s="9" t="str">
        <f>TEXT(Sales_of_Jordan[[#This Row],[Sale_Date]],"mmm")</f>
        <v>Jun</v>
      </c>
    </row>
    <row r="808" spans="1:11" x14ac:dyDescent="0.35">
      <c r="A808" s="7" t="s">
        <v>838</v>
      </c>
      <c r="B808" s="8">
        <v>45078</v>
      </c>
      <c r="C808" s="9" t="s">
        <v>21</v>
      </c>
      <c r="D808" s="9" t="s">
        <v>53</v>
      </c>
      <c r="E808" s="9" t="s">
        <v>18</v>
      </c>
      <c r="F808" s="9">
        <v>213</v>
      </c>
      <c r="G808" s="9">
        <v>421.4</v>
      </c>
      <c r="H808" s="9" t="s">
        <v>25</v>
      </c>
      <c r="I808" s="9">
        <v>58</v>
      </c>
      <c r="J808" s="10">
        <v>208.39999999999901</v>
      </c>
      <c r="K808" s="9" t="str">
        <f>TEXT(Sales_of_Jordan[[#This Row],[Sale_Date]],"mmm")</f>
        <v>Jun</v>
      </c>
    </row>
    <row r="809" spans="1:11" x14ac:dyDescent="0.35">
      <c r="A809" s="7" t="s">
        <v>839</v>
      </c>
      <c r="B809" s="8">
        <v>45720</v>
      </c>
      <c r="C809" s="9" t="s">
        <v>21</v>
      </c>
      <c r="D809" s="9" t="s">
        <v>17</v>
      </c>
      <c r="E809" s="9" t="s">
        <v>29</v>
      </c>
      <c r="F809" s="9">
        <v>215</v>
      </c>
      <c r="G809" s="9">
        <v>318.01</v>
      </c>
      <c r="H809" s="9" t="s">
        <v>14</v>
      </c>
      <c r="I809" s="9">
        <v>14</v>
      </c>
      <c r="J809" s="10">
        <v>103.009999999999</v>
      </c>
      <c r="K809" s="9" t="str">
        <f>TEXT(Sales_of_Jordan[[#This Row],[Sale_Date]],"mmm")</f>
        <v>Mar</v>
      </c>
    </row>
    <row r="810" spans="1:11" x14ac:dyDescent="0.35">
      <c r="A810" s="7" t="s">
        <v>840</v>
      </c>
      <c r="B810" s="8">
        <v>45090</v>
      </c>
      <c r="C810" s="9" t="s">
        <v>16</v>
      </c>
      <c r="D810" s="9" t="s">
        <v>12</v>
      </c>
      <c r="E810" s="9" t="s">
        <v>18</v>
      </c>
      <c r="F810" s="9">
        <v>183</v>
      </c>
      <c r="G810" s="9">
        <v>620.04</v>
      </c>
      <c r="H810" s="9" t="s">
        <v>25</v>
      </c>
      <c r="I810" s="9">
        <v>24</v>
      </c>
      <c r="J810" s="10">
        <v>437.039999999999</v>
      </c>
      <c r="K810" s="9" t="str">
        <f>TEXT(Sales_of_Jordan[[#This Row],[Sale_Date]],"mmm")</f>
        <v>Jun</v>
      </c>
    </row>
    <row r="811" spans="1:11" x14ac:dyDescent="0.35">
      <c r="A811" s="7" t="s">
        <v>841</v>
      </c>
      <c r="B811" s="8">
        <v>45870</v>
      </c>
      <c r="C811" s="9" t="s">
        <v>16</v>
      </c>
      <c r="D811" s="9" t="s">
        <v>12</v>
      </c>
      <c r="E811" s="9" t="s">
        <v>29</v>
      </c>
      <c r="F811" s="9">
        <v>189</v>
      </c>
      <c r="G811" s="9">
        <v>213.99</v>
      </c>
      <c r="H811" s="9" t="s">
        <v>32</v>
      </c>
      <c r="I811" s="9">
        <v>50</v>
      </c>
      <c r="J811" s="10">
        <v>24.99</v>
      </c>
      <c r="K811" s="9" t="str">
        <f>TEXT(Sales_of_Jordan[[#This Row],[Sale_Date]],"mmm")</f>
        <v>Aug</v>
      </c>
    </row>
    <row r="812" spans="1:11" x14ac:dyDescent="0.35">
      <c r="A812" s="7" t="s">
        <v>842</v>
      </c>
      <c r="B812" s="8">
        <v>45003</v>
      </c>
      <c r="C812" s="9" t="s">
        <v>16</v>
      </c>
      <c r="D812" s="9" t="s">
        <v>12</v>
      </c>
      <c r="E812" s="9" t="s">
        <v>29</v>
      </c>
      <c r="F812" s="9">
        <v>189</v>
      </c>
      <c r="G812" s="9">
        <v>222.74</v>
      </c>
      <c r="H812" s="9" t="s">
        <v>14</v>
      </c>
      <c r="I812" s="9">
        <v>2</v>
      </c>
      <c r="J812" s="10">
        <v>33.74</v>
      </c>
      <c r="K812" s="9" t="str">
        <f>TEXT(Sales_of_Jordan[[#This Row],[Sale_Date]],"mmm")</f>
        <v>Mar</v>
      </c>
    </row>
    <row r="813" spans="1:11" x14ac:dyDescent="0.35">
      <c r="A813" s="7" t="s">
        <v>843</v>
      </c>
      <c r="B813" s="8">
        <v>45878</v>
      </c>
      <c r="C813" s="9" t="s">
        <v>27</v>
      </c>
      <c r="D813" s="9" t="s">
        <v>55</v>
      </c>
      <c r="E813" s="9" t="s">
        <v>13</v>
      </c>
      <c r="F813" s="9">
        <v>117</v>
      </c>
      <c r="G813" s="9">
        <v>105.12</v>
      </c>
      <c r="H813" s="9" t="s">
        <v>32</v>
      </c>
      <c r="I813" s="9">
        <v>56</v>
      </c>
      <c r="J813" s="10">
        <v>-11.8799999999999</v>
      </c>
      <c r="K813" s="9" t="str">
        <f>TEXT(Sales_of_Jordan[[#This Row],[Sale_Date]],"mmm")</f>
        <v>Aug</v>
      </c>
    </row>
    <row r="814" spans="1:11" x14ac:dyDescent="0.35">
      <c r="A814" s="7" t="s">
        <v>844</v>
      </c>
      <c r="B814" s="8">
        <v>45318</v>
      </c>
      <c r="C814" s="9" t="s">
        <v>11</v>
      </c>
      <c r="D814" s="9" t="s">
        <v>53</v>
      </c>
      <c r="E814" s="9" t="s">
        <v>13</v>
      </c>
      <c r="F814" s="9">
        <v>230</v>
      </c>
      <c r="G814" s="9">
        <v>186.98</v>
      </c>
      <c r="H814" s="9" t="s">
        <v>14</v>
      </c>
      <c r="I814" s="9">
        <v>12</v>
      </c>
      <c r="J814" s="10">
        <v>-43.02</v>
      </c>
      <c r="K814" s="9" t="str">
        <f>TEXT(Sales_of_Jordan[[#This Row],[Sale_Date]],"mmm")</f>
        <v>Jan</v>
      </c>
    </row>
    <row r="815" spans="1:11" x14ac:dyDescent="0.35">
      <c r="A815" s="7" t="s">
        <v>845</v>
      </c>
      <c r="B815" s="8">
        <v>45273</v>
      </c>
      <c r="C815" s="9" t="s">
        <v>31</v>
      </c>
      <c r="D815" s="9" t="s">
        <v>46</v>
      </c>
      <c r="E815" s="9" t="s">
        <v>29</v>
      </c>
      <c r="F815" s="9">
        <v>205</v>
      </c>
      <c r="G815" s="9">
        <v>282.64</v>
      </c>
      <c r="H815" s="9" t="s">
        <v>32</v>
      </c>
      <c r="I815" s="9">
        <v>23</v>
      </c>
      <c r="J815" s="10">
        <v>77.639999999999901</v>
      </c>
      <c r="K815" s="9" t="str">
        <f>TEXT(Sales_of_Jordan[[#This Row],[Sale_Date]],"mmm")</f>
        <v>Dec</v>
      </c>
    </row>
    <row r="816" spans="1:11" x14ac:dyDescent="0.35">
      <c r="A816" s="7" t="s">
        <v>846</v>
      </c>
      <c r="B816" s="8">
        <v>45285</v>
      </c>
      <c r="C816" s="9" t="s">
        <v>21</v>
      </c>
      <c r="D816" s="9" t="s">
        <v>22</v>
      </c>
      <c r="E816" s="9" t="s">
        <v>13</v>
      </c>
      <c r="F816" s="9">
        <v>218</v>
      </c>
      <c r="G816" s="9">
        <v>155.4</v>
      </c>
      <c r="H816" s="9" t="s">
        <v>32</v>
      </c>
      <c r="I816" s="9">
        <v>29</v>
      </c>
      <c r="J816" s="10">
        <v>-62.599999999999902</v>
      </c>
      <c r="K816" s="9" t="str">
        <f>TEXT(Sales_of_Jordan[[#This Row],[Sale_Date]],"mmm")</f>
        <v>Dec</v>
      </c>
    </row>
    <row r="817" spans="1:11" x14ac:dyDescent="0.35">
      <c r="A817" s="7" t="s">
        <v>847</v>
      </c>
      <c r="B817" s="8">
        <v>44968</v>
      </c>
      <c r="C817" s="9" t="s">
        <v>27</v>
      </c>
      <c r="D817" s="9" t="s">
        <v>46</v>
      </c>
      <c r="E817" s="9" t="s">
        <v>29</v>
      </c>
      <c r="F817" s="9">
        <v>140</v>
      </c>
      <c r="G817" s="9">
        <v>185.11</v>
      </c>
      <c r="H817" s="9" t="s">
        <v>32</v>
      </c>
      <c r="I817" s="9">
        <v>39</v>
      </c>
      <c r="J817" s="10">
        <v>45.11</v>
      </c>
      <c r="K817" s="9" t="str">
        <f>TEXT(Sales_of_Jordan[[#This Row],[Sale_Date]],"mmm")</f>
        <v>Feb</v>
      </c>
    </row>
    <row r="818" spans="1:11" x14ac:dyDescent="0.35">
      <c r="A818" s="7" t="s">
        <v>848</v>
      </c>
      <c r="B818" s="8">
        <v>45859</v>
      </c>
      <c r="C818" s="9" t="s">
        <v>21</v>
      </c>
      <c r="D818" s="9" t="s">
        <v>36</v>
      </c>
      <c r="E818" s="9" t="s">
        <v>29</v>
      </c>
      <c r="F818" s="9">
        <v>217</v>
      </c>
      <c r="G818" s="9">
        <v>246.61</v>
      </c>
      <c r="H818" s="9" t="s">
        <v>19</v>
      </c>
      <c r="I818" s="9">
        <v>9</v>
      </c>
      <c r="J818" s="10">
        <v>29.61</v>
      </c>
      <c r="K818" s="9" t="str">
        <f>TEXT(Sales_of_Jordan[[#This Row],[Sale_Date]],"mmm")</f>
        <v>Jul</v>
      </c>
    </row>
    <row r="819" spans="1:11" x14ac:dyDescent="0.35">
      <c r="A819" s="7" t="s">
        <v>849</v>
      </c>
      <c r="B819" s="8">
        <v>45542</v>
      </c>
      <c r="C819" s="9" t="s">
        <v>31</v>
      </c>
      <c r="D819" s="9" t="s">
        <v>36</v>
      </c>
      <c r="E819" s="9" t="s">
        <v>13</v>
      </c>
      <c r="F819" s="9">
        <v>210</v>
      </c>
      <c r="G819" s="9">
        <v>161.86000000000001</v>
      </c>
      <c r="H819" s="9" t="s">
        <v>23</v>
      </c>
      <c r="I819" s="9">
        <v>60</v>
      </c>
      <c r="J819" s="10">
        <v>-48.139999999999901</v>
      </c>
      <c r="K819" s="9" t="str">
        <f>TEXT(Sales_of_Jordan[[#This Row],[Sale_Date]],"mmm")</f>
        <v>Sep</v>
      </c>
    </row>
    <row r="820" spans="1:11" x14ac:dyDescent="0.35">
      <c r="A820" s="7" t="s">
        <v>850</v>
      </c>
      <c r="B820" s="8">
        <v>45887</v>
      </c>
      <c r="C820" s="9" t="s">
        <v>16</v>
      </c>
      <c r="D820" s="9" t="s">
        <v>12</v>
      </c>
      <c r="E820" s="9" t="s">
        <v>29</v>
      </c>
      <c r="F820" s="9">
        <v>178</v>
      </c>
      <c r="G820" s="9">
        <v>169.34</v>
      </c>
      <c r="H820" s="9" t="s">
        <v>25</v>
      </c>
      <c r="I820" s="9">
        <v>29</v>
      </c>
      <c r="J820" s="10">
        <v>-8.6599999999999895</v>
      </c>
      <c r="K820" s="9" t="str">
        <f>TEXT(Sales_of_Jordan[[#This Row],[Sale_Date]],"mmm")</f>
        <v>Aug</v>
      </c>
    </row>
    <row r="821" spans="1:11" x14ac:dyDescent="0.35">
      <c r="A821" s="7" t="s">
        <v>851</v>
      </c>
      <c r="B821" s="8">
        <v>45679</v>
      </c>
      <c r="C821" s="9" t="s">
        <v>16</v>
      </c>
      <c r="D821" s="9" t="s">
        <v>36</v>
      </c>
      <c r="E821" s="9" t="s">
        <v>29</v>
      </c>
      <c r="F821" s="9">
        <v>179</v>
      </c>
      <c r="G821" s="9">
        <v>220.1</v>
      </c>
      <c r="H821" s="9" t="s">
        <v>23</v>
      </c>
      <c r="I821" s="9">
        <v>18</v>
      </c>
      <c r="J821" s="10">
        <v>41.099999999999902</v>
      </c>
      <c r="K821" s="9" t="str">
        <f>TEXT(Sales_of_Jordan[[#This Row],[Sale_Date]],"mmm")</f>
        <v>Jan</v>
      </c>
    </row>
    <row r="822" spans="1:11" x14ac:dyDescent="0.35">
      <c r="A822" s="7" t="s">
        <v>852</v>
      </c>
      <c r="B822" s="8">
        <v>45416</v>
      </c>
      <c r="C822" s="9" t="s">
        <v>11</v>
      </c>
      <c r="D822" s="9" t="s">
        <v>46</v>
      </c>
      <c r="E822" s="9" t="s">
        <v>18</v>
      </c>
      <c r="F822" s="9">
        <v>228</v>
      </c>
      <c r="G822" s="9">
        <v>413.56</v>
      </c>
      <c r="H822" s="9" t="s">
        <v>14</v>
      </c>
      <c r="I822" s="9">
        <v>13</v>
      </c>
      <c r="J822" s="10">
        <v>185.56</v>
      </c>
      <c r="K822" s="9" t="str">
        <f>TEXT(Sales_of_Jordan[[#This Row],[Sale_Date]],"mmm")</f>
        <v>May</v>
      </c>
    </row>
    <row r="823" spans="1:11" x14ac:dyDescent="0.35">
      <c r="A823" s="7" t="s">
        <v>853</v>
      </c>
      <c r="B823" s="8">
        <v>45140</v>
      </c>
      <c r="C823" s="9" t="s">
        <v>11</v>
      </c>
      <c r="D823" s="9" t="s">
        <v>36</v>
      </c>
      <c r="E823" s="9" t="s">
        <v>13</v>
      </c>
      <c r="F823" s="9">
        <v>230</v>
      </c>
      <c r="G823" s="9">
        <v>124.43</v>
      </c>
      <c r="H823" s="9" t="s">
        <v>14</v>
      </c>
      <c r="I823" s="9">
        <v>5</v>
      </c>
      <c r="J823" s="10">
        <v>-105.57</v>
      </c>
      <c r="K823" s="9" t="str">
        <f>TEXT(Sales_of_Jordan[[#This Row],[Sale_Date]],"mmm")</f>
        <v>Aug</v>
      </c>
    </row>
    <row r="824" spans="1:11" x14ac:dyDescent="0.35">
      <c r="A824" s="7" t="s">
        <v>854</v>
      </c>
      <c r="B824" s="8">
        <v>45514</v>
      </c>
      <c r="C824" s="9" t="s">
        <v>16</v>
      </c>
      <c r="D824" s="9" t="s">
        <v>55</v>
      </c>
      <c r="E824" s="9" t="s">
        <v>29</v>
      </c>
      <c r="F824" s="9">
        <v>170</v>
      </c>
      <c r="G824" s="9">
        <v>181.3</v>
      </c>
      <c r="H824" s="9" t="s">
        <v>25</v>
      </c>
      <c r="I824" s="9">
        <v>9</v>
      </c>
      <c r="J824" s="10">
        <v>11.3</v>
      </c>
      <c r="K824" s="9" t="str">
        <f>TEXT(Sales_of_Jordan[[#This Row],[Sale_Date]],"mmm")</f>
        <v>Aug</v>
      </c>
    </row>
    <row r="825" spans="1:11" x14ac:dyDescent="0.35">
      <c r="A825" s="7" t="s">
        <v>855</v>
      </c>
      <c r="B825" s="8">
        <v>45167</v>
      </c>
      <c r="C825" s="9" t="s">
        <v>21</v>
      </c>
      <c r="D825" s="9" t="s">
        <v>46</v>
      </c>
      <c r="E825" s="9" t="s">
        <v>18</v>
      </c>
      <c r="F825" s="9">
        <v>218</v>
      </c>
      <c r="G825" s="9">
        <v>458.05</v>
      </c>
      <c r="H825" s="9" t="s">
        <v>14</v>
      </c>
      <c r="I825" s="9">
        <v>2</v>
      </c>
      <c r="J825" s="10">
        <v>240.05</v>
      </c>
      <c r="K825" s="9" t="str">
        <f>TEXT(Sales_of_Jordan[[#This Row],[Sale_Date]],"mmm")</f>
        <v>Aug</v>
      </c>
    </row>
    <row r="826" spans="1:11" x14ac:dyDescent="0.35">
      <c r="A826" s="7" t="s">
        <v>856</v>
      </c>
      <c r="B826" s="8">
        <v>45881</v>
      </c>
      <c r="C826" s="9" t="s">
        <v>11</v>
      </c>
      <c r="D826" s="9" t="s">
        <v>34</v>
      </c>
      <c r="E826" s="9" t="s">
        <v>29</v>
      </c>
      <c r="F826" s="9">
        <v>225</v>
      </c>
      <c r="G826" s="9">
        <v>246.99</v>
      </c>
      <c r="H826" s="9" t="s">
        <v>25</v>
      </c>
      <c r="I826" s="9">
        <v>50</v>
      </c>
      <c r="J826" s="10">
        <v>21.99</v>
      </c>
      <c r="K826" s="9" t="str">
        <f>TEXT(Sales_of_Jordan[[#This Row],[Sale_Date]],"mmm")</f>
        <v>Aug</v>
      </c>
    </row>
    <row r="827" spans="1:11" x14ac:dyDescent="0.35">
      <c r="A827" s="7" t="s">
        <v>857</v>
      </c>
      <c r="B827" s="8">
        <v>44957</v>
      </c>
      <c r="C827" s="9" t="s">
        <v>27</v>
      </c>
      <c r="D827" s="9" t="s">
        <v>36</v>
      </c>
      <c r="E827" s="9" t="s">
        <v>29</v>
      </c>
      <c r="F827" s="9">
        <v>130</v>
      </c>
      <c r="G827" s="9">
        <v>155.69</v>
      </c>
      <c r="H827" s="9" t="s">
        <v>14</v>
      </c>
      <c r="I827" s="9">
        <v>4</v>
      </c>
      <c r="J827" s="10">
        <v>25.689999999999898</v>
      </c>
      <c r="K827" s="9" t="str">
        <f>TEXT(Sales_of_Jordan[[#This Row],[Sale_Date]],"mmm")</f>
        <v>Jan</v>
      </c>
    </row>
    <row r="828" spans="1:11" x14ac:dyDescent="0.35">
      <c r="A828" s="7" t="s">
        <v>858</v>
      </c>
      <c r="B828" s="8">
        <v>45693</v>
      </c>
      <c r="C828" s="9" t="s">
        <v>11</v>
      </c>
      <c r="D828" s="9" t="s">
        <v>46</v>
      </c>
      <c r="E828" s="9" t="s">
        <v>29</v>
      </c>
      <c r="F828" s="9">
        <v>225</v>
      </c>
      <c r="G828" s="9">
        <v>310.33999999999997</v>
      </c>
      <c r="H828" s="9" t="s">
        <v>19</v>
      </c>
      <c r="I828" s="9">
        <v>13</v>
      </c>
      <c r="J828" s="10">
        <v>85.339999999999904</v>
      </c>
      <c r="K828" s="9" t="str">
        <f>TEXT(Sales_of_Jordan[[#This Row],[Sale_Date]],"mmm")</f>
        <v>Feb</v>
      </c>
    </row>
    <row r="829" spans="1:11" x14ac:dyDescent="0.35">
      <c r="A829" s="7" t="s">
        <v>859</v>
      </c>
      <c r="B829" s="8">
        <v>45055</v>
      </c>
      <c r="C829" s="9" t="s">
        <v>11</v>
      </c>
      <c r="D829" s="9" t="s">
        <v>55</v>
      </c>
      <c r="E829" s="9" t="s">
        <v>13</v>
      </c>
      <c r="F829" s="9">
        <v>228</v>
      </c>
      <c r="G829" s="9">
        <v>188.09</v>
      </c>
      <c r="H829" s="9" t="s">
        <v>19</v>
      </c>
      <c r="I829" s="9">
        <v>6</v>
      </c>
      <c r="J829" s="10">
        <v>-39.909999999999997</v>
      </c>
      <c r="K829" s="9" t="str">
        <f>TEXT(Sales_of_Jordan[[#This Row],[Sale_Date]],"mmm")</f>
        <v>May</v>
      </c>
    </row>
    <row r="830" spans="1:11" x14ac:dyDescent="0.35">
      <c r="A830" s="7" t="s">
        <v>860</v>
      </c>
      <c r="B830" s="8">
        <v>45571</v>
      </c>
      <c r="C830" s="9" t="s">
        <v>27</v>
      </c>
      <c r="D830" s="9" t="s">
        <v>39</v>
      </c>
      <c r="E830" s="9" t="s">
        <v>29</v>
      </c>
      <c r="F830" s="9">
        <v>138</v>
      </c>
      <c r="G830" s="9">
        <v>174.97</v>
      </c>
      <c r="H830" s="9" t="s">
        <v>23</v>
      </c>
      <c r="I830" s="9">
        <v>30</v>
      </c>
      <c r="J830" s="10">
        <v>36.97</v>
      </c>
      <c r="K830" s="9" t="str">
        <f>TEXT(Sales_of_Jordan[[#This Row],[Sale_Date]],"mmm")</f>
        <v>Oct</v>
      </c>
    </row>
    <row r="831" spans="1:11" x14ac:dyDescent="0.35">
      <c r="A831" s="7" t="s">
        <v>861</v>
      </c>
      <c r="B831" s="8">
        <v>45164</v>
      </c>
      <c r="C831" s="9" t="s">
        <v>31</v>
      </c>
      <c r="D831" s="9" t="s">
        <v>36</v>
      </c>
      <c r="E831" s="9" t="s">
        <v>13</v>
      </c>
      <c r="F831" s="9">
        <v>209</v>
      </c>
      <c r="G831" s="9">
        <v>148.63</v>
      </c>
      <c r="H831" s="9" t="s">
        <v>25</v>
      </c>
      <c r="I831" s="9">
        <v>33</v>
      </c>
      <c r="J831" s="10">
        <v>-60.37</v>
      </c>
      <c r="K831" s="9" t="str">
        <f>TEXT(Sales_of_Jordan[[#This Row],[Sale_Date]],"mmm")</f>
        <v>Aug</v>
      </c>
    </row>
    <row r="832" spans="1:11" x14ac:dyDescent="0.35">
      <c r="A832" s="7" t="s">
        <v>862</v>
      </c>
      <c r="B832" s="8">
        <v>45551</v>
      </c>
      <c r="C832" s="9" t="s">
        <v>27</v>
      </c>
      <c r="D832" s="9" t="s">
        <v>53</v>
      </c>
      <c r="E832" s="9" t="s">
        <v>18</v>
      </c>
      <c r="F832" s="9">
        <v>129</v>
      </c>
      <c r="G832" s="9">
        <v>380.21</v>
      </c>
      <c r="H832" s="9" t="s">
        <v>19</v>
      </c>
      <c r="I832" s="9">
        <v>8</v>
      </c>
      <c r="J832" s="10">
        <v>251.20999999999901</v>
      </c>
      <c r="K832" s="9" t="str">
        <f>TEXT(Sales_of_Jordan[[#This Row],[Sale_Date]],"mmm")</f>
        <v>Sep</v>
      </c>
    </row>
    <row r="833" spans="1:11" x14ac:dyDescent="0.35">
      <c r="A833" s="7" t="s">
        <v>863</v>
      </c>
      <c r="B833" s="8">
        <v>45414</v>
      </c>
      <c r="C833" s="9" t="s">
        <v>16</v>
      </c>
      <c r="D833" s="9" t="s">
        <v>22</v>
      </c>
      <c r="E833" s="9" t="s">
        <v>29</v>
      </c>
      <c r="F833" s="9">
        <v>171</v>
      </c>
      <c r="G833" s="9">
        <v>246.3</v>
      </c>
      <c r="H833" s="9" t="s">
        <v>19</v>
      </c>
      <c r="I833" s="9">
        <v>5</v>
      </c>
      <c r="J833" s="10">
        <v>75.3</v>
      </c>
      <c r="K833" s="9" t="str">
        <f>TEXT(Sales_of_Jordan[[#This Row],[Sale_Date]],"mmm")</f>
        <v>May</v>
      </c>
    </row>
    <row r="834" spans="1:11" x14ac:dyDescent="0.35">
      <c r="A834" s="7" t="s">
        <v>864</v>
      </c>
      <c r="B834" s="8">
        <v>45832</v>
      </c>
      <c r="C834" s="9" t="s">
        <v>11</v>
      </c>
      <c r="D834" s="9" t="s">
        <v>34</v>
      </c>
      <c r="E834" s="9" t="s">
        <v>13</v>
      </c>
      <c r="F834" s="9">
        <v>229</v>
      </c>
      <c r="G834" s="9">
        <v>116.62</v>
      </c>
      <c r="H834" s="9" t="s">
        <v>32</v>
      </c>
      <c r="I834" s="9">
        <v>35</v>
      </c>
      <c r="J834" s="10">
        <v>-112.38</v>
      </c>
      <c r="K834" s="9" t="str">
        <f>TEXT(Sales_of_Jordan[[#This Row],[Sale_Date]],"mmm")</f>
        <v>Jun</v>
      </c>
    </row>
    <row r="835" spans="1:11" x14ac:dyDescent="0.35">
      <c r="A835" s="7" t="s">
        <v>865</v>
      </c>
      <c r="B835" s="8">
        <v>45169</v>
      </c>
      <c r="C835" s="9" t="s">
        <v>16</v>
      </c>
      <c r="D835" s="9" t="s">
        <v>53</v>
      </c>
      <c r="E835" s="9" t="s">
        <v>18</v>
      </c>
      <c r="F835" s="9">
        <v>189</v>
      </c>
      <c r="G835" s="9">
        <v>592.04</v>
      </c>
      <c r="H835" s="9" t="s">
        <v>14</v>
      </c>
      <c r="I835" s="9">
        <v>5</v>
      </c>
      <c r="J835" s="10">
        <v>403.039999999999</v>
      </c>
      <c r="K835" s="9" t="str">
        <f>TEXT(Sales_of_Jordan[[#This Row],[Sale_Date]],"mmm")</f>
        <v>Aug</v>
      </c>
    </row>
    <row r="836" spans="1:11" x14ac:dyDescent="0.35">
      <c r="A836" s="7" t="s">
        <v>866</v>
      </c>
      <c r="B836" s="8">
        <v>45791</v>
      </c>
      <c r="C836" s="9" t="s">
        <v>31</v>
      </c>
      <c r="D836" s="9" t="s">
        <v>12</v>
      </c>
      <c r="E836" s="9" t="s">
        <v>29</v>
      </c>
      <c r="F836" s="9">
        <v>202</v>
      </c>
      <c r="G836" s="9">
        <v>210.68</v>
      </c>
      <c r="H836" s="9" t="s">
        <v>19</v>
      </c>
      <c r="I836" s="9">
        <v>14</v>
      </c>
      <c r="J836" s="10">
        <v>8.68</v>
      </c>
      <c r="K836" s="9" t="str">
        <f>TEXT(Sales_of_Jordan[[#This Row],[Sale_Date]],"mmm")</f>
        <v>May</v>
      </c>
    </row>
    <row r="837" spans="1:11" x14ac:dyDescent="0.35">
      <c r="A837" s="7" t="s">
        <v>867</v>
      </c>
      <c r="B837" s="8">
        <v>45550</v>
      </c>
      <c r="C837" s="9" t="s">
        <v>11</v>
      </c>
      <c r="D837" s="9" t="s">
        <v>12</v>
      </c>
      <c r="E837" s="9" t="s">
        <v>18</v>
      </c>
      <c r="F837" s="9">
        <v>230</v>
      </c>
      <c r="G837" s="9">
        <v>778.52</v>
      </c>
      <c r="H837" s="9" t="s">
        <v>19</v>
      </c>
      <c r="I837" s="9">
        <v>6</v>
      </c>
      <c r="J837" s="10">
        <v>548.52</v>
      </c>
      <c r="K837" s="9" t="str">
        <f>TEXT(Sales_of_Jordan[[#This Row],[Sale_Date]],"mmm")</f>
        <v>Sep</v>
      </c>
    </row>
    <row r="838" spans="1:11" x14ac:dyDescent="0.35">
      <c r="A838" s="7" t="s">
        <v>868</v>
      </c>
      <c r="B838" s="8">
        <v>45039</v>
      </c>
      <c r="C838" s="9" t="s">
        <v>27</v>
      </c>
      <c r="D838" s="9" t="s">
        <v>34</v>
      </c>
      <c r="E838" s="9" t="s">
        <v>18</v>
      </c>
      <c r="F838" s="9">
        <v>116</v>
      </c>
      <c r="G838" s="9">
        <v>335.39</v>
      </c>
      <c r="H838" s="9" t="s">
        <v>32</v>
      </c>
      <c r="I838" s="9">
        <v>21</v>
      </c>
      <c r="J838" s="10">
        <v>219.39</v>
      </c>
      <c r="K838" s="9" t="str">
        <f>TEXT(Sales_of_Jordan[[#This Row],[Sale_Date]],"mmm")</f>
        <v>Apr</v>
      </c>
    </row>
    <row r="839" spans="1:11" x14ac:dyDescent="0.35">
      <c r="A839" s="7" t="s">
        <v>869</v>
      </c>
      <c r="B839" s="8">
        <v>45464</v>
      </c>
      <c r="C839" s="9" t="s">
        <v>21</v>
      </c>
      <c r="D839" s="9" t="s">
        <v>53</v>
      </c>
      <c r="E839" s="9" t="s">
        <v>29</v>
      </c>
      <c r="F839" s="9">
        <v>221</v>
      </c>
      <c r="G839" s="9">
        <v>235.45</v>
      </c>
      <c r="H839" s="9" t="s">
        <v>25</v>
      </c>
      <c r="I839" s="9">
        <v>19</v>
      </c>
      <c r="J839" s="10">
        <v>14.4499999999999</v>
      </c>
      <c r="K839" s="9" t="str">
        <f>TEXT(Sales_of_Jordan[[#This Row],[Sale_Date]],"mmm")</f>
        <v>Jun</v>
      </c>
    </row>
    <row r="840" spans="1:11" x14ac:dyDescent="0.35">
      <c r="A840" s="7" t="s">
        <v>870</v>
      </c>
      <c r="B840" s="8">
        <v>45071</v>
      </c>
      <c r="C840" s="9" t="s">
        <v>21</v>
      </c>
      <c r="D840" s="9" t="s">
        <v>17</v>
      </c>
      <c r="E840" s="9" t="s">
        <v>18</v>
      </c>
      <c r="F840" s="9">
        <v>214</v>
      </c>
      <c r="G840" s="9">
        <v>397.6</v>
      </c>
      <c r="H840" s="9" t="s">
        <v>32</v>
      </c>
      <c r="I840" s="9">
        <v>49</v>
      </c>
      <c r="J840" s="10">
        <v>183.6</v>
      </c>
      <c r="K840" s="9" t="str">
        <f>TEXT(Sales_of_Jordan[[#This Row],[Sale_Date]],"mmm")</f>
        <v>May</v>
      </c>
    </row>
    <row r="841" spans="1:11" x14ac:dyDescent="0.35">
      <c r="A841" s="7" t="s">
        <v>871</v>
      </c>
      <c r="B841" s="8">
        <v>45678</v>
      </c>
      <c r="C841" s="9" t="s">
        <v>16</v>
      </c>
      <c r="D841" s="9" t="s">
        <v>34</v>
      </c>
      <c r="E841" s="9" t="s">
        <v>29</v>
      </c>
      <c r="F841" s="9">
        <v>170</v>
      </c>
      <c r="G841" s="9">
        <v>196.21</v>
      </c>
      <c r="H841" s="9" t="s">
        <v>19</v>
      </c>
      <c r="I841" s="9">
        <v>2</v>
      </c>
      <c r="J841" s="10">
        <v>26.21</v>
      </c>
      <c r="K841" s="9" t="str">
        <f>TEXT(Sales_of_Jordan[[#This Row],[Sale_Date]],"mmm")</f>
        <v>Jan</v>
      </c>
    </row>
    <row r="842" spans="1:11" x14ac:dyDescent="0.35">
      <c r="A842" s="7" t="s">
        <v>872</v>
      </c>
      <c r="B842" s="8">
        <v>45532</v>
      </c>
      <c r="C842" s="9" t="s">
        <v>16</v>
      </c>
      <c r="D842" s="9" t="s">
        <v>17</v>
      </c>
      <c r="E842" s="9" t="s">
        <v>18</v>
      </c>
      <c r="F842" s="9">
        <v>182</v>
      </c>
      <c r="G842" s="9">
        <v>630.01</v>
      </c>
      <c r="H842" s="9" t="s">
        <v>14</v>
      </c>
      <c r="I842" s="9">
        <v>13</v>
      </c>
      <c r="J842" s="10">
        <v>448.01</v>
      </c>
      <c r="K842" s="9" t="str">
        <f>TEXT(Sales_of_Jordan[[#This Row],[Sale_Date]],"mmm")</f>
        <v>Aug</v>
      </c>
    </row>
    <row r="843" spans="1:11" x14ac:dyDescent="0.35">
      <c r="A843" s="7" t="s">
        <v>873</v>
      </c>
      <c r="B843" s="8">
        <v>45061</v>
      </c>
      <c r="C843" s="9" t="s">
        <v>27</v>
      </c>
      <c r="D843" s="9" t="s">
        <v>46</v>
      </c>
      <c r="E843" s="9" t="s">
        <v>29</v>
      </c>
      <c r="F843" s="9">
        <v>138</v>
      </c>
      <c r="G843" s="9">
        <v>154.55000000000001</v>
      </c>
      <c r="H843" s="9" t="s">
        <v>19</v>
      </c>
      <c r="I843" s="9">
        <v>3</v>
      </c>
      <c r="J843" s="10">
        <v>16.55</v>
      </c>
      <c r="K843" s="9" t="str">
        <f>TEXT(Sales_of_Jordan[[#This Row],[Sale_Date]],"mmm")</f>
        <v>May</v>
      </c>
    </row>
    <row r="844" spans="1:11" x14ac:dyDescent="0.35">
      <c r="A844" s="7" t="s">
        <v>874</v>
      </c>
      <c r="B844" s="8">
        <v>45249</v>
      </c>
      <c r="C844" s="9" t="s">
        <v>11</v>
      </c>
      <c r="D844" s="9" t="s">
        <v>12</v>
      </c>
      <c r="E844" s="9" t="s">
        <v>13</v>
      </c>
      <c r="F844" s="9">
        <v>227</v>
      </c>
      <c r="G844" s="9">
        <v>124.02</v>
      </c>
      <c r="H844" s="9" t="s">
        <v>14</v>
      </c>
      <c r="I844" s="9">
        <v>10</v>
      </c>
      <c r="J844" s="10">
        <v>-102.98</v>
      </c>
      <c r="K844" s="9" t="str">
        <f>TEXT(Sales_of_Jordan[[#This Row],[Sale_Date]],"mmm")</f>
        <v>Nov</v>
      </c>
    </row>
    <row r="845" spans="1:11" x14ac:dyDescent="0.35">
      <c r="A845" s="7" t="s">
        <v>875</v>
      </c>
      <c r="B845" s="8">
        <v>45329</v>
      </c>
      <c r="C845" s="9" t="s">
        <v>21</v>
      </c>
      <c r="D845" s="9" t="s">
        <v>34</v>
      </c>
      <c r="E845" s="9" t="s">
        <v>13</v>
      </c>
      <c r="F845" s="9">
        <v>211</v>
      </c>
      <c r="G845" s="9">
        <v>112.6</v>
      </c>
      <c r="H845" s="9" t="s">
        <v>25</v>
      </c>
      <c r="I845" s="9">
        <v>56</v>
      </c>
      <c r="J845" s="10">
        <v>-98.4</v>
      </c>
      <c r="K845" s="9" t="str">
        <f>TEXT(Sales_of_Jordan[[#This Row],[Sale_Date]],"mmm")</f>
        <v>Feb</v>
      </c>
    </row>
    <row r="846" spans="1:11" x14ac:dyDescent="0.35">
      <c r="A846" s="7" t="s">
        <v>876</v>
      </c>
      <c r="B846" s="8">
        <v>44967</v>
      </c>
      <c r="C846" s="9" t="s">
        <v>11</v>
      </c>
      <c r="D846" s="9" t="s">
        <v>22</v>
      </c>
      <c r="E846" s="9" t="s">
        <v>13</v>
      </c>
      <c r="F846" s="9">
        <v>230</v>
      </c>
      <c r="G846" s="9">
        <v>170.43</v>
      </c>
      <c r="H846" s="9" t="s">
        <v>25</v>
      </c>
      <c r="I846" s="9">
        <v>13</v>
      </c>
      <c r="J846" s="10">
        <v>-59.569999999999901</v>
      </c>
      <c r="K846" s="9" t="str">
        <f>TEXT(Sales_of_Jordan[[#This Row],[Sale_Date]],"mmm")</f>
        <v>Feb</v>
      </c>
    </row>
    <row r="847" spans="1:11" x14ac:dyDescent="0.35">
      <c r="A847" s="7" t="s">
        <v>877</v>
      </c>
      <c r="B847" s="8">
        <v>45907</v>
      </c>
      <c r="C847" s="9" t="s">
        <v>31</v>
      </c>
      <c r="D847" s="9" t="s">
        <v>55</v>
      </c>
      <c r="E847" s="9" t="s">
        <v>29</v>
      </c>
      <c r="F847" s="9">
        <v>207</v>
      </c>
      <c r="G847" s="9">
        <v>200.1</v>
      </c>
      <c r="H847" s="9" t="s">
        <v>25</v>
      </c>
      <c r="I847" s="9">
        <v>38</v>
      </c>
      <c r="J847" s="10">
        <v>-6.9</v>
      </c>
      <c r="K847" s="9" t="str">
        <f>TEXT(Sales_of_Jordan[[#This Row],[Sale_Date]],"mmm")</f>
        <v>Sep</v>
      </c>
    </row>
    <row r="848" spans="1:11" x14ac:dyDescent="0.35">
      <c r="A848" s="7" t="s">
        <v>878</v>
      </c>
      <c r="B848" s="8">
        <v>45018</v>
      </c>
      <c r="C848" s="9" t="s">
        <v>27</v>
      </c>
      <c r="D848" s="9" t="s">
        <v>55</v>
      </c>
      <c r="E848" s="9" t="s">
        <v>29</v>
      </c>
      <c r="F848" s="9">
        <v>113</v>
      </c>
      <c r="G848" s="9">
        <v>145.31</v>
      </c>
      <c r="H848" s="9" t="s">
        <v>23</v>
      </c>
      <c r="I848" s="9">
        <v>36</v>
      </c>
      <c r="J848" s="10">
        <v>32.31</v>
      </c>
      <c r="K848" s="9" t="str">
        <f>TEXT(Sales_of_Jordan[[#This Row],[Sale_Date]],"mmm")</f>
        <v>Apr</v>
      </c>
    </row>
    <row r="849" spans="1:11" x14ac:dyDescent="0.35">
      <c r="A849" s="7" t="s">
        <v>879</v>
      </c>
      <c r="B849" s="8">
        <v>45693</v>
      </c>
      <c r="C849" s="9" t="s">
        <v>16</v>
      </c>
      <c r="D849" s="9" t="s">
        <v>34</v>
      </c>
      <c r="E849" s="9" t="s">
        <v>29</v>
      </c>
      <c r="F849" s="9">
        <v>183</v>
      </c>
      <c r="G849" s="9">
        <v>263.89999999999998</v>
      </c>
      <c r="H849" s="9" t="s">
        <v>14</v>
      </c>
      <c r="I849" s="9">
        <v>10</v>
      </c>
      <c r="J849" s="10">
        <v>80.899999999999906</v>
      </c>
      <c r="K849" s="9" t="str">
        <f>TEXT(Sales_of_Jordan[[#This Row],[Sale_Date]],"mmm")</f>
        <v>Feb</v>
      </c>
    </row>
    <row r="850" spans="1:11" x14ac:dyDescent="0.35">
      <c r="A850" s="7" t="s">
        <v>880</v>
      </c>
      <c r="B850" s="8">
        <v>45168</v>
      </c>
      <c r="C850" s="9" t="s">
        <v>27</v>
      </c>
      <c r="D850" s="9" t="s">
        <v>22</v>
      </c>
      <c r="E850" s="9" t="s">
        <v>18</v>
      </c>
      <c r="F850" s="9">
        <v>125</v>
      </c>
      <c r="G850" s="9">
        <v>169.61</v>
      </c>
      <c r="H850" s="9" t="s">
        <v>23</v>
      </c>
      <c r="I850" s="9">
        <v>23</v>
      </c>
      <c r="J850" s="10">
        <v>44.61</v>
      </c>
      <c r="K850" s="9" t="str">
        <f>TEXT(Sales_of_Jordan[[#This Row],[Sale_Date]],"mmm")</f>
        <v>Aug</v>
      </c>
    </row>
    <row r="851" spans="1:11" x14ac:dyDescent="0.35">
      <c r="A851" s="7" t="s">
        <v>881</v>
      </c>
      <c r="B851" s="8">
        <v>45661</v>
      </c>
      <c r="C851" s="9" t="s">
        <v>21</v>
      </c>
      <c r="D851" s="9" t="s">
        <v>36</v>
      </c>
      <c r="E851" s="9" t="s">
        <v>18</v>
      </c>
      <c r="F851" s="9">
        <v>220</v>
      </c>
      <c r="G851" s="9">
        <v>642.09</v>
      </c>
      <c r="H851" s="9" t="s">
        <v>14</v>
      </c>
      <c r="I851" s="9">
        <v>14</v>
      </c>
      <c r="J851" s="10">
        <v>422.09</v>
      </c>
      <c r="K851" s="9" t="str">
        <f>TEXT(Sales_of_Jordan[[#This Row],[Sale_Date]],"mmm")</f>
        <v>Jan</v>
      </c>
    </row>
    <row r="852" spans="1:11" x14ac:dyDescent="0.35">
      <c r="A852" s="7" t="s">
        <v>882</v>
      </c>
      <c r="B852" s="8">
        <v>45386</v>
      </c>
      <c r="C852" s="9" t="s">
        <v>16</v>
      </c>
      <c r="D852" s="9" t="s">
        <v>53</v>
      </c>
      <c r="E852" s="9" t="s">
        <v>18</v>
      </c>
      <c r="F852" s="9">
        <v>180</v>
      </c>
      <c r="G852" s="9">
        <v>380.31</v>
      </c>
      <c r="H852" s="9" t="s">
        <v>32</v>
      </c>
      <c r="I852" s="9">
        <v>45</v>
      </c>
      <c r="J852" s="10">
        <v>200.31</v>
      </c>
      <c r="K852" s="9" t="str">
        <f>TEXT(Sales_of_Jordan[[#This Row],[Sale_Date]],"mmm")</f>
        <v>Apr</v>
      </c>
    </row>
    <row r="853" spans="1:11" x14ac:dyDescent="0.35">
      <c r="A853" s="7" t="s">
        <v>883</v>
      </c>
      <c r="B853" s="8">
        <v>45297</v>
      </c>
      <c r="C853" s="9" t="s">
        <v>27</v>
      </c>
      <c r="D853" s="9" t="s">
        <v>12</v>
      </c>
      <c r="E853" s="9" t="s">
        <v>13</v>
      </c>
      <c r="F853" s="9">
        <v>139</v>
      </c>
      <c r="G853" s="9">
        <v>92.92</v>
      </c>
      <c r="H853" s="9" t="s">
        <v>32</v>
      </c>
      <c r="I853" s="9">
        <v>23</v>
      </c>
      <c r="J853" s="10">
        <v>-46.08</v>
      </c>
      <c r="K853" s="9" t="str">
        <f>TEXT(Sales_of_Jordan[[#This Row],[Sale_Date]],"mmm")</f>
        <v>Jan</v>
      </c>
    </row>
    <row r="854" spans="1:11" x14ac:dyDescent="0.35">
      <c r="A854" s="7" t="s">
        <v>884</v>
      </c>
      <c r="B854" s="8">
        <v>44952</v>
      </c>
      <c r="C854" s="9" t="s">
        <v>21</v>
      </c>
      <c r="D854" s="9" t="s">
        <v>34</v>
      </c>
      <c r="E854" s="9" t="s">
        <v>18</v>
      </c>
      <c r="F854" s="9">
        <v>222</v>
      </c>
      <c r="G854" s="9">
        <v>390.74</v>
      </c>
      <c r="H854" s="9" t="s">
        <v>19</v>
      </c>
      <c r="I854" s="9">
        <v>7</v>
      </c>
      <c r="J854" s="10">
        <v>168.74</v>
      </c>
      <c r="K854" s="9" t="str">
        <f>TEXT(Sales_of_Jordan[[#This Row],[Sale_Date]],"mmm")</f>
        <v>Jan</v>
      </c>
    </row>
    <row r="855" spans="1:11" x14ac:dyDescent="0.35">
      <c r="A855" s="7" t="s">
        <v>885</v>
      </c>
      <c r="B855" s="8">
        <v>44983</v>
      </c>
      <c r="C855" s="9" t="s">
        <v>27</v>
      </c>
      <c r="D855" s="9" t="s">
        <v>17</v>
      </c>
      <c r="E855" s="9" t="s">
        <v>13</v>
      </c>
      <c r="F855" s="9">
        <v>122</v>
      </c>
      <c r="G855" s="9">
        <v>98.25</v>
      </c>
      <c r="H855" s="9" t="s">
        <v>25</v>
      </c>
      <c r="I855" s="9">
        <v>37</v>
      </c>
      <c r="J855" s="10">
        <v>-23.75</v>
      </c>
      <c r="K855" s="9" t="str">
        <f>TEXT(Sales_of_Jordan[[#This Row],[Sale_Date]],"mmm")</f>
        <v>Feb</v>
      </c>
    </row>
    <row r="856" spans="1:11" x14ac:dyDescent="0.35">
      <c r="A856" s="7" t="s">
        <v>886</v>
      </c>
      <c r="B856" s="8">
        <v>45209</v>
      </c>
      <c r="C856" s="9" t="s">
        <v>27</v>
      </c>
      <c r="D856" s="9" t="s">
        <v>17</v>
      </c>
      <c r="E856" s="9" t="s">
        <v>13</v>
      </c>
      <c r="F856" s="9">
        <v>112</v>
      </c>
      <c r="G856" s="9">
        <v>60.85</v>
      </c>
      <c r="H856" s="9" t="s">
        <v>23</v>
      </c>
      <c r="I856" s="9">
        <v>51</v>
      </c>
      <c r="J856" s="10">
        <v>-51.15</v>
      </c>
      <c r="K856" s="9" t="str">
        <f>TEXT(Sales_of_Jordan[[#This Row],[Sale_Date]],"mmm")</f>
        <v>Oct</v>
      </c>
    </row>
    <row r="857" spans="1:11" x14ac:dyDescent="0.35">
      <c r="A857" s="7" t="s">
        <v>887</v>
      </c>
      <c r="B857" s="8">
        <v>45089</v>
      </c>
      <c r="C857" s="9" t="s">
        <v>27</v>
      </c>
      <c r="D857" s="9" t="s">
        <v>17</v>
      </c>
      <c r="E857" s="9" t="s">
        <v>18</v>
      </c>
      <c r="F857" s="9">
        <v>117</v>
      </c>
      <c r="G857" s="9">
        <v>331.44</v>
      </c>
      <c r="H857" s="9" t="s">
        <v>23</v>
      </c>
      <c r="I857" s="9">
        <v>38</v>
      </c>
      <c r="J857" s="10">
        <v>214.44</v>
      </c>
      <c r="K857" s="9" t="str">
        <f>TEXT(Sales_of_Jordan[[#This Row],[Sale_Date]],"mmm")</f>
        <v>Jun</v>
      </c>
    </row>
    <row r="858" spans="1:11" x14ac:dyDescent="0.35">
      <c r="A858" s="7" t="s">
        <v>888</v>
      </c>
      <c r="B858" s="8">
        <v>44959</v>
      </c>
      <c r="C858" s="9" t="s">
        <v>27</v>
      </c>
      <c r="D858" s="9" t="s">
        <v>53</v>
      </c>
      <c r="E858" s="9" t="s">
        <v>13</v>
      </c>
      <c r="F858" s="9">
        <v>132</v>
      </c>
      <c r="G858" s="9">
        <v>104.4</v>
      </c>
      <c r="H858" s="9" t="s">
        <v>23</v>
      </c>
      <c r="I858" s="9">
        <v>33</v>
      </c>
      <c r="J858" s="10">
        <v>-27.599999999999898</v>
      </c>
      <c r="K858" s="9" t="str">
        <f>TEXT(Sales_of_Jordan[[#This Row],[Sale_Date]],"mmm")</f>
        <v>Feb</v>
      </c>
    </row>
    <row r="859" spans="1:11" x14ac:dyDescent="0.35">
      <c r="A859" s="7" t="s">
        <v>889</v>
      </c>
      <c r="B859" s="8">
        <v>45670</v>
      </c>
      <c r="C859" s="9" t="s">
        <v>16</v>
      </c>
      <c r="D859" s="9" t="s">
        <v>17</v>
      </c>
      <c r="E859" s="9" t="s">
        <v>29</v>
      </c>
      <c r="F859" s="9">
        <v>171</v>
      </c>
      <c r="G859" s="9">
        <v>207.81</v>
      </c>
      <c r="H859" s="9" t="s">
        <v>23</v>
      </c>
      <c r="I859" s="9">
        <v>10</v>
      </c>
      <c r="J859" s="10">
        <v>36.81</v>
      </c>
      <c r="K859" s="9" t="str">
        <f>TEXT(Sales_of_Jordan[[#This Row],[Sale_Date]],"mmm")</f>
        <v>Jan</v>
      </c>
    </row>
    <row r="860" spans="1:11" x14ac:dyDescent="0.35">
      <c r="A860" s="7" t="s">
        <v>890</v>
      </c>
      <c r="B860" s="8">
        <v>45542</v>
      </c>
      <c r="C860" s="9" t="s">
        <v>16</v>
      </c>
      <c r="D860" s="9" t="s">
        <v>34</v>
      </c>
      <c r="E860" s="9" t="s">
        <v>18</v>
      </c>
      <c r="F860" s="9">
        <v>178</v>
      </c>
      <c r="G860" s="9">
        <v>464.29</v>
      </c>
      <c r="H860" s="9" t="s">
        <v>19</v>
      </c>
      <c r="I860" s="9">
        <v>8</v>
      </c>
      <c r="J860" s="10">
        <v>286.29000000000002</v>
      </c>
      <c r="K860" s="9" t="str">
        <f>TEXT(Sales_of_Jordan[[#This Row],[Sale_Date]],"mmm")</f>
        <v>Sep</v>
      </c>
    </row>
    <row r="861" spans="1:11" x14ac:dyDescent="0.35">
      <c r="A861" s="7" t="s">
        <v>891</v>
      </c>
      <c r="B861" s="8">
        <v>44956</v>
      </c>
      <c r="C861" s="9" t="s">
        <v>31</v>
      </c>
      <c r="D861" s="9" t="s">
        <v>22</v>
      </c>
      <c r="E861" s="9" t="s">
        <v>13</v>
      </c>
      <c r="F861" s="9">
        <v>200</v>
      </c>
      <c r="G861" s="9">
        <v>122.49</v>
      </c>
      <c r="H861" s="9" t="s">
        <v>14</v>
      </c>
      <c r="I861" s="9">
        <v>13</v>
      </c>
      <c r="J861" s="10">
        <v>-77.510000000000005</v>
      </c>
      <c r="K861" s="9" t="str">
        <f>TEXT(Sales_of_Jordan[[#This Row],[Sale_Date]],"mmm")</f>
        <v>Jan</v>
      </c>
    </row>
    <row r="862" spans="1:11" x14ac:dyDescent="0.35">
      <c r="A862" s="7" t="s">
        <v>892</v>
      </c>
      <c r="B862" s="8">
        <v>45544</v>
      </c>
      <c r="C862" s="9" t="s">
        <v>31</v>
      </c>
      <c r="D862" s="9" t="s">
        <v>12</v>
      </c>
      <c r="E862" s="9" t="s">
        <v>18</v>
      </c>
      <c r="F862" s="9">
        <v>201</v>
      </c>
      <c r="G862" s="9">
        <v>470.09</v>
      </c>
      <c r="H862" s="9" t="s">
        <v>32</v>
      </c>
      <c r="I862" s="9">
        <v>6</v>
      </c>
      <c r="J862" s="10">
        <v>269.08999999999997</v>
      </c>
      <c r="K862" s="9" t="str">
        <f>TEXT(Sales_of_Jordan[[#This Row],[Sale_Date]],"mmm")</f>
        <v>Sep</v>
      </c>
    </row>
    <row r="863" spans="1:11" x14ac:dyDescent="0.35">
      <c r="A863" s="7" t="s">
        <v>893</v>
      </c>
      <c r="B863" s="8">
        <v>45709</v>
      </c>
      <c r="C863" s="9" t="s">
        <v>27</v>
      </c>
      <c r="D863" s="9" t="s">
        <v>22</v>
      </c>
      <c r="E863" s="9" t="s">
        <v>29</v>
      </c>
      <c r="F863" s="9">
        <v>131</v>
      </c>
      <c r="G863" s="9">
        <v>185.46</v>
      </c>
      <c r="H863" s="9" t="s">
        <v>23</v>
      </c>
      <c r="I863" s="9">
        <v>19</v>
      </c>
      <c r="J863" s="10">
        <v>54.46</v>
      </c>
      <c r="K863" s="9" t="str">
        <f>TEXT(Sales_of_Jordan[[#This Row],[Sale_Date]],"mmm")</f>
        <v>Feb</v>
      </c>
    </row>
    <row r="864" spans="1:11" x14ac:dyDescent="0.35">
      <c r="A864" s="7" t="s">
        <v>894</v>
      </c>
      <c r="B864" s="8">
        <v>45301</v>
      </c>
      <c r="C864" s="9" t="s">
        <v>31</v>
      </c>
      <c r="D864" s="9" t="s">
        <v>34</v>
      </c>
      <c r="E864" s="9" t="s">
        <v>18</v>
      </c>
      <c r="F864" s="9">
        <v>205</v>
      </c>
      <c r="G864" s="9">
        <v>503.88</v>
      </c>
      <c r="H864" s="9" t="s">
        <v>23</v>
      </c>
      <c r="I864" s="9">
        <v>55</v>
      </c>
      <c r="J864" s="10">
        <v>298.88</v>
      </c>
      <c r="K864" s="9" t="str">
        <f>TEXT(Sales_of_Jordan[[#This Row],[Sale_Date]],"mmm")</f>
        <v>Jan</v>
      </c>
    </row>
    <row r="865" spans="1:11" x14ac:dyDescent="0.35">
      <c r="A865" s="7" t="s">
        <v>895</v>
      </c>
      <c r="B865" s="8">
        <v>45162</v>
      </c>
      <c r="C865" s="9" t="s">
        <v>21</v>
      </c>
      <c r="D865" s="9" t="s">
        <v>53</v>
      </c>
      <c r="E865" s="9" t="s">
        <v>13</v>
      </c>
      <c r="F865" s="9">
        <v>216</v>
      </c>
      <c r="G865" s="9">
        <v>108.07</v>
      </c>
      <c r="H865" s="9" t="s">
        <v>23</v>
      </c>
      <c r="I865" s="9">
        <v>20</v>
      </c>
      <c r="J865" s="10">
        <v>-107.93</v>
      </c>
      <c r="K865" s="9" t="str">
        <f>TEXT(Sales_of_Jordan[[#This Row],[Sale_Date]],"mmm")</f>
        <v>Aug</v>
      </c>
    </row>
    <row r="866" spans="1:11" x14ac:dyDescent="0.35">
      <c r="A866" s="7" t="s">
        <v>896</v>
      </c>
      <c r="B866" s="8">
        <v>45341</v>
      </c>
      <c r="C866" s="9" t="s">
        <v>21</v>
      </c>
      <c r="D866" s="9" t="s">
        <v>12</v>
      </c>
      <c r="E866" s="9" t="s">
        <v>13</v>
      </c>
      <c r="F866" s="9">
        <v>222</v>
      </c>
      <c r="G866" s="9">
        <v>123.09</v>
      </c>
      <c r="H866" s="9" t="s">
        <v>25</v>
      </c>
      <c r="I866" s="9">
        <v>51</v>
      </c>
      <c r="J866" s="10">
        <v>-98.91</v>
      </c>
      <c r="K866" s="9" t="str">
        <f>TEXT(Sales_of_Jordan[[#This Row],[Sale_Date]],"mmm")</f>
        <v>Feb</v>
      </c>
    </row>
    <row r="867" spans="1:11" x14ac:dyDescent="0.35">
      <c r="A867" s="7" t="s">
        <v>897</v>
      </c>
      <c r="B867" s="8">
        <v>45521</v>
      </c>
      <c r="C867" s="9" t="s">
        <v>31</v>
      </c>
      <c r="D867" s="9" t="s">
        <v>34</v>
      </c>
      <c r="E867" s="9" t="s">
        <v>29</v>
      </c>
      <c r="F867" s="9">
        <v>203</v>
      </c>
      <c r="G867" s="9">
        <v>284.11</v>
      </c>
      <c r="H867" s="9" t="s">
        <v>32</v>
      </c>
      <c r="I867" s="9">
        <v>56</v>
      </c>
      <c r="J867" s="10">
        <v>81.11</v>
      </c>
      <c r="K867" s="9" t="str">
        <f>TEXT(Sales_of_Jordan[[#This Row],[Sale_Date]],"mmm")</f>
        <v>Aug</v>
      </c>
    </row>
    <row r="868" spans="1:11" x14ac:dyDescent="0.35">
      <c r="A868" s="7" t="s">
        <v>898</v>
      </c>
      <c r="B868" s="8">
        <v>45192</v>
      </c>
      <c r="C868" s="9" t="s">
        <v>21</v>
      </c>
      <c r="D868" s="9" t="s">
        <v>22</v>
      </c>
      <c r="E868" s="9" t="s">
        <v>29</v>
      </c>
      <c r="F868" s="9">
        <v>211</v>
      </c>
      <c r="G868" s="9">
        <v>210.7</v>
      </c>
      <c r="H868" s="9" t="s">
        <v>23</v>
      </c>
      <c r="I868" s="9">
        <v>24</v>
      </c>
      <c r="J868" s="10">
        <v>-0.30000000000001098</v>
      </c>
      <c r="K868" s="9" t="str">
        <f>TEXT(Sales_of_Jordan[[#This Row],[Sale_Date]],"mmm")</f>
        <v>Sep</v>
      </c>
    </row>
    <row r="869" spans="1:11" x14ac:dyDescent="0.35">
      <c r="A869" s="7" t="s">
        <v>899</v>
      </c>
      <c r="B869" s="8">
        <v>45398</v>
      </c>
      <c r="C869" s="9" t="s">
        <v>16</v>
      </c>
      <c r="D869" s="9" t="s">
        <v>53</v>
      </c>
      <c r="E869" s="9" t="s">
        <v>13</v>
      </c>
      <c r="F869" s="9">
        <v>183</v>
      </c>
      <c r="G869" s="9">
        <v>123.85</v>
      </c>
      <c r="H869" s="9" t="s">
        <v>14</v>
      </c>
      <c r="I869" s="9">
        <v>12</v>
      </c>
      <c r="J869" s="10">
        <v>-59.15</v>
      </c>
      <c r="K869" s="9" t="str">
        <f>TEXT(Sales_of_Jordan[[#This Row],[Sale_Date]],"mmm")</f>
        <v>Apr</v>
      </c>
    </row>
    <row r="870" spans="1:11" x14ac:dyDescent="0.35">
      <c r="A870" s="7" t="s">
        <v>900</v>
      </c>
      <c r="B870" s="8">
        <v>45716</v>
      </c>
      <c r="C870" s="9" t="s">
        <v>21</v>
      </c>
      <c r="D870" s="9" t="s">
        <v>22</v>
      </c>
      <c r="E870" s="9" t="s">
        <v>18</v>
      </c>
      <c r="F870" s="9">
        <v>212</v>
      </c>
      <c r="G870" s="9">
        <v>274.39</v>
      </c>
      <c r="H870" s="9" t="s">
        <v>25</v>
      </c>
      <c r="I870" s="9">
        <v>34</v>
      </c>
      <c r="J870" s="10">
        <v>62.389999999999901</v>
      </c>
      <c r="K870" s="9" t="str">
        <f>TEXT(Sales_of_Jordan[[#This Row],[Sale_Date]],"mmm")</f>
        <v>Feb</v>
      </c>
    </row>
    <row r="871" spans="1:11" x14ac:dyDescent="0.35">
      <c r="A871" s="7" t="s">
        <v>901</v>
      </c>
      <c r="B871" s="8">
        <v>45875</v>
      </c>
      <c r="C871" s="9" t="s">
        <v>11</v>
      </c>
      <c r="D871" s="9" t="s">
        <v>34</v>
      </c>
      <c r="E871" s="9" t="s">
        <v>13</v>
      </c>
      <c r="F871" s="9">
        <v>227</v>
      </c>
      <c r="G871" s="9">
        <v>115.99</v>
      </c>
      <c r="H871" s="9" t="s">
        <v>14</v>
      </c>
      <c r="I871" s="9">
        <v>7</v>
      </c>
      <c r="J871" s="10">
        <v>-111.01</v>
      </c>
      <c r="K871" s="9" t="str">
        <f>TEXT(Sales_of_Jordan[[#This Row],[Sale_Date]],"mmm")</f>
        <v>Aug</v>
      </c>
    </row>
    <row r="872" spans="1:11" x14ac:dyDescent="0.35">
      <c r="A872" s="7" t="s">
        <v>902</v>
      </c>
      <c r="B872" s="8">
        <v>45926</v>
      </c>
      <c r="C872" s="9" t="s">
        <v>16</v>
      </c>
      <c r="D872" s="9" t="s">
        <v>36</v>
      </c>
      <c r="E872" s="9" t="s">
        <v>18</v>
      </c>
      <c r="F872" s="9">
        <v>173</v>
      </c>
      <c r="G872" s="9">
        <v>253.57</v>
      </c>
      <c r="H872" s="9" t="s">
        <v>14</v>
      </c>
      <c r="I872" s="9">
        <v>12</v>
      </c>
      <c r="J872" s="10">
        <v>80.569999999999993</v>
      </c>
      <c r="K872" s="9" t="str">
        <f>TEXT(Sales_of_Jordan[[#This Row],[Sale_Date]],"mmm")</f>
        <v>Sep</v>
      </c>
    </row>
    <row r="873" spans="1:11" x14ac:dyDescent="0.35">
      <c r="A873" s="7" t="s">
        <v>903</v>
      </c>
      <c r="B873" s="8">
        <v>45222</v>
      </c>
      <c r="C873" s="9" t="s">
        <v>21</v>
      </c>
      <c r="D873" s="9" t="s">
        <v>22</v>
      </c>
      <c r="E873" s="9" t="s">
        <v>18</v>
      </c>
      <c r="F873" s="9">
        <v>219</v>
      </c>
      <c r="G873" s="9">
        <v>589.66999999999996</v>
      </c>
      <c r="H873" s="9" t="s">
        <v>23</v>
      </c>
      <c r="I873" s="9">
        <v>51</v>
      </c>
      <c r="J873" s="10">
        <v>370.66999999999899</v>
      </c>
      <c r="K873" s="9" t="str">
        <f>TEXT(Sales_of_Jordan[[#This Row],[Sale_Date]],"mmm")</f>
        <v>Oct</v>
      </c>
    </row>
    <row r="874" spans="1:11" x14ac:dyDescent="0.35">
      <c r="A874" s="7" t="s">
        <v>904</v>
      </c>
      <c r="B874" s="8">
        <v>45410</v>
      </c>
      <c r="C874" s="9" t="s">
        <v>31</v>
      </c>
      <c r="D874" s="9" t="s">
        <v>55</v>
      </c>
      <c r="E874" s="9" t="s">
        <v>13</v>
      </c>
      <c r="F874" s="9">
        <v>207</v>
      </c>
      <c r="G874" s="9">
        <v>135.91</v>
      </c>
      <c r="H874" s="9" t="s">
        <v>32</v>
      </c>
      <c r="I874" s="9">
        <v>46</v>
      </c>
      <c r="J874" s="10">
        <v>-71.09</v>
      </c>
      <c r="K874" s="9" t="str">
        <f>TEXT(Sales_of_Jordan[[#This Row],[Sale_Date]],"mmm")</f>
        <v>Apr</v>
      </c>
    </row>
    <row r="875" spans="1:11" x14ac:dyDescent="0.35">
      <c r="A875" s="7" t="s">
        <v>905</v>
      </c>
      <c r="B875" s="8">
        <v>45157</v>
      </c>
      <c r="C875" s="9" t="s">
        <v>16</v>
      </c>
      <c r="D875" s="9" t="s">
        <v>36</v>
      </c>
      <c r="E875" s="9" t="s">
        <v>13</v>
      </c>
      <c r="F875" s="9">
        <v>187</v>
      </c>
      <c r="G875" s="9">
        <v>137.99</v>
      </c>
      <c r="H875" s="9" t="s">
        <v>19</v>
      </c>
      <c r="I875" s="9">
        <v>6</v>
      </c>
      <c r="J875" s="10">
        <v>-49.009999999999899</v>
      </c>
      <c r="K875" s="9" t="str">
        <f>TEXT(Sales_of_Jordan[[#This Row],[Sale_Date]],"mmm")</f>
        <v>Aug</v>
      </c>
    </row>
    <row r="876" spans="1:11" x14ac:dyDescent="0.35">
      <c r="A876" s="7" t="s">
        <v>906</v>
      </c>
      <c r="B876" s="8">
        <v>45532</v>
      </c>
      <c r="C876" s="9" t="s">
        <v>16</v>
      </c>
      <c r="D876" s="9" t="s">
        <v>53</v>
      </c>
      <c r="E876" s="9" t="s">
        <v>18</v>
      </c>
      <c r="F876" s="9">
        <v>190</v>
      </c>
      <c r="G876" s="9">
        <v>557.01</v>
      </c>
      <c r="H876" s="9" t="s">
        <v>32</v>
      </c>
      <c r="I876" s="9">
        <v>28</v>
      </c>
      <c r="J876" s="10">
        <v>367.01</v>
      </c>
      <c r="K876" s="9" t="str">
        <f>TEXT(Sales_of_Jordan[[#This Row],[Sale_Date]],"mmm")</f>
        <v>Aug</v>
      </c>
    </row>
    <row r="877" spans="1:11" x14ac:dyDescent="0.35">
      <c r="A877" s="7" t="s">
        <v>907</v>
      </c>
      <c r="B877" s="8">
        <v>45410</v>
      </c>
      <c r="C877" s="9" t="s">
        <v>21</v>
      </c>
      <c r="D877" s="9" t="s">
        <v>34</v>
      </c>
      <c r="E877" s="9" t="s">
        <v>29</v>
      </c>
      <c r="F877" s="9">
        <v>213</v>
      </c>
      <c r="G877" s="9">
        <v>229.65</v>
      </c>
      <c r="H877" s="9" t="s">
        <v>19</v>
      </c>
      <c r="I877" s="9">
        <v>14</v>
      </c>
      <c r="J877" s="10">
        <v>16.649999999999999</v>
      </c>
      <c r="K877" s="9" t="str">
        <f>TEXT(Sales_of_Jordan[[#This Row],[Sale_Date]],"mmm")</f>
        <v>Apr</v>
      </c>
    </row>
    <row r="878" spans="1:11" x14ac:dyDescent="0.35">
      <c r="A878" s="7" t="s">
        <v>908</v>
      </c>
      <c r="B878" s="8">
        <v>44978</v>
      </c>
      <c r="C878" s="9" t="s">
        <v>31</v>
      </c>
      <c r="D878" s="9" t="s">
        <v>22</v>
      </c>
      <c r="E878" s="9" t="s">
        <v>29</v>
      </c>
      <c r="F878" s="9">
        <v>205</v>
      </c>
      <c r="G878" s="9">
        <v>203.42</v>
      </c>
      <c r="H878" s="9" t="s">
        <v>14</v>
      </c>
      <c r="I878" s="9">
        <v>13</v>
      </c>
      <c r="J878" s="10">
        <v>-1.5800000000000101</v>
      </c>
      <c r="K878" s="9" t="str">
        <f>TEXT(Sales_of_Jordan[[#This Row],[Sale_Date]],"mmm")</f>
        <v>Feb</v>
      </c>
    </row>
    <row r="879" spans="1:11" x14ac:dyDescent="0.35">
      <c r="A879" s="7" t="s">
        <v>909</v>
      </c>
      <c r="B879" s="8">
        <v>45788</v>
      </c>
      <c r="C879" s="9" t="s">
        <v>11</v>
      </c>
      <c r="D879" s="9" t="s">
        <v>53</v>
      </c>
      <c r="E879" s="9" t="s">
        <v>18</v>
      </c>
      <c r="F879" s="9">
        <v>230</v>
      </c>
      <c r="G879" s="9">
        <v>618.22</v>
      </c>
      <c r="H879" s="9" t="s">
        <v>32</v>
      </c>
      <c r="I879" s="9">
        <v>60</v>
      </c>
      <c r="J879" s="10">
        <v>388.22</v>
      </c>
      <c r="K879" s="9" t="str">
        <f>TEXT(Sales_of_Jordan[[#This Row],[Sale_Date]],"mmm")</f>
        <v>May</v>
      </c>
    </row>
    <row r="880" spans="1:11" x14ac:dyDescent="0.35">
      <c r="A880" s="7" t="s">
        <v>910</v>
      </c>
      <c r="B880" s="8">
        <v>45787</v>
      </c>
      <c r="C880" s="9" t="s">
        <v>27</v>
      </c>
      <c r="D880" s="9" t="s">
        <v>55</v>
      </c>
      <c r="E880" s="9" t="s">
        <v>18</v>
      </c>
      <c r="F880" s="9">
        <v>112</v>
      </c>
      <c r="G880" s="9">
        <v>338.53</v>
      </c>
      <c r="H880" s="9" t="s">
        <v>23</v>
      </c>
      <c r="I880" s="9">
        <v>20</v>
      </c>
      <c r="J880" s="10">
        <v>226.52999999999901</v>
      </c>
      <c r="K880" s="9" t="str">
        <f>TEXT(Sales_of_Jordan[[#This Row],[Sale_Date]],"mmm")</f>
        <v>May</v>
      </c>
    </row>
    <row r="881" spans="1:11" x14ac:dyDescent="0.35">
      <c r="A881" s="7" t="s">
        <v>911</v>
      </c>
      <c r="B881" s="8">
        <v>45882</v>
      </c>
      <c r="C881" s="9" t="s">
        <v>11</v>
      </c>
      <c r="D881" s="9" t="s">
        <v>12</v>
      </c>
      <c r="E881" s="9" t="s">
        <v>29</v>
      </c>
      <c r="F881" s="9">
        <v>229</v>
      </c>
      <c r="G881" s="9">
        <v>320.87</v>
      </c>
      <c r="H881" s="9" t="s">
        <v>32</v>
      </c>
      <c r="I881" s="9">
        <v>10</v>
      </c>
      <c r="J881" s="10">
        <v>91.87</v>
      </c>
      <c r="K881" s="9" t="str">
        <f>TEXT(Sales_of_Jordan[[#This Row],[Sale_Date]],"mmm")</f>
        <v>Aug</v>
      </c>
    </row>
    <row r="882" spans="1:11" x14ac:dyDescent="0.35">
      <c r="A882" s="7" t="s">
        <v>912</v>
      </c>
      <c r="B882" s="8">
        <v>45281</v>
      </c>
      <c r="C882" s="9" t="s">
        <v>11</v>
      </c>
      <c r="D882" s="9" t="s">
        <v>12</v>
      </c>
      <c r="E882" s="9" t="s">
        <v>13</v>
      </c>
      <c r="F882" s="9">
        <v>229</v>
      </c>
      <c r="G882" s="9">
        <v>159.22999999999999</v>
      </c>
      <c r="H882" s="9" t="s">
        <v>25</v>
      </c>
      <c r="I882" s="9">
        <v>32</v>
      </c>
      <c r="J882" s="10">
        <v>-69.77</v>
      </c>
      <c r="K882" s="9" t="str">
        <f>TEXT(Sales_of_Jordan[[#This Row],[Sale_Date]],"mmm")</f>
        <v>Dec</v>
      </c>
    </row>
    <row r="883" spans="1:11" x14ac:dyDescent="0.35">
      <c r="A883" s="7" t="s">
        <v>913</v>
      </c>
      <c r="B883" s="8">
        <v>45234</v>
      </c>
      <c r="C883" s="9" t="s">
        <v>27</v>
      </c>
      <c r="D883" s="9" t="s">
        <v>36</v>
      </c>
      <c r="E883" s="9" t="s">
        <v>18</v>
      </c>
      <c r="F883" s="9">
        <v>113</v>
      </c>
      <c r="G883" s="9">
        <v>315.52999999999997</v>
      </c>
      <c r="H883" s="9" t="s">
        <v>23</v>
      </c>
      <c r="I883" s="9">
        <v>26</v>
      </c>
      <c r="J883" s="10">
        <v>202.52999999999901</v>
      </c>
      <c r="K883" s="9" t="str">
        <f>TEXT(Sales_of_Jordan[[#This Row],[Sale_Date]],"mmm")</f>
        <v>Nov</v>
      </c>
    </row>
    <row r="884" spans="1:11" x14ac:dyDescent="0.35">
      <c r="A884" s="7" t="s">
        <v>914</v>
      </c>
      <c r="B884" s="8">
        <v>45189</v>
      </c>
      <c r="C884" s="9" t="s">
        <v>16</v>
      </c>
      <c r="D884" s="9" t="s">
        <v>39</v>
      </c>
      <c r="E884" s="9" t="s">
        <v>18</v>
      </c>
      <c r="F884" s="9">
        <v>189</v>
      </c>
      <c r="G884" s="9">
        <v>577.55999999999995</v>
      </c>
      <c r="H884" s="9" t="s">
        <v>14</v>
      </c>
      <c r="I884" s="9">
        <v>3</v>
      </c>
      <c r="J884" s="10">
        <v>388.55999999999898</v>
      </c>
      <c r="K884" s="9" t="str">
        <f>TEXT(Sales_of_Jordan[[#This Row],[Sale_Date]],"mmm")</f>
        <v>Sep</v>
      </c>
    </row>
    <row r="885" spans="1:11" x14ac:dyDescent="0.35">
      <c r="A885" s="7" t="s">
        <v>915</v>
      </c>
      <c r="B885" s="8">
        <v>45843</v>
      </c>
      <c r="C885" s="9" t="s">
        <v>16</v>
      </c>
      <c r="D885" s="9" t="s">
        <v>39</v>
      </c>
      <c r="E885" s="9" t="s">
        <v>18</v>
      </c>
      <c r="F885" s="9">
        <v>174</v>
      </c>
      <c r="G885" s="9">
        <v>463.03</v>
      </c>
      <c r="H885" s="9" t="s">
        <v>25</v>
      </c>
      <c r="I885" s="9">
        <v>26</v>
      </c>
      <c r="J885" s="10">
        <v>289.02999999999997</v>
      </c>
      <c r="K885" s="9" t="str">
        <f>TEXT(Sales_of_Jordan[[#This Row],[Sale_Date]],"mmm")</f>
        <v>Jul</v>
      </c>
    </row>
    <row r="886" spans="1:11" x14ac:dyDescent="0.35">
      <c r="A886" s="7" t="s">
        <v>916</v>
      </c>
      <c r="B886" s="8">
        <v>45859</v>
      </c>
      <c r="C886" s="9" t="s">
        <v>16</v>
      </c>
      <c r="D886" s="9" t="s">
        <v>46</v>
      </c>
      <c r="E886" s="9" t="s">
        <v>13</v>
      </c>
      <c r="F886" s="9">
        <v>186</v>
      </c>
      <c r="G886" s="9">
        <v>94.02</v>
      </c>
      <c r="H886" s="9" t="s">
        <v>23</v>
      </c>
      <c r="I886" s="9">
        <v>52</v>
      </c>
      <c r="J886" s="10">
        <v>-91.98</v>
      </c>
      <c r="K886" s="9" t="str">
        <f>TEXT(Sales_of_Jordan[[#This Row],[Sale_Date]],"mmm")</f>
        <v>Jul</v>
      </c>
    </row>
    <row r="887" spans="1:11" x14ac:dyDescent="0.35">
      <c r="A887" s="7" t="s">
        <v>917</v>
      </c>
      <c r="B887" s="8">
        <v>45567</v>
      </c>
      <c r="C887" s="9" t="s">
        <v>21</v>
      </c>
      <c r="D887" s="9" t="s">
        <v>22</v>
      </c>
      <c r="E887" s="9" t="s">
        <v>13</v>
      </c>
      <c r="F887" s="9">
        <v>222</v>
      </c>
      <c r="G887" s="9">
        <v>136.28</v>
      </c>
      <c r="H887" s="9" t="s">
        <v>19</v>
      </c>
      <c r="I887" s="9">
        <v>5</v>
      </c>
      <c r="J887" s="10">
        <v>-85.72</v>
      </c>
      <c r="K887" s="9" t="str">
        <f>TEXT(Sales_of_Jordan[[#This Row],[Sale_Date]],"mmm")</f>
        <v>Oct</v>
      </c>
    </row>
    <row r="888" spans="1:11" x14ac:dyDescent="0.35">
      <c r="A888" s="7" t="s">
        <v>918</v>
      </c>
      <c r="B888" s="8">
        <v>45309</v>
      </c>
      <c r="C888" s="9" t="s">
        <v>11</v>
      </c>
      <c r="D888" s="9" t="s">
        <v>39</v>
      </c>
      <c r="E888" s="9" t="s">
        <v>29</v>
      </c>
      <c r="F888" s="9">
        <v>228</v>
      </c>
      <c r="G888" s="9">
        <v>261.22000000000003</v>
      </c>
      <c r="H888" s="9" t="s">
        <v>19</v>
      </c>
      <c r="I888" s="9">
        <v>1</v>
      </c>
      <c r="J888" s="10">
        <v>33.22</v>
      </c>
      <c r="K888" s="9" t="str">
        <f>TEXT(Sales_of_Jordan[[#This Row],[Sale_Date]],"mmm")</f>
        <v>Jan</v>
      </c>
    </row>
    <row r="889" spans="1:11" x14ac:dyDescent="0.35">
      <c r="A889" s="7" t="s">
        <v>919</v>
      </c>
      <c r="B889" s="8">
        <v>45345</v>
      </c>
      <c r="C889" s="9" t="s">
        <v>21</v>
      </c>
      <c r="D889" s="9" t="s">
        <v>34</v>
      </c>
      <c r="E889" s="9" t="s">
        <v>18</v>
      </c>
      <c r="F889" s="9">
        <v>212</v>
      </c>
      <c r="G889" s="9">
        <v>295.58999999999997</v>
      </c>
      <c r="H889" s="9" t="s">
        <v>19</v>
      </c>
      <c r="I889" s="9">
        <v>9</v>
      </c>
      <c r="J889" s="10">
        <v>83.589999999999904</v>
      </c>
      <c r="K889" s="9" t="str">
        <f>TEXT(Sales_of_Jordan[[#This Row],[Sale_Date]],"mmm")</f>
        <v>Feb</v>
      </c>
    </row>
    <row r="890" spans="1:11" x14ac:dyDescent="0.35">
      <c r="A890" s="7" t="s">
        <v>920</v>
      </c>
      <c r="B890" s="8">
        <v>45473</v>
      </c>
      <c r="C890" s="9" t="s">
        <v>27</v>
      </c>
      <c r="D890" s="9" t="s">
        <v>17</v>
      </c>
      <c r="E890" s="9" t="s">
        <v>29</v>
      </c>
      <c r="F890" s="9">
        <v>136</v>
      </c>
      <c r="G890" s="9">
        <v>183.02</v>
      </c>
      <c r="H890" s="9" t="s">
        <v>25</v>
      </c>
      <c r="I890" s="9">
        <v>37</v>
      </c>
      <c r="J890" s="10">
        <v>47.02</v>
      </c>
      <c r="K890" s="9" t="str">
        <f>TEXT(Sales_of_Jordan[[#This Row],[Sale_Date]],"mmm")</f>
        <v>Jun</v>
      </c>
    </row>
    <row r="891" spans="1:11" x14ac:dyDescent="0.35">
      <c r="A891" s="7" t="s">
        <v>921</v>
      </c>
      <c r="B891" s="8">
        <v>45899</v>
      </c>
      <c r="C891" s="9" t="s">
        <v>21</v>
      </c>
      <c r="D891" s="9" t="s">
        <v>46</v>
      </c>
      <c r="E891" s="9" t="s">
        <v>13</v>
      </c>
      <c r="F891" s="9">
        <v>223</v>
      </c>
      <c r="G891" s="9">
        <v>128.78</v>
      </c>
      <c r="H891" s="9" t="s">
        <v>14</v>
      </c>
      <c r="I891" s="9">
        <v>6</v>
      </c>
      <c r="J891" s="10">
        <v>-94.22</v>
      </c>
      <c r="K891" s="9" t="str">
        <f>TEXT(Sales_of_Jordan[[#This Row],[Sale_Date]],"mmm")</f>
        <v>Aug</v>
      </c>
    </row>
    <row r="892" spans="1:11" x14ac:dyDescent="0.35">
      <c r="A892" s="7" t="s">
        <v>922</v>
      </c>
      <c r="B892" s="8">
        <v>45569</v>
      </c>
      <c r="C892" s="9" t="s">
        <v>31</v>
      </c>
      <c r="D892" s="9" t="s">
        <v>22</v>
      </c>
      <c r="E892" s="9" t="s">
        <v>13</v>
      </c>
      <c r="F892" s="9">
        <v>203</v>
      </c>
      <c r="G892" s="9">
        <v>172.41</v>
      </c>
      <c r="H892" s="9" t="s">
        <v>19</v>
      </c>
      <c r="I892" s="9">
        <v>1</v>
      </c>
      <c r="J892" s="10">
        <v>-30.59</v>
      </c>
      <c r="K892" s="9" t="str">
        <f>TEXT(Sales_of_Jordan[[#This Row],[Sale_Date]],"mmm")</f>
        <v>Oct</v>
      </c>
    </row>
    <row r="893" spans="1:11" x14ac:dyDescent="0.35">
      <c r="A893" s="7" t="s">
        <v>923</v>
      </c>
      <c r="B893" s="8">
        <v>45034</v>
      </c>
      <c r="C893" s="9" t="s">
        <v>21</v>
      </c>
      <c r="D893" s="9" t="s">
        <v>46</v>
      </c>
      <c r="E893" s="9" t="s">
        <v>29</v>
      </c>
      <c r="F893" s="9">
        <v>218</v>
      </c>
      <c r="G893" s="9">
        <v>200.58</v>
      </c>
      <c r="H893" s="9" t="s">
        <v>23</v>
      </c>
      <c r="I893" s="9">
        <v>51</v>
      </c>
      <c r="J893" s="10">
        <v>-17.419999999999899</v>
      </c>
      <c r="K893" s="9" t="str">
        <f>TEXT(Sales_of_Jordan[[#This Row],[Sale_Date]],"mmm")</f>
        <v>Apr</v>
      </c>
    </row>
    <row r="894" spans="1:11" x14ac:dyDescent="0.35">
      <c r="A894" s="7" t="s">
        <v>924</v>
      </c>
      <c r="B894" s="8">
        <v>45209</v>
      </c>
      <c r="C894" s="9" t="s">
        <v>16</v>
      </c>
      <c r="D894" s="9" t="s">
        <v>12</v>
      </c>
      <c r="E894" s="9" t="s">
        <v>18</v>
      </c>
      <c r="F894" s="9">
        <v>177</v>
      </c>
      <c r="G894" s="9">
        <v>489.38</v>
      </c>
      <c r="H894" s="9" t="s">
        <v>32</v>
      </c>
      <c r="I894" s="9">
        <v>40</v>
      </c>
      <c r="J894" s="10">
        <v>312.38</v>
      </c>
      <c r="K894" s="9" t="str">
        <f>TEXT(Sales_of_Jordan[[#This Row],[Sale_Date]],"mmm")</f>
        <v>Oct</v>
      </c>
    </row>
    <row r="895" spans="1:11" x14ac:dyDescent="0.35">
      <c r="A895" s="7" t="s">
        <v>925</v>
      </c>
      <c r="B895" s="8">
        <v>44947</v>
      </c>
      <c r="C895" s="9" t="s">
        <v>16</v>
      </c>
      <c r="D895" s="9" t="s">
        <v>53</v>
      </c>
      <c r="E895" s="9" t="s">
        <v>18</v>
      </c>
      <c r="F895" s="9">
        <v>181</v>
      </c>
      <c r="G895" s="9">
        <v>414.94</v>
      </c>
      <c r="H895" s="9" t="s">
        <v>25</v>
      </c>
      <c r="I895" s="9">
        <v>26</v>
      </c>
      <c r="J895" s="10">
        <v>233.94</v>
      </c>
      <c r="K895" s="9" t="str">
        <f>TEXT(Sales_of_Jordan[[#This Row],[Sale_Date]],"mmm")</f>
        <v>Jan</v>
      </c>
    </row>
    <row r="896" spans="1:11" x14ac:dyDescent="0.35">
      <c r="A896" s="7" t="s">
        <v>926</v>
      </c>
      <c r="B896" s="8">
        <v>45188</v>
      </c>
      <c r="C896" s="9" t="s">
        <v>16</v>
      </c>
      <c r="D896" s="9" t="s">
        <v>46</v>
      </c>
      <c r="E896" s="9" t="s">
        <v>29</v>
      </c>
      <c r="F896" s="9">
        <v>184</v>
      </c>
      <c r="G896" s="9">
        <v>194.99</v>
      </c>
      <c r="H896" s="9" t="s">
        <v>14</v>
      </c>
      <c r="I896" s="9">
        <v>7</v>
      </c>
      <c r="J896" s="10">
        <v>10.99</v>
      </c>
      <c r="K896" s="9" t="str">
        <f>TEXT(Sales_of_Jordan[[#This Row],[Sale_Date]],"mmm")</f>
        <v>Sep</v>
      </c>
    </row>
    <row r="897" spans="1:11" x14ac:dyDescent="0.35">
      <c r="A897" s="7" t="s">
        <v>927</v>
      </c>
      <c r="B897" s="8">
        <v>44927</v>
      </c>
      <c r="C897" s="9" t="s">
        <v>21</v>
      </c>
      <c r="D897" s="9" t="s">
        <v>22</v>
      </c>
      <c r="E897" s="9" t="s">
        <v>29</v>
      </c>
      <c r="F897" s="9">
        <v>225</v>
      </c>
      <c r="G897" s="9">
        <v>276.42</v>
      </c>
      <c r="H897" s="9" t="s">
        <v>14</v>
      </c>
      <c r="I897" s="9">
        <v>6</v>
      </c>
      <c r="J897" s="10">
        <v>51.42</v>
      </c>
      <c r="K897" s="9" t="str">
        <f>TEXT(Sales_of_Jordan[[#This Row],[Sale_Date]],"mmm")</f>
        <v>Jan</v>
      </c>
    </row>
    <row r="898" spans="1:11" x14ac:dyDescent="0.35">
      <c r="A898" s="7" t="s">
        <v>928</v>
      </c>
      <c r="B898" s="8">
        <v>45287</v>
      </c>
      <c r="C898" s="9" t="s">
        <v>16</v>
      </c>
      <c r="D898" s="9" t="s">
        <v>22</v>
      </c>
      <c r="E898" s="9" t="s">
        <v>13</v>
      </c>
      <c r="F898" s="9">
        <v>174</v>
      </c>
      <c r="G898" s="9">
        <v>92.21</v>
      </c>
      <c r="H898" s="9" t="s">
        <v>14</v>
      </c>
      <c r="I898" s="9">
        <v>6</v>
      </c>
      <c r="J898" s="10">
        <v>-81.790000000000006</v>
      </c>
      <c r="K898" s="9" t="str">
        <f>TEXT(Sales_of_Jordan[[#This Row],[Sale_Date]],"mmm")</f>
        <v>Dec</v>
      </c>
    </row>
    <row r="899" spans="1:11" x14ac:dyDescent="0.35">
      <c r="A899" s="7" t="s">
        <v>929</v>
      </c>
      <c r="B899" s="8">
        <v>45442</v>
      </c>
      <c r="C899" s="9" t="s">
        <v>31</v>
      </c>
      <c r="D899" s="9" t="s">
        <v>53</v>
      </c>
      <c r="E899" s="9" t="s">
        <v>18</v>
      </c>
      <c r="F899" s="9">
        <v>207</v>
      </c>
      <c r="G899" s="9">
        <v>341.93</v>
      </c>
      <c r="H899" s="9" t="s">
        <v>19</v>
      </c>
      <c r="I899" s="9">
        <v>13</v>
      </c>
      <c r="J899" s="10">
        <v>134.93</v>
      </c>
      <c r="K899" s="9" t="str">
        <f>TEXT(Sales_of_Jordan[[#This Row],[Sale_Date]],"mmm")</f>
        <v>May</v>
      </c>
    </row>
    <row r="900" spans="1:11" x14ac:dyDescent="0.35">
      <c r="A900" s="7" t="s">
        <v>930</v>
      </c>
      <c r="B900" s="8">
        <v>45247</v>
      </c>
      <c r="C900" s="9" t="s">
        <v>31</v>
      </c>
      <c r="D900" s="9" t="s">
        <v>17</v>
      </c>
      <c r="E900" s="9" t="s">
        <v>29</v>
      </c>
      <c r="F900" s="9">
        <v>204</v>
      </c>
      <c r="G900" s="9">
        <v>220</v>
      </c>
      <c r="H900" s="9" t="s">
        <v>19</v>
      </c>
      <c r="I900" s="9">
        <v>12</v>
      </c>
      <c r="J900" s="10">
        <v>16</v>
      </c>
      <c r="K900" s="9" t="str">
        <f>TEXT(Sales_of_Jordan[[#This Row],[Sale_Date]],"mmm")</f>
        <v>Nov</v>
      </c>
    </row>
    <row r="901" spans="1:11" x14ac:dyDescent="0.35">
      <c r="A901" s="7" t="s">
        <v>931</v>
      </c>
      <c r="B901" s="8">
        <v>45843</v>
      </c>
      <c r="C901" s="9" t="s">
        <v>21</v>
      </c>
      <c r="D901" s="9" t="s">
        <v>17</v>
      </c>
      <c r="E901" s="9" t="s">
        <v>13</v>
      </c>
      <c r="F901" s="9">
        <v>220</v>
      </c>
      <c r="G901" s="9">
        <v>139.81</v>
      </c>
      <c r="H901" s="9" t="s">
        <v>23</v>
      </c>
      <c r="I901" s="9">
        <v>60</v>
      </c>
      <c r="J901" s="10">
        <v>-80.19</v>
      </c>
      <c r="K901" s="9" t="str">
        <f>TEXT(Sales_of_Jordan[[#This Row],[Sale_Date]],"mmm")</f>
        <v>Jul</v>
      </c>
    </row>
    <row r="902" spans="1:11" x14ac:dyDescent="0.35">
      <c r="A902" s="7" t="s">
        <v>932</v>
      </c>
      <c r="B902" s="8">
        <v>44952</v>
      </c>
      <c r="C902" s="9" t="s">
        <v>31</v>
      </c>
      <c r="D902" s="9" t="s">
        <v>17</v>
      </c>
      <c r="E902" s="9" t="s">
        <v>18</v>
      </c>
      <c r="F902" s="9">
        <v>210</v>
      </c>
      <c r="G902" s="9">
        <v>695.15</v>
      </c>
      <c r="H902" s="9" t="s">
        <v>23</v>
      </c>
      <c r="I902" s="9">
        <v>13</v>
      </c>
      <c r="J902" s="10">
        <v>485.15</v>
      </c>
      <c r="K902" s="9" t="str">
        <f>TEXT(Sales_of_Jordan[[#This Row],[Sale_Date]],"mmm")</f>
        <v>Jan</v>
      </c>
    </row>
    <row r="903" spans="1:11" x14ac:dyDescent="0.35">
      <c r="A903" s="7" t="s">
        <v>933</v>
      </c>
      <c r="B903" s="8">
        <v>45194</v>
      </c>
      <c r="C903" s="9" t="s">
        <v>27</v>
      </c>
      <c r="D903" s="9" t="s">
        <v>46</v>
      </c>
      <c r="E903" s="9" t="s">
        <v>29</v>
      </c>
      <c r="F903" s="9">
        <v>121</v>
      </c>
      <c r="G903" s="9">
        <v>159.66999999999999</v>
      </c>
      <c r="H903" s="9" t="s">
        <v>14</v>
      </c>
      <c r="I903" s="9">
        <v>12</v>
      </c>
      <c r="J903" s="10">
        <v>38.669999999999902</v>
      </c>
      <c r="K903" s="9" t="str">
        <f>TEXT(Sales_of_Jordan[[#This Row],[Sale_Date]],"mmm")</f>
        <v>Sep</v>
      </c>
    </row>
    <row r="904" spans="1:11" x14ac:dyDescent="0.35">
      <c r="A904" s="7" t="s">
        <v>934</v>
      </c>
      <c r="B904" s="8">
        <v>45474</v>
      </c>
      <c r="C904" s="9" t="s">
        <v>11</v>
      </c>
      <c r="D904" s="9" t="s">
        <v>39</v>
      </c>
      <c r="E904" s="9" t="s">
        <v>13</v>
      </c>
      <c r="F904" s="9">
        <v>225</v>
      </c>
      <c r="G904" s="9">
        <v>133.94999999999999</v>
      </c>
      <c r="H904" s="9" t="s">
        <v>25</v>
      </c>
      <c r="I904" s="9">
        <v>49</v>
      </c>
      <c r="J904" s="10">
        <v>-91.05</v>
      </c>
      <c r="K904" s="9" t="str">
        <f>TEXT(Sales_of_Jordan[[#This Row],[Sale_Date]],"mmm")</f>
        <v>Jul</v>
      </c>
    </row>
    <row r="905" spans="1:11" x14ac:dyDescent="0.35">
      <c r="A905" s="7" t="s">
        <v>935</v>
      </c>
      <c r="B905" s="8">
        <v>45233</v>
      </c>
      <c r="C905" s="9" t="s">
        <v>21</v>
      </c>
      <c r="D905" s="9" t="s">
        <v>17</v>
      </c>
      <c r="E905" s="9" t="s">
        <v>18</v>
      </c>
      <c r="F905" s="9">
        <v>224</v>
      </c>
      <c r="G905" s="9">
        <v>742.3</v>
      </c>
      <c r="H905" s="9" t="s">
        <v>32</v>
      </c>
      <c r="I905" s="9">
        <v>7</v>
      </c>
      <c r="J905" s="10">
        <v>518.29999999999995</v>
      </c>
      <c r="K905" s="9" t="str">
        <f>TEXT(Sales_of_Jordan[[#This Row],[Sale_Date]],"mmm")</f>
        <v>Nov</v>
      </c>
    </row>
    <row r="906" spans="1:11" x14ac:dyDescent="0.35">
      <c r="A906" s="7" t="s">
        <v>936</v>
      </c>
      <c r="B906" s="8">
        <v>45867</v>
      </c>
      <c r="C906" s="9" t="s">
        <v>16</v>
      </c>
      <c r="D906" s="9" t="s">
        <v>46</v>
      </c>
      <c r="E906" s="9" t="s">
        <v>13</v>
      </c>
      <c r="F906" s="9">
        <v>182</v>
      </c>
      <c r="G906" s="9">
        <v>99.38</v>
      </c>
      <c r="H906" s="9" t="s">
        <v>14</v>
      </c>
      <c r="I906" s="9">
        <v>12</v>
      </c>
      <c r="J906" s="10">
        <v>-82.62</v>
      </c>
      <c r="K906" s="9" t="str">
        <f>TEXT(Sales_of_Jordan[[#This Row],[Sale_Date]],"mmm")</f>
        <v>Jul</v>
      </c>
    </row>
    <row r="907" spans="1:11" x14ac:dyDescent="0.35">
      <c r="A907" s="7" t="s">
        <v>937</v>
      </c>
      <c r="B907" s="8">
        <v>45482</v>
      </c>
      <c r="C907" s="9" t="s">
        <v>21</v>
      </c>
      <c r="D907" s="9" t="s">
        <v>17</v>
      </c>
      <c r="E907" s="9" t="s">
        <v>18</v>
      </c>
      <c r="F907" s="9">
        <v>213</v>
      </c>
      <c r="G907" s="9">
        <v>271.86</v>
      </c>
      <c r="H907" s="9" t="s">
        <v>23</v>
      </c>
      <c r="I907" s="9">
        <v>51</v>
      </c>
      <c r="J907" s="10">
        <v>58.86</v>
      </c>
      <c r="K907" s="9" t="str">
        <f>TEXT(Sales_of_Jordan[[#This Row],[Sale_Date]],"mmm")</f>
        <v>Jul</v>
      </c>
    </row>
    <row r="908" spans="1:11" x14ac:dyDescent="0.35">
      <c r="A908" s="7" t="s">
        <v>938</v>
      </c>
      <c r="B908" s="8">
        <v>45299</v>
      </c>
      <c r="C908" s="9" t="s">
        <v>16</v>
      </c>
      <c r="D908" s="9" t="s">
        <v>17</v>
      </c>
      <c r="E908" s="9" t="s">
        <v>13</v>
      </c>
      <c r="F908" s="9">
        <v>174</v>
      </c>
      <c r="G908" s="9">
        <v>99.21</v>
      </c>
      <c r="H908" s="9" t="s">
        <v>25</v>
      </c>
      <c r="I908" s="9">
        <v>9</v>
      </c>
      <c r="J908" s="10">
        <v>-74.790000000000006</v>
      </c>
      <c r="K908" s="9" t="str">
        <f>TEXT(Sales_of_Jordan[[#This Row],[Sale_Date]],"mmm")</f>
        <v>Jan</v>
      </c>
    </row>
    <row r="909" spans="1:11" x14ac:dyDescent="0.35">
      <c r="A909" s="7" t="s">
        <v>939</v>
      </c>
      <c r="B909" s="8">
        <v>44944</v>
      </c>
      <c r="C909" s="9" t="s">
        <v>31</v>
      </c>
      <c r="D909" s="9" t="s">
        <v>36</v>
      </c>
      <c r="E909" s="9" t="s">
        <v>13</v>
      </c>
      <c r="F909" s="9">
        <v>208</v>
      </c>
      <c r="G909" s="9">
        <v>118.01</v>
      </c>
      <c r="H909" s="9" t="s">
        <v>23</v>
      </c>
      <c r="I909" s="9">
        <v>39</v>
      </c>
      <c r="J909" s="10">
        <v>-89.99</v>
      </c>
      <c r="K909" s="9" t="str">
        <f>TEXT(Sales_of_Jordan[[#This Row],[Sale_Date]],"mmm")</f>
        <v>Jan</v>
      </c>
    </row>
    <row r="910" spans="1:11" x14ac:dyDescent="0.35">
      <c r="A910" s="7" t="s">
        <v>940</v>
      </c>
      <c r="B910" s="8">
        <v>45278</v>
      </c>
      <c r="C910" s="9" t="s">
        <v>27</v>
      </c>
      <c r="D910" s="9" t="s">
        <v>46</v>
      </c>
      <c r="E910" s="9" t="s">
        <v>13</v>
      </c>
      <c r="F910" s="9">
        <v>139</v>
      </c>
      <c r="G910" s="9">
        <v>72.22</v>
      </c>
      <c r="H910" s="9" t="s">
        <v>19</v>
      </c>
      <c r="I910" s="9">
        <v>2</v>
      </c>
      <c r="J910" s="10">
        <v>-66.78</v>
      </c>
      <c r="K910" s="9" t="str">
        <f>TEXT(Sales_of_Jordan[[#This Row],[Sale_Date]],"mmm")</f>
        <v>Dec</v>
      </c>
    </row>
    <row r="911" spans="1:11" x14ac:dyDescent="0.35">
      <c r="A911" s="7" t="s">
        <v>941</v>
      </c>
      <c r="B911" s="8">
        <v>45376</v>
      </c>
      <c r="C911" s="9" t="s">
        <v>31</v>
      </c>
      <c r="D911" s="9" t="s">
        <v>22</v>
      </c>
      <c r="E911" s="9" t="s">
        <v>29</v>
      </c>
      <c r="F911" s="9">
        <v>210</v>
      </c>
      <c r="G911" s="9">
        <v>203.31</v>
      </c>
      <c r="H911" s="9" t="s">
        <v>32</v>
      </c>
      <c r="I911" s="9">
        <v>45</v>
      </c>
      <c r="J911" s="10">
        <v>-6.6899999999999897</v>
      </c>
      <c r="K911" s="9" t="str">
        <f>TEXT(Sales_of_Jordan[[#This Row],[Sale_Date]],"mmm")</f>
        <v>Mar</v>
      </c>
    </row>
    <row r="912" spans="1:11" x14ac:dyDescent="0.35">
      <c r="A912" s="7" t="s">
        <v>942</v>
      </c>
      <c r="B912" s="8">
        <v>45479</v>
      </c>
      <c r="C912" s="9" t="s">
        <v>16</v>
      </c>
      <c r="D912" s="9" t="s">
        <v>39</v>
      </c>
      <c r="E912" s="9" t="s">
        <v>29</v>
      </c>
      <c r="F912" s="9">
        <v>170</v>
      </c>
      <c r="G912" s="9">
        <v>174.94</v>
      </c>
      <c r="H912" s="9" t="s">
        <v>32</v>
      </c>
      <c r="I912" s="9">
        <v>40</v>
      </c>
      <c r="J912" s="10">
        <v>4.9399999999999897</v>
      </c>
      <c r="K912" s="9" t="str">
        <f>TEXT(Sales_of_Jordan[[#This Row],[Sale_Date]],"mmm")</f>
        <v>Jul</v>
      </c>
    </row>
    <row r="913" spans="1:11" x14ac:dyDescent="0.35">
      <c r="A913" s="7" t="s">
        <v>943</v>
      </c>
      <c r="B913" s="8">
        <v>45239</v>
      </c>
      <c r="C913" s="9" t="s">
        <v>27</v>
      </c>
      <c r="D913" s="9" t="s">
        <v>34</v>
      </c>
      <c r="E913" s="9" t="s">
        <v>18</v>
      </c>
      <c r="F913" s="9">
        <v>132</v>
      </c>
      <c r="G913" s="9">
        <v>203.24</v>
      </c>
      <c r="H913" s="9" t="s">
        <v>14</v>
      </c>
      <c r="I913" s="9">
        <v>5</v>
      </c>
      <c r="J913" s="10">
        <v>71.239999999999995</v>
      </c>
      <c r="K913" s="9" t="str">
        <f>TEXT(Sales_of_Jordan[[#This Row],[Sale_Date]],"mmm")</f>
        <v>Nov</v>
      </c>
    </row>
    <row r="914" spans="1:11" x14ac:dyDescent="0.35">
      <c r="A914" s="7" t="s">
        <v>944</v>
      </c>
      <c r="B914" s="8">
        <v>45204</v>
      </c>
      <c r="C914" s="9" t="s">
        <v>31</v>
      </c>
      <c r="D914" s="9" t="s">
        <v>36</v>
      </c>
      <c r="E914" s="9" t="s">
        <v>13</v>
      </c>
      <c r="F914" s="9">
        <v>205</v>
      </c>
      <c r="G914" s="9">
        <v>121.33</v>
      </c>
      <c r="H914" s="9" t="s">
        <v>19</v>
      </c>
      <c r="I914" s="9">
        <v>5</v>
      </c>
      <c r="J914" s="10">
        <v>-83.67</v>
      </c>
      <c r="K914" s="9" t="str">
        <f>TEXT(Sales_of_Jordan[[#This Row],[Sale_Date]],"mmm")</f>
        <v>Oct</v>
      </c>
    </row>
    <row r="915" spans="1:11" x14ac:dyDescent="0.35">
      <c r="A915" s="7" t="s">
        <v>945</v>
      </c>
      <c r="B915" s="8">
        <v>45643</v>
      </c>
      <c r="C915" s="9" t="s">
        <v>16</v>
      </c>
      <c r="D915" s="9" t="s">
        <v>34</v>
      </c>
      <c r="E915" s="9" t="s">
        <v>13</v>
      </c>
      <c r="F915" s="9">
        <v>170</v>
      </c>
      <c r="G915" s="9">
        <v>99.51</v>
      </c>
      <c r="H915" s="9" t="s">
        <v>14</v>
      </c>
      <c r="I915" s="9">
        <v>12</v>
      </c>
      <c r="J915" s="10">
        <v>-70.489999999999995</v>
      </c>
      <c r="K915" s="9" t="str">
        <f>TEXT(Sales_of_Jordan[[#This Row],[Sale_Date]],"mmm")</f>
        <v>Dec</v>
      </c>
    </row>
    <row r="916" spans="1:11" x14ac:dyDescent="0.35">
      <c r="A916" s="7" t="s">
        <v>946</v>
      </c>
      <c r="B916" s="8">
        <v>45602</v>
      </c>
      <c r="C916" s="9" t="s">
        <v>21</v>
      </c>
      <c r="D916" s="9" t="s">
        <v>55</v>
      </c>
      <c r="E916" s="9" t="s">
        <v>29</v>
      </c>
      <c r="F916" s="9">
        <v>225</v>
      </c>
      <c r="G916" s="9">
        <v>222.66</v>
      </c>
      <c r="H916" s="9" t="s">
        <v>25</v>
      </c>
      <c r="I916" s="9">
        <v>46</v>
      </c>
      <c r="J916" s="10">
        <v>-2.34</v>
      </c>
      <c r="K916" s="9" t="str">
        <f>TEXT(Sales_of_Jordan[[#This Row],[Sale_Date]],"mmm")</f>
        <v>Nov</v>
      </c>
    </row>
    <row r="917" spans="1:11" x14ac:dyDescent="0.35">
      <c r="A917" s="7" t="s">
        <v>947</v>
      </c>
      <c r="B917" s="8">
        <v>45306</v>
      </c>
      <c r="C917" s="9" t="s">
        <v>16</v>
      </c>
      <c r="D917" s="9" t="s">
        <v>36</v>
      </c>
      <c r="E917" s="9" t="s">
        <v>29</v>
      </c>
      <c r="F917" s="9">
        <v>172</v>
      </c>
      <c r="G917" s="9">
        <v>244.7</v>
      </c>
      <c r="H917" s="9" t="s">
        <v>14</v>
      </c>
      <c r="I917" s="9">
        <v>1</v>
      </c>
      <c r="J917" s="10">
        <v>72.699999999999903</v>
      </c>
      <c r="K917" s="9" t="str">
        <f>TEXT(Sales_of_Jordan[[#This Row],[Sale_Date]],"mmm")</f>
        <v>Jan</v>
      </c>
    </row>
    <row r="918" spans="1:11" x14ac:dyDescent="0.35">
      <c r="A918" s="7" t="s">
        <v>948</v>
      </c>
      <c r="B918" s="8">
        <v>45703</v>
      </c>
      <c r="C918" s="9" t="s">
        <v>11</v>
      </c>
      <c r="D918" s="9" t="s">
        <v>55</v>
      </c>
      <c r="E918" s="9" t="s">
        <v>29</v>
      </c>
      <c r="F918" s="9">
        <v>230</v>
      </c>
      <c r="G918" s="9">
        <v>237.69</v>
      </c>
      <c r="H918" s="9" t="s">
        <v>25</v>
      </c>
      <c r="I918" s="9">
        <v>11</v>
      </c>
      <c r="J918" s="10">
        <v>7.6899999999999897</v>
      </c>
      <c r="K918" s="9" t="str">
        <f>TEXT(Sales_of_Jordan[[#This Row],[Sale_Date]],"mmm")</f>
        <v>Feb</v>
      </c>
    </row>
    <row r="919" spans="1:11" x14ac:dyDescent="0.35">
      <c r="A919" s="7" t="s">
        <v>949</v>
      </c>
      <c r="B919" s="8">
        <v>45629</v>
      </c>
      <c r="C919" s="9" t="s">
        <v>11</v>
      </c>
      <c r="D919" s="9" t="s">
        <v>55</v>
      </c>
      <c r="E919" s="9" t="s">
        <v>18</v>
      </c>
      <c r="F919" s="9">
        <v>229</v>
      </c>
      <c r="G919" s="9">
        <v>467.38</v>
      </c>
      <c r="H919" s="9" t="s">
        <v>19</v>
      </c>
      <c r="I919" s="9">
        <v>1</v>
      </c>
      <c r="J919" s="10">
        <v>238.38</v>
      </c>
      <c r="K919" s="9" t="str">
        <f>TEXT(Sales_of_Jordan[[#This Row],[Sale_Date]],"mmm")</f>
        <v>Dec</v>
      </c>
    </row>
    <row r="920" spans="1:11" x14ac:dyDescent="0.35">
      <c r="A920" s="7" t="s">
        <v>950</v>
      </c>
      <c r="B920" s="8">
        <v>45833</v>
      </c>
      <c r="C920" s="9" t="s">
        <v>31</v>
      </c>
      <c r="D920" s="9" t="s">
        <v>53</v>
      </c>
      <c r="E920" s="9" t="s">
        <v>18</v>
      </c>
      <c r="F920" s="9">
        <v>207</v>
      </c>
      <c r="G920" s="9">
        <v>666.53</v>
      </c>
      <c r="H920" s="9" t="s">
        <v>32</v>
      </c>
      <c r="I920" s="9">
        <v>27</v>
      </c>
      <c r="J920" s="10">
        <v>459.53</v>
      </c>
      <c r="K920" s="9" t="str">
        <f>TEXT(Sales_of_Jordan[[#This Row],[Sale_Date]],"mmm")</f>
        <v>Jun</v>
      </c>
    </row>
    <row r="921" spans="1:11" x14ac:dyDescent="0.35">
      <c r="A921" s="7" t="s">
        <v>951</v>
      </c>
      <c r="B921" s="8">
        <v>45724</v>
      </c>
      <c r="C921" s="9" t="s">
        <v>27</v>
      </c>
      <c r="D921" s="9" t="s">
        <v>22</v>
      </c>
      <c r="E921" s="9" t="s">
        <v>29</v>
      </c>
      <c r="F921" s="9">
        <v>131</v>
      </c>
      <c r="G921" s="9">
        <v>193.95</v>
      </c>
      <c r="H921" s="9" t="s">
        <v>32</v>
      </c>
      <c r="I921" s="9">
        <v>24</v>
      </c>
      <c r="J921" s="10">
        <v>62.949999999999903</v>
      </c>
      <c r="K921" s="9" t="str">
        <f>TEXT(Sales_of_Jordan[[#This Row],[Sale_Date]],"mmm")</f>
        <v>Mar</v>
      </c>
    </row>
    <row r="922" spans="1:11" x14ac:dyDescent="0.35">
      <c r="A922" s="7" t="s">
        <v>952</v>
      </c>
      <c r="B922" s="8">
        <v>45862</v>
      </c>
      <c r="C922" s="9" t="s">
        <v>27</v>
      </c>
      <c r="D922" s="9" t="s">
        <v>17</v>
      </c>
      <c r="E922" s="9" t="s">
        <v>13</v>
      </c>
      <c r="F922" s="9">
        <v>133</v>
      </c>
      <c r="G922" s="9">
        <v>101.3</v>
      </c>
      <c r="H922" s="9" t="s">
        <v>25</v>
      </c>
      <c r="I922" s="9">
        <v>44</v>
      </c>
      <c r="J922" s="10">
        <v>-31.7</v>
      </c>
      <c r="K922" s="9" t="str">
        <f>TEXT(Sales_of_Jordan[[#This Row],[Sale_Date]],"mmm")</f>
        <v>Jul</v>
      </c>
    </row>
    <row r="923" spans="1:11" x14ac:dyDescent="0.35">
      <c r="A923" s="7" t="s">
        <v>953</v>
      </c>
      <c r="B923" s="8">
        <v>45905</v>
      </c>
      <c r="C923" s="9" t="s">
        <v>21</v>
      </c>
      <c r="D923" s="9" t="s">
        <v>46</v>
      </c>
      <c r="E923" s="9" t="s">
        <v>29</v>
      </c>
      <c r="F923" s="9">
        <v>223</v>
      </c>
      <c r="G923" s="9">
        <v>322.92</v>
      </c>
      <c r="H923" s="9" t="s">
        <v>14</v>
      </c>
      <c r="I923" s="9">
        <v>1</v>
      </c>
      <c r="J923" s="10">
        <v>99.92</v>
      </c>
      <c r="K923" s="9" t="str">
        <f>TEXT(Sales_of_Jordan[[#This Row],[Sale_Date]],"mmm")</f>
        <v>Sep</v>
      </c>
    </row>
    <row r="924" spans="1:11" x14ac:dyDescent="0.35">
      <c r="A924" s="7" t="s">
        <v>954</v>
      </c>
      <c r="B924" s="8">
        <v>45332</v>
      </c>
      <c r="C924" s="9" t="s">
        <v>21</v>
      </c>
      <c r="D924" s="9" t="s">
        <v>53</v>
      </c>
      <c r="E924" s="9" t="s">
        <v>18</v>
      </c>
      <c r="F924" s="9">
        <v>217</v>
      </c>
      <c r="G924" s="9">
        <v>376.23</v>
      </c>
      <c r="H924" s="9" t="s">
        <v>14</v>
      </c>
      <c r="I924" s="9">
        <v>8</v>
      </c>
      <c r="J924" s="10">
        <v>159.22999999999999</v>
      </c>
      <c r="K924" s="9" t="str">
        <f>TEXT(Sales_of_Jordan[[#This Row],[Sale_Date]],"mmm")</f>
        <v>Feb</v>
      </c>
    </row>
    <row r="925" spans="1:11" x14ac:dyDescent="0.35">
      <c r="A925" s="7" t="s">
        <v>955</v>
      </c>
      <c r="B925" s="8">
        <v>45168</v>
      </c>
      <c r="C925" s="9" t="s">
        <v>11</v>
      </c>
      <c r="D925" s="9" t="s">
        <v>17</v>
      </c>
      <c r="E925" s="9" t="s">
        <v>29</v>
      </c>
      <c r="F925" s="9">
        <v>225</v>
      </c>
      <c r="G925" s="9">
        <v>222.05</v>
      </c>
      <c r="H925" s="9" t="s">
        <v>23</v>
      </c>
      <c r="I925" s="9">
        <v>5</v>
      </c>
      <c r="J925" s="10">
        <v>-2.9499999999999802</v>
      </c>
      <c r="K925" s="9" t="str">
        <f>TEXT(Sales_of_Jordan[[#This Row],[Sale_Date]],"mmm")</f>
        <v>Aug</v>
      </c>
    </row>
    <row r="926" spans="1:11" x14ac:dyDescent="0.35">
      <c r="A926" s="7" t="s">
        <v>956</v>
      </c>
      <c r="B926" s="8">
        <v>45837</v>
      </c>
      <c r="C926" s="9" t="s">
        <v>31</v>
      </c>
      <c r="D926" s="9" t="s">
        <v>22</v>
      </c>
      <c r="E926" s="9" t="s">
        <v>18</v>
      </c>
      <c r="F926" s="9">
        <v>204</v>
      </c>
      <c r="G926" s="9">
        <v>389.4</v>
      </c>
      <c r="H926" s="9" t="s">
        <v>32</v>
      </c>
      <c r="I926" s="9">
        <v>48</v>
      </c>
      <c r="J926" s="10">
        <v>185.39999999999901</v>
      </c>
      <c r="K926" s="9" t="str">
        <f>TEXT(Sales_of_Jordan[[#This Row],[Sale_Date]],"mmm")</f>
        <v>Jun</v>
      </c>
    </row>
    <row r="927" spans="1:11" x14ac:dyDescent="0.35">
      <c r="A927" s="7" t="s">
        <v>957</v>
      </c>
      <c r="B927" s="8">
        <v>45449</v>
      </c>
      <c r="C927" s="9" t="s">
        <v>11</v>
      </c>
      <c r="D927" s="9" t="s">
        <v>22</v>
      </c>
      <c r="E927" s="9" t="s">
        <v>13</v>
      </c>
      <c r="F927" s="9">
        <v>228</v>
      </c>
      <c r="G927" s="9">
        <v>158.13999999999999</v>
      </c>
      <c r="H927" s="9" t="s">
        <v>25</v>
      </c>
      <c r="I927" s="9">
        <v>13</v>
      </c>
      <c r="J927" s="10">
        <v>-69.86</v>
      </c>
      <c r="K927" s="9" t="str">
        <f>TEXT(Sales_of_Jordan[[#This Row],[Sale_Date]],"mmm")</f>
        <v>Jun</v>
      </c>
    </row>
    <row r="928" spans="1:11" x14ac:dyDescent="0.35">
      <c r="A928" s="7" t="s">
        <v>958</v>
      </c>
      <c r="B928" s="8">
        <v>45420</v>
      </c>
      <c r="C928" s="9" t="s">
        <v>27</v>
      </c>
      <c r="D928" s="9" t="s">
        <v>36</v>
      </c>
      <c r="E928" s="9" t="s">
        <v>29</v>
      </c>
      <c r="F928" s="9">
        <v>128</v>
      </c>
      <c r="G928" s="9">
        <v>145.72</v>
      </c>
      <c r="H928" s="9" t="s">
        <v>32</v>
      </c>
      <c r="I928" s="9">
        <v>30</v>
      </c>
      <c r="J928" s="10">
        <v>17.72</v>
      </c>
      <c r="K928" s="9" t="str">
        <f>TEXT(Sales_of_Jordan[[#This Row],[Sale_Date]],"mmm")</f>
        <v>May</v>
      </c>
    </row>
    <row r="929" spans="1:11" x14ac:dyDescent="0.35">
      <c r="A929" s="7" t="s">
        <v>959</v>
      </c>
      <c r="B929" s="8">
        <v>45694</v>
      </c>
      <c r="C929" s="9" t="s">
        <v>21</v>
      </c>
      <c r="D929" s="9" t="s">
        <v>17</v>
      </c>
      <c r="E929" s="9" t="s">
        <v>18</v>
      </c>
      <c r="F929" s="9">
        <v>213</v>
      </c>
      <c r="G929" s="9">
        <v>613.38</v>
      </c>
      <c r="H929" s="9" t="s">
        <v>25</v>
      </c>
      <c r="I929" s="9">
        <v>35</v>
      </c>
      <c r="J929" s="10">
        <v>400.38</v>
      </c>
      <c r="K929" s="9" t="str">
        <f>TEXT(Sales_of_Jordan[[#This Row],[Sale_Date]],"mmm")</f>
        <v>Feb</v>
      </c>
    </row>
    <row r="930" spans="1:11" x14ac:dyDescent="0.35">
      <c r="A930" s="7" t="s">
        <v>960</v>
      </c>
      <c r="B930" s="8">
        <v>45149</v>
      </c>
      <c r="C930" s="9" t="s">
        <v>31</v>
      </c>
      <c r="D930" s="9" t="s">
        <v>55</v>
      </c>
      <c r="E930" s="9" t="s">
        <v>18</v>
      </c>
      <c r="F930" s="9">
        <v>203</v>
      </c>
      <c r="G930" s="9">
        <v>602.29</v>
      </c>
      <c r="H930" s="9" t="s">
        <v>23</v>
      </c>
      <c r="I930" s="9">
        <v>41</v>
      </c>
      <c r="J930" s="10">
        <v>399.289999999999</v>
      </c>
      <c r="K930" s="9" t="str">
        <f>TEXT(Sales_of_Jordan[[#This Row],[Sale_Date]],"mmm")</f>
        <v>Aug</v>
      </c>
    </row>
    <row r="931" spans="1:11" x14ac:dyDescent="0.35">
      <c r="A931" s="7" t="s">
        <v>961</v>
      </c>
      <c r="B931" s="8">
        <v>45927</v>
      </c>
      <c r="C931" s="9" t="s">
        <v>27</v>
      </c>
      <c r="D931" s="9" t="s">
        <v>39</v>
      </c>
      <c r="E931" s="9" t="s">
        <v>29</v>
      </c>
      <c r="F931" s="9">
        <v>130</v>
      </c>
      <c r="G931" s="9">
        <v>133.44999999999999</v>
      </c>
      <c r="H931" s="9" t="s">
        <v>14</v>
      </c>
      <c r="I931" s="9">
        <v>14</v>
      </c>
      <c r="J931" s="10">
        <v>3.4499999999999802</v>
      </c>
      <c r="K931" s="9" t="str">
        <f>TEXT(Sales_of_Jordan[[#This Row],[Sale_Date]],"mmm")</f>
        <v>Sep</v>
      </c>
    </row>
    <row r="932" spans="1:11" x14ac:dyDescent="0.35">
      <c r="A932" s="7" t="s">
        <v>962</v>
      </c>
      <c r="B932" s="8">
        <v>44953</v>
      </c>
      <c r="C932" s="9" t="s">
        <v>11</v>
      </c>
      <c r="D932" s="9" t="s">
        <v>22</v>
      </c>
      <c r="E932" s="9" t="s">
        <v>29</v>
      </c>
      <c r="F932" s="9">
        <v>225</v>
      </c>
      <c r="G932" s="9">
        <v>229.33</v>
      </c>
      <c r="H932" s="9" t="s">
        <v>23</v>
      </c>
      <c r="I932" s="9">
        <v>60</v>
      </c>
      <c r="J932" s="10">
        <v>4.3300000000000098</v>
      </c>
      <c r="K932" s="9" t="str">
        <f>TEXT(Sales_of_Jordan[[#This Row],[Sale_Date]],"mmm")</f>
        <v>Jan</v>
      </c>
    </row>
    <row r="933" spans="1:11" x14ac:dyDescent="0.35">
      <c r="A933" s="7" t="s">
        <v>963</v>
      </c>
      <c r="B933" s="8">
        <v>45857</v>
      </c>
      <c r="C933" s="9" t="s">
        <v>21</v>
      </c>
      <c r="D933" s="9" t="s">
        <v>55</v>
      </c>
      <c r="E933" s="9" t="s">
        <v>29</v>
      </c>
      <c r="F933" s="9">
        <v>210</v>
      </c>
      <c r="G933" s="9">
        <v>249.61</v>
      </c>
      <c r="H933" s="9" t="s">
        <v>23</v>
      </c>
      <c r="I933" s="9">
        <v>12</v>
      </c>
      <c r="J933" s="10">
        <v>39.61</v>
      </c>
      <c r="K933" s="9" t="str">
        <f>TEXT(Sales_of_Jordan[[#This Row],[Sale_Date]],"mmm")</f>
        <v>Jul</v>
      </c>
    </row>
    <row r="934" spans="1:11" x14ac:dyDescent="0.35">
      <c r="A934" s="7" t="s">
        <v>964</v>
      </c>
      <c r="B934" s="8">
        <v>45905</v>
      </c>
      <c r="C934" s="9" t="s">
        <v>16</v>
      </c>
      <c r="D934" s="9" t="s">
        <v>17</v>
      </c>
      <c r="E934" s="9" t="s">
        <v>18</v>
      </c>
      <c r="F934" s="9">
        <v>182</v>
      </c>
      <c r="G934" s="9">
        <v>240.58</v>
      </c>
      <c r="H934" s="9" t="s">
        <v>25</v>
      </c>
      <c r="I934" s="9">
        <v>39</v>
      </c>
      <c r="J934" s="10">
        <v>58.58</v>
      </c>
      <c r="K934" s="9" t="str">
        <f>TEXT(Sales_of_Jordan[[#This Row],[Sale_Date]],"mmm")</f>
        <v>Sep</v>
      </c>
    </row>
    <row r="935" spans="1:11" x14ac:dyDescent="0.35">
      <c r="A935" s="7" t="s">
        <v>965</v>
      </c>
      <c r="B935" s="8">
        <v>45471</v>
      </c>
      <c r="C935" s="9" t="s">
        <v>27</v>
      </c>
      <c r="D935" s="9" t="s">
        <v>55</v>
      </c>
      <c r="E935" s="9" t="s">
        <v>13</v>
      </c>
      <c r="F935" s="9">
        <v>138</v>
      </c>
      <c r="G935" s="9">
        <v>100.38</v>
      </c>
      <c r="H935" s="9" t="s">
        <v>25</v>
      </c>
      <c r="I935" s="9">
        <v>10</v>
      </c>
      <c r="J935" s="10">
        <v>-37.619999999999997</v>
      </c>
      <c r="K935" s="9" t="str">
        <f>TEXT(Sales_of_Jordan[[#This Row],[Sale_Date]],"mmm")</f>
        <v>Jun</v>
      </c>
    </row>
    <row r="936" spans="1:11" x14ac:dyDescent="0.35">
      <c r="A936" s="7" t="s">
        <v>966</v>
      </c>
      <c r="B936" s="8">
        <v>44988</v>
      </c>
      <c r="C936" s="9" t="s">
        <v>11</v>
      </c>
      <c r="D936" s="9" t="s">
        <v>22</v>
      </c>
      <c r="E936" s="9" t="s">
        <v>29</v>
      </c>
      <c r="F936" s="9">
        <v>229</v>
      </c>
      <c r="G936" s="9">
        <v>304.19</v>
      </c>
      <c r="H936" s="9" t="s">
        <v>23</v>
      </c>
      <c r="I936" s="9">
        <v>60</v>
      </c>
      <c r="J936" s="10">
        <v>75.19</v>
      </c>
      <c r="K936" s="9" t="str">
        <f>TEXT(Sales_of_Jordan[[#This Row],[Sale_Date]],"mmm")</f>
        <v>Mar</v>
      </c>
    </row>
    <row r="937" spans="1:11" x14ac:dyDescent="0.35">
      <c r="A937" s="7" t="s">
        <v>967</v>
      </c>
      <c r="B937" s="8">
        <v>44991</v>
      </c>
      <c r="C937" s="9" t="s">
        <v>27</v>
      </c>
      <c r="D937" s="9" t="s">
        <v>46</v>
      </c>
      <c r="E937" s="9" t="s">
        <v>18</v>
      </c>
      <c r="F937" s="9">
        <v>137</v>
      </c>
      <c r="G937" s="9">
        <v>401.55</v>
      </c>
      <c r="H937" s="9" t="s">
        <v>14</v>
      </c>
      <c r="I937" s="9">
        <v>5</v>
      </c>
      <c r="J937" s="10">
        <v>264.55</v>
      </c>
      <c r="K937" s="9" t="str">
        <f>TEXT(Sales_of_Jordan[[#This Row],[Sale_Date]],"mmm")</f>
        <v>Mar</v>
      </c>
    </row>
    <row r="938" spans="1:11" x14ac:dyDescent="0.35">
      <c r="A938" s="7" t="s">
        <v>968</v>
      </c>
      <c r="B938" s="8">
        <v>45042</v>
      </c>
      <c r="C938" s="9" t="s">
        <v>16</v>
      </c>
      <c r="D938" s="9" t="s">
        <v>53</v>
      </c>
      <c r="E938" s="9" t="s">
        <v>29</v>
      </c>
      <c r="F938" s="9">
        <v>176</v>
      </c>
      <c r="G938" s="9">
        <v>250.11</v>
      </c>
      <c r="H938" s="9" t="s">
        <v>23</v>
      </c>
      <c r="I938" s="9">
        <v>23</v>
      </c>
      <c r="J938" s="10">
        <v>74.11</v>
      </c>
      <c r="K938" s="9" t="str">
        <f>TEXT(Sales_of_Jordan[[#This Row],[Sale_Date]],"mmm")</f>
        <v>Apr</v>
      </c>
    </row>
    <row r="939" spans="1:11" x14ac:dyDescent="0.35">
      <c r="A939" s="7" t="s">
        <v>969</v>
      </c>
      <c r="B939" s="8">
        <v>45368</v>
      </c>
      <c r="C939" s="9" t="s">
        <v>31</v>
      </c>
      <c r="D939" s="9" t="s">
        <v>53</v>
      </c>
      <c r="E939" s="9" t="s">
        <v>18</v>
      </c>
      <c r="F939" s="9">
        <v>203</v>
      </c>
      <c r="G939" s="9">
        <v>282.89</v>
      </c>
      <c r="H939" s="9" t="s">
        <v>14</v>
      </c>
      <c r="I939" s="9">
        <v>6</v>
      </c>
      <c r="J939" s="10">
        <v>79.889999999999901</v>
      </c>
      <c r="K939" s="9" t="str">
        <f>TEXT(Sales_of_Jordan[[#This Row],[Sale_Date]],"mmm")</f>
        <v>Mar</v>
      </c>
    </row>
    <row r="940" spans="1:11" x14ac:dyDescent="0.35">
      <c r="A940" s="7" t="s">
        <v>970</v>
      </c>
      <c r="B940" s="8">
        <v>45107</v>
      </c>
      <c r="C940" s="9" t="s">
        <v>21</v>
      </c>
      <c r="D940" s="9" t="s">
        <v>22</v>
      </c>
      <c r="E940" s="9" t="s">
        <v>29</v>
      </c>
      <c r="F940" s="9">
        <v>219</v>
      </c>
      <c r="G940" s="9">
        <v>207.84</v>
      </c>
      <c r="H940" s="9" t="s">
        <v>19</v>
      </c>
      <c r="I940" s="9">
        <v>13</v>
      </c>
      <c r="J940" s="10">
        <v>-11.159999999999901</v>
      </c>
      <c r="K940" s="9" t="str">
        <f>TEXT(Sales_of_Jordan[[#This Row],[Sale_Date]],"mmm")</f>
        <v>Jun</v>
      </c>
    </row>
    <row r="941" spans="1:11" x14ac:dyDescent="0.35">
      <c r="A941" s="7" t="s">
        <v>971</v>
      </c>
      <c r="B941" s="8">
        <v>45075</v>
      </c>
      <c r="C941" s="9" t="s">
        <v>16</v>
      </c>
      <c r="D941" s="9" t="s">
        <v>46</v>
      </c>
      <c r="E941" s="9" t="s">
        <v>29</v>
      </c>
      <c r="F941" s="9">
        <v>186</v>
      </c>
      <c r="G941" s="9">
        <v>258.11</v>
      </c>
      <c r="H941" s="9" t="s">
        <v>14</v>
      </c>
      <c r="I941" s="9">
        <v>14</v>
      </c>
      <c r="J941" s="10">
        <v>72.11</v>
      </c>
      <c r="K941" s="9" t="str">
        <f>TEXT(Sales_of_Jordan[[#This Row],[Sale_Date]],"mmm")</f>
        <v>May</v>
      </c>
    </row>
    <row r="942" spans="1:11" x14ac:dyDescent="0.35">
      <c r="A942" s="7" t="s">
        <v>972</v>
      </c>
      <c r="B942" s="8">
        <v>45552</v>
      </c>
      <c r="C942" s="9" t="s">
        <v>27</v>
      </c>
      <c r="D942" s="9" t="s">
        <v>12</v>
      </c>
      <c r="E942" s="9" t="s">
        <v>29</v>
      </c>
      <c r="F942" s="9">
        <v>137</v>
      </c>
      <c r="G942" s="9">
        <v>186.15</v>
      </c>
      <c r="H942" s="9" t="s">
        <v>23</v>
      </c>
      <c r="I942" s="9">
        <v>21</v>
      </c>
      <c r="J942" s="10">
        <v>49.15</v>
      </c>
      <c r="K942" s="9" t="str">
        <f>TEXT(Sales_of_Jordan[[#This Row],[Sale_Date]],"mmm")</f>
        <v>Sep</v>
      </c>
    </row>
    <row r="943" spans="1:11" x14ac:dyDescent="0.35">
      <c r="A943" s="7" t="s">
        <v>973</v>
      </c>
      <c r="B943" s="8">
        <v>45026</v>
      </c>
      <c r="C943" s="9" t="s">
        <v>21</v>
      </c>
      <c r="D943" s="9" t="s">
        <v>34</v>
      </c>
      <c r="E943" s="9" t="s">
        <v>13</v>
      </c>
      <c r="F943" s="9">
        <v>224</v>
      </c>
      <c r="G943" s="9">
        <v>171.77</v>
      </c>
      <c r="H943" s="9" t="s">
        <v>14</v>
      </c>
      <c r="I943" s="9">
        <v>7</v>
      </c>
      <c r="J943" s="10">
        <v>-52.229999999999897</v>
      </c>
      <c r="K943" s="9" t="str">
        <f>TEXT(Sales_of_Jordan[[#This Row],[Sale_Date]],"mmm")</f>
        <v>Apr</v>
      </c>
    </row>
    <row r="944" spans="1:11" x14ac:dyDescent="0.35">
      <c r="A944" s="7" t="s">
        <v>974</v>
      </c>
      <c r="B944" s="8">
        <v>45819</v>
      </c>
      <c r="C944" s="9" t="s">
        <v>16</v>
      </c>
      <c r="D944" s="9" t="s">
        <v>34</v>
      </c>
      <c r="E944" s="9" t="s">
        <v>13</v>
      </c>
      <c r="F944" s="9">
        <v>179</v>
      </c>
      <c r="G944" s="9">
        <v>109.94</v>
      </c>
      <c r="H944" s="9" t="s">
        <v>19</v>
      </c>
      <c r="I944" s="9">
        <v>13</v>
      </c>
      <c r="J944" s="10">
        <v>-69.06</v>
      </c>
      <c r="K944" s="9" t="str">
        <f>TEXT(Sales_of_Jordan[[#This Row],[Sale_Date]],"mmm")</f>
        <v>Jun</v>
      </c>
    </row>
    <row r="945" spans="1:11" x14ac:dyDescent="0.35">
      <c r="A945" s="7" t="s">
        <v>975</v>
      </c>
      <c r="B945" s="8">
        <v>45693</v>
      </c>
      <c r="C945" s="9" t="s">
        <v>16</v>
      </c>
      <c r="D945" s="9" t="s">
        <v>39</v>
      </c>
      <c r="E945" s="9" t="s">
        <v>29</v>
      </c>
      <c r="F945" s="9">
        <v>181</v>
      </c>
      <c r="G945" s="9">
        <v>247.9</v>
      </c>
      <c r="H945" s="9" t="s">
        <v>32</v>
      </c>
      <c r="I945" s="9">
        <v>46</v>
      </c>
      <c r="J945" s="10">
        <v>66.900000000000006</v>
      </c>
      <c r="K945" s="9" t="str">
        <f>TEXT(Sales_of_Jordan[[#This Row],[Sale_Date]],"mmm")</f>
        <v>Feb</v>
      </c>
    </row>
    <row r="946" spans="1:11" x14ac:dyDescent="0.35">
      <c r="A946" s="7" t="s">
        <v>976</v>
      </c>
      <c r="B946" s="8">
        <v>45418</v>
      </c>
      <c r="C946" s="9" t="s">
        <v>16</v>
      </c>
      <c r="D946" s="9" t="s">
        <v>17</v>
      </c>
      <c r="E946" s="9" t="s">
        <v>29</v>
      </c>
      <c r="F946" s="9">
        <v>175</v>
      </c>
      <c r="G946" s="9">
        <v>242.78</v>
      </c>
      <c r="H946" s="9" t="s">
        <v>25</v>
      </c>
      <c r="I946" s="9">
        <v>5</v>
      </c>
      <c r="J946" s="10">
        <v>67.78</v>
      </c>
      <c r="K946" s="9" t="str">
        <f>TEXT(Sales_of_Jordan[[#This Row],[Sale_Date]],"mmm")</f>
        <v>May</v>
      </c>
    </row>
    <row r="947" spans="1:11" x14ac:dyDescent="0.35">
      <c r="A947" s="7" t="s">
        <v>977</v>
      </c>
      <c r="B947" s="8">
        <v>45784</v>
      </c>
      <c r="C947" s="9" t="s">
        <v>11</v>
      </c>
      <c r="D947" s="9" t="s">
        <v>53</v>
      </c>
      <c r="E947" s="9" t="s">
        <v>13</v>
      </c>
      <c r="F947" s="9">
        <v>229</v>
      </c>
      <c r="G947" s="9">
        <v>193.44</v>
      </c>
      <c r="H947" s="9" t="s">
        <v>23</v>
      </c>
      <c r="I947" s="9">
        <v>11</v>
      </c>
      <c r="J947" s="10">
        <v>-35.56</v>
      </c>
      <c r="K947" s="9" t="str">
        <f>TEXT(Sales_of_Jordan[[#This Row],[Sale_Date]],"mmm")</f>
        <v>May</v>
      </c>
    </row>
    <row r="948" spans="1:11" x14ac:dyDescent="0.35">
      <c r="A948" s="7" t="s">
        <v>978</v>
      </c>
      <c r="B948" s="8">
        <v>45487</v>
      </c>
      <c r="C948" s="9" t="s">
        <v>11</v>
      </c>
      <c r="D948" s="9" t="s">
        <v>34</v>
      </c>
      <c r="E948" s="9" t="s">
        <v>18</v>
      </c>
      <c r="F948" s="9">
        <v>226</v>
      </c>
      <c r="G948" s="9">
        <v>529.21</v>
      </c>
      <c r="H948" s="9" t="s">
        <v>19</v>
      </c>
      <c r="I948" s="9">
        <v>3</v>
      </c>
      <c r="J948" s="10">
        <v>303.20999999999998</v>
      </c>
      <c r="K948" s="9" t="str">
        <f>TEXT(Sales_of_Jordan[[#This Row],[Sale_Date]],"mmm")</f>
        <v>Jul</v>
      </c>
    </row>
    <row r="949" spans="1:11" x14ac:dyDescent="0.35">
      <c r="A949" s="7" t="s">
        <v>979</v>
      </c>
      <c r="B949" s="8">
        <v>45140</v>
      </c>
      <c r="C949" s="9" t="s">
        <v>27</v>
      </c>
      <c r="D949" s="9" t="s">
        <v>12</v>
      </c>
      <c r="E949" s="9" t="s">
        <v>13</v>
      </c>
      <c r="F949" s="9">
        <v>118</v>
      </c>
      <c r="G949" s="9">
        <v>78.42</v>
      </c>
      <c r="H949" s="9" t="s">
        <v>19</v>
      </c>
      <c r="I949" s="9">
        <v>7</v>
      </c>
      <c r="J949" s="10">
        <v>-39.58</v>
      </c>
      <c r="K949" s="9" t="str">
        <f>TEXT(Sales_of_Jordan[[#This Row],[Sale_Date]],"mmm")</f>
        <v>Aug</v>
      </c>
    </row>
    <row r="950" spans="1:11" x14ac:dyDescent="0.35">
      <c r="A950" s="7" t="s">
        <v>980</v>
      </c>
      <c r="B950" s="8">
        <v>45248</v>
      </c>
      <c r="C950" s="9" t="s">
        <v>21</v>
      </c>
      <c r="D950" s="9" t="s">
        <v>53</v>
      </c>
      <c r="E950" s="9" t="s">
        <v>18</v>
      </c>
      <c r="F950" s="9">
        <v>219</v>
      </c>
      <c r="G950" s="9">
        <v>737.93</v>
      </c>
      <c r="H950" s="9" t="s">
        <v>32</v>
      </c>
      <c r="I950" s="9">
        <v>18</v>
      </c>
      <c r="J950" s="10">
        <v>518.92999999999995</v>
      </c>
      <c r="K950" s="9" t="str">
        <f>TEXT(Sales_of_Jordan[[#This Row],[Sale_Date]],"mmm")</f>
        <v>Nov</v>
      </c>
    </row>
    <row r="951" spans="1:11" x14ac:dyDescent="0.35">
      <c r="A951" s="7" t="s">
        <v>981</v>
      </c>
      <c r="B951" s="8">
        <v>45448</v>
      </c>
      <c r="C951" s="9" t="s">
        <v>16</v>
      </c>
      <c r="D951" s="9" t="s">
        <v>34</v>
      </c>
      <c r="E951" s="9" t="s">
        <v>29</v>
      </c>
      <c r="F951" s="9">
        <v>182</v>
      </c>
      <c r="G951" s="9">
        <v>251.01</v>
      </c>
      <c r="H951" s="9" t="s">
        <v>23</v>
      </c>
      <c r="I951" s="9">
        <v>48</v>
      </c>
      <c r="J951" s="10">
        <v>69.009999999999906</v>
      </c>
      <c r="K951" s="9" t="str">
        <f>TEXT(Sales_of_Jordan[[#This Row],[Sale_Date]],"mmm")</f>
        <v>Jun</v>
      </c>
    </row>
    <row r="952" spans="1:11" x14ac:dyDescent="0.35">
      <c r="A952" s="7" t="s">
        <v>982</v>
      </c>
      <c r="B952" s="8">
        <v>45284</v>
      </c>
      <c r="C952" s="9" t="s">
        <v>21</v>
      </c>
      <c r="D952" s="9" t="s">
        <v>12</v>
      </c>
      <c r="E952" s="9" t="s">
        <v>29</v>
      </c>
      <c r="F952" s="9">
        <v>212</v>
      </c>
      <c r="G952" s="9">
        <v>233.47</v>
      </c>
      <c r="H952" s="9" t="s">
        <v>32</v>
      </c>
      <c r="I952" s="9">
        <v>12</v>
      </c>
      <c r="J952" s="10">
        <v>21.47</v>
      </c>
      <c r="K952" s="9" t="str">
        <f>TEXT(Sales_of_Jordan[[#This Row],[Sale_Date]],"mmm")</f>
        <v>Dec</v>
      </c>
    </row>
    <row r="953" spans="1:11" x14ac:dyDescent="0.35">
      <c r="A953" s="7" t="s">
        <v>983</v>
      </c>
      <c r="B953" s="8">
        <v>45425</v>
      </c>
      <c r="C953" s="9" t="s">
        <v>11</v>
      </c>
      <c r="D953" s="9" t="s">
        <v>46</v>
      </c>
      <c r="E953" s="9" t="s">
        <v>29</v>
      </c>
      <c r="F953" s="9">
        <v>225</v>
      </c>
      <c r="G953" s="9">
        <v>227.52</v>
      </c>
      <c r="H953" s="9" t="s">
        <v>32</v>
      </c>
      <c r="I953" s="9">
        <v>22</v>
      </c>
      <c r="J953" s="10">
        <v>2.5200000000000098</v>
      </c>
      <c r="K953" s="9" t="str">
        <f>TEXT(Sales_of_Jordan[[#This Row],[Sale_Date]],"mmm")</f>
        <v>May</v>
      </c>
    </row>
    <row r="954" spans="1:11" x14ac:dyDescent="0.35">
      <c r="A954" s="7" t="s">
        <v>984</v>
      </c>
      <c r="B954" s="8">
        <v>45551</v>
      </c>
      <c r="C954" s="9" t="s">
        <v>16</v>
      </c>
      <c r="D954" s="9" t="s">
        <v>17</v>
      </c>
      <c r="E954" s="9" t="s">
        <v>13</v>
      </c>
      <c r="F954" s="9">
        <v>181</v>
      </c>
      <c r="G954" s="9">
        <v>104.83</v>
      </c>
      <c r="H954" s="9" t="s">
        <v>25</v>
      </c>
      <c r="I954" s="9">
        <v>49</v>
      </c>
      <c r="J954" s="10">
        <v>-76.17</v>
      </c>
      <c r="K954" s="9" t="str">
        <f>TEXT(Sales_of_Jordan[[#This Row],[Sale_Date]],"mmm")</f>
        <v>Sep</v>
      </c>
    </row>
    <row r="955" spans="1:11" x14ac:dyDescent="0.35">
      <c r="A955" s="7" t="s">
        <v>985</v>
      </c>
      <c r="B955" s="8">
        <v>45645</v>
      </c>
      <c r="C955" s="9" t="s">
        <v>21</v>
      </c>
      <c r="D955" s="9" t="s">
        <v>53</v>
      </c>
      <c r="E955" s="9" t="s">
        <v>29</v>
      </c>
      <c r="F955" s="9">
        <v>217</v>
      </c>
      <c r="G955" s="9">
        <v>280.12</v>
      </c>
      <c r="H955" s="9" t="s">
        <v>14</v>
      </c>
      <c r="I955" s="9">
        <v>13</v>
      </c>
      <c r="J955" s="10">
        <v>63.12</v>
      </c>
      <c r="K955" s="9" t="str">
        <f>TEXT(Sales_of_Jordan[[#This Row],[Sale_Date]],"mmm")</f>
        <v>Dec</v>
      </c>
    </row>
    <row r="956" spans="1:11" x14ac:dyDescent="0.35">
      <c r="A956" s="7" t="s">
        <v>986</v>
      </c>
      <c r="B956" s="8">
        <v>45825</v>
      </c>
      <c r="C956" s="9" t="s">
        <v>16</v>
      </c>
      <c r="D956" s="9" t="s">
        <v>17</v>
      </c>
      <c r="E956" s="9" t="s">
        <v>29</v>
      </c>
      <c r="F956" s="9">
        <v>190</v>
      </c>
      <c r="G956" s="9">
        <v>204</v>
      </c>
      <c r="H956" s="9" t="s">
        <v>14</v>
      </c>
      <c r="I956" s="9">
        <v>12</v>
      </c>
      <c r="J956" s="10">
        <v>14</v>
      </c>
      <c r="K956" s="9" t="str">
        <f>TEXT(Sales_of_Jordan[[#This Row],[Sale_Date]],"mmm")</f>
        <v>Jun</v>
      </c>
    </row>
    <row r="957" spans="1:11" x14ac:dyDescent="0.35">
      <c r="A957" s="7" t="s">
        <v>987</v>
      </c>
      <c r="B957" s="8">
        <v>45160</v>
      </c>
      <c r="C957" s="9" t="s">
        <v>21</v>
      </c>
      <c r="D957" s="9" t="s">
        <v>36</v>
      </c>
      <c r="E957" s="9" t="s">
        <v>29</v>
      </c>
      <c r="F957" s="9">
        <v>211</v>
      </c>
      <c r="G957" s="9">
        <v>222.29</v>
      </c>
      <c r="H957" s="9" t="s">
        <v>19</v>
      </c>
      <c r="I957" s="9">
        <v>7</v>
      </c>
      <c r="J957" s="10">
        <v>11.2899999999999</v>
      </c>
      <c r="K957" s="9" t="str">
        <f>TEXT(Sales_of_Jordan[[#This Row],[Sale_Date]],"mmm")</f>
        <v>Aug</v>
      </c>
    </row>
    <row r="958" spans="1:11" x14ac:dyDescent="0.35">
      <c r="A958" s="7" t="s">
        <v>988</v>
      </c>
      <c r="B958" s="8">
        <v>44979</v>
      </c>
      <c r="C958" s="9" t="s">
        <v>21</v>
      </c>
      <c r="D958" s="9" t="s">
        <v>36</v>
      </c>
      <c r="E958" s="9" t="s">
        <v>18</v>
      </c>
      <c r="F958" s="9">
        <v>218</v>
      </c>
      <c r="G958" s="9">
        <v>665.84</v>
      </c>
      <c r="H958" s="9" t="s">
        <v>25</v>
      </c>
      <c r="I958" s="9">
        <v>53</v>
      </c>
      <c r="J958" s="10">
        <v>447.84</v>
      </c>
      <c r="K958" s="9" t="str">
        <f>TEXT(Sales_of_Jordan[[#This Row],[Sale_Date]],"mmm")</f>
        <v>Feb</v>
      </c>
    </row>
    <row r="959" spans="1:11" x14ac:dyDescent="0.35">
      <c r="A959" s="7" t="s">
        <v>989</v>
      </c>
      <c r="B959" s="8">
        <v>45164</v>
      </c>
      <c r="C959" s="9" t="s">
        <v>31</v>
      </c>
      <c r="D959" s="9" t="s">
        <v>46</v>
      </c>
      <c r="E959" s="9" t="s">
        <v>13</v>
      </c>
      <c r="F959" s="9">
        <v>207</v>
      </c>
      <c r="G959" s="9">
        <v>143.61000000000001</v>
      </c>
      <c r="H959" s="9" t="s">
        <v>25</v>
      </c>
      <c r="I959" s="9">
        <v>34</v>
      </c>
      <c r="J959" s="10">
        <v>-63.389999999999901</v>
      </c>
      <c r="K959" s="9" t="str">
        <f>TEXT(Sales_of_Jordan[[#This Row],[Sale_Date]],"mmm")</f>
        <v>Aug</v>
      </c>
    </row>
    <row r="960" spans="1:11" x14ac:dyDescent="0.35">
      <c r="A960" s="7" t="s">
        <v>990</v>
      </c>
      <c r="B960" s="8">
        <v>45689</v>
      </c>
      <c r="C960" s="9" t="s">
        <v>11</v>
      </c>
      <c r="D960" s="9" t="s">
        <v>55</v>
      </c>
      <c r="E960" s="9" t="s">
        <v>18</v>
      </c>
      <c r="F960" s="9">
        <v>230</v>
      </c>
      <c r="G960" s="9">
        <v>751.03</v>
      </c>
      <c r="H960" s="9" t="s">
        <v>19</v>
      </c>
      <c r="I960" s="9">
        <v>6</v>
      </c>
      <c r="J960" s="10">
        <v>521.03</v>
      </c>
      <c r="K960" s="9" t="str">
        <f>TEXT(Sales_of_Jordan[[#This Row],[Sale_Date]],"mmm")</f>
        <v>Feb</v>
      </c>
    </row>
    <row r="961" spans="1:11" x14ac:dyDescent="0.35">
      <c r="A961" s="7" t="s">
        <v>991</v>
      </c>
      <c r="B961" s="8">
        <v>45180</v>
      </c>
      <c r="C961" s="9" t="s">
        <v>27</v>
      </c>
      <c r="D961" s="9" t="s">
        <v>55</v>
      </c>
      <c r="E961" s="9" t="s">
        <v>18</v>
      </c>
      <c r="F961" s="9">
        <v>138</v>
      </c>
      <c r="G961" s="9">
        <v>353.01</v>
      </c>
      <c r="H961" s="9" t="s">
        <v>32</v>
      </c>
      <c r="I961" s="9">
        <v>15</v>
      </c>
      <c r="J961" s="10">
        <v>215.01</v>
      </c>
      <c r="K961" s="9" t="str">
        <f>TEXT(Sales_of_Jordan[[#This Row],[Sale_Date]],"mmm")</f>
        <v>Sep</v>
      </c>
    </row>
    <row r="962" spans="1:11" x14ac:dyDescent="0.35">
      <c r="A962" s="7" t="s">
        <v>992</v>
      </c>
      <c r="B962" s="8">
        <v>45507</v>
      </c>
      <c r="C962" s="9" t="s">
        <v>11</v>
      </c>
      <c r="D962" s="9" t="s">
        <v>55</v>
      </c>
      <c r="E962" s="9" t="s">
        <v>13</v>
      </c>
      <c r="F962" s="9">
        <v>227</v>
      </c>
      <c r="G962" s="9">
        <v>116.85</v>
      </c>
      <c r="H962" s="9" t="s">
        <v>19</v>
      </c>
      <c r="I962" s="9">
        <v>9</v>
      </c>
      <c r="J962" s="10">
        <v>-110.15</v>
      </c>
      <c r="K962" s="9" t="str">
        <f>TEXT(Sales_of_Jordan[[#This Row],[Sale_Date]],"mmm")</f>
        <v>Aug</v>
      </c>
    </row>
    <row r="963" spans="1:11" x14ac:dyDescent="0.35">
      <c r="A963" s="7" t="s">
        <v>993</v>
      </c>
      <c r="B963" s="8">
        <v>45037</v>
      </c>
      <c r="C963" s="9" t="s">
        <v>11</v>
      </c>
      <c r="D963" s="9" t="s">
        <v>53</v>
      </c>
      <c r="E963" s="9" t="s">
        <v>29</v>
      </c>
      <c r="F963" s="9">
        <v>230</v>
      </c>
      <c r="G963" s="9">
        <v>210.33</v>
      </c>
      <c r="H963" s="9" t="s">
        <v>25</v>
      </c>
      <c r="I963" s="9">
        <v>60</v>
      </c>
      <c r="J963" s="10">
        <v>-19.669999999999899</v>
      </c>
      <c r="K963" s="9" t="str">
        <f>TEXT(Sales_of_Jordan[[#This Row],[Sale_Date]],"mmm")</f>
        <v>Apr</v>
      </c>
    </row>
    <row r="964" spans="1:11" x14ac:dyDescent="0.35">
      <c r="A964" s="7" t="s">
        <v>994</v>
      </c>
      <c r="B964" s="8">
        <v>45076</v>
      </c>
      <c r="C964" s="9" t="s">
        <v>16</v>
      </c>
      <c r="D964" s="9" t="s">
        <v>34</v>
      </c>
      <c r="E964" s="9" t="s">
        <v>29</v>
      </c>
      <c r="F964" s="9">
        <v>172</v>
      </c>
      <c r="G964" s="9">
        <v>252.96</v>
      </c>
      <c r="H964" s="9" t="s">
        <v>23</v>
      </c>
      <c r="I964" s="9">
        <v>58</v>
      </c>
      <c r="J964" s="10">
        <v>80.959999999999994</v>
      </c>
      <c r="K964" s="9" t="str">
        <f>TEXT(Sales_of_Jordan[[#This Row],[Sale_Date]],"mmm")</f>
        <v>May</v>
      </c>
    </row>
    <row r="965" spans="1:11" x14ac:dyDescent="0.35">
      <c r="A965" s="7" t="s">
        <v>995</v>
      </c>
      <c r="B965" s="8">
        <v>45315</v>
      </c>
      <c r="C965" s="9" t="s">
        <v>31</v>
      </c>
      <c r="D965" s="9" t="s">
        <v>12</v>
      </c>
      <c r="E965" s="9" t="s">
        <v>29</v>
      </c>
      <c r="F965" s="9">
        <v>200</v>
      </c>
      <c r="G965" s="9">
        <v>222.22</v>
      </c>
      <c r="H965" s="9" t="s">
        <v>14</v>
      </c>
      <c r="I965" s="9">
        <v>9</v>
      </c>
      <c r="J965" s="10">
        <v>22.22</v>
      </c>
      <c r="K965" s="9" t="str">
        <f>TEXT(Sales_of_Jordan[[#This Row],[Sale_Date]],"mmm")</f>
        <v>Jan</v>
      </c>
    </row>
    <row r="966" spans="1:11" x14ac:dyDescent="0.35">
      <c r="A966" s="7" t="s">
        <v>996</v>
      </c>
      <c r="B966" s="8">
        <v>45091</v>
      </c>
      <c r="C966" s="9" t="s">
        <v>16</v>
      </c>
      <c r="D966" s="9" t="s">
        <v>55</v>
      </c>
      <c r="E966" s="9" t="s">
        <v>13</v>
      </c>
      <c r="F966" s="9">
        <v>186</v>
      </c>
      <c r="G966" s="9">
        <v>131.51</v>
      </c>
      <c r="H966" s="9" t="s">
        <v>19</v>
      </c>
      <c r="I966" s="9">
        <v>6</v>
      </c>
      <c r="J966" s="10">
        <v>-54.49</v>
      </c>
      <c r="K966" s="9" t="str">
        <f>TEXT(Sales_of_Jordan[[#This Row],[Sale_Date]],"mmm")</f>
        <v>Jun</v>
      </c>
    </row>
    <row r="967" spans="1:11" x14ac:dyDescent="0.35">
      <c r="A967" s="7" t="s">
        <v>997</v>
      </c>
      <c r="B967" s="8">
        <v>45763</v>
      </c>
      <c r="C967" s="9" t="s">
        <v>11</v>
      </c>
      <c r="D967" s="9" t="s">
        <v>12</v>
      </c>
      <c r="E967" s="9" t="s">
        <v>29</v>
      </c>
      <c r="F967" s="9">
        <v>225</v>
      </c>
      <c r="G967" s="9">
        <v>259.14</v>
      </c>
      <c r="H967" s="9" t="s">
        <v>19</v>
      </c>
      <c r="I967" s="9">
        <v>14</v>
      </c>
      <c r="J967" s="10">
        <v>34.139999999999901</v>
      </c>
      <c r="K967" s="9" t="str">
        <f>TEXT(Sales_of_Jordan[[#This Row],[Sale_Date]],"mmm")</f>
        <v>Apr</v>
      </c>
    </row>
    <row r="968" spans="1:11" x14ac:dyDescent="0.35">
      <c r="A968" s="7" t="s">
        <v>998</v>
      </c>
      <c r="B968" s="8">
        <v>45124</v>
      </c>
      <c r="C968" s="9" t="s">
        <v>27</v>
      </c>
      <c r="D968" s="9" t="s">
        <v>36</v>
      </c>
      <c r="E968" s="9" t="s">
        <v>18</v>
      </c>
      <c r="F968" s="9">
        <v>127</v>
      </c>
      <c r="G968" s="9">
        <v>339.82</v>
      </c>
      <c r="H968" s="9" t="s">
        <v>32</v>
      </c>
      <c r="I968" s="9">
        <v>53</v>
      </c>
      <c r="J968" s="10">
        <v>212.82</v>
      </c>
      <c r="K968" s="9" t="str">
        <f>TEXT(Sales_of_Jordan[[#This Row],[Sale_Date]],"mmm")</f>
        <v>Jul</v>
      </c>
    </row>
    <row r="969" spans="1:11" x14ac:dyDescent="0.35">
      <c r="A969" s="7" t="s">
        <v>999</v>
      </c>
      <c r="B969" s="8">
        <v>45139</v>
      </c>
      <c r="C969" s="9" t="s">
        <v>21</v>
      </c>
      <c r="D969" s="9" t="s">
        <v>46</v>
      </c>
      <c r="E969" s="9" t="s">
        <v>18</v>
      </c>
      <c r="F969" s="9">
        <v>214</v>
      </c>
      <c r="G969" s="9">
        <v>587.53</v>
      </c>
      <c r="H969" s="9" t="s">
        <v>23</v>
      </c>
      <c r="I969" s="9">
        <v>20</v>
      </c>
      <c r="J969" s="10">
        <v>373.53</v>
      </c>
      <c r="K969" s="9" t="str">
        <f>TEXT(Sales_of_Jordan[[#This Row],[Sale_Date]],"mmm")</f>
        <v>Aug</v>
      </c>
    </row>
    <row r="970" spans="1:11" x14ac:dyDescent="0.35">
      <c r="A970" s="7" t="s">
        <v>1000</v>
      </c>
      <c r="B970" s="8">
        <v>45696</v>
      </c>
      <c r="C970" s="9" t="s">
        <v>21</v>
      </c>
      <c r="D970" s="9" t="s">
        <v>12</v>
      </c>
      <c r="E970" s="9" t="s">
        <v>18</v>
      </c>
      <c r="F970" s="9">
        <v>223</v>
      </c>
      <c r="G970" s="9">
        <v>770.63</v>
      </c>
      <c r="H970" s="9" t="s">
        <v>14</v>
      </c>
      <c r="I970" s="9">
        <v>6</v>
      </c>
      <c r="J970" s="10">
        <v>547.63</v>
      </c>
      <c r="K970" s="9" t="str">
        <f>TEXT(Sales_of_Jordan[[#This Row],[Sale_Date]],"mmm")</f>
        <v>Feb</v>
      </c>
    </row>
    <row r="971" spans="1:11" x14ac:dyDescent="0.35">
      <c r="A971" s="7" t="s">
        <v>1001</v>
      </c>
      <c r="B971" s="8">
        <v>45078</v>
      </c>
      <c r="C971" s="9" t="s">
        <v>31</v>
      </c>
      <c r="D971" s="9" t="s">
        <v>22</v>
      </c>
      <c r="E971" s="9" t="s">
        <v>29</v>
      </c>
      <c r="F971" s="9">
        <v>204</v>
      </c>
      <c r="G971" s="9">
        <v>210.86</v>
      </c>
      <c r="H971" s="9" t="s">
        <v>14</v>
      </c>
      <c r="I971" s="9">
        <v>4</v>
      </c>
      <c r="J971" s="10">
        <v>6.8600000000000101</v>
      </c>
      <c r="K971" s="9" t="str">
        <f>TEXT(Sales_of_Jordan[[#This Row],[Sale_Date]],"mmm")</f>
        <v>Jun</v>
      </c>
    </row>
    <row r="972" spans="1:11" x14ac:dyDescent="0.35">
      <c r="A972" s="7" t="s">
        <v>1002</v>
      </c>
      <c r="B972" s="8">
        <v>45773</v>
      </c>
      <c r="C972" s="9" t="s">
        <v>27</v>
      </c>
      <c r="D972" s="9" t="s">
        <v>46</v>
      </c>
      <c r="E972" s="9" t="s">
        <v>29</v>
      </c>
      <c r="F972" s="9">
        <v>125</v>
      </c>
      <c r="G972" s="9">
        <v>119.2</v>
      </c>
      <c r="H972" s="9" t="s">
        <v>19</v>
      </c>
      <c r="I972" s="9">
        <v>5</v>
      </c>
      <c r="J972" s="10">
        <v>-5.7999999999999901</v>
      </c>
      <c r="K972" s="9" t="str">
        <f>TEXT(Sales_of_Jordan[[#This Row],[Sale_Date]],"mmm")</f>
        <v>Apr</v>
      </c>
    </row>
    <row r="973" spans="1:11" x14ac:dyDescent="0.35">
      <c r="A973" s="7" t="s">
        <v>1003</v>
      </c>
      <c r="B973" s="8">
        <v>45853</v>
      </c>
      <c r="C973" s="9" t="s">
        <v>31</v>
      </c>
      <c r="D973" s="9" t="s">
        <v>46</v>
      </c>
      <c r="E973" s="9" t="s">
        <v>29</v>
      </c>
      <c r="F973" s="9">
        <v>209</v>
      </c>
      <c r="G973" s="9">
        <v>197.58</v>
      </c>
      <c r="H973" s="9" t="s">
        <v>14</v>
      </c>
      <c r="I973" s="9">
        <v>2</v>
      </c>
      <c r="J973" s="10">
        <v>-11.4199999999999</v>
      </c>
      <c r="K973" s="9" t="str">
        <f>TEXT(Sales_of_Jordan[[#This Row],[Sale_Date]],"mmm")</f>
        <v>Jul</v>
      </c>
    </row>
    <row r="974" spans="1:11" x14ac:dyDescent="0.35">
      <c r="A974" s="7" t="s">
        <v>1004</v>
      </c>
      <c r="B974" s="8">
        <v>45507</v>
      </c>
      <c r="C974" s="9" t="s">
        <v>21</v>
      </c>
      <c r="D974" s="9" t="s">
        <v>17</v>
      </c>
      <c r="E974" s="9" t="s">
        <v>13</v>
      </c>
      <c r="F974" s="9">
        <v>210</v>
      </c>
      <c r="G974" s="9">
        <v>161.75</v>
      </c>
      <c r="H974" s="9" t="s">
        <v>25</v>
      </c>
      <c r="I974" s="9">
        <v>22</v>
      </c>
      <c r="J974" s="10">
        <v>-48.25</v>
      </c>
      <c r="K974" s="9" t="str">
        <f>TEXT(Sales_of_Jordan[[#This Row],[Sale_Date]],"mmm")</f>
        <v>Aug</v>
      </c>
    </row>
    <row r="975" spans="1:11" x14ac:dyDescent="0.35">
      <c r="A975" s="7" t="s">
        <v>1005</v>
      </c>
      <c r="B975" s="8">
        <v>45763</v>
      </c>
      <c r="C975" s="9" t="s">
        <v>11</v>
      </c>
      <c r="D975" s="9" t="s">
        <v>36</v>
      </c>
      <c r="E975" s="9" t="s">
        <v>13</v>
      </c>
      <c r="F975" s="9">
        <v>229</v>
      </c>
      <c r="G975" s="9">
        <v>132.16</v>
      </c>
      <c r="H975" s="9" t="s">
        <v>14</v>
      </c>
      <c r="I975" s="9">
        <v>9</v>
      </c>
      <c r="J975" s="10">
        <v>-96.84</v>
      </c>
      <c r="K975" s="9" t="str">
        <f>TEXT(Sales_of_Jordan[[#This Row],[Sale_Date]],"mmm")</f>
        <v>Apr</v>
      </c>
    </row>
    <row r="976" spans="1:11" x14ac:dyDescent="0.35">
      <c r="A976" s="7" t="s">
        <v>1006</v>
      </c>
      <c r="B976" s="8">
        <v>45381</v>
      </c>
      <c r="C976" s="9" t="s">
        <v>27</v>
      </c>
      <c r="D976" s="9" t="s">
        <v>55</v>
      </c>
      <c r="E976" s="9" t="s">
        <v>13</v>
      </c>
      <c r="F976" s="9">
        <v>121</v>
      </c>
      <c r="G976" s="9">
        <v>82.66</v>
      </c>
      <c r="H976" s="9" t="s">
        <v>19</v>
      </c>
      <c r="I976" s="9">
        <v>12</v>
      </c>
      <c r="J976" s="10">
        <v>-38.340000000000003</v>
      </c>
      <c r="K976" s="9" t="str">
        <f>TEXT(Sales_of_Jordan[[#This Row],[Sale_Date]],"mmm")</f>
        <v>Mar</v>
      </c>
    </row>
    <row r="977" spans="1:11" x14ac:dyDescent="0.35">
      <c r="A977" s="7" t="s">
        <v>1007</v>
      </c>
      <c r="B977" s="8">
        <v>44951</v>
      </c>
      <c r="C977" s="9" t="s">
        <v>31</v>
      </c>
      <c r="D977" s="9" t="s">
        <v>17</v>
      </c>
      <c r="E977" s="9" t="s">
        <v>29</v>
      </c>
      <c r="F977" s="9">
        <v>209</v>
      </c>
      <c r="G977" s="9">
        <v>191.29</v>
      </c>
      <c r="H977" s="9" t="s">
        <v>25</v>
      </c>
      <c r="I977" s="9">
        <v>9</v>
      </c>
      <c r="J977" s="10">
        <v>-17.71</v>
      </c>
      <c r="K977" s="9" t="str">
        <f>TEXT(Sales_of_Jordan[[#This Row],[Sale_Date]],"mmm")</f>
        <v>Jan</v>
      </c>
    </row>
    <row r="978" spans="1:11" x14ac:dyDescent="0.35">
      <c r="A978" s="7" t="s">
        <v>1008</v>
      </c>
      <c r="B978" s="8">
        <v>45289</v>
      </c>
      <c r="C978" s="9" t="s">
        <v>21</v>
      </c>
      <c r="D978" s="9" t="s">
        <v>17</v>
      </c>
      <c r="E978" s="9" t="s">
        <v>13</v>
      </c>
      <c r="F978" s="9">
        <v>225</v>
      </c>
      <c r="G978" s="9">
        <v>178.75</v>
      </c>
      <c r="H978" s="9" t="s">
        <v>14</v>
      </c>
      <c r="I978" s="9">
        <v>3</v>
      </c>
      <c r="J978" s="10">
        <v>-46.25</v>
      </c>
      <c r="K978" s="9" t="str">
        <f>TEXT(Sales_of_Jordan[[#This Row],[Sale_Date]],"mmm")</f>
        <v>Dec</v>
      </c>
    </row>
    <row r="979" spans="1:11" x14ac:dyDescent="0.35">
      <c r="A979" s="7" t="s">
        <v>1009</v>
      </c>
      <c r="B979" s="8">
        <v>45084</v>
      </c>
      <c r="C979" s="9" t="s">
        <v>11</v>
      </c>
      <c r="D979" s="9" t="s">
        <v>55</v>
      </c>
      <c r="E979" s="9" t="s">
        <v>13</v>
      </c>
      <c r="F979" s="9">
        <v>230</v>
      </c>
      <c r="G979" s="9">
        <v>127.01</v>
      </c>
      <c r="H979" s="9" t="s">
        <v>23</v>
      </c>
      <c r="I979" s="9">
        <v>47</v>
      </c>
      <c r="J979" s="10">
        <v>-102.99</v>
      </c>
      <c r="K979" s="9" t="str">
        <f>TEXT(Sales_of_Jordan[[#This Row],[Sale_Date]],"mmm")</f>
        <v>Jun</v>
      </c>
    </row>
    <row r="980" spans="1:11" x14ac:dyDescent="0.35">
      <c r="A980" s="7" t="s">
        <v>1010</v>
      </c>
      <c r="B980" s="8">
        <v>45889</v>
      </c>
      <c r="C980" s="9" t="s">
        <v>27</v>
      </c>
      <c r="D980" s="9" t="s">
        <v>12</v>
      </c>
      <c r="E980" s="9" t="s">
        <v>29</v>
      </c>
      <c r="F980" s="9">
        <v>110</v>
      </c>
      <c r="G980" s="9">
        <v>118.22</v>
      </c>
      <c r="H980" s="9" t="s">
        <v>23</v>
      </c>
      <c r="I980" s="9">
        <v>45</v>
      </c>
      <c r="J980" s="10">
        <v>8.21999999999999</v>
      </c>
      <c r="K980" s="9" t="str">
        <f>TEXT(Sales_of_Jordan[[#This Row],[Sale_Date]],"mmm")</f>
        <v>Aug</v>
      </c>
    </row>
    <row r="981" spans="1:11" x14ac:dyDescent="0.35">
      <c r="A981" s="7" t="s">
        <v>1011</v>
      </c>
      <c r="B981" s="8">
        <v>44961</v>
      </c>
      <c r="C981" s="9" t="s">
        <v>27</v>
      </c>
      <c r="D981" s="9" t="s">
        <v>39</v>
      </c>
      <c r="E981" s="9" t="s">
        <v>18</v>
      </c>
      <c r="F981" s="9">
        <v>118</v>
      </c>
      <c r="G981" s="9">
        <v>199.2</v>
      </c>
      <c r="H981" s="9" t="s">
        <v>25</v>
      </c>
      <c r="I981" s="9">
        <v>60</v>
      </c>
      <c r="J981" s="10">
        <v>81.199999999999903</v>
      </c>
      <c r="K981" s="9" t="str">
        <f>TEXT(Sales_of_Jordan[[#This Row],[Sale_Date]],"mmm")</f>
        <v>Feb</v>
      </c>
    </row>
    <row r="982" spans="1:11" x14ac:dyDescent="0.35">
      <c r="A982" s="7" t="s">
        <v>1012</v>
      </c>
      <c r="B982" s="8">
        <v>45282</v>
      </c>
      <c r="C982" s="9" t="s">
        <v>31</v>
      </c>
      <c r="D982" s="9" t="s">
        <v>34</v>
      </c>
      <c r="E982" s="9" t="s">
        <v>29</v>
      </c>
      <c r="F982" s="9">
        <v>205</v>
      </c>
      <c r="G982" s="9">
        <v>221.63</v>
      </c>
      <c r="H982" s="9" t="s">
        <v>25</v>
      </c>
      <c r="I982" s="9">
        <v>10</v>
      </c>
      <c r="J982" s="10">
        <v>16.6299999999999</v>
      </c>
      <c r="K982" s="9" t="str">
        <f>TEXT(Sales_of_Jordan[[#This Row],[Sale_Date]],"mmm")</f>
        <v>Dec</v>
      </c>
    </row>
    <row r="983" spans="1:11" x14ac:dyDescent="0.35">
      <c r="A983" s="7" t="s">
        <v>1013</v>
      </c>
      <c r="B983" s="8">
        <v>45364</v>
      </c>
      <c r="C983" s="9" t="s">
        <v>21</v>
      </c>
      <c r="D983" s="9" t="s">
        <v>12</v>
      </c>
      <c r="E983" s="9" t="s">
        <v>18</v>
      </c>
      <c r="F983" s="9">
        <v>213</v>
      </c>
      <c r="G983" s="9">
        <v>502.81</v>
      </c>
      <c r="H983" s="9" t="s">
        <v>14</v>
      </c>
      <c r="I983" s="9">
        <v>9</v>
      </c>
      <c r="J983" s="10">
        <v>289.81</v>
      </c>
      <c r="K983" s="9" t="str">
        <f>TEXT(Sales_of_Jordan[[#This Row],[Sale_Date]],"mmm")</f>
        <v>Mar</v>
      </c>
    </row>
    <row r="984" spans="1:11" x14ac:dyDescent="0.35">
      <c r="A984" s="7" t="s">
        <v>1014</v>
      </c>
      <c r="B984" s="8">
        <v>45372</v>
      </c>
      <c r="C984" s="9" t="s">
        <v>11</v>
      </c>
      <c r="D984" s="9" t="s">
        <v>12</v>
      </c>
      <c r="E984" s="9" t="s">
        <v>29</v>
      </c>
      <c r="F984" s="9">
        <v>225</v>
      </c>
      <c r="G984" s="9">
        <v>246.16</v>
      </c>
      <c r="H984" s="9" t="s">
        <v>25</v>
      </c>
      <c r="I984" s="9">
        <v>44</v>
      </c>
      <c r="J984" s="10">
        <v>21.159999999999901</v>
      </c>
      <c r="K984" s="9" t="str">
        <f>TEXT(Sales_of_Jordan[[#This Row],[Sale_Date]],"mmm")</f>
        <v>Mar</v>
      </c>
    </row>
    <row r="985" spans="1:11" x14ac:dyDescent="0.35">
      <c r="A985" s="7" t="s">
        <v>1015</v>
      </c>
      <c r="B985" s="8">
        <v>45529</v>
      </c>
      <c r="C985" s="9" t="s">
        <v>16</v>
      </c>
      <c r="D985" s="9" t="s">
        <v>53</v>
      </c>
      <c r="E985" s="9" t="s">
        <v>29</v>
      </c>
      <c r="F985" s="9">
        <v>173</v>
      </c>
      <c r="G985" s="9">
        <v>185.54</v>
      </c>
      <c r="H985" s="9" t="s">
        <v>14</v>
      </c>
      <c r="I985" s="9">
        <v>5</v>
      </c>
      <c r="J985" s="10">
        <v>12.5399999999999</v>
      </c>
      <c r="K985" s="9" t="str">
        <f>TEXT(Sales_of_Jordan[[#This Row],[Sale_Date]],"mmm")</f>
        <v>Aug</v>
      </c>
    </row>
    <row r="986" spans="1:11" x14ac:dyDescent="0.35">
      <c r="A986" s="7" t="s">
        <v>1016</v>
      </c>
      <c r="B986" s="8">
        <v>45506</v>
      </c>
      <c r="C986" s="9" t="s">
        <v>21</v>
      </c>
      <c r="D986" s="9" t="s">
        <v>36</v>
      </c>
      <c r="E986" s="9" t="s">
        <v>13</v>
      </c>
      <c r="F986" s="9">
        <v>220</v>
      </c>
      <c r="G986" s="9">
        <v>145.04</v>
      </c>
      <c r="H986" s="9" t="s">
        <v>14</v>
      </c>
      <c r="I986" s="9">
        <v>10</v>
      </c>
      <c r="J986" s="10">
        <v>-74.959999999999994</v>
      </c>
      <c r="K986" s="9" t="str">
        <f>TEXT(Sales_of_Jordan[[#This Row],[Sale_Date]],"mmm")</f>
        <v>Aug</v>
      </c>
    </row>
    <row r="987" spans="1:11" x14ac:dyDescent="0.35">
      <c r="A987" s="7" t="s">
        <v>1017</v>
      </c>
      <c r="B987" s="8">
        <v>45748</v>
      </c>
      <c r="C987" s="9" t="s">
        <v>27</v>
      </c>
      <c r="D987" s="9" t="s">
        <v>22</v>
      </c>
      <c r="E987" s="9" t="s">
        <v>18</v>
      </c>
      <c r="F987" s="9">
        <v>136</v>
      </c>
      <c r="G987" s="9">
        <v>329.57</v>
      </c>
      <c r="H987" s="9" t="s">
        <v>14</v>
      </c>
      <c r="I987" s="9">
        <v>6</v>
      </c>
      <c r="J987" s="10">
        <v>193.57</v>
      </c>
      <c r="K987" s="9" t="str">
        <f>TEXT(Sales_of_Jordan[[#This Row],[Sale_Date]],"mmm")</f>
        <v>Apr</v>
      </c>
    </row>
    <row r="988" spans="1:11" x14ac:dyDescent="0.35">
      <c r="A988" s="7" t="s">
        <v>1018</v>
      </c>
      <c r="B988" s="8">
        <v>44951</v>
      </c>
      <c r="C988" s="9" t="s">
        <v>31</v>
      </c>
      <c r="D988" s="9" t="s">
        <v>17</v>
      </c>
      <c r="E988" s="9" t="s">
        <v>29</v>
      </c>
      <c r="F988" s="9">
        <v>202</v>
      </c>
      <c r="G988" s="9">
        <v>262.12</v>
      </c>
      <c r="H988" s="9" t="s">
        <v>23</v>
      </c>
      <c r="I988" s="9">
        <v>6</v>
      </c>
      <c r="J988" s="10">
        <v>60.12</v>
      </c>
      <c r="K988" s="9" t="str">
        <f>TEXT(Sales_of_Jordan[[#This Row],[Sale_Date]],"mmm")</f>
        <v>Jan</v>
      </c>
    </row>
    <row r="989" spans="1:11" x14ac:dyDescent="0.35">
      <c r="A989" s="7" t="s">
        <v>1019</v>
      </c>
      <c r="B989" s="8">
        <v>45758</v>
      </c>
      <c r="C989" s="9" t="s">
        <v>11</v>
      </c>
      <c r="D989" s="9" t="s">
        <v>17</v>
      </c>
      <c r="E989" s="9" t="s">
        <v>13</v>
      </c>
      <c r="F989" s="9">
        <v>229</v>
      </c>
      <c r="G989" s="9">
        <v>124.17</v>
      </c>
      <c r="H989" s="9" t="s">
        <v>23</v>
      </c>
      <c r="I989" s="9">
        <v>25</v>
      </c>
      <c r="J989" s="10">
        <v>-104.83</v>
      </c>
      <c r="K989" s="9" t="str">
        <f>TEXT(Sales_of_Jordan[[#This Row],[Sale_Date]],"mmm")</f>
        <v>Apr</v>
      </c>
    </row>
    <row r="990" spans="1:11" x14ac:dyDescent="0.35">
      <c r="A990" s="7" t="s">
        <v>1020</v>
      </c>
      <c r="B990" s="8">
        <v>45848</v>
      </c>
      <c r="C990" s="9" t="s">
        <v>27</v>
      </c>
      <c r="D990" s="9" t="s">
        <v>12</v>
      </c>
      <c r="E990" s="9" t="s">
        <v>18</v>
      </c>
      <c r="F990" s="9">
        <v>112</v>
      </c>
      <c r="G990" s="9">
        <v>142.1</v>
      </c>
      <c r="H990" s="9" t="s">
        <v>19</v>
      </c>
      <c r="I990" s="9">
        <v>13</v>
      </c>
      <c r="J990" s="10">
        <v>30.099999999999898</v>
      </c>
      <c r="K990" s="9" t="str">
        <f>TEXT(Sales_of_Jordan[[#This Row],[Sale_Date]],"mmm")</f>
        <v>Jul</v>
      </c>
    </row>
    <row r="991" spans="1:11" x14ac:dyDescent="0.35">
      <c r="A991" s="7" t="s">
        <v>1021</v>
      </c>
      <c r="B991" s="8">
        <v>45277</v>
      </c>
      <c r="C991" s="9" t="s">
        <v>11</v>
      </c>
      <c r="D991" s="9" t="s">
        <v>22</v>
      </c>
      <c r="E991" s="9" t="s">
        <v>18</v>
      </c>
      <c r="F991" s="9">
        <v>228</v>
      </c>
      <c r="G991" s="9">
        <v>330.13</v>
      </c>
      <c r="H991" s="9" t="s">
        <v>23</v>
      </c>
      <c r="I991" s="9">
        <v>28</v>
      </c>
      <c r="J991" s="10">
        <v>102.13</v>
      </c>
      <c r="K991" s="9" t="str">
        <f>TEXT(Sales_of_Jordan[[#This Row],[Sale_Date]],"mmm")</f>
        <v>Dec</v>
      </c>
    </row>
    <row r="992" spans="1:11" x14ac:dyDescent="0.35">
      <c r="A992" s="7" t="s">
        <v>1022</v>
      </c>
      <c r="B992" s="8">
        <v>45438</v>
      </c>
      <c r="C992" s="9" t="s">
        <v>11</v>
      </c>
      <c r="D992" s="9" t="s">
        <v>12</v>
      </c>
      <c r="E992" s="9" t="s">
        <v>29</v>
      </c>
      <c r="F992" s="9">
        <v>225</v>
      </c>
      <c r="G992" s="9">
        <v>270.89999999999998</v>
      </c>
      <c r="H992" s="9" t="s">
        <v>32</v>
      </c>
      <c r="I992" s="9">
        <v>34</v>
      </c>
      <c r="J992" s="10">
        <v>45.899999999999899</v>
      </c>
      <c r="K992" s="9" t="str">
        <f>TEXT(Sales_of_Jordan[[#This Row],[Sale_Date]],"mmm")</f>
        <v>May</v>
      </c>
    </row>
    <row r="993" spans="1:11" x14ac:dyDescent="0.35">
      <c r="A993" s="7" t="s">
        <v>1023</v>
      </c>
      <c r="B993" s="8">
        <v>45482</v>
      </c>
      <c r="C993" s="9" t="s">
        <v>11</v>
      </c>
      <c r="D993" s="9" t="s">
        <v>17</v>
      </c>
      <c r="E993" s="9" t="s">
        <v>13</v>
      </c>
      <c r="F993" s="9">
        <v>228</v>
      </c>
      <c r="G993" s="9">
        <v>121.79</v>
      </c>
      <c r="H993" s="9" t="s">
        <v>32</v>
      </c>
      <c r="I993" s="9">
        <v>47</v>
      </c>
      <c r="J993" s="10">
        <v>-106.21</v>
      </c>
      <c r="K993" s="9" t="str">
        <f>TEXT(Sales_of_Jordan[[#This Row],[Sale_Date]],"mmm")</f>
        <v>Jul</v>
      </c>
    </row>
    <row r="994" spans="1:11" x14ac:dyDescent="0.35">
      <c r="A994" s="7" t="s">
        <v>1024</v>
      </c>
      <c r="B994" s="8">
        <v>45650</v>
      </c>
      <c r="C994" s="9" t="s">
        <v>11</v>
      </c>
      <c r="D994" s="9" t="s">
        <v>55</v>
      </c>
      <c r="E994" s="9" t="s">
        <v>13</v>
      </c>
      <c r="F994" s="9">
        <v>230</v>
      </c>
      <c r="G994" s="9">
        <v>175.82</v>
      </c>
      <c r="H994" s="9" t="s">
        <v>19</v>
      </c>
      <c r="I994" s="9">
        <v>14</v>
      </c>
      <c r="J994" s="10">
        <v>-54.18</v>
      </c>
      <c r="K994" s="9" t="str">
        <f>TEXT(Sales_of_Jordan[[#This Row],[Sale_Date]],"mmm")</f>
        <v>Dec</v>
      </c>
    </row>
    <row r="995" spans="1:11" x14ac:dyDescent="0.35">
      <c r="A995" s="7" t="s">
        <v>1025</v>
      </c>
      <c r="B995" s="8">
        <v>45182</v>
      </c>
      <c r="C995" s="9" t="s">
        <v>11</v>
      </c>
      <c r="D995" s="9" t="s">
        <v>36</v>
      </c>
      <c r="E995" s="9" t="s">
        <v>29</v>
      </c>
      <c r="F995" s="9">
        <v>230</v>
      </c>
      <c r="G995" s="9">
        <v>288.69</v>
      </c>
      <c r="H995" s="9" t="s">
        <v>19</v>
      </c>
      <c r="I995" s="9">
        <v>4</v>
      </c>
      <c r="J995" s="10">
        <v>58.69</v>
      </c>
      <c r="K995" s="9" t="str">
        <f>TEXT(Sales_of_Jordan[[#This Row],[Sale_Date]],"mmm")</f>
        <v>Sep</v>
      </c>
    </row>
    <row r="996" spans="1:11" x14ac:dyDescent="0.35">
      <c r="A996" s="7" t="s">
        <v>1026</v>
      </c>
      <c r="B996" s="8">
        <v>45183</v>
      </c>
      <c r="C996" s="9" t="s">
        <v>21</v>
      </c>
      <c r="D996" s="9" t="s">
        <v>53</v>
      </c>
      <c r="E996" s="9" t="s">
        <v>13</v>
      </c>
      <c r="F996" s="9">
        <v>218</v>
      </c>
      <c r="G996" s="9">
        <v>138.16</v>
      </c>
      <c r="H996" s="9" t="s">
        <v>23</v>
      </c>
      <c r="I996" s="9">
        <v>18</v>
      </c>
      <c r="J996" s="10">
        <v>-79.84</v>
      </c>
      <c r="K996" s="9" t="str">
        <f>TEXT(Sales_of_Jordan[[#This Row],[Sale_Date]],"mmm")</f>
        <v>Sep</v>
      </c>
    </row>
    <row r="997" spans="1:11" x14ac:dyDescent="0.35">
      <c r="A997" s="7" t="s">
        <v>1027</v>
      </c>
      <c r="B997" s="8">
        <v>45882</v>
      </c>
      <c r="C997" s="9" t="s">
        <v>11</v>
      </c>
      <c r="D997" s="9" t="s">
        <v>34</v>
      </c>
      <c r="E997" s="9" t="s">
        <v>18</v>
      </c>
      <c r="F997" s="9">
        <v>228</v>
      </c>
      <c r="G997" s="9">
        <v>763.09</v>
      </c>
      <c r="H997" s="9" t="s">
        <v>19</v>
      </c>
      <c r="I997" s="9">
        <v>9</v>
      </c>
      <c r="J997" s="10">
        <v>535.09</v>
      </c>
      <c r="K997" s="9" t="str">
        <f>TEXT(Sales_of_Jordan[[#This Row],[Sale_Date]],"mmm")</f>
        <v>Aug</v>
      </c>
    </row>
    <row r="998" spans="1:11" x14ac:dyDescent="0.35">
      <c r="A998" s="7" t="s">
        <v>1028</v>
      </c>
      <c r="B998" s="8">
        <v>45091</v>
      </c>
      <c r="C998" s="9" t="s">
        <v>31</v>
      </c>
      <c r="D998" s="9" t="s">
        <v>55</v>
      </c>
      <c r="E998" s="9" t="s">
        <v>29</v>
      </c>
      <c r="F998" s="9">
        <v>203</v>
      </c>
      <c r="G998" s="9">
        <v>283.3</v>
      </c>
      <c r="H998" s="9" t="s">
        <v>19</v>
      </c>
      <c r="I998" s="9">
        <v>13</v>
      </c>
      <c r="J998" s="10">
        <v>80.3</v>
      </c>
      <c r="K998" s="9" t="str">
        <f>TEXT(Sales_of_Jordan[[#This Row],[Sale_Date]],"mmm")</f>
        <v>Jun</v>
      </c>
    </row>
    <row r="999" spans="1:11" x14ac:dyDescent="0.35">
      <c r="A999" s="7" t="s">
        <v>1029</v>
      </c>
      <c r="B999" s="8">
        <v>45357</v>
      </c>
      <c r="C999" s="9" t="s">
        <v>21</v>
      </c>
      <c r="D999" s="9" t="s">
        <v>36</v>
      </c>
      <c r="E999" s="9" t="s">
        <v>29</v>
      </c>
      <c r="F999" s="9">
        <v>222</v>
      </c>
      <c r="G999" s="9">
        <v>292.74</v>
      </c>
      <c r="H999" s="9" t="s">
        <v>32</v>
      </c>
      <c r="I999" s="9">
        <v>18</v>
      </c>
      <c r="J999" s="10">
        <v>70.739999999999995</v>
      </c>
      <c r="K999" s="9" t="str">
        <f>TEXT(Sales_of_Jordan[[#This Row],[Sale_Date]],"mmm")</f>
        <v>Mar</v>
      </c>
    </row>
    <row r="1000" spans="1:11" x14ac:dyDescent="0.35">
      <c r="A1000" s="7" t="s">
        <v>1030</v>
      </c>
      <c r="B1000" s="8">
        <v>45171</v>
      </c>
      <c r="C1000" s="9" t="s">
        <v>27</v>
      </c>
      <c r="D1000" s="9" t="s">
        <v>55</v>
      </c>
      <c r="E1000" s="9" t="s">
        <v>13</v>
      </c>
      <c r="F1000" s="9">
        <v>137</v>
      </c>
      <c r="G1000" s="9">
        <v>116.52</v>
      </c>
      <c r="H1000" s="9" t="s">
        <v>32</v>
      </c>
      <c r="I1000" s="9">
        <v>20</v>
      </c>
      <c r="J1000" s="10">
        <v>-20.48</v>
      </c>
      <c r="K1000" s="9" t="str">
        <f>TEXT(Sales_of_Jordan[[#This Row],[Sale_Date]],"mmm")</f>
        <v>Sep</v>
      </c>
    </row>
    <row r="1001" spans="1:11" x14ac:dyDescent="0.35">
      <c r="A1001" s="7" t="s">
        <v>1031</v>
      </c>
      <c r="B1001" s="8">
        <v>45564</v>
      </c>
      <c r="C1001" s="9" t="s">
        <v>31</v>
      </c>
      <c r="D1001" s="9" t="s">
        <v>53</v>
      </c>
      <c r="E1001" s="9" t="s">
        <v>13</v>
      </c>
      <c r="F1001" s="9">
        <v>203</v>
      </c>
      <c r="G1001" s="9">
        <v>110.22</v>
      </c>
      <c r="H1001" s="9" t="s">
        <v>23</v>
      </c>
      <c r="I1001" s="9">
        <v>25</v>
      </c>
      <c r="J1001" s="10">
        <v>-92.78</v>
      </c>
      <c r="K1001" s="9" t="str">
        <f>TEXT(Sales_of_Jordan[[#This Row],[Sale_Date]],"mmm")</f>
        <v>Sep</v>
      </c>
    </row>
    <row r="1002" spans="1:11" x14ac:dyDescent="0.35">
      <c r="A1002" s="7" t="s">
        <v>1032</v>
      </c>
      <c r="B1002" s="8">
        <v>45595</v>
      </c>
      <c r="C1002" s="9" t="s">
        <v>11</v>
      </c>
      <c r="D1002" s="9" t="s">
        <v>39</v>
      </c>
      <c r="E1002" s="9" t="s">
        <v>13</v>
      </c>
      <c r="F1002" s="9">
        <v>226</v>
      </c>
      <c r="G1002" s="9">
        <v>155.35</v>
      </c>
      <c r="H1002" s="9" t="s">
        <v>25</v>
      </c>
      <c r="I1002" s="9">
        <v>43</v>
      </c>
      <c r="J1002" s="10">
        <v>-70.650000000000006</v>
      </c>
      <c r="K1002" s="9" t="str">
        <f>TEXT(Sales_of_Jordan[[#This Row],[Sale_Date]],"mmm")</f>
        <v>Oct</v>
      </c>
    </row>
    <row r="1003" spans="1:11" x14ac:dyDescent="0.35">
      <c r="A1003" s="7" t="s">
        <v>1033</v>
      </c>
      <c r="B1003" s="8">
        <v>45434</v>
      </c>
      <c r="C1003" s="9" t="s">
        <v>31</v>
      </c>
      <c r="D1003" s="9" t="s">
        <v>46</v>
      </c>
      <c r="E1003" s="9" t="s">
        <v>18</v>
      </c>
      <c r="F1003" s="9">
        <v>204</v>
      </c>
      <c r="G1003" s="9">
        <v>627.41</v>
      </c>
      <c r="H1003" s="9" t="s">
        <v>14</v>
      </c>
      <c r="I1003" s="9">
        <v>3</v>
      </c>
      <c r="J1003" s="10">
        <v>423.409999999999</v>
      </c>
      <c r="K1003" s="9" t="str">
        <f>TEXT(Sales_of_Jordan[[#This Row],[Sale_Date]],"mmm")</f>
        <v>May</v>
      </c>
    </row>
    <row r="1004" spans="1:11" x14ac:dyDescent="0.35">
      <c r="A1004" s="7" t="s">
        <v>1034</v>
      </c>
      <c r="B1004" s="8">
        <v>44953</v>
      </c>
      <c r="C1004" s="9" t="s">
        <v>11</v>
      </c>
      <c r="D1004" s="9" t="s">
        <v>17</v>
      </c>
      <c r="E1004" s="9" t="s">
        <v>18</v>
      </c>
      <c r="F1004" s="9">
        <v>228</v>
      </c>
      <c r="G1004" s="9">
        <v>370.14</v>
      </c>
      <c r="H1004" s="9" t="s">
        <v>23</v>
      </c>
      <c r="I1004" s="9">
        <v>32</v>
      </c>
      <c r="J1004" s="10">
        <v>142.13999999999999</v>
      </c>
      <c r="K1004" s="9" t="str">
        <f>TEXT(Sales_of_Jordan[[#This Row],[Sale_Date]],"mmm")</f>
        <v>Jan</v>
      </c>
    </row>
    <row r="1005" spans="1:11" x14ac:dyDescent="0.35">
      <c r="A1005" s="7" t="s">
        <v>1035</v>
      </c>
      <c r="B1005" s="8">
        <v>45521</v>
      </c>
      <c r="C1005" s="9" t="s">
        <v>27</v>
      </c>
      <c r="D1005" s="9" t="s">
        <v>12</v>
      </c>
      <c r="E1005" s="9" t="s">
        <v>18</v>
      </c>
      <c r="F1005" s="9">
        <v>120</v>
      </c>
      <c r="G1005" s="9">
        <v>284.25</v>
      </c>
      <c r="H1005" s="9" t="s">
        <v>19</v>
      </c>
      <c r="I1005" s="9">
        <v>3</v>
      </c>
      <c r="J1005" s="10">
        <v>164.25</v>
      </c>
      <c r="K1005" s="9" t="str">
        <f>TEXT(Sales_of_Jordan[[#This Row],[Sale_Date]],"mmm")</f>
        <v>Aug</v>
      </c>
    </row>
    <row r="1006" spans="1:11" x14ac:dyDescent="0.35">
      <c r="A1006" s="7" t="s">
        <v>1036</v>
      </c>
      <c r="B1006" s="8">
        <v>45517</v>
      </c>
      <c r="C1006" s="9" t="s">
        <v>21</v>
      </c>
      <c r="D1006" s="9" t="s">
        <v>53</v>
      </c>
      <c r="E1006" s="9" t="s">
        <v>18</v>
      </c>
      <c r="F1006" s="9">
        <v>214</v>
      </c>
      <c r="G1006" s="9">
        <v>306.86</v>
      </c>
      <c r="H1006" s="9" t="s">
        <v>14</v>
      </c>
      <c r="I1006" s="9">
        <v>7</v>
      </c>
      <c r="J1006" s="10">
        <v>92.86</v>
      </c>
      <c r="K1006" s="9" t="str">
        <f>TEXT(Sales_of_Jordan[[#This Row],[Sale_Date]],"mmm")</f>
        <v>Aug</v>
      </c>
    </row>
    <row r="1007" spans="1:11" x14ac:dyDescent="0.35">
      <c r="A1007" s="7" t="s">
        <v>1037</v>
      </c>
      <c r="B1007" s="8">
        <v>45262</v>
      </c>
      <c r="C1007" s="9" t="s">
        <v>11</v>
      </c>
      <c r="D1007" s="9" t="s">
        <v>17</v>
      </c>
      <c r="E1007" s="9" t="s">
        <v>13</v>
      </c>
      <c r="F1007" s="9">
        <v>227</v>
      </c>
      <c r="G1007" s="9">
        <v>135.19</v>
      </c>
      <c r="H1007" s="9" t="s">
        <v>32</v>
      </c>
      <c r="I1007" s="9">
        <v>43</v>
      </c>
      <c r="J1007" s="10">
        <v>-91.81</v>
      </c>
      <c r="K1007" s="9" t="str">
        <f>TEXT(Sales_of_Jordan[[#This Row],[Sale_Date]],"mmm")</f>
        <v>Dec</v>
      </c>
    </row>
    <row r="1008" spans="1:11" x14ac:dyDescent="0.35">
      <c r="A1008" s="7" t="s">
        <v>1038</v>
      </c>
      <c r="B1008" s="8">
        <v>45320</v>
      </c>
      <c r="C1008" s="9" t="s">
        <v>11</v>
      </c>
      <c r="D1008" s="9" t="s">
        <v>53</v>
      </c>
      <c r="E1008" s="9" t="s">
        <v>29</v>
      </c>
      <c r="F1008" s="9">
        <v>225</v>
      </c>
      <c r="G1008" s="9">
        <v>205.49</v>
      </c>
      <c r="H1008" s="9" t="s">
        <v>23</v>
      </c>
      <c r="I1008" s="9">
        <v>44</v>
      </c>
      <c r="J1008" s="10">
        <v>-19.509999999999899</v>
      </c>
      <c r="K1008" s="9" t="str">
        <f>TEXT(Sales_of_Jordan[[#This Row],[Sale_Date]],"mmm")</f>
        <v>Jan</v>
      </c>
    </row>
    <row r="1009" spans="1:11" x14ac:dyDescent="0.35">
      <c r="A1009" s="7" t="s">
        <v>1039</v>
      </c>
      <c r="B1009" s="8">
        <v>45425</v>
      </c>
      <c r="C1009" s="9" t="s">
        <v>27</v>
      </c>
      <c r="D1009" s="9" t="s">
        <v>34</v>
      </c>
      <c r="E1009" s="9" t="s">
        <v>29</v>
      </c>
      <c r="F1009" s="9">
        <v>133</v>
      </c>
      <c r="G1009" s="9">
        <v>173.29</v>
      </c>
      <c r="H1009" s="9" t="s">
        <v>19</v>
      </c>
      <c r="I1009" s="9">
        <v>7</v>
      </c>
      <c r="J1009" s="10">
        <v>40.2899999999999</v>
      </c>
      <c r="K1009" s="9" t="str">
        <f>TEXT(Sales_of_Jordan[[#This Row],[Sale_Date]],"mmm")</f>
        <v>May</v>
      </c>
    </row>
    <row r="1010" spans="1:11" x14ac:dyDescent="0.35">
      <c r="A1010" s="7" t="s">
        <v>1040</v>
      </c>
      <c r="B1010" s="8">
        <v>45567</v>
      </c>
      <c r="C1010" s="9" t="s">
        <v>27</v>
      </c>
      <c r="D1010" s="9" t="s">
        <v>46</v>
      </c>
      <c r="E1010" s="9" t="s">
        <v>29</v>
      </c>
      <c r="F1010" s="9">
        <v>136</v>
      </c>
      <c r="G1010" s="9">
        <v>181.35</v>
      </c>
      <c r="H1010" s="9" t="s">
        <v>32</v>
      </c>
      <c r="I1010" s="9">
        <v>35</v>
      </c>
      <c r="J1010" s="10">
        <v>45.349999999999902</v>
      </c>
      <c r="K1010" s="9" t="str">
        <f>TEXT(Sales_of_Jordan[[#This Row],[Sale_Date]],"mmm")</f>
        <v>Oct</v>
      </c>
    </row>
    <row r="1011" spans="1:11" x14ac:dyDescent="0.35">
      <c r="A1011" s="7" t="s">
        <v>1041</v>
      </c>
      <c r="B1011" s="8">
        <v>45409</v>
      </c>
      <c r="C1011" s="9" t="s">
        <v>21</v>
      </c>
      <c r="D1011" s="9" t="s">
        <v>22</v>
      </c>
      <c r="E1011" s="9" t="s">
        <v>29</v>
      </c>
      <c r="F1011" s="9">
        <v>222</v>
      </c>
      <c r="G1011" s="9">
        <v>283.51</v>
      </c>
      <c r="H1011" s="9" t="s">
        <v>14</v>
      </c>
      <c r="I1011" s="9">
        <v>5</v>
      </c>
      <c r="J1011" s="10">
        <v>61.509999999999899</v>
      </c>
      <c r="K1011" s="9" t="str">
        <f>TEXT(Sales_of_Jordan[[#This Row],[Sale_Date]],"mmm")</f>
        <v>Apr</v>
      </c>
    </row>
    <row r="1012" spans="1:11" x14ac:dyDescent="0.35">
      <c r="A1012" s="7" t="s">
        <v>1042</v>
      </c>
      <c r="B1012" s="8">
        <v>44962</v>
      </c>
      <c r="C1012" s="9" t="s">
        <v>16</v>
      </c>
      <c r="D1012" s="9" t="s">
        <v>36</v>
      </c>
      <c r="E1012" s="9" t="s">
        <v>29</v>
      </c>
      <c r="F1012" s="9">
        <v>187</v>
      </c>
      <c r="G1012" s="9">
        <v>272.74</v>
      </c>
      <c r="H1012" s="9" t="s">
        <v>14</v>
      </c>
      <c r="I1012" s="9">
        <v>9</v>
      </c>
      <c r="J1012" s="10">
        <v>85.74</v>
      </c>
      <c r="K1012" s="9" t="str">
        <f>TEXT(Sales_of_Jordan[[#This Row],[Sale_Date]],"mmm")</f>
        <v>Feb</v>
      </c>
    </row>
    <row r="1013" spans="1:11" x14ac:dyDescent="0.35">
      <c r="A1013" s="7" t="s">
        <v>1043</v>
      </c>
      <c r="B1013" s="8">
        <v>45334</v>
      </c>
      <c r="C1013" s="9" t="s">
        <v>16</v>
      </c>
      <c r="D1013" s="9" t="s">
        <v>55</v>
      </c>
      <c r="E1013" s="9" t="s">
        <v>29</v>
      </c>
      <c r="F1013" s="9">
        <v>179</v>
      </c>
      <c r="G1013" s="9">
        <v>169.7</v>
      </c>
      <c r="H1013" s="9" t="s">
        <v>23</v>
      </c>
      <c r="I1013" s="9">
        <v>36</v>
      </c>
      <c r="J1013" s="10">
        <v>-9.3000000000000096</v>
      </c>
      <c r="K1013" s="9" t="str">
        <f>TEXT(Sales_of_Jordan[[#This Row],[Sale_Date]],"mmm")</f>
        <v>Feb</v>
      </c>
    </row>
    <row r="1014" spans="1:11" x14ac:dyDescent="0.35">
      <c r="A1014" s="7" t="s">
        <v>1044</v>
      </c>
      <c r="B1014" s="8">
        <v>45515</v>
      </c>
      <c r="C1014" s="9" t="s">
        <v>31</v>
      </c>
      <c r="D1014" s="9" t="s">
        <v>53</v>
      </c>
      <c r="E1014" s="9" t="s">
        <v>13</v>
      </c>
      <c r="F1014" s="9">
        <v>203</v>
      </c>
      <c r="G1014" s="9">
        <v>157.43</v>
      </c>
      <c r="H1014" s="9" t="s">
        <v>14</v>
      </c>
      <c r="I1014" s="9">
        <v>7</v>
      </c>
      <c r="J1014" s="10">
        <v>-45.569999999999901</v>
      </c>
      <c r="K1014" s="9" t="str">
        <f>TEXT(Sales_of_Jordan[[#This Row],[Sale_Date]],"mmm")</f>
        <v>Aug</v>
      </c>
    </row>
    <row r="1015" spans="1:11" x14ac:dyDescent="0.35">
      <c r="A1015" s="7" t="s">
        <v>1045</v>
      </c>
      <c r="B1015" s="8">
        <v>45411</v>
      </c>
      <c r="C1015" s="9" t="s">
        <v>16</v>
      </c>
      <c r="D1015" s="9" t="s">
        <v>12</v>
      </c>
      <c r="E1015" s="9" t="s">
        <v>13</v>
      </c>
      <c r="F1015" s="9">
        <v>188</v>
      </c>
      <c r="G1015" s="9">
        <v>118.13</v>
      </c>
      <c r="H1015" s="9" t="s">
        <v>32</v>
      </c>
      <c r="I1015" s="9">
        <v>44</v>
      </c>
      <c r="J1015" s="10">
        <v>-69.87</v>
      </c>
      <c r="K1015" s="9" t="str">
        <f>TEXT(Sales_of_Jordan[[#This Row],[Sale_Date]],"mmm")</f>
        <v>Apr</v>
      </c>
    </row>
    <row r="1016" spans="1:11" x14ac:dyDescent="0.35">
      <c r="A1016" s="7" t="s">
        <v>1046</v>
      </c>
      <c r="B1016" s="8">
        <v>45215</v>
      </c>
      <c r="C1016" s="9" t="s">
        <v>11</v>
      </c>
      <c r="D1016" s="9" t="s">
        <v>46</v>
      </c>
      <c r="E1016" s="9" t="s">
        <v>29</v>
      </c>
      <c r="F1016" s="9">
        <v>230</v>
      </c>
      <c r="G1016" s="9">
        <v>264.72000000000003</v>
      </c>
      <c r="H1016" s="9" t="s">
        <v>14</v>
      </c>
      <c r="I1016" s="9">
        <v>9</v>
      </c>
      <c r="J1016" s="10">
        <v>34.72</v>
      </c>
      <c r="K1016" s="9" t="str">
        <f>TEXT(Sales_of_Jordan[[#This Row],[Sale_Date]],"mmm")</f>
        <v>Oct</v>
      </c>
    </row>
    <row r="1017" spans="1:11" x14ac:dyDescent="0.35">
      <c r="A1017" s="7" t="s">
        <v>1047</v>
      </c>
      <c r="B1017" s="8">
        <v>45872</v>
      </c>
      <c r="C1017" s="9" t="s">
        <v>16</v>
      </c>
      <c r="D1017" s="9" t="s">
        <v>34</v>
      </c>
      <c r="E1017" s="9" t="s">
        <v>13</v>
      </c>
      <c r="F1017" s="9">
        <v>182</v>
      </c>
      <c r="G1017" s="9">
        <v>119.36</v>
      </c>
      <c r="H1017" s="9" t="s">
        <v>32</v>
      </c>
      <c r="I1017" s="9">
        <v>49</v>
      </c>
      <c r="J1017" s="10">
        <v>-62.64</v>
      </c>
      <c r="K1017" s="9" t="str">
        <f>TEXT(Sales_of_Jordan[[#This Row],[Sale_Date]],"mmm")</f>
        <v>Aug</v>
      </c>
    </row>
    <row r="1018" spans="1:11" x14ac:dyDescent="0.35">
      <c r="A1018" s="7" t="s">
        <v>1048</v>
      </c>
      <c r="B1018" s="8">
        <v>45268</v>
      </c>
      <c r="C1018" s="9" t="s">
        <v>31</v>
      </c>
      <c r="D1018" s="9" t="s">
        <v>53</v>
      </c>
      <c r="E1018" s="9" t="s">
        <v>13</v>
      </c>
      <c r="F1018" s="9">
        <v>208</v>
      </c>
      <c r="G1018" s="9">
        <v>166.81</v>
      </c>
      <c r="H1018" s="9" t="s">
        <v>19</v>
      </c>
      <c r="I1018" s="9">
        <v>10</v>
      </c>
      <c r="J1018" s="10">
        <v>-41.19</v>
      </c>
      <c r="K1018" s="9" t="str">
        <f>TEXT(Sales_of_Jordan[[#This Row],[Sale_Date]],"mmm")</f>
        <v>Dec</v>
      </c>
    </row>
    <row r="1019" spans="1:11" x14ac:dyDescent="0.35">
      <c r="A1019" s="7" t="s">
        <v>1049</v>
      </c>
      <c r="B1019" s="8">
        <v>45197</v>
      </c>
      <c r="C1019" s="9" t="s">
        <v>11</v>
      </c>
      <c r="D1019" s="9" t="s">
        <v>12</v>
      </c>
      <c r="E1019" s="9" t="s">
        <v>13</v>
      </c>
      <c r="F1019" s="9">
        <v>225</v>
      </c>
      <c r="G1019" s="9">
        <v>199.04</v>
      </c>
      <c r="H1019" s="9" t="s">
        <v>14</v>
      </c>
      <c r="I1019" s="9">
        <v>4</v>
      </c>
      <c r="J1019" s="10">
        <v>-25.96</v>
      </c>
      <c r="K1019" s="9" t="str">
        <f>TEXT(Sales_of_Jordan[[#This Row],[Sale_Date]],"mmm")</f>
        <v>Sep</v>
      </c>
    </row>
    <row r="1020" spans="1:11" x14ac:dyDescent="0.35">
      <c r="A1020" s="7" t="s">
        <v>1050</v>
      </c>
      <c r="B1020" s="8">
        <v>45666</v>
      </c>
      <c r="C1020" s="9" t="s">
        <v>31</v>
      </c>
      <c r="D1020" s="9" t="s">
        <v>55</v>
      </c>
      <c r="E1020" s="9" t="s">
        <v>13</v>
      </c>
      <c r="F1020" s="9">
        <v>210</v>
      </c>
      <c r="G1020" s="9">
        <v>180.94</v>
      </c>
      <c r="H1020" s="9" t="s">
        <v>23</v>
      </c>
      <c r="I1020" s="9">
        <v>14</v>
      </c>
      <c r="J1020" s="10">
        <v>-29.06</v>
      </c>
      <c r="K1020" s="9" t="str">
        <f>TEXT(Sales_of_Jordan[[#This Row],[Sale_Date]],"mmm")</f>
        <v>Jan</v>
      </c>
    </row>
    <row r="1021" spans="1:11" x14ac:dyDescent="0.35">
      <c r="A1021" s="7" t="s">
        <v>1051</v>
      </c>
      <c r="B1021" s="8">
        <v>45322</v>
      </c>
      <c r="C1021" s="9" t="s">
        <v>11</v>
      </c>
      <c r="D1021" s="9" t="s">
        <v>55</v>
      </c>
      <c r="E1021" s="9" t="s">
        <v>18</v>
      </c>
      <c r="F1021" s="9">
        <v>225</v>
      </c>
      <c r="G1021" s="9">
        <v>447.2</v>
      </c>
      <c r="H1021" s="9" t="s">
        <v>14</v>
      </c>
      <c r="I1021" s="9">
        <v>14</v>
      </c>
      <c r="J1021" s="10">
        <v>222.2</v>
      </c>
      <c r="K1021" s="9" t="str">
        <f>TEXT(Sales_of_Jordan[[#This Row],[Sale_Date]],"mmm")</f>
        <v>Jan</v>
      </c>
    </row>
    <row r="1022" spans="1:11" x14ac:dyDescent="0.35">
      <c r="A1022" s="7" t="s">
        <v>1052</v>
      </c>
      <c r="B1022" s="8">
        <v>45639</v>
      </c>
      <c r="C1022" s="9" t="s">
        <v>16</v>
      </c>
      <c r="D1022" s="9" t="s">
        <v>55</v>
      </c>
      <c r="E1022" s="9" t="s">
        <v>13</v>
      </c>
      <c r="F1022" s="9">
        <v>190</v>
      </c>
      <c r="G1022" s="9">
        <v>131.35</v>
      </c>
      <c r="H1022" s="9" t="s">
        <v>14</v>
      </c>
      <c r="I1022" s="9">
        <v>4</v>
      </c>
      <c r="J1022" s="10">
        <v>-58.65</v>
      </c>
      <c r="K1022" s="9" t="str">
        <f>TEXT(Sales_of_Jordan[[#This Row],[Sale_Date]],"mmm")</f>
        <v>Dec</v>
      </c>
    </row>
    <row r="1023" spans="1:11" x14ac:dyDescent="0.35">
      <c r="A1023" s="7" t="s">
        <v>1053</v>
      </c>
      <c r="B1023" s="8">
        <v>45042</v>
      </c>
      <c r="C1023" s="9" t="s">
        <v>11</v>
      </c>
      <c r="D1023" s="9" t="s">
        <v>53</v>
      </c>
      <c r="E1023" s="9" t="s">
        <v>18</v>
      </c>
      <c r="F1023" s="9">
        <v>229</v>
      </c>
      <c r="G1023" s="9">
        <v>650.99</v>
      </c>
      <c r="H1023" s="9" t="s">
        <v>25</v>
      </c>
      <c r="I1023" s="9">
        <v>24</v>
      </c>
      <c r="J1023" s="10">
        <v>421.99</v>
      </c>
      <c r="K1023" s="9" t="str">
        <f>TEXT(Sales_of_Jordan[[#This Row],[Sale_Date]],"mmm")</f>
        <v>Apr</v>
      </c>
    </row>
    <row r="1024" spans="1:11" x14ac:dyDescent="0.35">
      <c r="A1024" s="7" t="s">
        <v>1054</v>
      </c>
      <c r="B1024" s="8">
        <v>45438</v>
      </c>
      <c r="C1024" s="9" t="s">
        <v>16</v>
      </c>
      <c r="D1024" s="9" t="s">
        <v>39</v>
      </c>
      <c r="E1024" s="9" t="s">
        <v>29</v>
      </c>
      <c r="F1024" s="9">
        <v>171</v>
      </c>
      <c r="G1024" s="9">
        <v>162.11000000000001</v>
      </c>
      <c r="H1024" s="9" t="s">
        <v>19</v>
      </c>
      <c r="I1024" s="9">
        <v>5</v>
      </c>
      <c r="J1024" s="10">
        <v>-8.8899999999999793</v>
      </c>
      <c r="K1024" s="9" t="str">
        <f>TEXT(Sales_of_Jordan[[#This Row],[Sale_Date]],"mmm")</f>
        <v>May</v>
      </c>
    </row>
    <row r="1025" spans="1:11" x14ac:dyDescent="0.35">
      <c r="A1025" s="7" t="s">
        <v>1055</v>
      </c>
      <c r="B1025" s="8">
        <v>45058</v>
      </c>
      <c r="C1025" s="9" t="s">
        <v>31</v>
      </c>
      <c r="D1025" s="9" t="s">
        <v>36</v>
      </c>
      <c r="E1025" s="9" t="s">
        <v>29</v>
      </c>
      <c r="F1025" s="9">
        <v>201</v>
      </c>
      <c r="G1025" s="9">
        <v>197.1</v>
      </c>
      <c r="H1025" s="9" t="s">
        <v>14</v>
      </c>
      <c r="I1025" s="9">
        <v>10</v>
      </c>
      <c r="J1025" s="10">
        <v>-3.9</v>
      </c>
      <c r="K1025" s="9" t="str">
        <f>TEXT(Sales_of_Jordan[[#This Row],[Sale_Date]],"mmm")</f>
        <v>May</v>
      </c>
    </row>
    <row r="1026" spans="1:11" x14ac:dyDescent="0.35">
      <c r="A1026" s="7" t="s">
        <v>1056</v>
      </c>
      <c r="B1026" s="8">
        <v>45463</v>
      </c>
      <c r="C1026" s="9" t="s">
        <v>21</v>
      </c>
      <c r="D1026" s="9" t="s">
        <v>36</v>
      </c>
      <c r="E1026" s="9" t="s">
        <v>13</v>
      </c>
      <c r="F1026" s="9">
        <v>210</v>
      </c>
      <c r="G1026" s="9">
        <v>177.47</v>
      </c>
      <c r="H1026" s="9" t="s">
        <v>14</v>
      </c>
      <c r="I1026" s="9">
        <v>14</v>
      </c>
      <c r="J1026" s="10">
        <v>-32.53</v>
      </c>
      <c r="K1026" s="9" t="str">
        <f>TEXT(Sales_of_Jordan[[#This Row],[Sale_Date]],"mmm")</f>
        <v>Jun</v>
      </c>
    </row>
    <row r="1027" spans="1:11" x14ac:dyDescent="0.35">
      <c r="A1027" s="7" t="s">
        <v>1057</v>
      </c>
      <c r="B1027" s="8">
        <v>45497</v>
      </c>
      <c r="C1027" s="9" t="s">
        <v>27</v>
      </c>
      <c r="D1027" s="9" t="s">
        <v>12</v>
      </c>
      <c r="E1027" s="9" t="s">
        <v>13</v>
      </c>
      <c r="F1027" s="9">
        <v>132</v>
      </c>
      <c r="G1027" s="9">
        <v>71.91</v>
      </c>
      <c r="H1027" s="9" t="s">
        <v>32</v>
      </c>
      <c r="I1027" s="9">
        <v>43</v>
      </c>
      <c r="J1027" s="10">
        <v>-60.09</v>
      </c>
      <c r="K1027" s="9" t="str">
        <f>TEXT(Sales_of_Jordan[[#This Row],[Sale_Date]],"mmm")</f>
        <v>Jul</v>
      </c>
    </row>
    <row r="1028" spans="1:11" x14ac:dyDescent="0.35">
      <c r="A1028" s="7" t="s">
        <v>1058</v>
      </c>
      <c r="B1028" s="8">
        <v>45553</v>
      </c>
      <c r="C1028" s="9" t="s">
        <v>31</v>
      </c>
      <c r="D1028" s="9" t="s">
        <v>46</v>
      </c>
      <c r="E1028" s="9" t="s">
        <v>29</v>
      </c>
      <c r="F1028" s="9">
        <v>200</v>
      </c>
      <c r="G1028" s="9">
        <v>251.34</v>
      </c>
      <c r="H1028" s="9" t="s">
        <v>32</v>
      </c>
      <c r="I1028" s="9">
        <v>48</v>
      </c>
      <c r="J1028" s="10">
        <v>51.34</v>
      </c>
      <c r="K1028" s="9" t="str">
        <f>TEXT(Sales_of_Jordan[[#This Row],[Sale_Date]],"mmm")</f>
        <v>Sep</v>
      </c>
    </row>
    <row r="1029" spans="1:11" x14ac:dyDescent="0.35">
      <c r="A1029" s="7" t="s">
        <v>1059</v>
      </c>
      <c r="B1029" s="8">
        <v>44954</v>
      </c>
      <c r="C1029" s="9" t="s">
        <v>21</v>
      </c>
      <c r="D1029" s="9" t="s">
        <v>34</v>
      </c>
      <c r="E1029" s="9" t="s">
        <v>29</v>
      </c>
      <c r="F1029" s="9">
        <v>216</v>
      </c>
      <c r="G1029" s="9">
        <v>316.22000000000003</v>
      </c>
      <c r="H1029" s="9" t="s">
        <v>19</v>
      </c>
      <c r="I1029" s="9">
        <v>7</v>
      </c>
      <c r="J1029" s="10">
        <v>100.22</v>
      </c>
      <c r="K1029" s="9" t="str">
        <f>TEXT(Sales_of_Jordan[[#This Row],[Sale_Date]],"mmm")</f>
        <v>Jan</v>
      </c>
    </row>
    <row r="1030" spans="1:11" x14ac:dyDescent="0.35">
      <c r="A1030" s="7" t="s">
        <v>1060</v>
      </c>
      <c r="B1030" s="8">
        <v>45493</v>
      </c>
      <c r="C1030" s="9" t="s">
        <v>21</v>
      </c>
      <c r="D1030" s="9" t="s">
        <v>39</v>
      </c>
      <c r="E1030" s="9" t="s">
        <v>29</v>
      </c>
      <c r="F1030" s="9">
        <v>222</v>
      </c>
      <c r="G1030" s="9">
        <v>313.17</v>
      </c>
      <c r="H1030" s="9" t="s">
        <v>32</v>
      </c>
      <c r="I1030" s="9">
        <v>32</v>
      </c>
      <c r="J1030" s="10">
        <v>91.17</v>
      </c>
      <c r="K1030" s="9" t="str">
        <f>TEXT(Sales_of_Jordan[[#This Row],[Sale_Date]],"mmm")</f>
        <v>Jul</v>
      </c>
    </row>
    <row r="1031" spans="1:11" x14ac:dyDescent="0.35">
      <c r="A1031" s="7" t="s">
        <v>1061</v>
      </c>
      <c r="B1031" s="8">
        <v>45018</v>
      </c>
      <c r="C1031" s="9" t="s">
        <v>11</v>
      </c>
      <c r="D1031" s="9" t="s">
        <v>17</v>
      </c>
      <c r="E1031" s="9" t="s">
        <v>29</v>
      </c>
      <c r="F1031" s="9">
        <v>227</v>
      </c>
      <c r="G1031" s="9">
        <v>222.08</v>
      </c>
      <c r="H1031" s="9" t="s">
        <v>19</v>
      </c>
      <c r="I1031" s="9">
        <v>13</v>
      </c>
      <c r="J1031" s="10">
        <v>-4.9199999999999804</v>
      </c>
      <c r="K1031" s="9" t="str">
        <f>TEXT(Sales_of_Jordan[[#This Row],[Sale_Date]],"mmm")</f>
        <v>Apr</v>
      </c>
    </row>
    <row r="1032" spans="1:11" x14ac:dyDescent="0.35">
      <c r="A1032" s="7" t="s">
        <v>1062</v>
      </c>
      <c r="B1032" s="8">
        <v>45284</v>
      </c>
      <c r="C1032" s="9" t="s">
        <v>16</v>
      </c>
      <c r="D1032" s="9" t="s">
        <v>46</v>
      </c>
      <c r="E1032" s="9" t="s">
        <v>13</v>
      </c>
      <c r="F1032" s="9">
        <v>175</v>
      </c>
      <c r="G1032" s="9">
        <v>145.65</v>
      </c>
      <c r="H1032" s="9" t="s">
        <v>23</v>
      </c>
      <c r="I1032" s="9">
        <v>31</v>
      </c>
      <c r="J1032" s="10">
        <v>-29.349999999999898</v>
      </c>
      <c r="K1032" s="9" t="str">
        <f>TEXT(Sales_of_Jordan[[#This Row],[Sale_Date]],"mmm")</f>
        <v>Dec</v>
      </c>
    </row>
    <row r="1033" spans="1:11" x14ac:dyDescent="0.35">
      <c r="A1033" s="7" t="s">
        <v>1063</v>
      </c>
      <c r="B1033" s="8">
        <v>45273</v>
      </c>
      <c r="C1033" s="9" t="s">
        <v>31</v>
      </c>
      <c r="D1033" s="9" t="s">
        <v>46</v>
      </c>
      <c r="E1033" s="9" t="s">
        <v>18</v>
      </c>
      <c r="F1033" s="9">
        <v>208</v>
      </c>
      <c r="G1033" s="9">
        <v>594.01</v>
      </c>
      <c r="H1033" s="9" t="s">
        <v>25</v>
      </c>
      <c r="I1033" s="9">
        <v>50</v>
      </c>
      <c r="J1033" s="10">
        <v>386.01</v>
      </c>
      <c r="K1033" s="9" t="str">
        <f>TEXT(Sales_of_Jordan[[#This Row],[Sale_Date]],"mmm")</f>
        <v>Dec</v>
      </c>
    </row>
    <row r="1034" spans="1:11" x14ac:dyDescent="0.35">
      <c r="A1034" s="7" t="s">
        <v>1064</v>
      </c>
      <c r="B1034" s="8">
        <v>45084</v>
      </c>
      <c r="C1034" s="9" t="s">
        <v>27</v>
      </c>
      <c r="D1034" s="9" t="s">
        <v>53</v>
      </c>
      <c r="E1034" s="9" t="s">
        <v>29</v>
      </c>
      <c r="F1034" s="9">
        <v>112</v>
      </c>
      <c r="G1034" s="9">
        <v>104.44</v>
      </c>
      <c r="H1034" s="9" t="s">
        <v>23</v>
      </c>
      <c r="I1034" s="9">
        <v>47</v>
      </c>
      <c r="J1034" s="10">
        <v>-7.56</v>
      </c>
      <c r="K1034" s="9" t="str">
        <f>TEXT(Sales_of_Jordan[[#This Row],[Sale_Date]],"mmm")</f>
        <v>Jun</v>
      </c>
    </row>
    <row r="1035" spans="1:11" x14ac:dyDescent="0.35">
      <c r="A1035" s="7" t="s">
        <v>1065</v>
      </c>
      <c r="B1035" s="8">
        <v>45747</v>
      </c>
      <c r="C1035" s="9" t="s">
        <v>11</v>
      </c>
      <c r="D1035" s="9" t="s">
        <v>39</v>
      </c>
      <c r="E1035" s="9" t="s">
        <v>13</v>
      </c>
      <c r="F1035" s="9">
        <v>225</v>
      </c>
      <c r="G1035" s="9">
        <v>135.81</v>
      </c>
      <c r="H1035" s="9" t="s">
        <v>23</v>
      </c>
      <c r="I1035" s="9">
        <v>54</v>
      </c>
      <c r="J1035" s="10">
        <v>-89.19</v>
      </c>
      <c r="K1035" s="9" t="str">
        <f>TEXT(Sales_of_Jordan[[#This Row],[Sale_Date]],"mmm")</f>
        <v>Mar</v>
      </c>
    </row>
    <row r="1036" spans="1:11" x14ac:dyDescent="0.35">
      <c r="A1036" s="7" t="s">
        <v>1066</v>
      </c>
      <c r="B1036" s="8">
        <v>45542</v>
      </c>
      <c r="C1036" s="9" t="s">
        <v>21</v>
      </c>
      <c r="D1036" s="9" t="s">
        <v>55</v>
      </c>
      <c r="E1036" s="9" t="s">
        <v>13</v>
      </c>
      <c r="F1036" s="9">
        <v>221</v>
      </c>
      <c r="G1036" s="9">
        <v>180.73</v>
      </c>
      <c r="H1036" s="9" t="s">
        <v>19</v>
      </c>
      <c r="I1036" s="9">
        <v>9</v>
      </c>
      <c r="J1036" s="10">
        <v>-40.270000000000003</v>
      </c>
      <c r="K1036" s="9" t="str">
        <f>TEXT(Sales_of_Jordan[[#This Row],[Sale_Date]],"mmm")</f>
        <v>Sep</v>
      </c>
    </row>
    <row r="1037" spans="1:11" x14ac:dyDescent="0.35">
      <c r="A1037" s="7" t="s">
        <v>1067</v>
      </c>
      <c r="B1037" s="8">
        <v>45576</v>
      </c>
      <c r="C1037" s="9" t="s">
        <v>11</v>
      </c>
      <c r="D1037" s="9" t="s">
        <v>22</v>
      </c>
      <c r="E1037" s="9" t="s">
        <v>13</v>
      </c>
      <c r="F1037" s="9">
        <v>226</v>
      </c>
      <c r="G1037" s="9">
        <v>154.71</v>
      </c>
      <c r="H1037" s="9" t="s">
        <v>32</v>
      </c>
      <c r="I1037" s="9">
        <v>8</v>
      </c>
      <c r="J1037" s="10">
        <v>-71.289999999999907</v>
      </c>
      <c r="K1037" s="9" t="str">
        <f>TEXT(Sales_of_Jordan[[#This Row],[Sale_Date]],"mmm")</f>
        <v>Oct</v>
      </c>
    </row>
    <row r="1038" spans="1:11" x14ac:dyDescent="0.35">
      <c r="A1038" s="7" t="s">
        <v>1068</v>
      </c>
      <c r="B1038" s="8">
        <v>45192</v>
      </c>
      <c r="C1038" s="9" t="s">
        <v>16</v>
      </c>
      <c r="D1038" s="9" t="s">
        <v>34</v>
      </c>
      <c r="E1038" s="9" t="s">
        <v>18</v>
      </c>
      <c r="F1038" s="9">
        <v>186</v>
      </c>
      <c r="G1038" s="9">
        <v>607.91</v>
      </c>
      <c r="H1038" s="9" t="s">
        <v>25</v>
      </c>
      <c r="I1038" s="9">
        <v>42</v>
      </c>
      <c r="J1038" s="10">
        <v>421.909999999999</v>
      </c>
      <c r="K1038" s="9" t="str">
        <f>TEXT(Sales_of_Jordan[[#This Row],[Sale_Date]],"mmm")</f>
        <v>Sep</v>
      </c>
    </row>
    <row r="1039" spans="1:11" x14ac:dyDescent="0.35">
      <c r="A1039" s="7" t="s">
        <v>1069</v>
      </c>
      <c r="B1039" s="8">
        <v>45127</v>
      </c>
      <c r="C1039" s="9" t="s">
        <v>16</v>
      </c>
      <c r="D1039" s="9" t="s">
        <v>39</v>
      </c>
      <c r="E1039" s="9" t="s">
        <v>29</v>
      </c>
      <c r="F1039" s="9">
        <v>184</v>
      </c>
      <c r="G1039" s="9">
        <v>239.73</v>
      </c>
      <c r="H1039" s="9" t="s">
        <v>25</v>
      </c>
      <c r="I1039" s="9">
        <v>19</v>
      </c>
      <c r="J1039" s="10">
        <v>55.729999999999897</v>
      </c>
      <c r="K1039" s="9" t="str">
        <f>TEXT(Sales_of_Jordan[[#This Row],[Sale_Date]],"mmm")</f>
        <v>Jul</v>
      </c>
    </row>
    <row r="1040" spans="1:11" x14ac:dyDescent="0.35">
      <c r="A1040" s="7" t="s">
        <v>1070</v>
      </c>
      <c r="B1040" s="8">
        <v>45607</v>
      </c>
      <c r="C1040" s="9" t="s">
        <v>27</v>
      </c>
      <c r="D1040" s="9" t="s">
        <v>39</v>
      </c>
      <c r="E1040" s="9" t="s">
        <v>13</v>
      </c>
      <c r="F1040" s="9">
        <v>132</v>
      </c>
      <c r="G1040" s="9">
        <v>113.82</v>
      </c>
      <c r="H1040" s="9" t="s">
        <v>25</v>
      </c>
      <c r="I1040" s="9">
        <v>57</v>
      </c>
      <c r="J1040" s="10">
        <v>-18.18</v>
      </c>
      <c r="K1040" s="9" t="str">
        <f>TEXT(Sales_of_Jordan[[#This Row],[Sale_Date]],"mmm")</f>
        <v>Nov</v>
      </c>
    </row>
    <row r="1041" spans="1:11" x14ac:dyDescent="0.35">
      <c r="A1041" s="7" t="s">
        <v>1071</v>
      </c>
      <c r="B1041" s="8">
        <v>45317</v>
      </c>
      <c r="C1041" s="9" t="s">
        <v>27</v>
      </c>
      <c r="D1041" s="9" t="s">
        <v>22</v>
      </c>
      <c r="E1041" s="9" t="s">
        <v>29</v>
      </c>
      <c r="F1041" s="9">
        <v>123</v>
      </c>
      <c r="G1041" s="9">
        <v>132.29</v>
      </c>
      <c r="H1041" s="9" t="s">
        <v>32</v>
      </c>
      <c r="I1041" s="9">
        <v>38</v>
      </c>
      <c r="J1041" s="10">
        <v>9.2899999999999903</v>
      </c>
      <c r="K1041" s="9" t="str">
        <f>TEXT(Sales_of_Jordan[[#This Row],[Sale_Date]],"mmm")</f>
        <v>Jan</v>
      </c>
    </row>
    <row r="1042" spans="1:11" x14ac:dyDescent="0.35">
      <c r="A1042" s="7" t="s">
        <v>1072</v>
      </c>
      <c r="B1042" s="8">
        <v>45389</v>
      </c>
      <c r="C1042" s="9" t="s">
        <v>11</v>
      </c>
      <c r="D1042" s="9" t="s">
        <v>55</v>
      </c>
      <c r="E1042" s="9" t="s">
        <v>13</v>
      </c>
      <c r="F1042" s="9">
        <v>230</v>
      </c>
      <c r="G1042" s="9">
        <v>177.49</v>
      </c>
      <c r="H1042" s="9" t="s">
        <v>19</v>
      </c>
      <c r="I1042" s="9">
        <v>1</v>
      </c>
      <c r="J1042" s="10">
        <v>-52.509999999999899</v>
      </c>
      <c r="K1042" s="9" t="str">
        <f>TEXT(Sales_of_Jordan[[#This Row],[Sale_Date]],"mmm")</f>
        <v>Apr</v>
      </c>
    </row>
    <row r="1043" spans="1:11" x14ac:dyDescent="0.35">
      <c r="A1043" s="7" t="s">
        <v>1073</v>
      </c>
      <c r="B1043" s="8">
        <v>45048</v>
      </c>
      <c r="C1043" s="9" t="s">
        <v>16</v>
      </c>
      <c r="D1043" s="9" t="s">
        <v>53</v>
      </c>
      <c r="E1043" s="9" t="s">
        <v>18</v>
      </c>
      <c r="F1043" s="9">
        <v>190</v>
      </c>
      <c r="G1043" s="9">
        <v>412.56</v>
      </c>
      <c r="H1043" s="9" t="s">
        <v>14</v>
      </c>
      <c r="I1043" s="9">
        <v>14</v>
      </c>
      <c r="J1043" s="10">
        <v>222.56</v>
      </c>
      <c r="K1043" s="9" t="str">
        <f>TEXT(Sales_of_Jordan[[#This Row],[Sale_Date]],"mmm")</f>
        <v>May</v>
      </c>
    </row>
    <row r="1044" spans="1:11" x14ac:dyDescent="0.35">
      <c r="A1044" s="7" t="s">
        <v>1074</v>
      </c>
      <c r="B1044" s="8">
        <v>45577</v>
      </c>
      <c r="C1044" s="9" t="s">
        <v>16</v>
      </c>
      <c r="D1044" s="9" t="s">
        <v>46</v>
      </c>
      <c r="E1044" s="9" t="s">
        <v>13</v>
      </c>
      <c r="F1044" s="9">
        <v>188</v>
      </c>
      <c r="G1044" s="9">
        <v>137.75</v>
      </c>
      <c r="H1044" s="9" t="s">
        <v>32</v>
      </c>
      <c r="I1044" s="9">
        <v>7</v>
      </c>
      <c r="J1044" s="10">
        <v>-50.25</v>
      </c>
      <c r="K1044" s="9" t="str">
        <f>TEXT(Sales_of_Jordan[[#This Row],[Sale_Date]],"mmm")</f>
        <v>Oct</v>
      </c>
    </row>
    <row r="1045" spans="1:11" x14ac:dyDescent="0.35">
      <c r="A1045" s="7" t="s">
        <v>1075</v>
      </c>
      <c r="B1045" s="8">
        <v>45434</v>
      </c>
      <c r="C1045" s="9" t="s">
        <v>11</v>
      </c>
      <c r="D1045" s="9" t="s">
        <v>17</v>
      </c>
      <c r="E1045" s="9" t="s">
        <v>18</v>
      </c>
      <c r="F1045" s="9">
        <v>227</v>
      </c>
      <c r="G1045" s="9">
        <v>479.87</v>
      </c>
      <c r="H1045" s="9" t="s">
        <v>32</v>
      </c>
      <c r="I1045" s="9">
        <v>46</v>
      </c>
      <c r="J1045" s="10">
        <v>252.87</v>
      </c>
      <c r="K1045" s="9" t="str">
        <f>TEXT(Sales_of_Jordan[[#This Row],[Sale_Date]],"mmm")</f>
        <v>May</v>
      </c>
    </row>
    <row r="1046" spans="1:11" x14ac:dyDescent="0.35">
      <c r="A1046" s="7" t="s">
        <v>1076</v>
      </c>
      <c r="B1046" s="8">
        <v>45819</v>
      </c>
      <c r="C1046" s="9" t="s">
        <v>21</v>
      </c>
      <c r="D1046" s="9" t="s">
        <v>17</v>
      </c>
      <c r="E1046" s="9" t="s">
        <v>18</v>
      </c>
      <c r="F1046" s="9">
        <v>210</v>
      </c>
      <c r="G1046" s="9">
        <v>502.23</v>
      </c>
      <c r="H1046" s="9" t="s">
        <v>32</v>
      </c>
      <c r="I1046" s="9">
        <v>30</v>
      </c>
      <c r="J1046" s="10">
        <v>292.23</v>
      </c>
      <c r="K1046" s="9" t="str">
        <f>TEXT(Sales_of_Jordan[[#This Row],[Sale_Date]],"mmm")</f>
        <v>Jun</v>
      </c>
    </row>
    <row r="1047" spans="1:11" x14ac:dyDescent="0.35">
      <c r="A1047" s="7" t="s">
        <v>1077</v>
      </c>
      <c r="B1047" s="8">
        <v>45670</v>
      </c>
      <c r="C1047" s="9" t="s">
        <v>16</v>
      </c>
      <c r="D1047" s="9" t="s">
        <v>34</v>
      </c>
      <c r="E1047" s="9" t="s">
        <v>29</v>
      </c>
      <c r="F1047" s="9">
        <v>180</v>
      </c>
      <c r="G1047" s="9">
        <v>162.56</v>
      </c>
      <c r="H1047" s="9" t="s">
        <v>14</v>
      </c>
      <c r="I1047" s="9">
        <v>3</v>
      </c>
      <c r="J1047" s="10">
        <v>-17.439999999999898</v>
      </c>
      <c r="K1047" s="9" t="str">
        <f>TEXT(Sales_of_Jordan[[#This Row],[Sale_Date]],"mmm")</f>
        <v>Jan</v>
      </c>
    </row>
    <row r="1048" spans="1:11" x14ac:dyDescent="0.35">
      <c r="A1048" s="7" t="s">
        <v>1078</v>
      </c>
      <c r="B1048" s="8">
        <v>45437</v>
      </c>
      <c r="C1048" s="9" t="s">
        <v>16</v>
      </c>
      <c r="D1048" s="9" t="s">
        <v>53</v>
      </c>
      <c r="E1048" s="9" t="s">
        <v>29</v>
      </c>
      <c r="F1048" s="9">
        <v>187</v>
      </c>
      <c r="G1048" s="9">
        <v>243.5</v>
      </c>
      <c r="H1048" s="9" t="s">
        <v>25</v>
      </c>
      <c r="I1048" s="9">
        <v>7</v>
      </c>
      <c r="J1048" s="10">
        <v>56.5</v>
      </c>
      <c r="K1048" s="9" t="str">
        <f>TEXT(Sales_of_Jordan[[#This Row],[Sale_Date]],"mmm")</f>
        <v>May</v>
      </c>
    </row>
    <row r="1049" spans="1:11" x14ac:dyDescent="0.35">
      <c r="A1049" s="7" t="s">
        <v>1079</v>
      </c>
      <c r="B1049" s="8">
        <v>45727</v>
      </c>
      <c r="C1049" s="9" t="s">
        <v>11</v>
      </c>
      <c r="D1049" s="9" t="s">
        <v>22</v>
      </c>
      <c r="E1049" s="9" t="s">
        <v>18</v>
      </c>
      <c r="F1049" s="9">
        <v>225</v>
      </c>
      <c r="G1049" s="9">
        <v>638.14</v>
      </c>
      <c r="H1049" s="9" t="s">
        <v>19</v>
      </c>
      <c r="I1049" s="9">
        <v>13</v>
      </c>
      <c r="J1049" s="10">
        <v>413.14</v>
      </c>
      <c r="K1049" s="9" t="str">
        <f>TEXT(Sales_of_Jordan[[#This Row],[Sale_Date]],"mmm")</f>
        <v>Mar</v>
      </c>
    </row>
    <row r="1050" spans="1:11" x14ac:dyDescent="0.35">
      <c r="A1050" s="7" t="s">
        <v>1080</v>
      </c>
      <c r="B1050" s="8">
        <v>45743</v>
      </c>
      <c r="C1050" s="9" t="s">
        <v>11</v>
      </c>
      <c r="D1050" s="9" t="s">
        <v>39</v>
      </c>
      <c r="E1050" s="9" t="s">
        <v>13</v>
      </c>
      <c r="F1050" s="9">
        <v>230</v>
      </c>
      <c r="G1050" s="9">
        <v>186.07</v>
      </c>
      <c r="H1050" s="9" t="s">
        <v>19</v>
      </c>
      <c r="I1050" s="9">
        <v>10</v>
      </c>
      <c r="J1050" s="10">
        <v>-43.93</v>
      </c>
      <c r="K1050" s="9" t="str">
        <f>TEXT(Sales_of_Jordan[[#This Row],[Sale_Date]],"mmm")</f>
        <v>Mar</v>
      </c>
    </row>
    <row r="1051" spans="1:11" x14ac:dyDescent="0.35">
      <c r="A1051" s="7" t="s">
        <v>1081</v>
      </c>
      <c r="B1051" s="8">
        <v>45078</v>
      </c>
      <c r="C1051" s="9" t="s">
        <v>16</v>
      </c>
      <c r="D1051" s="9" t="s">
        <v>17</v>
      </c>
      <c r="E1051" s="9" t="s">
        <v>18</v>
      </c>
      <c r="F1051" s="9">
        <v>178</v>
      </c>
      <c r="G1051" s="9">
        <v>483.38</v>
      </c>
      <c r="H1051" s="9" t="s">
        <v>14</v>
      </c>
      <c r="I1051" s="9">
        <v>6</v>
      </c>
      <c r="J1051" s="10">
        <v>305.38</v>
      </c>
      <c r="K1051" s="9" t="str">
        <f>TEXT(Sales_of_Jordan[[#This Row],[Sale_Date]],"mmm")</f>
        <v>Jun</v>
      </c>
    </row>
    <row r="1052" spans="1:11" x14ac:dyDescent="0.35">
      <c r="A1052" s="7" t="s">
        <v>1082</v>
      </c>
      <c r="B1052" s="8">
        <v>44994</v>
      </c>
      <c r="C1052" s="9" t="s">
        <v>16</v>
      </c>
      <c r="D1052" s="9" t="s">
        <v>46</v>
      </c>
      <c r="E1052" s="9" t="s">
        <v>18</v>
      </c>
      <c r="F1052" s="9">
        <v>185</v>
      </c>
      <c r="G1052" s="9">
        <v>591.87</v>
      </c>
      <c r="H1052" s="9" t="s">
        <v>14</v>
      </c>
      <c r="I1052" s="9">
        <v>5</v>
      </c>
      <c r="J1052" s="10">
        <v>406.87</v>
      </c>
      <c r="K1052" s="9" t="str">
        <f>TEXT(Sales_of_Jordan[[#This Row],[Sale_Date]],"mmm")</f>
        <v>Mar</v>
      </c>
    </row>
    <row r="1053" spans="1:11" x14ac:dyDescent="0.35">
      <c r="A1053" s="7" t="s">
        <v>1083</v>
      </c>
      <c r="B1053" s="8">
        <v>45498</v>
      </c>
      <c r="C1053" s="9" t="s">
        <v>16</v>
      </c>
      <c r="D1053" s="9" t="s">
        <v>55</v>
      </c>
      <c r="E1053" s="9" t="s">
        <v>18</v>
      </c>
      <c r="F1053" s="9">
        <v>182</v>
      </c>
      <c r="G1053" s="9">
        <v>394.6</v>
      </c>
      <c r="H1053" s="9" t="s">
        <v>25</v>
      </c>
      <c r="I1053" s="9">
        <v>24</v>
      </c>
      <c r="J1053" s="10">
        <v>212.6</v>
      </c>
      <c r="K1053" s="9" t="str">
        <f>TEXT(Sales_of_Jordan[[#This Row],[Sale_Date]],"mmm")</f>
        <v>Jul</v>
      </c>
    </row>
    <row r="1054" spans="1:11" x14ac:dyDescent="0.35">
      <c r="A1054" s="7" t="s">
        <v>1084</v>
      </c>
      <c r="B1054" s="8">
        <v>45021</v>
      </c>
      <c r="C1054" s="9" t="s">
        <v>11</v>
      </c>
      <c r="D1054" s="9" t="s">
        <v>36</v>
      </c>
      <c r="E1054" s="9" t="s">
        <v>13</v>
      </c>
      <c r="F1054" s="9">
        <v>230</v>
      </c>
      <c r="G1054" s="9">
        <v>138.13999999999999</v>
      </c>
      <c r="H1054" s="9" t="s">
        <v>19</v>
      </c>
      <c r="I1054" s="9">
        <v>1</v>
      </c>
      <c r="J1054" s="10">
        <v>-91.86</v>
      </c>
      <c r="K1054" s="9" t="str">
        <f>TEXT(Sales_of_Jordan[[#This Row],[Sale_Date]],"mmm")</f>
        <v>Apr</v>
      </c>
    </row>
    <row r="1055" spans="1:11" x14ac:dyDescent="0.35">
      <c r="A1055" s="7" t="s">
        <v>1085</v>
      </c>
      <c r="B1055" s="8">
        <v>45513</v>
      </c>
      <c r="C1055" s="9" t="s">
        <v>11</v>
      </c>
      <c r="D1055" s="9" t="s">
        <v>53</v>
      </c>
      <c r="E1055" s="9" t="s">
        <v>29</v>
      </c>
      <c r="F1055" s="9">
        <v>228</v>
      </c>
      <c r="G1055" s="9">
        <v>285.27999999999997</v>
      </c>
      <c r="H1055" s="9" t="s">
        <v>32</v>
      </c>
      <c r="I1055" s="9">
        <v>45</v>
      </c>
      <c r="J1055" s="10">
        <v>57.279999999999902</v>
      </c>
      <c r="K1055" s="9" t="str">
        <f>TEXT(Sales_of_Jordan[[#This Row],[Sale_Date]],"mmm")</f>
        <v>Aug</v>
      </c>
    </row>
    <row r="1056" spans="1:11" x14ac:dyDescent="0.35">
      <c r="A1056" s="7" t="s">
        <v>1086</v>
      </c>
      <c r="B1056" s="8">
        <v>45792</v>
      </c>
      <c r="C1056" s="9" t="s">
        <v>27</v>
      </c>
      <c r="D1056" s="9" t="s">
        <v>53</v>
      </c>
      <c r="E1056" s="9" t="s">
        <v>13</v>
      </c>
      <c r="F1056" s="9">
        <v>133</v>
      </c>
      <c r="G1056" s="9">
        <v>102.74</v>
      </c>
      <c r="H1056" s="9" t="s">
        <v>32</v>
      </c>
      <c r="I1056" s="9">
        <v>22</v>
      </c>
      <c r="J1056" s="10">
        <v>-30.26</v>
      </c>
      <c r="K1056" s="9" t="str">
        <f>TEXT(Sales_of_Jordan[[#This Row],[Sale_Date]],"mmm")</f>
        <v>May</v>
      </c>
    </row>
    <row r="1057" spans="1:11" x14ac:dyDescent="0.35">
      <c r="A1057" s="7" t="s">
        <v>1087</v>
      </c>
      <c r="B1057" s="8">
        <v>45127</v>
      </c>
      <c r="C1057" s="9" t="s">
        <v>11</v>
      </c>
      <c r="D1057" s="9" t="s">
        <v>12</v>
      </c>
      <c r="E1057" s="9" t="s">
        <v>29</v>
      </c>
      <c r="F1057" s="9">
        <v>228</v>
      </c>
      <c r="G1057" s="9">
        <v>284.55</v>
      </c>
      <c r="H1057" s="9" t="s">
        <v>32</v>
      </c>
      <c r="I1057" s="9">
        <v>30</v>
      </c>
      <c r="J1057" s="10">
        <v>56.55</v>
      </c>
      <c r="K1057" s="9" t="str">
        <f>TEXT(Sales_of_Jordan[[#This Row],[Sale_Date]],"mmm")</f>
        <v>Jul</v>
      </c>
    </row>
    <row r="1058" spans="1:11" x14ac:dyDescent="0.35">
      <c r="A1058" s="7" t="s">
        <v>1088</v>
      </c>
      <c r="B1058" s="8">
        <v>45592</v>
      </c>
      <c r="C1058" s="9" t="s">
        <v>27</v>
      </c>
      <c r="D1058" s="9" t="s">
        <v>22</v>
      </c>
      <c r="E1058" s="9" t="s">
        <v>29</v>
      </c>
      <c r="F1058" s="9">
        <v>140</v>
      </c>
      <c r="G1058" s="9">
        <v>144.25</v>
      </c>
      <c r="H1058" s="9" t="s">
        <v>25</v>
      </c>
      <c r="I1058" s="9">
        <v>37</v>
      </c>
      <c r="J1058" s="10">
        <v>4.25</v>
      </c>
      <c r="K1058" s="9" t="str">
        <f>TEXT(Sales_of_Jordan[[#This Row],[Sale_Date]],"mmm")</f>
        <v>Oct</v>
      </c>
    </row>
    <row r="1059" spans="1:11" x14ac:dyDescent="0.35">
      <c r="A1059" s="7" t="s">
        <v>1089</v>
      </c>
      <c r="B1059" s="8">
        <v>45004</v>
      </c>
      <c r="C1059" s="9" t="s">
        <v>21</v>
      </c>
      <c r="D1059" s="9" t="s">
        <v>39</v>
      </c>
      <c r="E1059" s="9" t="s">
        <v>18</v>
      </c>
      <c r="F1059" s="9">
        <v>225</v>
      </c>
      <c r="G1059" s="9">
        <v>732.98</v>
      </c>
      <c r="H1059" s="9" t="s">
        <v>19</v>
      </c>
      <c r="I1059" s="9">
        <v>13</v>
      </c>
      <c r="J1059" s="10">
        <v>507.98</v>
      </c>
      <c r="K1059" s="9" t="str">
        <f>TEXT(Sales_of_Jordan[[#This Row],[Sale_Date]],"mmm")</f>
        <v>Mar</v>
      </c>
    </row>
    <row r="1060" spans="1:11" x14ac:dyDescent="0.35">
      <c r="A1060" s="7" t="s">
        <v>1090</v>
      </c>
      <c r="B1060" s="8">
        <v>45495</v>
      </c>
      <c r="C1060" s="9" t="s">
        <v>16</v>
      </c>
      <c r="D1060" s="9" t="s">
        <v>36</v>
      </c>
      <c r="E1060" s="9" t="s">
        <v>29</v>
      </c>
      <c r="F1060" s="9">
        <v>174</v>
      </c>
      <c r="G1060" s="9">
        <v>218.57</v>
      </c>
      <c r="H1060" s="9" t="s">
        <v>25</v>
      </c>
      <c r="I1060" s="9">
        <v>46</v>
      </c>
      <c r="J1060" s="10">
        <v>44.569999999999901</v>
      </c>
      <c r="K1060" s="9" t="str">
        <f>TEXT(Sales_of_Jordan[[#This Row],[Sale_Date]],"mmm")</f>
        <v>Jul</v>
      </c>
    </row>
    <row r="1061" spans="1:11" x14ac:dyDescent="0.35">
      <c r="A1061" s="7" t="s">
        <v>1091</v>
      </c>
      <c r="B1061" s="8">
        <v>45092</v>
      </c>
      <c r="C1061" s="9" t="s">
        <v>16</v>
      </c>
      <c r="D1061" s="9" t="s">
        <v>55</v>
      </c>
      <c r="E1061" s="9" t="s">
        <v>29</v>
      </c>
      <c r="F1061" s="9">
        <v>173</v>
      </c>
      <c r="G1061" s="9">
        <v>241.79</v>
      </c>
      <c r="H1061" s="9" t="s">
        <v>25</v>
      </c>
      <c r="I1061" s="9">
        <v>32</v>
      </c>
      <c r="J1061" s="10">
        <v>68.789999999999907</v>
      </c>
      <c r="K1061" s="9" t="str">
        <f>TEXT(Sales_of_Jordan[[#This Row],[Sale_Date]],"mmm")</f>
        <v>Jun</v>
      </c>
    </row>
    <row r="1062" spans="1:11" x14ac:dyDescent="0.35">
      <c r="A1062" s="7" t="s">
        <v>1092</v>
      </c>
      <c r="B1062" s="8">
        <v>45200</v>
      </c>
      <c r="C1062" s="9" t="s">
        <v>27</v>
      </c>
      <c r="D1062" s="9" t="s">
        <v>46</v>
      </c>
      <c r="E1062" s="9" t="s">
        <v>18</v>
      </c>
      <c r="F1062" s="9">
        <v>127</v>
      </c>
      <c r="G1062" s="9">
        <v>373.92</v>
      </c>
      <c r="H1062" s="9" t="s">
        <v>23</v>
      </c>
      <c r="I1062" s="9">
        <v>13</v>
      </c>
      <c r="J1062" s="10">
        <v>246.92</v>
      </c>
      <c r="K1062" s="9" t="str">
        <f>TEXT(Sales_of_Jordan[[#This Row],[Sale_Date]],"mmm")</f>
        <v>Oct</v>
      </c>
    </row>
    <row r="1063" spans="1:11" x14ac:dyDescent="0.35">
      <c r="A1063" s="7" t="s">
        <v>1093</v>
      </c>
      <c r="B1063" s="8">
        <v>45261</v>
      </c>
      <c r="C1063" s="9" t="s">
        <v>21</v>
      </c>
      <c r="D1063" s="9" t="s">
        <v>36</v>
      </c>
      <c r="E1063" s="9" t="s">
        <v>13</v>
      </c>
      <c r="F1063" s="9">
        <v>221</v>
      </c>
      <c r="G1063" s="9">
        <v>131.72</v>
      </c>
      <c r="H1063" s="9" t="s">
        <v>23</v>
      </c>
      <c r="I1063" s="9">
        <v>37</v>
      </c>
      <c r="J1063" s="10">
        <v>-89.28</v>
      </c>
      <c r="K1063" s="9" t="str">
        <f>TEXT(Sales_of_Jordan[[#This Row],[Sale_Date]],"mmm")</f>
        <v>Dec</v>
      </c>
    </row>
    <row r="1064" spans="1:11" x14ac:dyDescent="0.35">
      <c r="A1064" s="7" t="s">
        <v>1094</v>
      </c>
      <c r="B1064" s="8">
        <v>45131</v>
      </c>
      <c r="C1064" s="9" t="s">
        <v>21</v>
      </c>
      <c r="D1064" s="9" t="s">
        <v>34</v>
      </c>
      <c r="E1064" s="9" t="s">
        <v>13</v>
      </c>
      <c r="F1064" s="9">
        <v>211</v>
      </c>
      <c r="G1064" s="9">
        <v>189.89</v>
      </c>
      <c r="H1064" s="9" t="s">
        <v>14</v>
      </c>
      <c r="I1064" s="9">
        <v>7</v>
      </c>
      <c r="J1064" s="10">
        <v>-21.11</v>
      </c>
      <c r="K1064" s="9" t="str">
        <f>TEXT(Sales_of_Jordan[[#This Row],[Sale_Date]],"mmm")</f>
        <v>Jul</v>
      </c>
    </row>
    <row r="1065" spans="1:11" x14ac:dyDescent="0.35">
      <c r="A1065" s="7" t="s">
        <v>1095</v>
      </c>
      <c r="B1065" s="8">
        <v>45770</v>
      </c>
      <c r="C1065" s="9" t="s">
        <v>27</v>
      </c>
      <c r="D1065" s="9" t="s">
        <v>46</v>
      </c>
      <c r="E1065" s="9" t="s">
        <v>29</v>
      </c>
      <c r="F1065" s="9">
        <v>133</v>
      </c>
      <c r="G1065" s="9">
        <v>168.3</v>
      </c>
      <c r="H1065" s="9" t="s">
        <v>19</v>
      </c>
      <c r="I1065" s="9">
        <v>8</v>
      </c>
      <c r="J1065" s="10">
        <v>35.299999999999997</v>
      </c>
      <c r="K1065" s="9" t="str">
        <f>TEXT(Sales_of_Jordan[[#This Row],[Sale_Date]],"mmm")</f>
        <v>Apr</v>
      </c>
    </row>
    <row r="1066" spans="1:11" x14ac:dyDescent="0.35">
      <c r="A1066" s="7" t="s">
        <v>1096</v>
      </c>
      <c r="B1066" s="8">
        <v>45228</v>
      </c>
      <c r="C1066" s="9" t="s">
        <v>11</v>
      </c>
      <c r="D1066" s="9" t="s">
        <v>39</v>
      </c>
      <c r="E1066" s="9" t="s">
        <v>29</v>
      </c>
      <c r="F1066" s="9">
        <v>230</v>
      </c>
      <c r="G1066" s="9">
        <v>322.51</v>
      </c>
      <c r="H1066" s="9" t="s">
        <v>14</v>
      </c>
      <c r="I1066" s="9">
        <v>5</v>
      </c>
      <c r="J1066" s="10">
        <v>92.509999999999906</v>
      </c>
      <c r="K1066" s="9" t="str">
        <f>TEXT(Sales_of_Jordan[[#This Row],[Sale_Date]],"mmm")</f>
        <v>Oct</v>
      </c>
    </row>
    <row r="1067" spans="1:11" x14ac:dyDescent="0.35">
      <c r="A1067" s="7" t="s">
        <v>1097</v>
      </c>
      <c r="B1067" s="8">
        <v>44968</v>
      </c>
      <c r="C1067" s="9" t="s">
        <v>27</v>
      </c>
      <c r="D1067" s="9" t="s">
        <v>53</v>
      </c>
      <c r="E1067" s="9" t="s">
        <v>29</v>
      </c>
      <c r="F1067" s="9">
        <v>137</v>
      </c>
      <c r="G1067" s="9">
        <v>179.94</v>
      </c>
      <c r="H1067" s="9" t="s">
        <v>23</v>
      </c>
      <c r="I1067" s="9">
        <v>52</v>
      </c>
      <c r="J1067" s="10">
        <v>42.94</v>
      </c>
      <c r="K1067" s="9" t="str">
        <f>TEXT(Sales_of_Jordan[[#This Row],[Sale_Date]],"mmm")</f>
        <v>Feb</v>
      </c>
    </row>
    <row r="1068" spans="1:11" x14ac:dyDescent="0.35">
      <c r="A1068" s="7" t="s">
        <v>1098</v>
      </c>
      <c r="B1068" s="8">
        <v>45369</v>
      </c>
      <c r="C1068" s="9" t="s">
        <v>11</v>
      </c>
      <c r="D1068" s="9" t="s">
        <v>36</v>
      </c>
      <c r="E1068" s="9" t="s">
        <v>13</v>
      </c>
      <c r="F1068" s="9">
        <v>228</v>
      </c>
      <c r="G1068" s="9">
        <v>161.61000000000001</v>
      </c>
      <c r="H1068" s="9" t="s">
        <v>25</v>
      </c>
      <c r="I1068" s="9">
        <v>12</v>
      </c>
      <c r="J1068" s="10">
        <v>-66.389999999999901</v>
      </c>
      <c r="K1068" s="9" t="str">
        <f>TEXT(Sales_of_Jordan[[#This Row],[Sale_Date]],"mmm")</f>
        <v>Mar</v>
      </c>
    </row>
    <row r="1069" spans="1:11" x14ac:dyDescent="0.35">
      <c r="A1069" s="7" t="s">
        <v>1099</v>
      </c>
      <c r="B1069" s="8">
        <v>45772</v>
      </c>
      <c r="C1069" s="9" t="s">
        <v>27</v>
      </c>
      <c r="D1069" s="9" t="s">
        <v>17</v>
      </c>
      <c r="E1069" s="9" t="s">
        <v>13</v>
      </c>
      <c r="F1069" s="9">
        <v>129</v>
      </c>
      <c r="G1069" s="9">
        <v>103.98</v>
      </c>
      <c r="H1069" s="9" t="s">
        <v>32</v>
      </c>
      <c r="I1069" s="9">
        <v>46</v>
      </c>
      <c r="J1069" s="10">
        <v>-25.0199999999999</v>
      </c>
      <c r="K1069" s="9" t="str">
        <f>TEXT(Sales_of_Jordan[[#This Row],[Sale_Date]],"mmm")</f>
        <v>Apr</v>
      </c>
    </row>
    <row r="1070" spans="1:11" x14ac:dyDescent="0.35">
      <c r="A1070" s="7" t="s">
        <v>1100</v>
      </c>
      <c r="B1070" s="8">
        <v>45003</v>
      </c>
      <c r="C1070" s="9" t="s">
        <v>21</v>
      </c>
      <c r="D1070" s="9" t="s">
        <v>46</v>
      </c>
      <c r="E1070" s="9" t="s">
        <v>13</v>
      </c>
      <c r="F1070" s="9">
        <v>220</v>
      </c>
      <c r="G1070" s="9">
        <v>124.38</v>
      </c>
      <c r="H1070" s="9" t="s">
        <v>25</v>
      </c>
      <c r="I1070" s="9">
        <v>42</v>
      </c>
      <c r="J1070" s="10">
        <v>-95.62</v>
      </c>
      <c r="K1070" s="9" t="str">
        <f>TEXT(Sales_of_Jordan[[#This Row],[Sale_Date]],"mmm")</f>
        <v>Mar</v>
      </c>
    </row>
    <row r="1071" spans="1:11" x14ac:dyDescent="0.35">
      <c r="A1071" s="7" t="s">
        <v>1101</v>
      </c>
      <c r="B1071" s="8">
        <v>45658</v>
      </c>
      <c r="C1071" s="9" t="s">
        <v>21</v>
      </c>
      <c r="D1071" s="9" t="s">
        <v>53</v>
      </c>
      <c r="E1071" s="9" t="s">
        <v>29</v>
      </c>
      <c r="F1071" s="9">
        <v>212</v>
      </c>
      <c r="G1071" s="9">
        <v>254.88</v>
      </c>
      <c r="H1071" s="9" t="s">
        <v>25</v>
      </c>
      <c r="I1071" s="9">
        <v>46</v>
      </c>
      <c r="J1071" s="10">
        <v>42.879999999999903</v>
      </c>
      <c r="K1071" s="9" t="str">
        <f>TEXT(Sales_of_Jordan[[#This Row],[Sale_Date]],"mmm")</f>
        <v>Jan</v>
      </c>
    </row>
    <row r="1072" spans="1:11" x14ac:dyDescent="0.35">
      <c r="A1072" s="7" t="s">
        <v>1102</v>
      </c>
      <c r="B1072" s="8">
        <v>45425</v>
      </c>
      <c r="C1072" s="9" t="s">
        <v>21</v>
      </c>
      <c r="D1072" s="9" t="s">
        <v>55</v>
      </c>
      <c r="E1072" s="9" t="s">
        <v>18</v>
      </c>
      <c r="F1072" s="9">
        <v>218</v>
      </c>
      <c r="G1072" s="9">
        <v>319.68</v>
      </c>
      <c r="H1072" s="9" t="s">
        <v>23</v>
      </c>
      <c r="I1072" s="9">
        <v>33</v>
      </c>
      <c r="J1072" s="10">
        <v>101.68</v>
      </c>
      <c r="K1072" s="9" t="str">
        <f>TEXT(Sales_of_Jordan[[#This Row],[Sale_Date]],"mmm")</f>
        <v>May</v>
      </c>
    </row>
    <row r="1073" spans="1:11" x14ac:dyDescent="0.35">
      <c r="A1073" s="7" t="s">
        <v>1103</v>
      </c>
      <c r="B1073" s="8">
        <v>45603</v>
      </c>
      <c r="C1073" s="9" t="s">
        <v>16</v>
      </c>
      <c r="D1073" s="9" t="s">
        <v>12</v>
      </c>
      <c r="E1073" s="9" t="s">
        <v>13</v>
      </c>
      <c r="F1073" s="9">
        <v>176</v>
      </c>
      <c r="G1073" s="9">
        <v>106.94</v>
      </c>
      <c r="H1073" s="9" t="s">
        <v>19</v>
      </c>
      <c r="I1073" s="9">
        <v>14</v>
      </c>
      <c r="J1073" s="10">
        <v>-69.06</v>
      </c>
      <c r="K1073" s="9" t="str">
        <f>TEXT(Sales_of_Jordan[[#This Row],[Sale_Date]],"mmm")</f>
        <v>Nov</v>
      </c>
    </row>
    <row r="1074" spans="1:11" x14ac:dyDescent="0.35">
      <c r="A1074" s="7" t="s">
        <v>1104</v>
      </c>
      <c r="B1074" s="8">
        <v>45358</v>
      </c>
      <c r="C1074" s="9" t="s">
        <v>31</v>
      </c>
      <c r="D1074" s="9" t="s">
        <v>53</v>
      </c>
      <c r="E1074" s="9" t="s">
        <v>29</v>
      </c>
      <c r="F1074" s="9">
        <v>201</v>
      </c>
      <c r="G1074" s="9">
        <v>282.14999999999998</v>
      </c>
      <c r="H1074" s="9" t="s">
        <v>32</v>
      </c>
      <c r="I1074" s="9">
        <v>11</v>
      </c>
      <c r="J1074" s="10">
        <v>81.149999999999906</v>
      </c>
      <c r="K1074" s="9" t="str">
        <f>TEXT(Sales_of_Jordan[[#This Row],[Sale_Date]],"mmm")</f>
        <v>Mar</v>
      </c>
    </row>
    <row r="1075" spans="1:11" x14ac:dyDescent="0.35">
      <c r="A1075" s="7" t="s">
        <v>1105</v>
      </c>
      <c r="B1075" s="8">
        <v>45866</v>
      </c>
      <c r="C1075" s="9" t="s">
        <v>31</v>
      </c>
      <c r="D1075" s="9" t="s">
        <v>22</v>
      </c>
      <c r="E1075" s="9" t="s">
        <v>18</v>
      </c>
      <c r="F1075" s="9">
        <v>201</v>
      </c>
      <c r="G1075" s="9">
        <v>286.82</v>
      </c>
      <c r="H1075" s="9" t="s">
        <v>25</v>
      </c>
      <c r="I1075" s="9">
        <v>42</v>
      </c>
      <c r="J1075" s="10">
        <v>85.82</v>
      </c>
      <c r="K1075" s="9" t="str">
        <f>TEXT(Sales_of_Jordan[[#This Row],[Sale_Date]],"mmm")</f>
        <v>Jul</v>
      </c>
    </row>
    <row r="1076" spans="1:11" x14ac:dyDescent="0.35">
      <c r="A1076" s="7" t="s">
        <v>1106</v>
      </c>
      <c r="B1076" s="8">
        <v>45564</v>
      </c>
      <c r="C1076" s="9" t="s">
        <v>21</v>
      </c>
      <c r="D1076" s="9" t="s">
        <v>55</v>
      </c>
      <c r="E1076" s="9" t="s">
        <v>29</v>
      </c>
      <c r="F1076" s="9">
        <v>223</v>
      </c>
      <c r="G1076" s="9">
        <v>258.8</v>
      </c>
      <c r="H1076" s="9" t="s">
        <v>14</v>
      </c>
      <c r="I1076" s="9">
        <v>10</v>
      </c>
      <c r="J1076" s="10">
        <v>35.799999999999997</v>
      </c>
      <c r="K1076" s="9" t="str">
        <f>TEXT(Sales_of_Jordan[[#This Row],[Sale_Date]],"mmm")</f>
        <v>Sep</v>
      </c>
    </row>
    <row r="1077" spans="1:11" x14ac:dyDescent="0.35">
      <c r="A1077" s="7" t="s">
        <v>1107</v>
      </c>
      <c r="B1077" s="8">
        <v>44938</v>
      </c>
      <c r="C1077" s="9" t="s">
        <v>11</v>
      </c>
      <c r="D1077" s="9" t="s">
        <v>55</v>
      </c>
      <c r="E1077" s="9" t="s">
        <v>29</v>
      </c>
      <c r="F1077" s="9">
        <v>230</v>
      </c>
      <c r="G1077" s="9">
        <v>268.86</v>
      </c>
      <c r="H1077" s="9" t="s">
        <v>14</v>
      </c>
      <c r="I1077" s="9">
        <v>7</v>
      </c>
      <c r="J1077" s="10">
        <v>38.86</v>
      </c>
      <c r="K1077" s="9" t="str">
        <f>TEXT(Sales_of_Jordan[[#This Row],[Sale_Date]],"mmm")</f>
        <v>Jan</v>
      </c>
    </row>
    <row r="1078" spans="1:11" x14ac:dyDescent="0.35">
      <c r="A1078" s="7" t="s">
        <v>1108</v>
      </c>
      <c r="B1078" s="8">
        <v>45031</v>
      </c>
      <c r="C1078" s="9" t="s">
        <v>27</v>
      </c>
      <c r="D1078" s="9" t="s">
        <v>55</v>
      </c>
      <c r="E1078" s="9" t="s">
        <v>29</v>
      </c>
      <c r="F1078" s="9">
        <v>137</v>
      </c>
      <c r="G1078" s="9">
        <v>142.59</v>
      </c>
      <c r="H1078" s="9" t="s">
        <v>23</v>
      </c>
      <c r="I1078" s="9">
        <v>56</v>
      </c>
      <c r="J1078" s="10">
        <v>5.59</v>
      </c>
      <c r="K1078" s="9" t="str">
        <f>TEXT(Sales_of_Jordan[[#This Row],[Sale_Date]],"mmm")</f>
        <v>Apr</v>
      </c>
    </row>
    <row r="1079" spans="1:11" x14ac:dyDescent="0.35">
      <c r="A1079" s="7" t="s">
        <v>1109</v>
      </c>
      <c r="B1079" s="8">
        <v>45021</v>
      </c>
      <c r="C1079" s="9" t="s">
        <v>31</v>
      </c>
      <c r="D1079" s="9" t="s">
        <v>39</v>
      </c>
      <c r="E1079" s="9" t="s">
        <v>29</v>
      </c>
      <c r="F1079" s="9">
        <v>210</v>
      </c>
      <c r="G1079" s="9">
        <v>259.27</v>
      </c>
      <c r="H1079" s="9" t="s">
        <v>32</v>
      </c>
      <c r="I1079" s="9">
        <v>47</v>
      </c>
      <c r="J1079" s="10">
        <v>49.269999999999897</v>
      </c>
      <c r="K1079" s="9" t="str">
        <f>TEXT(Sales_of_Jordan[[#This Row],[Sale_Date]],"mmm")</f>
        <v>Apr</v>
      </c>
    </row>
    <row r="1080" spans="1:11" x14ac:dyDescent="0.35">
      <c r="A1080" s="7" t="s">
        <v>1110</v>
      </c>
      <c r="B1080" s="8">
        <v>45397</v>
      </c>
      <c r="C1080" s="9" t="s">
        <v>31</v>
      </c>
      <c r="D1080" s="9" t="s">
        <v>12</v>
      </c>
      <c r="E1080" s="9" t="s">
        <v>13</v>
      </c>
      <c r="F1080" s="9">
        <v>202</v>
      </c>
      <c r="G1080" s="9">
        <v>140.22</v>
      </c>
      <c r="H1080" s="9" t="s">
        <v>23</v>
      </c>
      <c r="I1080" s="9">
        <v>30</v>
      </c>
      <c r="J1080" s="10">
        <v>-61.78</v>
      </c>
      <c r="K1080" s="9" t="str">
        <f>TEXT(Sales_of_Jordan[[#This Row],[Sale_Date]],"mmm")</f>
        <v>Apr</v>
      </c>
    </row>
    <row r="1081" spans="1:11" x14ac:dyDescent="0.35">
      <c r="A1081" s="7" t="s">
        <v>1111</v>
      </c>
      <c r="B1081" s="8">
        <v>44952</v>
      </c>
      <c r="C1081" s="9" t="s">
        <v>21</v>
      </c>
      <c r="D1081" s="9" t="s">
        <v>17</v>
      </c>
      <c r="E1081" s="9" t="s">
        <v>18</v>
      </c>
      <c r="F1081" s="9">
        <v>217</v>
      </c>
      <c r="G1081" s="9">
        <v>710.01</v>
      </c>
      <c r="H1081" s="9" t="s">
        <v>25</v>
      </c>
      <c r="I1081" s="9">
        <v>56</v>
      </c>
      <c r="J1081" s="10">
        <v>493.01</v>
      </c>
      <c r="K1081" s="9" t="str">
        <f>TEXT(Sales_of_Jordan[[#This Row],[Sale_Date]],"mmm")</f>
        <v>Jan</v>
      </c>
    </row>
    <row r="1082" spans="1:11" x14ac:dyDescent="0.35">
      <c r="A1082" s="7" t="s">
        <v>1112</v>
      </c>
      <c r="B1082" s="8">
        <v>45127</v>
      </c>
      <c r="C1082" s="9" t="s">
        <v>31</v>
      </c>
      <c r="D1082" s="9" t="s">
        <v>36</v>
      </c>
      <c r="E1082" s="9" t="s">
        <v>29</v>
      </c>
      <c r="F1082" s="9">
        <v>200</v>
      </c>
      <c r="G1082" s="9">
        <v>296.51</v>
      </c>
      <c r="H1082" s="9" t="s">
        <v>32</v>
      </c>
      <c r="I1082" s="9">
        <v>26</v>
      </c>
      <c r="J1082" s="10">
        <v>96.509999999999906</v>
      </c>
      <c r="K1082" s="9" t="str">
        <f>TEXT(Sales_of_Jordan[[#This Row],[Sale_Date]],"mmm")</f>
        <v>Jul</v>
      </c>
    </row>
    <row r="1083" spans="1:11" x14ac:dyDescent="0.35">
      <c r="A1083" s="7" t="s">
        <v>1113</v>
      </c>
      <c r="B1083" s="8">
        <v>45588</v>
      </c>
      <c r="C1083" s="9" t="s">
        <v>31</v>
      </c>
      <c r="D1083" s="9" t="s">
        <v>55</v>
      </c>
      <c r="E1083" s="9" t="s">
        <v>18</v>
      </c>
      <c r="F1083" s="9">
        <v>200</v>
      </c>
      <c r="G1083" s="9">
        <v>385.07</v>
      </c>
      <c r="H1083" s="9" t="s">
        <v>25</v>
      </c>
      <c r="I1083" s="9">
        <v>54</v>
      </c>
      <c r="J1083" s="10">
        <v>185.07</v>
      </c>
      <c r="K1083" s="9" t="str">
        <f>TEXT(Sales_of_Jordan[[#This Row],[Sale_Date]],"mmm")</f>
        <v>Oct</v>
      </c>
    </row>
    <row r="1084" spans="1:11" x14ac:dyDescent="0.35">
      <c r="A1084" s="7" t="s">
        <v>1114</v>
      </c>
      <c r="B1084" s="8">
        <v>45749</v>
      </c>
      <c r="C1084" s="9" t="s">
        <v>21</v>
      </c>
      <c r="D1084" s="9" t="s">
        <v>22</v>
      </c>
      <c r="E1084" s="9" t="s">
        <v>29</v>
      </c>
      <c r="F1084" s="9">
        <v>214</v>
      </c>
      <c r="G1084" s="9">
        <v>230.17</v>
      </c>
      <c r="H1084" s="9" t="s">
        <v>23</v>
      </c>
      <c r="I1084" s="9">
        <v>12</v>
      </c>
      <c r="J1084" s="10">
        <v>16.169999999999899</v>
      </c>
      <c r="K1084" s="9" t="str">
        <f>TEXT(Sales_of_Jordan[[#This Row],[Sale_Date]],"mmm")</f>
        <v>Apr</v>
      </c>
    </row>
    <row r="1085" spans="1:11" x14ac:dyDescent="0.35">
      <c r="A1085" s="7" t="s">
        <v>1115</v>
      </c>
      <c r="B1085" s="8">
        <v>45871</v>
      </c>
      <c r="C1085" s="9" t="s">
        <v>21</v>
      </c>
      <c r="D1085" s="9" t="s">
        <v>17</v>
      </c>
      <c r="E1085" s="9" t="s">
        <v>13</v>
      </c>
      <c r="F1085" s="9">
        <v>217</v>
      </c>
      <c r="G1085" s="9">
        <v>175.81</v>
      </c>
      <c r="H1085" s="9" t="s">
        <v>25</v>
      </c>
      <c r="I1085" s="9">
        <v>55</v>
      </c>
      <c r="J1085" s="10">
        <v>-41.19</v>
      </c>
      <c r="K1085" s="9" t="str">
        <f>TEXT(Sales_of_Jordan[[#This Row],[Sale_Date]],"mmm")</f>
        <v>Aug</v>
      </c>
    </row>
    <row r="1086" spans="1:11" x14ac:dyDescent="0.35">
      <c r="A1086" s="7" t="s">
        <v>1116</v>
      </c>
      <c r="B1086" s="8">
        <v>45579</v>
      </c>
      <c r="C1086" s="9" t="s">
        <v>16</v>
      </c>
      <c r="D1086" s="9" t="s">
        <v>22</v>
      </c>
      <c r="E1086" s="9" t="s">
        <v>18</v>
      </c>
      <c r="F1086" s="9">
        <v>173</v>
      </c>
      <c r="G1086" s="9">
        <v>353.03</v>
      </c>
      <c r="H1086" s="9" t="s">
        <v>19</v>
      </c>
      <c r="I1086" s="9">
        <v>13</v>
      </c>
      <c r="J1086" s="10">
        <v>180.02999999999901</v>
      </c>
      <c r="K1086" s="9" t="str">
        <f>TEXT(Sales_of_Jordan[[#This Row],[Sale_Date]],"mmm")</f>
        <v>Oct</v>
      </c>
    </row>
    <row r="1087" spans="1:11" x14ac:dyDescent="0.35">
      <c r="A1087" s="7" t="s">
        <v>1117</v>
      </c>
      <c r="B1087" s="8">
        <v>45759</v>
      </c>
      <c r="C1087" s="9" t="s">
        <v>27</v>
      </c>
      <c r="D1087" s="9" t="s">
        <v>46</v>
      </c>
      <c r="E1087" s="9" t="s">
        <v>18</v>
      </c>
      <c r="F1087" s="9">
        <v>139</v>
      </c>
      <c r="G1087" s="9">
        <v>211.76</v>
      </c>
      <c r="H1087" s="9" t="s">
        <v>19</v>
      </c>
      <c r="I1087" s="9">
        <v>9</v>
      </c>
      <c r="J1087" s="10">
        <v>72.759999999999906</v>
      </c>
      <c r="K1087" s="9" t="str">
        <f>TEXT(Sales_of_Jordan[[#This Row],[Sale_Date]],"mmm")</f>
        <v>Apr</v>
      </c>
    </row>
    <row r="1088" spans="1:11" x14ac:dyDescent="0.35">
      <c r="A1088" s="7" t="s">
        <v>1118</v>
      </c>
      <c r="B1088" s="8">
        <v>45489</v>
      </c>
      <c r="C1088" s="9" t="s">
        <v>31</v>
      </c>
      <c r="D1088" s="9" t="s">
        <v>34</v>
      </c>
      <c r="E1088" s="9" t="s">
        <v>13</v>
      </c>
      <c r="F1088" s="9">
        <v>200</v>
      </c>
      <c r="G1088" s="9">
        <v>154.68</v>
      </c>
      <c r="H1088" s="9" t="s">
        <v>14</v>
      </c>
      <c r="I1088" s="9">
        <v>7</v>
      </c>
      <c r="J1088" s="10">
        <v>-45.319999999999901</v>
      </c>
      <c r="K1088" s="9" t="str">
        <f>TEXT(Sales_of_Jordan[[#This Row],[Sale_Date]],"mmm")</f>
        <v>Jul</v>
      </c>
    </row>
    <row r="1089" spans="1:11" x14ac:dyDescent="0.35">
      <c r="A1089" s="7" t="s">
        <v>1119</v>
      </c>
      <c r="B1089" s="8">
        <v>45830</v>
      </c>
      <c r="C1089" s="9" t="s">
        <v>27</v>
      </c>
      <c r="D1089" s="9" t="s">
        <v>36</v>
      </c>
      <c r="E1089" s="9" t="s">
        <v>29</v>
      </c>
      <c r="F1089" s="9">
        <v>135</v>
      </c>
      <c r="G1089" s="9">
        <v>186.75</v>
      </c>
      <c r="H1089" s="9" t="s">
        <v>23</v>
      </c>
      <c r="I1089" s="9">
        <v>51</v>
      </c>
      <c r="J1089" s="10">
        <v>51.75</v>
      </c>
      <c r="K1089" s="9" t="str">
        <f>TEXT(Sales_of_Jordan[[#This Row],[Sale_Date]],"mmm")</f>
        <v>Jun</v>
      </c>
    </row>
    <row r="1090" spans="1:11" x14ac:dyDescent="0.35">
      <c r="A1090" s="7" t="s">
        <v>1120</v>
      </c>
      <c r="B1090" s="8">
        <v>45717</v>
      </c>
      <c r="C1090" s="9" t="s">
        <v>27</v>
      </c>
      <c r="D1090" s="9" t="s">
        <v>55</v>
      </c>
      <c r="E1090" s="9" t="s">
        <v>13</v>
      </c>
      <c r="F1090" s="9">
        <v>115</v>
      </c>
      <c r="G1090" s="9">
        <v>94.48</v>
      </c>
      <c r="H1090" s="9" t="s">
        <v>14</v>
      </c>
      <c r="I1090" s="9">
        <v>11</v>
      </c>
      <c r="J1090" s="10">
        <v>-20.5199999999999</v>
      </c>
      <c r="K1090" s="9" t="str">
        <f>TEXT(Sales_of_Jordan[[#This Row],[Sale_Date]],"mmm")</f>
        <v>Mar</v>
      </c>
    </row>
    <row r="1091" spans="1:11" x14ac:dyDescent="0.35">
      <c r="A1091" s="7" t="s">
        <v>1121</v>
      </c>
      <c r="B1091" s="8">
        <v>45558</v>
      </c>
      <c r="C1091" s="9" t="s">
        <v>21</v>
      </c>
      <c r="D1091" s="9" t="s">
        <v>22</v>
      </c>
      <c r="E1091" s="9" t="s">
        <v>29</v>
      </c>
      <c r="F1091" s="9">
        <v>213</v>
      </c>
      <c r="G1091" s="9">
        <v>215.74</v>
      </c>
      <c r="H1091" s="9" t="s">
        <v>23</v>
      </c>
      <c r="I1091" s="9">
        <v>40</v>
      </c>
      <c r="J1091" s="10">
        <v>2.74</v>
      </c>
      <c r="K1091" s="9" t="str">
        <f>TEXT(Sales_of_Jordan[[#This Row],[Sale_Date]],"mmm")</f>
        <v>Sep</v>
      </c>
    </row>
    <row r="1092" spans="1:11" x14ac:dyDescent="0.35">
      <c r="A1092" s="7" t="s">
        <v>1122</v>
      </c>
      <c r="B1092" s="8">
        <v>45212</v>
      </c>
      <c r="C1092" s="9" t="s">
        <v>11</v>
      </c>
      <c r="D1092" s="9" t="s">
        <v>55</v>
      </c>
      <c r="E1092" s="9" t="s">
        <v>29</v>
      </c>
      <c r="F1092" s="9">
        <v>228</v>
      </c>
      <c r="G1092" s="9">
        <v>242.1</v>
      </c>
      <c r="H1092" s="9" t="s">
        <v>19</v>
      </c>
      <c r="I1092" s="9">
        <v>12</v>
      </c>
      <c r="J1092" s="10">
        <v>14.0999999999999</v>
      </c>
      <c r="K1092" s="9" t="str">
        <f>TEXT(Sales_of_Jordan[[#This Row],[Sale_Date]],"mmm")</f>
        <v>Oct</v>
      </c>
    </row>
    <row r="1093" spans="1:11" x14ac:dyDescent="0.35">
      <c r="A1093" s="7" t="s">
        <v>1123</v>
      </c>
      <c r="B1093" s="8">
        <v>45819</v>
      </c>
      <c r="C1093" s="9" t="s">
        <v>27</v>
      </c>
      <c r="D1093" s="9" t="s">
        <v>17</v>
      </c>
      <c r="E1093" s="9" t="s">
        <v>18</v>
      </c>
      <c r="F1093" s="9">
        <v>115</v>
      </c>
      <c r="G1093" s="9">
        <v>241.59</v>
      </c>
      <c r="H1093" s="9" t="s">
        <v>23</v>
      </c>
      <c r="I1093" s="9">
        <v>56</v>
      </c>
      <c r="J1093" s="10">
        <v>126.59</v>
      </c>
      <c r="K1093" s="9" t="str">
        <f>TEXT(Sales_of_Jordan[[#This Row],[Sale_Date]],"mmm")</f>
        <v>Jun</v>
      </c>
    </row>
    <row r="1094" spans="1:11" x14ac:dyDescent="0.35">
      <c r="A1094" s="7" t="s">
        <v>1124</v>
      </c>
      <c r="B1094" s="8">
        <v>45893</v>
      </c>
      <c r="C1094" s="9" t="s">
        <v>11</v>
      </c>
      <c r="D1094" s="9" t="s">
        <v>22</v>
      </c>
      <c r="E1094" s="9" t="s">
        <v>29</v>
      </c>
      <c r="F1094" s="9">
        <v>228</v>
      </c>
      <c r="G1094" s="9">
        <v>222.79</v>
      </c>
      <c r="H1094" s="9" t="s">
        <v>19</v>
      </c>
      <c r="I1094" s="9">
        <v>1</v>
      </c>
      <c r="J1094" s="10">
        <v>-5.21</v>
      </c>
      <c r="K1094" s="9" t="str">
        <f>TEXT(Sales_of_Jordan[[#This Row],[Sale_Date]],"mmm")</f>
        <v>Aug</v>
      </c>
    </row>
    <row r="1095" spans="1:11" x14ac:dyDescent="0.35">
      <c r="A1095" s="7" t="s">
        <v>1125</v>
      </c>
      <c r="B1095" s="8">
        <v>45540</v>
      </c>
      <c r="C1095" s="9" t="s">
        <v>31</v>
      </c>
      <c r="D1095" s="9" t="s">
        <v>36</v>
      </c>
      <c r="E1095" s="9" t="s">
        <v>13</v>
      </c>
      <c r="F1095" s="9">
        <v>206</v>
      </c>
      <c r="G1095" s="9">
        <v>106.31</v>
      </c>
      <c r="H1095" s="9" t="s">
        <v>23</v>
      </c>
      <c r="I1095" s="9">
        <v>55</v>
      </c>
      <c r="J1095" s="10">
        <v>-99.69</v>
      </c>
      <c r="K1095" s="9" t="str">
        <f>TEXT(Sales_of_Jordan[[#This Row],[Sale_Date]],"mmm")</f>
        <v>Sep</v>
      </c>
    </row>
    <row r="1096" spans="1:11" x14ac:dyDescent="0.35">
      <c r="A1096" s="7" t="s">
        <v>1126</v>
      </c>
      <c r="B1096" s="8">
        <v>45862</v>
      </c>
      <c r="C1096" s="9" t="s">
        <v>11</v>
      </c>
      <c r="D1096" s="9" t="s">
        <v>39</v>
      </c>
      <c r="E1096" s="9" t="s">
        <v>29</v>
      </c>
      <c r="F1096" s="9">
        <v>225</v>
      </c>
      <c r="G1096" s="9">
        <v>263.58</v>
      </c>
      <c r="H1096" s="9" t="s">
        <v>32</v>
      </c>
      <c r="I1096" s="9">
        <v>46</v>
      </c>
      <c r="J1096" s="10">
        <v>38.579999999999899</v>
      </c>
      <c r="K1096" s="9" t="str">
        <f>TEXT(Sales_of_Jordan[[#This Row],[Sale_Date]],"mmm")</f>
        <v>Jul</v>
      </c>
    </row>
    <row r="1097" spans="1:11" x14ac:dyDescent="0.35">
      <c r="A1097" s="7" t="s">
        <v>1127</v>
      </c>
      <c r="B1097" s="8">
        <v>45194</v>
      </c>
      <c r="C1097" s="9" t="s">
        <v>11</v>
      </c>
      <c r="D1097" s="9" t="s">
        <v>12</v>
      </c>
      <c r="E1097" s="9" t="s">
        <v>29</v>
      </c>
      <c r="F1097" s="9">
        <v>225</v>
      </c>
      <c r="G1097" s="9">
        <v>268.2</v>
      </c>
      <c r="H1097" s="9" t="s">
        <v>19</v>
      </c>
      <c r="I1097" s="9">
        <v>14</v>
      </c>
      <c r="J1097" s="10">
        <v>43.199999999999903</v>
      </c>
      <c r="K1097" s="9" t="str">
        <f>TEXT(Sales_of_Jordan[[#This Row],[Sale_Date]],"mmm")</f>
        <v>Sep</v>
      </c>
    </row>
    <row r="1098" spans="1:11" x14ac:dyDescent="0.35">
      <c r="A1098" s="7" t="s">
        <v>1128</v>
      </c>
      <c r="B1098" s="8">
        <v>45111</v>
      </c>
      <c r="C1098" s="9" t="s">
        <v>21</v>
      </c>
      <c r="D1098" s="9" t="s">
        <v>36</v>
      </c>
      <c r="E1098" s="9" t="s">
        <v>13</v>
      </c>
      <c r="F1098" s="9">
        <v>212</v>
      </c>
      <c r="G1098" s="9">
        <v>116.79</v>
      </c>
      <c r="H1098" s="9" t="s">
        <v>19</v>
      </c>
      <c r="I1098" s="9">
        <v>14</v>
      </c>
      <c r="J1098" s="10">
        <v>-95.21</v>
      </c>
      <c r="K1098" s="9" t="str">
        <f>TEXT(Sales_of_Jordan[[#This Row],[Sale_Date]],"mmm")</f>
        <v>Jul</v>
      </c>
    </row>
    <row r="1099" spans="1:11" x14ac:dyDescent="0.35">
      <c r="A1099" s="7" t="s">
        <v>1129</v>
      </c>
      <c r="B1099" s="8">
        <v>45347</v>
      </c>
      <c r="C1099" s="9" t="s">
        <v>21</v>
      </c>
      <c r="D1099" s="9" t="s">
        <v>39</v>
      </c>
      <c r="E1099" s="9" t="s">
        <v>13</v>
      </c>
      <c r="F1099" s="9">
        <v>216</v>
      </c>
      <c r="G1099" s="9">
        <v>189.23</v>
      </c>
      <c r="H1099" s="9" t="s">
        <v>14</v>
      </c>
      <c r="I1099" s="9">
        <v>6</v>
      </c>
      <c r="J1099" s="10">
        <v>-26.77</v>
      </c>
      <c r="K1099" s="9" t="str">
        <f>TEXT(Sales_of_Jordan[[#This Row],[Sale_Date]],"mmm")</f>
        <v>Feb</v>
      </c>
    </row>
    <row r="1100" spans="1:11" x14ac:dyDescent="0.35">
      <c r="A1100" s="7" t="s">
        <v>1130</v>
      </c>
      <c r="B1100" s="8">
        <v>45367</v>
      </c>
      <c r="C1100" s="9" t="s">
        <v>21</v>
      </c>
      <c r="D1100" s="9" t="s">
        <v>12</v>
      </c>
      <c r="E1100" s="9" t="s">
        <v>18</v>
      </c>
      <c r="F1100" s="9">
        <v>223</v>
      </c>
      <c r="G1100" s="9">
        <v>568.54</v>
      </c>
      <c r="H1100" s="9" t="s">
        <v>23</v>
      </c>
      <c r="I1100" s="9">
        <v>36</v>
      </c>
      <c r="J1100" s="10">
        <v>345.539999999999</v>
      </c>
      <c r="K1100" s="9" t="str">
        <f>TEXT(Sales_of_Jordan[[#This Row],[Sale_Date]],"mmm")</f>
        <v>Mar</v>
      </c>
    </row>
    <row r="1101" spans="1:11" x14ac:dyDescent="0.35">
      <c r="A1101" s="7" t="s">
        <v>1131</v>
      </c>
      <c r="B1101" s="8">
        <v>45518</v>
      </c>
      <c r="C1101" s="9" t="s">
        <v>16</v>
      </c>
      <c r="D1101" s="9" t="s">
        <v>53</v>
      </c>
      <c r="E1101" s="9" t="s">
        <v>13</v>
      </c>
      <c r="F1101" s="9">
        <v>182</v>
      </c>
      <c r="G1101" s="9">
        <v>93.01</v>
      </c>
      <c r="H1101" s="9" t="s">
        <v>25</v>
      </c>
      <c r="I1101" s="9">
        <v>38</v>
      </c>
      <c r="J1101" s="10">
        <v>-88.99</v>
      </c>
      <c r="K1101" s="9" t="str">
        <f>TEXT(Sales_of_Jordan[[#This Row],[Sale_Date]],"mmm")</f>
        <v>Aug</v>
      </c>
    </row>
    <row r="1102" spans="1:11" x14ac:dyDescent="0.35">
      <c r="A1102" s="7" t="s">
        <v>1132</v>
      </c>
      <c r="B1102" s="8">
        <v>45483</v>
      </c>
      <c r="C1102" s="9" t="s">
        <v>21</v>
      </c>
      <c r="D1102" s="9" t="s">
        <v>55</v>
      </c>
      <c r="E1102" s="9" t="s">
        <v>29</v>
      </c>
      <c r="F1102" s="9">
        <v>210</v>
      </c>
      <c r="G1102" s="9">
        <v>284.62</v>
      </c>
      <c r="H1102" s="9" t="s">
        <v>25</v>
      </c>
      <c r="I1102" s="9">
        <v>7</v>
      </c>
      <c r="J1102" s="10">
        <v>74.62</v>
      </c>
      <c r="K1102" s="9" t="str">
        <f>TEXT(Sales_of_Jordan[[#This Row],[Sale_Date]],"mmm")</f>
        <v>Jul</v>
      </c>
    </row>
    <row r="1103" spans="1:11" x14ac:dyDescent="0.35">
      <c r="A1103" s="7" t="s">
        <v>1133</v>
      </c>
      <c r="B1103" s="8">
        <v>44951</v>
      </c>
      <c r="C1103" s="9" t="s">
        <v>11</v>
      </c>
      <c r="D1103" s="9" t="s">
        <v>39</v>
      </c>
      <c r="E1103" s="9" t="s">
        <v>18</v>
      </c>
      <c r="F1103" s="9">
        <v>225</v>
      </c>
      <c r="G1103" s="9">
        <v>691.02</v>
      </c>
      <c r="H1103" s="9" t="s">
        <v>32</v>
      </c>
      <c r="I1103" s="9">
        <v>30</v>
      </c>
      <c r="J1103" s="10">
        <v>466.02</v>
      </c>
      <c r="K1103" s="9" t="str">
        <f>TEXT(Sales_of_Jordan[[#This Row],[Sale_Date]],"mmm")</f>
        <v>Jan</v>
      </c>
    </row>
    <row r="1104" spans="1:11" x14ac:dyDescent="0.35">
      <c r="A1104" s="7" t="s">
        <v>1134</v>
      </c>
      <c r="B1104" s="8">
        <v>45912</v>
      </c>
      <c r="C1104" s="9" t="s">
        <v>21</v>
      </c>
      <c r="D1104" s="9" t="s">
        <v>22</v>
      </c>
      <c r="E1104" s="9" t="s">
        <v>13</v>
      </c>
      <c r="F1104" s="9">
        <v>211</v>
      </c>
      <c r="G1104" s="9">
        <v>138.53</v>
      </c>
      <c r="H1104" s="9" t="s">
        <v>19</v>
      </c>
      <c r="I1104" s="9">
        <v>14</v>
      </c>
      <c r="J1104" s="10">
        <v>-72.47</v>
      </c>
      <c r="K1104" s="9" t="str">
        <f>TEXT(Sales_of_Jordan[[#This Row],[Sale_Date]],"mmm")</f>
        <v>Sep</v>
      </c>
    </row>
    <row r="1105" spans="1:11" x14ac:dyDescent="0.35">
      <c r="A1105" s="7" t="s">
        <v>1135</v>
      </c>
      <c r="B1105" s="8">
        <v>45195</v>
      </c>
      <c r="C1105" s="9" t="s">
        <v>31</v>
      </c>
      <c r="D1105" s="9" t="s">
        <v>53</v>
      </c>
      <c r="E1105" s="9" t="s">
        <v>13</v>
      </c>
      <c r="F1105" s="9">
        <v>200</v>
      </c>
      <c r="G1105" s="9">
        <v>141.4</v>
      </c>
      <c r="H1105" s="9" t="s">
        <v>32</v>
      </c>
      <c r="I1105" s="9">
        <v>47</v>
      </c>
      <c r="J1105" s="10">
        <v>-58.599999999999902</v>
      </c>
      <c r="K1105" s="9" t="str">
        <f>TEXT(Sales_of_Jordan[[#This Row],[Sale_Date]],"mmm")</f>
        <v>Sep</v>
      </c>
    </row>
    <row r="1106" spans="1:11" x14ac:dyDescent="0.35">
      <c r="A1106" s="7" t="s">
        <v>1136</v>
      </c>
      <c r="B1106" s="8">
        <v>45627</v>
      </c>
      <c r="C1106" s="9" t="s">
        <v>11</v>
      </c>
      <c r="D1106" s="9" t="s">
        <v>34</v>
      </c>
      <c r="E1106" s="9" t="s">
        <v>29</v>
      </c>
      <c r="F1106" s="9">
        <v>227</v>
      </c>
      <c r="G1106" s="9">
        <v>248.97</v>
      </c>
      <c r="H1106" s="9" t="s">
        <v>32</v>
      </c>
      <c r="I1106" s="9">
        <v>42</v>
      </c>
      <c r="J1106" s="10">
        <v>21.97</v>
      </c>
      <c r="K1106" s="9" t="str">
        <f>TEXT(Sales_of_Jordan[[#This Row],[Sale_Date]],"mmm")</f>
        <v>Dec</v>
      </c>
    </row>
    <row r="1107" spans="1:11" x14ac:dyDescent="0.35">
      <c r="A1107" s="7" t="s">
        <v>1137</v>
      </c>
      <c r="B1107" s="8">
        <v>44981</v>
      </c>
      <c r="C1107" s="9" t="s">
        <v>31</v>
      </c>
      <c r="D1107" s="9" t="s">
        <v>55</v>
      </c>
      <c r="E1107" s="9" t="s">
        <v>18</v>
      </c>
      <c r="F1107" s="9">
        <v>208</v>
      </c>
      <c r="G1107" s="9">
        <v>505.14</v>
      </c>
      <c r="H1107" s="9" t="s">
        <v>14</v>
      </c>
      <c r="I1107" s="9">
        <v>14</v>
      </c>
      <c r="J1107" s="10">
        <v>297.14</v>
      </c>
      <c r="K1107" s="9" t="str">
        <f>TEXT(Sales_of_Jordan[[#This Row],[Sale_Date]],"mmm")</f>
        <v>Feb</v>
      </c>
    </row>
    <row r="1108" spans="1:11" x14ac:dyDescent="0.35">
      <c r="A1108" s="7" t="s">
        <v>1138</v>
      </c>
      <c r="B1108" s="8">
        <v>45771</v>
      </c>
      <c r="C1108" s="9" t="s">
        <v>27</v>
      </c>
      <c r="D1108" s="9" t="s">
        <v>17</v>
      </c>
      <c r="E1108" s="9" t="s">
        <v>29</v>
      </c>
      <c r="F1108" s="9">
        <v>120</v>
      </c>
      <c r="G1108" s="9">
        <v>157.18</v>
      </c>
      <c r="H1108" s="9" t="s">
        <v>25</v>
      </c>
      <c r="I1108" s="9">
        <v>31</v>
      </c>
      <c r="J1108" s="10">
        <v>37.18</v>
      </c>
      <c r="K1108" s="9" t="str">
        <f>TEXT(Sales_of_Jordan[[#This Row],[Sale_Date]],"mmm")</f>
        <v>Apr</v>
      </c>
    </row>
    <row r="1109" spans="1:11" x14ac:dyDescent="0.35">
      <c r="A1109" s="7" t="s">
        <v>1139</v>
      </c>
      <c r="B1109" s="8">
        <v>45440</v>
      </c>
      <c r="C1109" s="9" t="s">
        <v>27</v>
      </c>
      <c r="D1109" s="9" t="s">
        <v>34</v>
      </c>
      <c r="E1109" s="9" t="s">
        <v>13</v>
      </c>
      <c r="F1109" s="9">
        <v>133</v>
      </c>
      <c r="G1109" s="9">
        <v>111.91</v>
      </c>
      <c r="H1109" s="9" t="s">
        <v>32</v>
      </c>
      <c r="I1109" s="9">
        <v>52</v>
      </c>
      <c r="J1109" s="10">
        <v>-21.09</v>
      </c>
      <c r="K1109" s="9" t="str">
        <f>TEXT(Sales_of_Jordan[[#This Row],[Sale_Date]],"mmm")</f>
        <v>May</v>
      </c>
    </row>
    <row r="1110" spans="1:11" x14ac:dyDescent="0.35">
      <c r="A1110" s="7" t="s">
        <v>1140</v>
      </c>
      <c r="B1110" s="8">
        <v>45288</v>
      </c>
      <c r="C1110" s="9" t="s">
        <v>21</v>
      </c>
      <c r="D1110" s="9" t="s">
        <v>55</v>
      </c>
      <c r="E1110" s="9" t="s">
        <v>29</v>
      </c>
      <c r="F1110" s="9">
        <v>213</v>
      </c>
      <c r="G1110" s="9">
        <v>247.28</v>
      </c>
      <c r="H1110" s="9" t="s">
        <v>32</v>
      </c>
      <c r="I1110" s="9">
        <v>45</v>
      </c>
      <c r="J1110" s="10">
        <v>34.28</v>
      </c>
      <c r="K1110" s="9" t="str">
        <f>TEXT(Sales_of_Jordan[[#This Row],[Sale_Date]],"mmm")</f>
        <v>Dec</v>
      </c>
    </row>
    <row r="1111" spans="1:11" x14ac:dyDescent="0.35">
      <c r="A1111" s="7" t="s">
        <v>1141</v>
      </c>
      <c r="B1111" s="8">
        <v>45207</v>
      </c>
      <c r="C1111" s="9" t="s">
        <v>21</v>
      </c>
      <c r="D1111" s="9" t="s">
        <v>53</v>
      </c>
      <c r="E1111" s="9" t="s">
        <v>13</v>
      </c>
      <c r="F1111" s="9">
        <v>221</v>
      </c>
      <c r="G1111" s="9">
        <v>130.93</v>
      </c>
      <c r="H1111" s="9" t="s">
        <v>23</v>
      </c>
      <c r="I1111" s="9">
        <v>36</v>
      </c>
      <c r="J1111" s="10">
        <v>-90.07</v>
      </c>
      <c r="K1111" s="9" t="str">
        <f>TEXT(Sales_of_Jordan[[#This Row],[Sale_Date]],"mmm")</f>
        <v>Oct</v>
      </c>
    </row>
    <row r="1112" spans="1:11" x14ac:dyDescent="0.35">
      <c r="A1112" s="7" t="s">
        <v>1142</v>
      </c>
      <c r="B1112" s="8">
        <v>45304</v>
      </c>
      <c r="C1112" s="9" t="s">
        <v>21</v>
      </c>
      <c r="D1112" s="9" t="s">
        <v>17</v>
      </c>
      <c r="E1112" s="9" t="s">
        <v>18</v>
      </c>
      <c r="F1112" s="9">
        <v>225</v>
      </c>
      <c r="G1112" s="9">
        <v>418.42</v>
      </c>
      <c r="H1112" s="9" t="s">
        <v>23</v>
      </c>
      <c r="I1112" s="9">
        <v>60</v>
      </c>
      <c r="J1112" s="10">
        <v>193.42</v>
      </c>
      <c r="K1112" s="9" t="str">
        <f>TEXT(Sales_of_Jordan[[#This Row],[Sale_Date]],"mmm")</f>
        <v>Jan</v>
      </c>
    </row>
    <row r="1113" spans="1:11" x14ac:dyDescent="0.35">
      <c r="A1113" s="7" t="s">
        <v>1143</v>
      </c>
      <c r="B1113" s="8">
        <v>45915</v>
      </c>
      <c r="C1113" s="9" t="s">
        <v>11</v>
      </c>
      <c r="D1113" s="9" t="s">
        <v>46</v>
      </c>
      <c r="E1113" s="9" t="s">
        <v>13</v>
      </c>
      <c r="F1113" s="9">
        <v>227</v>
      </c>
      <c r="G1113" s="9">
        <v>151.30000000000001</v>
      </c>
      <c r="H1113" s="9" t="s">
        <v>23</v>
      </c>
      <c r="I1113" s="9">
        <v>30</v>
      </c>
      <c r="J1113" s="10">
        <v>-75.699999999999903</v>
      </c>
      <c r="K1113" s="9" t="str">
        <f>TEXT(Sales_of_Jordan[[#This Row],[Sale_Date]],"mmm")</f>
        <v>Sep</v>
      </c>
    </row>
    <row r="1114" spans="1:11" x14ac:dyDescent="0.35">
      <c r="A1114" s="7" t="s">
        <v>1144</v>
      </c>
      <c r="B1114" s="8">
        <v>45116</v>
      </c>
      <c r="C1114" s="9" t="s">
        <v>21</v>
      </c>
      <c r="D1114" s="9" t="s">
        <v>12</v>
      </c>
      <c r="E1114" s="9" t="s">
        <v>13</v>
      </c>
      <c r="F1114" s="9">
        <v>217</v>
      </c>
      <c r="G1114" s="9">
        <v>125.92</v>
      </c>
      <c r="H1114" s="9" t="s">
        <v>23</v>
      </c>
      <c r="I1114" s="9">
        <v>37</v>
      </c>
      <c r="J1114" s="10">
        <v>-91.08</v>
      </c>
      <c r="K1114" s="9" t="str">
        <f>TEXT(Sales_of_Jordan[[#This Row],[Sale_Date]],"mmm")</f>
        <v>Jul</v>
      </c>
    </row>
    <row r="1115" spans="1:11" x14ac:dyDescent="0.35">
      <c r="A1115" s="7" t="s">
        <v>1145</v>
      </c>
      <c r="B1115" s="8">
        <v>45459</v>
      </c>
      <c r="C1115" s="9" t="s">
        <v>21</v>
      </c>
      <c r="D1115" s="9" t="s">
        <v>55</v>
      </c>
      <c r="E1115" s="9" t="s">
        <v>18</v>
      </c>
      <c r="F1115" s="9">
        <v>224</v>
      </c>
      <c r="G1115" s="9">
        <v>687.03</v>
      </c>
      <c r="H1115" s="9" t="s">
        <v>32</v>
      </c>
      <c r="I1115" s="9">
        <v>9</v>
      </c>
      <c r="J1115" s="10">
        <v>463.03</v>
      </c>
      <c r="K1115" s="9" t="str">
        <f>TEXT(Sales_of_Jordan[[#This Row],[Sale_Date]],"mmm")</f>
        <v>Jun</v>
      </c>
    </row>
    <row r="1116" spans="1:11" x14ac:dyDescent="0.35">
      <c r="A1116" s="7" t="s">
        <v>1146</v>
      </c>
      <c r="B1116" s="8">
        <v>44973</v>
      </c>
      <c r="C1116" s="9" t="s">
        <v>11</v>
      </c>
      <c r="D1116" s="9" t="s">
        <v>12</v>
      </c>
      <c r="E1116" s="9" t="s">
        <v>29</v>
      </c>
      <c r="F1116" s="9">
        <v>229</v>
      </c>
      <c r="G1116" s="9">
        <v>270.13</v>
      </c>
      <c r="H1116" s="9" t="s">
        <v>19</v>
      </c>
      <c r="I1116" s="9">
        <v>14</v>
      </c>
      <c r="J1116" s="10">
        <v>41.129999999999903</v>
      </c>
      <c r="K1116" s="9" t="str">
        <f>TEXT(Sales_of_Jordan[[#This Row],[Sale_Date]],"mmm")</f>
        <v>Feb</v>
      </c>
    </row>
    <row r="1117" spans="1:11" x14ac:dyDescent="0.35">
      <c r="A1117" s="7" t="s">
        <v>1147</v>
      </c>
      <c r="B1117" s="8">
        <v>45648</v>
      </c>
      <c r="C1117" s="9" t="s">
        <v>16</v>
      </c>
      <c r="D1117" s="9" t="s">
        <v>17</v>
      </c>
      <c r="E1117" s="9" t="s">
        <v>18</v>
      </c>
      <c r="F1117" s="9">
        <v>173</v>
      </c>
      <c r="G1117" s="9">
        <v>389.48</v>
      </c>
      <c r="H1117" s="9" t="s">
        <v>32</v>
      </c>
      <c r="I1117" s="9">
        <v>20</v>
      </c>
      <c r="J1117" s="10">
        <v>216.48</v>
      </c>
      <c r="K1117" s="9" t="str">
        <f>TEXT(Sales_of_Jordan[[#This Row],[Sale_Date]],"mmm")</f>
        <v>Dec</v>
      </c>
    </row>
    <row r="1118" spans="1:11" x14ac:dyDescent="0.35">
      <c r="A1118" s="7" t="s">
        <v>1148</v>
      </c>
      <c r="B1118" s="8">
        <v>45445</v>
      </c>
      <c r="C1118" s="9" t="s">
        <v>31</v>
      </c>
      <c r="D1118" s="9" t="s">
        <v>34</v>
      </c>
      <c r="E1118" s="9" t="s">
        <v>18</v>
      </c>
      <c r="F1118" s="9">
        <v>204</v>
      </c>
      <c r="G1118" s="9">
        <v>393.76</v>
      </c>
      <c r="H1118" s="9" t="s">
        <v>23</v>
      </c>
      <c r="I1118" s="9">
        <v>13</v>
      </c>
      <c r="J1118" s="10">
        <v>189.76</v>
      </c>
      <c r="K1118" s="9" t="str">
        <f>TEXT(Sales_of_Jordan[[#This Row],[Sale_Date]],"mmm")</f>
        <v>Jun</v>
      </c>
    </row>
    <row r="1119" spans="1:11" x14ac:dyDescent="0.35">
      <c r="A1119" s="7" t="s">
        <v>1149</v>
      </c>
      <c r="B1119" s="8">
        <v>45813</v>
      </c>
      <c r="C1119" s="9" t="s">
        <v>21</v>
      </c>
      <c r="D1119" s="9" t="s">
        <v>36</v>
      </c>
      <c r="E1119" s="9" t="s">
        <v>13</v>
      </c>
      <c r="F1119" s="9">
        <v>222</v>
      </c>
      <c r="G1119" s="9">
        <v>168.8</v>
      </c>
      <c r="H1119" s="9" t="s">
        <v>25</v>
      </c>
      <c r="I1119" s="9">
        <v>57</v>
      </c>
      <c r="J1119" s="10">
        <v>-53.199999999999903</v>
      </c>
      <c r="K1119" s="9" t="str">
        <f>TEXT(Sales_of_Jordan[[#This Row],[Sale_Date]],"mmm")</f>
        <v>Jun</v>
      </c>
    </row>
    <row r="1120" spans="1:11" x14ac:dyDescent="0.35">
      <c r="A1120" s="7" t="s">
        <v>1150</v>
      </c>
      <c r="B1120" s="8">
        <v>45744</v>
      </c>
      <c r="C1120" s="9" t="s">
        <v>21</v>
      </c>
      <c r="D1120" s="9" t="s">
        <v>12</v>
      </c>
      <c r="E1120" s="9" t="s">
        <v>18</v>
      </c>
      <c r="F1120" s="9">
        <v>214</v>
      </c>
      <c r="G1120" s="9">
        <v>652.33000000000004</v>
      </c>
      <c r="H1120" s="9" t="s">
        <v>14</v>
      </c>
      <c r="I1120" s="9">
        <v>6</v>
      </c>
      <c r="J1120" s="10">
        <v>438.33</v>
      </c>
      <c r="K1120" s="9" t="str">
        <f>TEXT(Sales_of_Jordan[[#This Row],[Sale_Date]],"mmm")</f>
        <v>Mar</v>
      </c>
    </row>
    <row r="1121" spans="1:11" x14ac:dyDescent="0.35">
      <c r="A1121" s="7" t="s">
        <v>1151</v>
      </c>
      <c r="B1121" s="8">
        <v>45000</v>
      </c>
      <c r="C1121" s="9" t="s">
        <v>16</v>
      </c>
      <c r="D1121" s="9" t="s">
        <v>34</v>
      </c>
      <c r="E1121" s="9" t="s">
        <v>13</v>
      </c>
      <c r="F1121" s="9">
        <v>184</v>
      </c>
      <c r="G1121" s="9">
        <v>116.95</v>
      </c>
      <c r="H1121" s="9" t="s">
        <v>23</v>
      </c>
      <c r="I1121" s="9">
        <v>39</v>
      </c>
      <c r="J1121" s="10">
        <v>-67.05</v>
      </c>
      <c r="K1121" s="9" t="str">
        <f>TEXT(Sales_of_Jordan[[#This Row],[Sale_Date]],"mmm")</f>
        <v>Mar</v>
      </c>
    </row>
    <row r="1122" spans="1:11" x14ac:dyDescent="0.35">
      <c r="A1122" s="7" t="s">
        <v>1152</v>
      </c>
      <c r="B1122" s="8">
        <v>45766</v>
      </c>
      <c r="C1122" s="9" t="s">
        <v>27</v>
      </c>
      <c r="D1122" s="9" t="s">
        <v>34</v>
      </c>
      <c r="E1122" s="9" t="s">
        <v>29</v>
      </c>
      <c r="F1122" s="9">
        <v>136</v>
      </c>
      <c r="G1122" s="9">
        <v>167.11</v>
      </c>
      <c r="H1122" s="9" t="s">
        <v>23</v>
      </c>
      <c r="I1122" s="9">
        <v>52</v>
      </c>
      <c r="J1122" s="10">
        <v>31.11</v>
      </c>
      <c r="K1122" s="9" t="str">
        <f>TEXT(Sales_of_Jordan[[#This Row],[Sale_Date]],"mmm")</f>
        <v>Apr</v>
      </c>
    </row>
    <row r="1123" spans="1:11" x14ac:dyDescent="0.35">
      <c r="A1123" s="7" t="s">
        <v>1153</v>
      </c>
      <c r="B1123" s="8">
        <v>45554</v>
      </c>
      <c r="C1123" s="9" t="s">
        <v>31</v>
      </c>
      <c r="D1123" s="9" t="s">
        <v>36</v>
      </c>
      <c r="E1123" s="9" t="s">
        <v>29</v>
      </c>
      <c r="F1123" s="9">
        <v>200</v>
      </c>
      <c r="G1123" s="9">
        <v>238.72</v>
      </c>
      <c r="H1123" s="9" t="s">
        <v>19</v>
      </c>
      <c r="I1123" s="9">
        <v>6</v>
      </c>
      <c r="J1123" s="10">
        <v>38.72</v>
      </c>
      <c r="K1123" s="9" t="str">
        <f>TEXT(Sales_of_Jordan[[#This Row],[Sale_Date]],"mmm")</f>
        <v>Sep</v>
      </c>
    </row>
    <row r="1124" spans="1:11" x14ac:dyDescent="0.35">
      <c r="A1124" s="7" t="s">
        <v>1154</v>
      </c>
      <c r="B1124" s="8">
        <v>45042</v>
      </c>
      <c r="C1124" s="9" t="s">
        <v>11</v>
      </c>
      <c r="D1124" s="9" t="s">
        <v>46</v>
      </c>
      <c r="E1124" s="9" t="s">
        <v>18</v>
      </c>
      <c r="F1124" s="9">
        <v>229</v>
      </c>
      <c r="G1124" s="9">
        <v>303.79000000000002</v>
      </c>
      <c r="H1124" s="9" t="s">
        <v>32</v>
      </c>
      <c r="I1124" s="9">
        <v>14</v>
      </c>
      <c r="J1124" s="10">
        <v>74.790000000000006</v>
      </c>
      <c r="K1124" s="9" t="str">
        <f>TEXT(Sales_of_Jordan[[#This Row],[Sale_Date]],"mmm")</f>
        <v>Apr</v>
      </c>
    </row>
    <row r="1125" spans="1:11" x14ac:dyDescent="0.35">
      <c r="A1125" s="7" t="s">
        <v>1155</v>
      </c>
      <c r="B1125" s="8">
        <v>44943</v>
      </c>
      <c r="C1125" s="9" t="s">
        <v>11</v>
      </c>
      <c r="D1125" s="9" t="s">
        <v>53</v>
      </c>
      <c r="E1125" s="9" t="s">
        <v>13</v>
      </c>
      <c r="F1125" s="9">
        <v>229</v>
      </c>
      <c r="G1125" s="9">
        <v>152.05000000000001</v>
      </c>
      <c r="H1125" s="9" t="s">
        <v>25</v>
      </c>
      <c r="I1125" s="9">
        <v>9</v>
      </c>
      <c r="J1125" s="10">
        <v>-76.949999999999903</v>
      </c>
      <c r="K1125" s="9" t="str">
        <f>TEXT(Sales_of_Jordan[[#This Row],[Sale_Date]],"mmm")</f>
        <v>Jan</v>
      </c>
    </row>
    <row r="1126" spans="1:11" x14ac:dyDescent="0.35">
      <c r="A1126" s="7" t="s">
        <v>1156</v>
      </c>
      <c r="B1126" s="8">
        <v>45401</v>
      </c>
      <c r="C1126" s="9" t="s">
        <v>31</v>
      </c>
      <c r="D1126" s="9" t="s">
        <v>36</v>
      </c>
      <c r="E1126" s="9" t="s">
        <v>18</v>
      </c>
      <c r="F1126" s="9">
        <v>206</v>
      </c>
      <c r="G1126" s="9">
        <v>391.93</v>
      </c>
      <c r="H1126" s="9" t="s">
        <v>32</v>
      </c>
      <c r="I1126" s="9">
        <v>35</v>
      </c>
      <c r="J1126" s="10">
        <v>185.93</v>
      </c>
      <c r="K1126" s="9" t="str">
        <f>TEXT(Sales_of_Jordan[[#This Row],[Sale_Date]],"mmm")</f>
        <v>Apr</v>
      </c>
    </row>
    <row r="1127" spans="1:11" x14ac:dyDescent="0.35">
      <c r="A1127" s="7" t="s">
        <v>1157</v>
      </c>
      <c r="B1127" s="8">
        <v>45870</v>
      </c>
      <c r="C1127" s="9" t="s">
        <v>16</v>
      </c>
      <c r="D1127" s="9" t="s">
        <v>12</v>
      </c>
      <c r="E1127" s="9" t="s">
        <v>18</v>
      </c>
      <c r="F1127" s="9">
        <v>177</v>
      </c>
      <c r="G1127" s="9">
        <v>511.31</v>
      </c>
      <c r="H1127" s="9" t="s">
        <v>14</v>
      </c>
      <c r="I1127" s="9">
        <v>4</v>
      </c>
      <c r="J1127" s="10">
        <v>334.31</v>
      </c>
      <c r="K1127" s="9" t="str">
        <f>TEXT(Sales_of_Jordan[[#This Row],[Sale_Date]],"mmm")</f>
        <v>Aug</v>
      </c>
    </row>
    <row r="1128" spans="1:11" x14ac:dyDescent="0.35">
      <c r="A1128" s="7" t="s">
        <v>1158</v>
      </c>
      <c r="B1128" s="8">
        <v>45340</v>
      </c>
      <c r="C1128" s="9" t="s">
        <v>21</v>
      </c>
      <c r="D1128" s="9" t="s">
        <v>55</v>
      </c>
      <c r="E1128" s="9" t="s">
        <v>13</v>
      </c>
      <c r="F1128" s="9">
        <v>218</v>
      </c>
      <c r="G1128" s="9">
        <v>181.56</v>
      </c>
      <c r="H1128" s="9" t="s">
        <v>32</v>
      </c>
      <c r="I1128" s="9">
        <v>55</v>
      </c>
      <c r="J1128" s="10">
        <v>-36.44</v>
      </c>
      <c r="K1128" s="9" t="str">
        <f>TEXT(Sales_of_Jordan[[#This Row],[Sale_Date]],"mmm")</f>
        <v>Feb</v>
      </c>
    </row>
    <row r="1129" spans="1:11" x14ac:dyDescent="0.35">
      <c r="A1129" s="7" t="s">
        <v>1159</v>
      </c>
      <c r="B1129" s="8">
        <v>45250</v>
      </c>
      <c r="C1129" s="9" t="s">
        <v>27</v>
      </c>
      <c r="D1129" s="9" t="s">
        <v>12</v>
      </c>
      <c r="E1129" s="9" t="s">
        <v>18</v>
      </c>
      <c r="F1129" s="9">
        <v>116</v>
      </c>
      <c r="G1129" s="9">
        <v>363.9</v>
      </c>
      <c r="H1129" s="9" t="s">
        <v>14</v>
      </c>
      <c r="I1129" s="9">
        <v>3</v>
      </c>
      <c r="J1129" s="10">
        <v>247.89999999999901</v>
      </c>
      <c r="K1129" s="9" t="str">
        <f>TEXT(Sales_of_Jordan[[#This Row],[Sale_Date]],"mmm")</f>
        <v>Nov</v>
      </c>
    </row>
    <row r="1130" spans="1:11" x14ac:dyDescent="0.35">
      <c r="A1130" s="7" t="s">
        <v>1160</v>
      </c>
      <c r="B1130" s="8">
        <v>45056</v>
      </c>
      <c r="C1130" s="9" t="s">
        <v>11</v>
      </c>
      <c r="D1130" s="9" t="s">
        <v>46</v>
      </c>
      <c r="E1130" s="9" t="s">
        <v>29</v>
      </c>
      <c r="F1130" s="9">
        <v>227</v>
      </c>
      <c r="G1130" s="9">
        <v>288.33999999999997</v>
      </c>
      <c r="H1130" s="9" t="s">
        <v>25</v>
      </c>
      <c r="I1130" s="9">
        <v>29</v>
      </c>
      <c r="J1130" s="10">
        <v>61.339999999999897</v>
      </c>
      <c r="K1130" s="9" t="str">
        <f>TEXT(Sales_of_Jordan[[#This Row],[Sale_Date]],"mmm")</f>
        <v>May</v>
      </c>
    </row>
    <row r="1131" spans="1:11" x14ac:dyDescent="0.35">
      <c r="A1131" s="7" t="s">
        <v>1161</v>
      </c>
      <c r="B1131" s="8">
        <v>45010</v>
      </c>
      <c r="C1131" s="9" t="s">
        <v>11</v>
      </c>
      <c r="D1131" s="9" t="s">
        <v>12</v>
      </c>
      <c r="E1131" s="9" t="s">
        <v>29</v>
      </c>
      <c r="F1131" s="9">
        <v>227</v>
      </c>
      <c r="G1131" s="9">
        <v>268.73</v>
      </c>
      <c r="H1131" s="9" t="s">
        <v>25</v>
      </c>
      <c r="I1131" s="9">
        <v>7</v>
      </c>
      <c r="J1131" s="10">
        <v>41.73</v>
      </c>
      <c r="K1131" s="9" t="str">
        <f>TEXT(Sales_of_Jordan[[#This Row],[Sale_Date]],"mmm")</f>
        <v>Mar</v>
      </c>
    </row>
    <row r="1132" spans="1:11" x14ac:dyDescent="0.35">
      <c r="A1132" s="7" t="s">
        <v>1162</v>
      </c>
      <c r="B1132" s="8">
        <v>45666</v>
      </c>
      <c r="C1132" s="9" t="s">
        <v>31</v>
      </c>
      <c r="D1132" s="9" t="s">
        <v>22</v>
      </c>
      <c r="E1132" s="9" t="s">
        <v>13</v>
      </c>
      <c r="F1132" s="9">
        <v>209</v>
      </c>
      <c r="G1132" s="9">
        <v>153.72999999999999</v>
      </c>
      <c r="H1132" s="9" t="s">
        <v>14</v>
      </c>
      <c r="I1132" s="9">
        <v>10</v>
      </c>
      <c r="J1132" s="10">
        <v>-55.27</v>
      </c>
      <c r="K1132" s="9" t="str">
        <f>TEXT(Sales_of_Jordan[[#This Row],[Sale_Date]],"mmm")</f>
        <v>Jan</v>
      </c>
    </row>
    <row r="1133" spans="1:11" x14ac:dyDescent="0.35">
      <c r="A1133" s="7" t="s">
        <v>1163</v>
      </c>
      <c r="B1133" s="8">
        <v>45494</v>
      </c>
      <c r="C1133" s="9" t="s">
        <v>21</v>
      </c>
      <c r="D1133" s="9" t="s">
        <v>39</v>
      </c>
      <c r="E1133" s="9" t="s">
        <v>18</v>
      </c>
      <c r="F1133" s="9">
        <v>219</v>
      </c>
      <c r="G1133" s="9">
        <v>381.65</v>
      </c>
      <c r="H1133" s="9" t="s">
        <v>23</v>
      </c>
      <c r="I1133" s="9">
        <v>60</v>
      </c>
      <c r="J1133" s="10">
        <v>162.64999999999901</v>
      </c>
      <c r="K1133" s="9" t="str">
        <f>TEXT(Sales_of_Jordan[[#This Row],[Sale_Date]],"mmm")</f>
        <v>Jul</v>
      </c>
    </row>
    <row r="1134" spans="1:11" x14ac:dyDescent="0.35">
      <c r="A1134" s="7" t="s">
        <v>1164</v>
      </c>
      <c r="B1134" s="8">
        <v>44948</v>
      </c>
      <c r="C1134" s="9" t="s">
        <v>11</v>
      </c>
      <c r="D1134" s="9" t="s">
        <v>17</v>
      </c>
      <c r="E1134" s="9" t="s">
        <v>18</v>
      </c>
      <c r="F1134" s="9">
        <v>225</v>
      </c>
      <c r="G1134" s="9">
        <v>679.34</v>
      </c>
      <c r="H1134" s="9" t="s">
        <v>32</v>
      </c>
      <c r="I1134" s="9">
        <v>40</v>
      </c>
      <c r="J1134" s="10">
        <v>454.34</v>
      </c>
      <c r="K1134" s="9" t="str">
        <f>TEXT(Sales_of_Jordan[[#This Row],[Sale_Date]],"mmm")</f>
        <v>Jan</v>
      </c>
    </row>
    <row r="1135" spans="1:11" x14ac:dyDescent="0.35">
      <c r="A1135" s="7" t="s">
        <v>1165</v>
      </c>
      <c r="B1135" s="8">
        <v>45735</v>
      </c>
      <c r="C1135" s="9" t="s">
        <v>31</v>
      </c>
      <c r="D1135" s="9" t="s">
        <v>46</v>
      </c>
      <c r="E1135" s="9" t="s">
        <v>18</v>
      </c>
      <c r="F1135" s="9">
        <v>210</v>
      </c>
      <c r="G1135" s="9">
        <v>514.51</v>
      </c>
      <c r="H1135" s="9" t="s">
        <v>19</v>
      </c>
      <c r="I1135" s="9">
        <v>2</v>
      </c>
      <c r="J1135" s="10">
        <v>304.51</v>
      </c>
      <c r="K1135" s="9" t="str">
        <f>TEXT(Sales_of_Jordan[[#This Row],[Sale_Date]],"mmm")</f>
        <v>Mar</v>
      </c>
    </row>
    <row r="1136" spans="1:11" x14ac:dyDescent="0.35">
      <c r="A1136" s="7" t="s">
        <v>1166</v>
      </c>
      <c r="B1136" s="8">
        <v>45083</v>
      </c>
      <c r="C1136" s="9" t="s">
        <v>16</v>
      </c>
      <c r="D1136" s="9" t="s">
        <v>17</v>
      </c>
      <c r="E1136" s="9" t="s">
        <v>13</v>
      </c>
      <c r="F1136" s="9">
        <v>175</v>
      </c>
      <c r="G1136" s="9">
        <v>125</v>
      </c>
      <c r="H1136" s="9" t="s">
        <v>19</v>
      </c>
      <c r="I1136" s="9">
        <v>14</v>
      </c>
      <c r="J1136" s="10">
        <v>-50</v>
      </c>
      <c r="K1136" s="9" t="str">
        <f>TEXT(Sales_of_Jordan[[#This Row],[Sale_Date]],"mmm")</f>
        <v>Jun</v>
      </c>
    </row>
    <row r="1137" spans="1:11" x14ac:dyDescent="0.35">
      <c r="A1137" s="7" t="s">
        <v>1167</v>
      </c>
      <c r="B1137" s="8">
        <v>45236</v>
      </c>
      <c r="C1137" s="9" t="s">
        <v>27</v>
      </c>
      <c r="D1137" s="9" t="s">
        <v>46</v>
      </c>
      <c r="E1137" s="9" t="s">
        <v>18</v>
      </c>
      <c r="F1137" s="9">
        <v>123</v>
      </c>
      <c r="G1137" s="9">
        <v>287.12</v>
      </c>
      <c r="H1137" s="9" t="s">
        <v>25</v>
      </c>
      <c r="I1137" s="9">
        <v>34</v>
      </c>
      <c r="J1137" s="10">
        <v>164.12</v>
      </c>
      <c r="K1137" s="9" t="str">
        <f>TEXT(Sales_of_Jordan[[#This Row],[Sale_Date]],"mmm")</f>
        <v>Nov</v>
      </c>
    </row>
    <row r="1138" spans="1:11" x14ac:dyDescent="0.35">
      <c r="A1138" s="7" t="s">
        <v>1168</v>
      </c>
      <c r="B1138" s="8">
        <v>44974</v>
      </c>
      <c r="C1138" s="9" t="s">
        <v>11</v>
      </c>
      <c r="D1138" s="9" t="s">
        <v>17</v>
      </c>
      <c r="E1138" s="9" t="s">
        <v>18</v>
      </c>
      <c r="F1138" s="9">
        <v>230</v>
      </c>
      <c r="G1138" s="9">
        <v>304.81</v>
      </c>
      <c r="H1138" s="9" t="s">
        <v>19</v>
      </c>
      <c r="I1138" s="9">
        <v>4</v>
      </c>
      <c r="J1138" s="10">
        <v>74.81</v>
      </c>
      <c r="K1138" s="9" t="str">
        <f>TEXT(Sales_of_Jordan[[#This Row],[Sale_Date]],"mmm")</f>
        <v>Feb</v>
      </c>
    </row>
    <row r="1139" spans="1:11" x14ac:dyDescent="0.35">
      <c r="A1139" s="7" t="s">
        <v>1169</v>
      </c>
      <c r="B1139" s="8">
        <v>45126</v>
      </c>
      <c r="C1139" s="9" t="s">
        <v>27</v>
      </c>
      <c r="D1139" s="9" t="s">
        <v>39</v>
      </c>
      <c r="E1139" s="9" t="s">
        <v>13</v>
      </c>
      <c r="F1139" s="9">
        <v>117</v>
      </c>
      <c r="G1139" s="9">
        <v>87.11</v>
      </c>
      <c r="H1139" s="9" t="s">
        <v>25</v>
      </c>
      <c r="I1139" s="9">
        <v>47</v>
      </c>
      <c r="J1139" s="10">
        <v>-29.89</v>
      </c>
      <c r="K1139" s="9" t="str">
        <f>TEXT(Sales_of_Jordan[[#This Row],[Sale_Date]],"mmm")</f>
        <v>Jul</v>
      </c>
    </row>
    <row r="1140" spans="1:11" x14ac:dyDescent="0.35">
      <c r="A1140" s="7" t="s">
        <v>1170</v>
      </c>
      <c r="B1140" s="8">
        <v>45666</v>
      </c>
      <c r="C1140" s="9" t="s">
        <v>16</v>
      </c>
      <c r="D1140" s="9" t="s">
        <v>55</v>
      </c>
      <c r="E1140" s="9" t="s">
        <v>29</v>
      </c>
      <c r="F1140" s="9">
        <v>176</v>
      </c>
      <c r="G1140" s="9">
        <v>162.47</v>
      </c>
      <c r="H1140" s="9" t="s">
        <v>14</v>
      </c>
      <c r="I1140" s="9">
        <v>4</v>
      </c>
      <c r="J1140" s="10">
        <v>-13.53</v>
      </c>
      <c r="K1140" s="9" t="str">
        <f>TEXT(Sales_of_Jordan[[#This Row],[Sale_Date]],"mmm")</f>
        <v>Jan</v>
      </c>
    </row>
    <row r="1141" spans="1:11" x14ac:dyDescent="0.35">
      <c r="A1141" s="7" t="s">
        <v>1171</v>
      </c>
      <c r="B1141" s="8">
        <v>45508</v>
      </c>
      <c r="C1141" s="9" t="s">
        <v>21</v>
      </c>
      <c r="D1141" s="9" t="s">
        <v>53</v>
      </c>
      <c r="E1141" s="9" t="s">
        <v>29</v>
      </c>
      <c r="F1141" s="9">
        <v>219</v>
      </c>
      <c r="G1141" s="9">
        <v>277.73</v>
      </c>
      <c r="H1141" s="9" t="s">
        <v>23</v>
      </c>
      <c r="I1141" s="9">
        <v>39</v>
      </c>
      <c r="J1141" s="10">
        <v>58.73</v>
      </c>
      <c r="K1141" s="9" t="str">
        <f>TEXT(Sales_of_Jordan[[#This Row],[Sale_Date]],"mmm")</f>
        <v>Aug</v>
      </c>
    </row>
    <row r="1142" spans="1:11" x14ac:dyDescent="0.35">
      <c r="A1142" s="7" t="s">
        <v>1172</v>
      </c>
      <c r="B1142" s="8">
        <v>45715</v>
      </c>
      <c r="C1142" s="9" t="s">
        <v>11</v>
      </c>
      <c r="D1142" s="9" t="s">
        <v>36</v>
      </c>
      <c r="E1142" s="9" t="s">
        <v>13</v>
      </c>
      <c r="F1142" s="9">
        <v>225</v>
      </c>
      <c r="G1142" s="9">
        <v>167.46</v>
      </c>
      <c r="H1142" s="9" t="s">
        <v>23</v>
      </c>
      <c r="I1142" s="9">
        <v>32</v>
      </c>
      <c r="J1142" s="10">
        <v>-57.5399999999999</v>
      </c>
      <c r="K1142" s="9" t="str">
        <f>TEXT(Sales_of_Jordan[[#This Row],[Sale_Date]],"mmm")</f>
        <v>Feb</v>
      </c>
    </row>
    <row r="1143" spans="1:11" x14ac:dyDescent="0.35">
      <c r="A1143" s="7" t="s">
        <v>1173</v>
      </c>
      <c r="B1143" s="8">
        <v>45090</v>
      </c>
      <c r="C1143" s="9" t="s">
        <v>11</v>
      </c>
      <c r="D1143" s="9" t="s">
        <v>17</v>
      </c>
      <c r="E1143" s="9" t="s">
        <v>13</v>
      </c>
      <c r="F1143" s="9">
        <v>225</v>
      </c>
      <c r="G1143" s="9">
        <v>131.56</v>
      </c>
      <c r="H1143" s="9" t="s">
        <v>32</v>
      </c>
      <c r="I1143" s="9">
        <v>35</v>
      </c>
      <c r="J1143" s="10">
        <v>-93.44</v>
      </c>
      <c r="K1143" s="9" t="str">
        <f>TEXT(Sales_of_Jordan[[#This Row],[Sale_Date]],"mmm")</f>
        <v>Jun</v>
      </c>
    </row>
    <row r="1144" spans="1:11" x14ac:dyDescent="0.35">
      <c r="A1144" s="7" t="s">
        <v>1174</v>
      </c>
      <c r="B1144" s="8">
        <v>44943</v>
      </c>
      <c r="C1144" s="9" t="s">
        <v>31</v>
      </c>
      <c r="D1144" s="9" t="s">
        <v>46</v>
      </c>
      <c r="E1144" s="9" t="s">
        <v>29</v>
      </c>
      <c r="F1144" s="9">
        <v>210</v>
      </c>
      <c r="G1144" s="9">
        <v>192.81</v>
      </c>
      <c r="H1144" s="9" t="s">
        <v>19</v>
      </c>
      <c r="I1144" s="9">
        <v>10</v>
      </c>
      <c r="J1144" s="10">
        <v>-17.189999999999898</v>
      </c>
      <c r="K1144" s="9" t="str">
        <f>TEXT(Sales_of_Jordan[[#This Row],[Sale_Date]],"mmm")</f>
        <v>Jan</v>
      </c>
    </row>
    <row r="1145" spans="1:11" x14ac:dyDescent="0.35">
      <c r="A1145" s="7" t="s">
        <v>1175</v>
      </c>
      <c r="B1145" s="8">
        <v>45715</v>
      </c>
      <c r="C1145" s="9" t="s">
        <v>27</v>
      </c>
      <c r="D1145" s="9" t="s">
        <v>34</v>
      </c>
      <c r="E1145" s="9" t="s">
        <v>18</v>
      </c>
      <c r="F1145" s="9">
        <v>139</v>
      </c>
      <c r="G1145" s="9">
        <v>233.51</v>
      </c>
      <c r="H1145" s="9" t="s">
        <v>25</v>
      </c>
      <c r="I1145" s="9">
        <v>55</v>
      </c>
      <c r="J1145" s="10">
        <v>94.509999999999906</v>
      </c>
      <c r="K1145" s="9" t="str">
        <f>TEXT(Sales_of_Jordan[[#This Row],[Sale_Date]],"mmm")</f>
        <v>Feb</v>
      </c>
    </row>
    <row r="1146" spans="1:11" x14ac:dyDescent="0.35">
      <c r="A1146" s="7" t="s">
        <v>1176</v>
      </c>
      <c r="B1146" s="8">
        <v>45153</v>
      </c>
      <c r="C1146" s="9" t="s">
        <v>31</v>
      </c>
      <c r="D1146" s="9" t="s">
        <v>17</v>
      </c>
      <c r="E1146" s="9" t="s">
        <v>18</v>
      </c>
      <c r="F1146" s="9">
        <v>208</v>
      </c>
      <c r="G1146" s="9">
        <v>634.75</v>
      </c>
      <c r="H1146" s="9" t="s">
        <v>32</v>
      </c>
      <c r="I1146" s="9">
        <v>53</v>
      </c>
      <c r="J1146" s="10">
        <v>426.75</v>
      </c>
      <c r="K1146" s="9" t="str">
        <f>TEXT(Sales_of_Jordan[[#This Row],[Sale_Date]],"mmm")</f>
        <v>Aug</v>
      </c>
    </row>
    <row r="1147" spans="1:11" x14ac:dyDescent="0.35">
      <c r="A1147" s="7" t="s">
        <v>1177</v>
      </c>
      <c r="B1147" s="8">
        <v>45482</v>
      </c>
      <c r="C1147" s="9" t="s">
        <v>16</v>
      </c>
      <c r="D1147" s="9" t="s">
        <v>39</v>
      </c>
      <c r="E1147" s="9" t="s">
        <v>13</v>
      </c>
      <c r="F1147" s="9">
        <v>180</v>
      </c>
      <c r="G1147" s="9">
        <v>129.62</v>
      </c>
      <c r="H1147" s="9" t="s">
        <v>19</v>
      </c>
      <c r="I1147" s="9">
        <v>3</v>
      </c>
      <c r="J1147" s="10">
        <v>-50.379999999999903</v>
      </c>
      <c r="K1147" s="9" t="str">
        <f>TEXT(Sales_of_Jordan[[#This Row],[Sale_Date]],"mmm")</f>
        <v>Jul</v>
      </c>
    </row>
    <row r="1148" spans="1:11" x14ac:dyDescent="0.35">
      <c r="A1148" s="7" t="s">
        <v>1178</v>
      </c>
      <c r="B1148" s="8">
        <v>45459</v>
      </c>
      <c r="C1148" s="9" t="s">
        <v>21</v>
      </c>
      <c r="D1148" s="9" t="s">
        <v>36</v>
      </c>
      <c r="E1148" s="9" t="s">
        <v>13</v>
      </c>
      <c r="F1148" s="9">
        <v>216</v>
      </c>
      <c r="G1148" s="9">
        <v>157.30000000000001</v>
      </c>
      <c r="H1148" s="9" t="s">
        <v>19</v>
      </c>
      <c r="I1148" s="9">
        <v>5</v>
      </c>
      <c r="J1148" s="10">
        <v>-58.699999999999903</v>
      </c>
      <c r="K1148" s="9" t="str">
        <f>TEXT(Sales_of_Jordan[[#This Row],[Sale_Date]],"mmm")</f>
        <v>Jun</v>
      </c>
    </row>
    <row r="1149" spans="1:11" x14ac:dyDescent="0.35">
      <c r="A1149" s="7" t="s">
        <v>1179</v>
      </c>
      <c r="B1149" s="8">
        <v>44957</v>
      </c>
      <c r="C1149" s="9" t="s">
        <v>21</v>
      </c>
      <c r="D1149" s="9" t="s">
        <v>46</v>
      </c>
      <c r="E1149" s="9" t="s">
        <v>13</v>
      </c>
      <c r="F1149" s="9">
        <v>210</v>
      </c>
      <c r="G1149" s="9">
        <v>116.76</v>
      </c>
      <c r="H1149" s="9" t="s">
        <v>23</v>
      </c>
      <c r="I1149" s="9">
        <v>57</v>
      </c>
      <c r="J1149" s="10">
        <v>-93.24</v>
      </c>
      <c r="K1149" s="9" t="str">
        <f>TEXT(Sales_of_Jordan[[#This Row],[Sale_Date]],"mmm")</f>
        <v>Jan</v>
      </c>
    </row>
    <row r="1150" spans="1:11" x14ac:dyDescent="0.35">
      <c r="A1150" s="7" t="s">
        <v>1180</v>
      </c>
      <c r="B1150" s="8">
        <v>45384</v>
      </c>
      <c r="C1150" s="9" t="s">
        <v>21</v>
      </c>
      <c r="D1150" s="9" t="s">
        <v>34</v>
      </c>
      <c r="E1150" s="9" t="s">
        <v>18</v>
      </c>
      <c r="F1150" s="9">
        <v>220</v>
      </c>
      <c r="G1150" s="9">
        <v>506.49</v>
      </c>
      <c r="H1150" s="9" t="s">
        <v>25</v>
      </c>
      <c r="I1150" s="9">
        <v>47</v>
      </c>
      <c r="J1150" s="10">
        <v>286.49</v>
      </c>
      <c r="K1150" s="9" t="str">
        <f>TEXT(Sales_of_Jordan[[#This Row],[Sale_Date]],"mmm")</f>
        <v>Apr</v>
      </c>
    </row>
    <row r="1151" spans="1:11" x14ac:dyDescent="0.35">
      <c r="A1151" s="7" t="s">
        <v>1181</v>
      </c>
      <c r="B1151" s="8">
        <v>45092</v>
      </c>
      <c r="C1151" s="9" t="s">
        <v>27</v>
      </c>
      <c r="D1151" s="9" t="s">
        <v>55</v>
      </c>
      <c r="E1151" s="9" t="s">
        <v>13</v>
      </c>
      <c r="F1151" s="9">
        <v>135</v>
      </c>
      <c r="G1151" s="9">
        <v>71.66</v>
      </c>
      <c r="H1151" s="9" t="s">
        <v>25</v>
      </c>
      <c r="I1151" s="9">
        <v>5</v>
      </c>
      <c r="J1151" s="10">
        <v>-63.34</v>
      </c>
      <c r="K1151" s="9" t="str">
        <f>TEXT(Sales_of_Jordan[[#This Row],[Sale_Date]],"mmm")</f>
        <v>Jun</v>
      </c>
    </row>
    <row r="1152" spans="1:11" x14ac:dyDescent="0.35">
      <c r="A1152" s="7" t="s">
        <v>1182</v>
      </c>
      <c r="B1152" s="8">
        <v>45414</v>
      </c>
      <c r="C1152" s="9" t="s">
        <v>16</v>
      </c>
      <c r="D1152" s="9" t="s">
        <v>12</v>
      </c>
      <c r="E1152" s="9" t="s">
        <v>13</v>
      </c>
      <c r="F1152" s="9">
        <v>182</v>
      </c>
      <c r="G1152" s="9">
        <v>103.26</v>
      </c>
      <c r="H1152" s="9" t="s">
        <v>14</v>
      </c>
      <c r="I1152" s="9">
        <v>3</v>
      </c>
      <c r="J1152" s="10">
        <v>-78.739999999999995</v>
      </c>
      <c r="K1152" s="9" t="str">
        <f>TEXT(Sales_of_Jordan[[#This Row],[Sale_Date]],"mmm")</f>
        <v>May</v>
      </c>
    </row>
    <row r="1153" spans="1:11" x14ac:dyDescent="0.35">
      <c r="A1153" s="7" t="s">
        <v>1183</v>
      </c>
      <c r="B1153" s="8">
        <v>45677</v>
      </c>
      <c r="C1153" s="9" t="s">
        <v>21</v>
      </c>
      <c r="D1153" s="9" t="s">
        <v>36</v>
      </c>
      <c r="E1153" s="9" t="s">
        <v>18</v>
      </c>
      <c r="F1153" s="9">
        <v>212</v>
      </c>
      <c r="G1153" s="9">
        <v>571.16999999999996</v>
      </c>
      <c r="H1153" s="9" t="s">
        <v>19</v>
      </c>
      <c r="I1153" s="9">
        <v>4</v>
      </c>
      <c r="J1153" s="10">
        <v>359.16999999999899</v>
      </c>
      <c r="K1153" s="9" t="str">
        <f>TEXT(Sales_of_Jordan[[#This Row],[Sale_Date]],"mmm")</f>
        <v>Jan</v>
      </c>
    </row>
    <row r="1154" spans="1:11" x14ac:dyDescent="0.35">
      <c r="A1154" s="7" t="s">
        <v>1184</v>
      </c>
      <c r="B1154" s="8">
        <v>45044</v>
      </c>
      <c r="C1154" s="9" t="s">
        <v>27</v>
      </c>
      <c r="D1154" s="9" t="s">
        <v>17</v>
      </c>
      <c r="E1154" s="9" t="s">
        <v>29</v>
      </c>
      <c r="F1154" s="9">
        <v>139</v>
      </c>
      <c r="G1154" s="9">
        <v>193.89</v>
      </c>
      <c r="H1154" s="9" t="s">
        <v>14</v>
      </c>
      <c r="I1154" s="9">
        <v>14</v>
      </c>
      <c r="J1154" s="10">
        <v>54.889999999999901</v>
      </c>
      <c r="K1154" s="9" t="str">
        <f>TEXT(Sales_of_Jordan[[#This Row],[Sale_Date]],"mmm")</f>
        <v>Apr</v>
      </c>
    </row>
    <row r="1155" spans="1:11" x14ac:dyDescent="0.35">
      <c r="A1155" s="7" t="s">
        <v>1185</v>
      </c>
      <c r="B1155" s="8">
        <v>45538</v>
      </c>
      <c r="C1155" s="9" t="s">
        <v>11</v>
      </c>
      <c r="D1155" s="9" t="s">
        <v>55</v>
      </c>
      <c r="E1155" s="9" t="s">
        <v>18</v>
      </c>
      <c r="F1155" s="9">
        <v>228</v>
      </c>
      <c r="G1155" s="9">
        <v>756.8</v>
      </c>
      <c r="H1155" s="9" t="s">
        <v>23</v>
      </c>
      <c r="I1155" s="9">
        <v>47</v>
      </c>
      <c r="J1155" s="10">
        <v>528.79999999999995</v>
      </c>
      <c r="K1155" s="9" t="str">
        <f>TEXT(Sales_of_Jordan[[#This Row],[Sale_Date]],"mmm")</f>
        <v>Sep</v>
      </c>
    </row>
    <row r="1156" spans="1:11" x14ac:dyDescent="0.35">
      <c r="A1156" s="7" t="s">
        <v>1186</v>
      </c>
      <c r="B1156" s="8">
        <v>45028</v>
      </c>
      <c r="C1156" s="9" t="s">
        <v>11</v>
      </c>
      <c r="D1156" s="9" t="s">
        <v>55</v>
      </c>
      <c r="E1156" s="9" t="s">
        <v>13</v>
      </c>
      <c r="F1156" s="9">
        <v>226</v>
      </c>
      <c r="G1156" s="9">
        <v>160.82</v>
      </c>
      <c r="H1156" s="9" t="s">
        <v>32</v>
      </c>
      <c r="I1156" s="9">
        <v>19</v>
      </c>
      <c r="J1156" s="10">
        <v>-65.180000000000007</v>
      </c>
      <c r="K1156" s="9" t="str">
        <f>TEXT(Sales_of_Jordan[[#This Row],[Sale_Date]],"mmm")</f>
        <v>Apr</v>
      </c>
    </row>
    <row r="1157" spans="1:11" x14ac:dyDescent="0.35">
      <c r="A1157" s="7" t="s">
        <v>1187</v>
      </c>
      <c r="B1157" s="8">
        <v>45149</v>
      </c>
      <c r="C1157" s="9" t="s">
        <v>21</v>
      </c>
      <c r="D1157" s="9" t="s">
        <v>36</v>
      </c>
      <c r="E1157" s="9" t="s">
        <v>13</v>
      </c>
      <c r="F1157" s="9">
        <v>212</v>
      </c>
      <c r="G1157" s="9">
        <v>139.43</v>
      </c>
      <c r="H1157" s="9" t="s">
        <v>14</v>
      </c>
      <c r="I1157" s="9">
        <v>14</v>
      </c>
      <c r="J1157" s="10">
        <v>-72.569999999999993</v>
      </c>
      <c r="K1157" s="9" t="str">
        <f>TEXT(Sales_of_Jordan[[#This Row],[Sale_Date]],"mmm")</f>
        <v>Aug</v>
      </c>
    </row>
    <row r="1158" spans="1:11" x14ac:dyDescent="0.35">
      <c r="A1158" s="7" t="s">
        <v>1188</v>
      </c>
      <c r="B1158" s="8">
        <v>44979</v>
      </c>
      <c r="C1158" s="9" t="s">
        <v>11</v>
      </c>
      <c r="D1158" s="9" t="s">
        <v>53</v>
      </c>
      <c r="E1158" s="9" t="s">
        <v>18</v>
      </c>
      <c r="F1158" s="9">
        <v>228</v>
      </c>
      <c r="G1158" s="9">
        <v>781.18</v>
      </c>
      <c r="H1158" s="9" t="s">
        <v>25</v>
      </c>
      <c r="I1158" s="9">
        <v>39</v>
      </c>
      <c r="J1158" s="10">
        <v>553.17999999999995</v>
      </c>
      <c r="K1158" s="9" t="str">
        <f>TEXT(Sales_of_Jordan[[#This Row],[Sale_Date]],"mmm")</f>
        <v>Feb</v>
      </c>
    </row>
    <row r="1159" spans="1:11" x14ac:dyDescent="0.35">
      <c r="A1159" s="7" t="s">
        <v>1189</v>
      </c>
      <c r="B1159" s="8">
        <v>45581</v>
      </c>
      <c r="C1159" s="9" t="s">
        <v>11</v>
      </c>
      <c r="D1159" s="9" t="s">
        <v>36</v>
      </c>
      <c r="E1159" s="9" t="s">
        <v>29</v>
      </c>
      <c r="F1159" s="9">
        <v>228</v>
      </c>
      <c r="G1159" s="9">
        <v>269.58999999999997</v>
      </c>
      <c r="H1159" s="9" t="s">
        <v>14</v>
      </c>
      <c r="I1159" s="9">
        <v>12</v>
      </c>
      <c r="J1159" s="10">
        <v>41.589999999999897</v>
      </c>
      <c r="K1159" s="9" t="str">
        <f>TEXT(Sales_of_Jordan[[#This Row],[Sale_Date]],"mmm")</f>
        <v>Oct</v>
      </c>
    </row>
    <row r="1160" spans="1:11" x14ac:dyDescent="0.35">
      <c r="A1160" s="7" t="s">
        <v>1190</v>
      </c>
      <c r="B1160" s="8">
        <v>45637</v>
      </c>
      <c r="C1160" s="9" t="s">
        <v>27</v>
      </c>
      <c r="D1160" s="9" t="s">
        <v>53</v>
      </c>
      <c r="E1160" s="9" t="s">
        <v>18</v>
      </c>
      <c r="F1160" s="9">
        <v>139</v>
      </c>
      <c r="G1160" s="9">
        <v>291.26</v>
      </c>
      <c r="H1160" s="9" t="s">
        <v>19</v>
      </c>
      <c r="I1160" s="9">
        <v>1</v>
      </c>
      <c r="J1160" s="10">
        <v>152.26</v>
      </c>
      <c r="K1160" s="9" t="str">
        <f>TEXT(Sales_of_Jordan[[#This Row],[Sale_Date]],"mmm")</f>
        <v>Dec</v>
      </c>
    </row>
    <row r="1161" spans="1:11" x14ac:dyDescent="0.35">
      <c r="A1161" s="7" t="s">
        <v>1191</v>
      </c>
      <c r="B1161" s="8">
        <v>45706</v>
      </c>
      <c r="C1161" s="9" t="s">
        <v>16</v>
      </c>
      <c r="D1161" s="9" t="s">
        <v>39</v>
      </c>
      <c r="E1161" s="9" t="s">
        <v>29</v>
      </c>
      <c r="F1161" s="9">
        <v>173</v>
      </c>
      <c r="G1161" s="9">
        <v>249.03</v>
      </c>
      <c r="H1161" s="9" t="s">
        <v>19</v>
      </c>
      <c r="I1161" s="9">
        <v>9</v>
      </c>
      <c r="J1161" s="10">
        <v>76.03</v>
      </c>
      <c r="K1161" s="9" t="str">
        <f>TEXT(Sales_of_Jordan[[#This Row],[Sale_Date]],"mmm")</f>
        <v>Feb</v>
      </c>
    </row>
    <row r="1162" spans="1:11" x14ac:dyDescent="0.35">
      <c r="A1162" s="7" t="s">
        <v>1192</v>
      </c>
      <c r="B1162" s="8">
        <v>45444</v>
      </c>
      <c r="C1162" s="9" t="s">
        <v>11</v>
      </c>
      <c r="D1162" s="9" t="s">
        <v>36</v>
      </c>
      <c r="E1162" s="9" t="s">
        <v>13</v>
      </c>
      <c r="F1162" s="9">
        <v>225</v>
      </c>
      <c r="G1162" s="9">
        <v>178.51</v>
      </c>
      <c r="H1162" s="9" t="s">
        <v>14</v>
      </c>
      <c r="I1162" s="9">
        <v>1</v>
      </c>
      <c r="J1162" s="10">
        <v>-46.49</v>
      </c>
      <c r="K1162" s="9" t="str">
        <f>TEXT(Sales_of_Jordan[[#This Row],[Sale_Date]],"mmm")</f>
        <v>Jun</v>
      </c>
    </row>
    <row r="1163" spans="1:11" x14ac:dyDescent="0.35">
      <c r="A1163" s="7" t="s">
        <v>1193</v>
      </c>
      <c r="B1163" s="8">
        <v>45839</v>
      </c>
      <c r="C1163" s="9" t="s">
        <v>11</v>
      </c>
      <c r="D1163" s="9" t="s">
        <v>36</v>
      </c>
      <c r="E1163" s="9" t="s">
        <v>29</v>
      </c>
      <c r="F1163" s="9">
        <v>226</v>
      </c>
      <c r="G1163" s="9">
        <v>316.83999999999997</v>
      </c>
      <c r="H1163" s="9" t="s">
        <v>23</v>
      </c>
      <c r="I1163" s="9">
        <v>7</v>
      </c>
      <c r="J1163" s="10">
        <v>90.839999999999904</v>
      </c>
      <c r="K1163" s="9" t="str">
        <f>TEXT(Sales_of_Jordan[[#This Row],[Sale_Date]],"mmm")</f>
        <v>Jul</v>
      </c>
    </row>
    <row r="1164" spans="1:11" x14ac:dyDescent="0.35">
      <c r="A1164" s="7" t="s">
        <v>1194</v>
      </c>
      <c r="B1164" s="8">
        <v>45830</v>
      </c>
      <c r="C1164" s="9" t="s">
        <v>31</v>
      </c>
      <c r="D1164" s="9" t="s">
        <v>22</v>
      </c>
      <c r="E1164" s="9" t="s">
        <v>13</v>
      </c>
      <c r="F1164" s="9">
        <v>210</v>
      </c>
      <c r="G1164" s="9">
        <v>116.33</v>
      </c>
      <c r="H1164" s="9" t="s">
        <v>19</v>
      </c>
      <c r="I1164" s="9">
        <v>2</v>
      </c>
      <c r="J1164" s="10">
        <v>-93.67</v>
      </c>
      <c r="K1164" s="9" t="str">
        <f>TEXT(Sales_of_Jordan[[#This Row],[Sale_Date]],"mmm")</f>
        <v>Jun</v>
      </c>
    </row>
    <row r="1165" spans="1:11" x14ac:dyDescent="0.35">
      <c r="A1165" s="7" t="s">
        <v>1195</v>
      </c>
      <c r="B1165" s="8">
        <v>45808</v>
      </c>
      <c r="C1165" s="9" t="s">
        <v>11</v>
      </c>
      <c r="D1165" s="9" t="s">
        <v>36</v>
      </c>
      <c r="E1165" s="9" t="s">
        <v>18</v>
      </c>
      <c r="F1165" s="9">
        <v>229</v>
      </c>
      <c r="G1165" s="9">
        <v>703.41</v>
      </c>
      <c r="H1165" s="9" t="s">
        <v>14</v>
      </c>
      <c r="I1165" s="9">
        <v>6</v>
      </c>
      <c r="J1165" s="10">
        <v>474.409999999999</v>
      </c>
      <c r="K1165" s="9" t="str">
        <f>TEXT(Sales_of_Jordan[[#This Row],[Sale_Date]],"mmm")</f>
        <v>May</v>
      </c>
    </row>
    <row r="1166" spans="1:11" x14ac:dyDescent="0.35">
      <c r="A1166" s="7" t="s">
        <v>1196</v>
      </c>
      <c r="B1166" s="8">
        <v>45813</v>
      </c>
      <c r="C1166" s="9" t="s">
        <v>11</v>
      </c>
      <c r="D1166" s="9" t="s">
        <v>46</v>
      </c>
      <c r="E1166" s="9" t="s">
        <v>29</v>
      </c>
      <c r="F1166" s="9">
        <v>230</v>
      </c>
      <c r="G1166" s="9">
        <v>270.95</v>
      </c>
      <c r="H1166" s="9" t="s">
        <v>32</v>
      </c>
      <c r="I1166" s="9">
        <v>45</v>
      </c>
      <c r="J1166" s="10">
        <v>40.949999999999903</v>
      </c>
      <c r="K1166" s="9" t="str">
        <f>TEXT(Sales_of_Jordan[[#This Row],[Sale_Date]],"mmm")</f>
        <v>Jun</v>
      </c>
    </row>
    <row r="1167" spans="1:11" x14ac:dyDescent="0.35">
      <c r="A1167" s="7" t="s">
        <v>1197</v>
      </c>
      <c r="B1167" s="8">
        <v>45624</v>
      </c>
      <c r="C1167" s="9" t="s">
        <v>31</v>
      </c>
      <c r="D1167" s="9" t="s">
        <v>53</v>
      </c>
      <c r="E1167" s="9" t="s">
        <v>13</v>
      </c>
      <c r="F1167" s="9">
        <v>208</v>
      </c>
      <c r="G1167" s="9">
        <v>123.98</v>
      </c>
      <c r="H1167" s="9" t="s">
        <v>23</v>
      </c>
      <c r="I1167" s="9">
        <v>36</v>
      </c>
      <c r="J1167" s="10">
        <v>-84.02</v>
      </c>
      <c r="K1167" s="9" t="str">
        <f>TEXT(Sales_of_Jordan[[#This Row],[Sale_Date]],"mmm")</f>
        <v>Nov</v>
      </c>
    </row>
    <row r="1168" spans="1:11" x14ac:dyDescent="0.35">
      <c r="A1168" s="7" t="s">
        <v>1198</v>
      </c>
      <c r="B1168" s="8">
        <v>45032</v>
      </c>
      <c r="C1168" s="9" t="s">
        <v>31</v>
      </c>
      <c r="D1168" s="9" t="s">
        <v>22</v>
      </c>
      <c r="E1168" s="9" t="s">
        <v>13</v>
      </c>
      <c r="F1168" s="9">
        <v>207</v>
      </c>
      <c r="G1168" s="9">
        <v>182.16</v>
      </c>
      <c r="H1168" s="9" t="s">
        <v>23</v>
      </c>
      <c r="I1168" s="9">
        <v>50</v>
      </c>
      <c r="J1168" s="10">
        <v>-24.84</v>
      </c>
      <c r="K1168" s="9" t="str">
        <f>TEXT(Sales_of_Jordan[[#This Row],[Sale_Date]],"mmm")</f>
        <v>Apr</v>
      </c>
    </row>
    <row r="1169" spans="1:11" x14ac:dyDescent="0.35">
      <c r="A1169" s="7" t="s">
        <v>1199</v>
      </c>
      <c r="B1169" s="8">
        <v>45180</v>
      </c>
      <c r="C1169" s="9" t="s">
        <v>27</v>
      </c>
      <c r="D1169" s="9" t="s">
        <v>53</v>
      </c>
      <c r="E1169" s="9" t="s">
        <v>13</v>
      </c>
      <c r="F1169" s="9">
        <v>140</v>
      </c>
      <c r="G1169" s="9">
        <v>95.58</v>
      </c>
      <c r="H1169" s="9" t="s">
        <v>23</v>
      </c>
      <c r="I1169" s="9">
        <v>30</v>
      </c>
      <c r="J1169" s="10">
        <v>-44.42</v>
      </c>
      <c r="K1169" s="9" t="str">
        <f>TEXT(Sales_of_Jordan[[#This Row],[Sale_Date]],"mmm")</f>
        <v>Sep</v>
      </c>
    </row>
    <row r="1170" spans="1:11" x14ac:dyDescent="0.35">
      <c r="A1170" s="7" t="s">
        <v>1200</v>
      </c>
      <c r="B1170" s="8">
        <v>45024</v>
      </c>
      <c r="C1170" s="9" t="s">
        <v>21</v>
      </c>
      <c r="D1170" s="9" t="s">
        <v>34</v>
      </c>
      <c r="E1170" s="9" t="s">
        <v>29</v>
      </c>
      <c r="F1170" s="9">
        <v>214</v>
      </c>
      <c r="G1170" s="9">
        <v>228.44</v>
      </c>
      <c r="H1170" s="9" t="s">
        <v>25</v>
      </c>
      <c r="I1170" s="9">
        <v>28</v>
      </c>
      <c r="J1170" s="10">
        <v>14.4399999999999</v>
      </c>
      <c r="K1170" s="9" t="str">
        <f>TEXT(Sales_of_Jordan[[#This Row],[Sale_Date]],"mmm")</f>
        <v>Apr</v>
      </c>
    </row>
    <row r="1171" spans="1:11" x14ac:dyDescent="0.35">
      <c r="A1171" s="7" t="s">
        <v>1201</v>
      </c>
      <c r="B1171" s="8">
        <v>45231</v>
      </c>
      <c r="C1171" s="9" t="s">
        <v>21</v>
      </c>
      <c r="D1171" s="9" t="s">
        <v>17</v>
      </c>
      <c r="E1171" s="9" t="s">
        <v>13</v>
      </c>
      <c r="F1171" s="9">
        <v>216</v>
      </c>
      <c r="G1171" s="9">
        <v>125.48</v>
      </c>
      <c r="H1171" s="9" t="s">
        <v>23</v>
      </c>
      <c r="I1171" s="9">
        <v>24</v>
      </c>
      <c r="J1171" s="10">
        <v>-90.52</v>
      </c>
      <c r="K1171" s="9" t="str">
        <f>TEXT(Sales_of_Jordan[[#This Row],[Sale_Date]],"mmm")</f>
        <v>Nov</v>
      </c>
    </row>
    <row r="1172" spans="1:11" x14ac:dyDescent="0.35">
      <c r="A1172" s="7" t="s">
        <v>1202</v>
      </c>
      <c r="B1172" s="8">
        <v>45269</v>
      </c>
      <c r="C1172" s="9" t="s">
        <v>27</v>
      </c>
      <c r="D1172" s="9" t="s">
        <v>12</v>
      </c>
      <c r="E1172" s="9" t="s">
        <v>29</v>
      </c>
      <c r="F1172" s="9">
        <v>115</v>
      </c>
      <c r="G1172" s="9">
        <v>171.65</v>
      </c>
      <c r="H1172" s="9" t="s">
        <v>25</v>
      </c>
      <c r="I1172" s="9">
        <v>17</v>
      </c>
      <c r="J1172" s="10">
        <v>56.65</v>
      </c>
      <c r="K1172" s="9" t="str">
        <f>TEXT(Sales_of_Jordan[[#This Row],[Sale_Date]],"mmm")</f>
        <v>Dec</v>
      </c>
    </row>
    <row r="1173" spans="1:11" x14ac:dyDescent="0.35">
      <c r="A1173" s="7" t="s">
        <v>1203</v>
      </c>
      <c r="B1173" s="8">
        <v>45595</v>
      </c>
      <c r="C1173" s="9" t="s">
        <v>21</v>
      </c>
      <c r="D1173" s="9" t="s">
        <v>53</v>
      </c>
      <c r="E1173" s="9" t="s">
        <v>29</v>
      </c>
      <c r="F1173" s="9">
        <v>217</v>
      </c>
      <c r="G1173" s="9">
        <v>252.75</v>
      </c>
      <c r="H1173" s="9" t="s">
        <v>14</v>
      </c>
      <c r="I1173" s="9">
        <v>14</v>
      </c>
      <c r="J1173" s="10">
        <v>35.75</v>
      </c>
      <c r="K1173" s="9" t="str">
        <f>TEXT(Sales_of_Jordan[[#This Row],[Sale_Date]],"mmm")</f>
        <v>Oct</v>
      </c>
    </row>
    <row r="1174" spans="1:11" x14ac:dyDescent="0.35">
      <c r="A1174" s="7" t="s">
        <v>1204</v>
      </c>
      <c r="B1174" s="8">
        <v>45776</v>
      </c>
      <c r="C1174" s="9" t="s">
        <v>11</v>
      </c>
      <c r="D1174" s="9" t="s">
        <v>46</v>
      </c>
      <c r="E1174" s="9" t="s">
        <v>18</v>
      </c>
      <c r="F1174" s="9">
        <v>226</v>
      </c>
      <c r="G1174" s="9">
        <v>605.91</v>
      </c>
      <c r="H1174" s="9" t="s">
        <v>19</v>
      </c>
      <c r="I1174" s="9">
        <v>3</v>
      </c>
      <c r="J1174" s="10">
        <v>379.909999999999</v>
      </c>
      <c r="K1174" s="9" t="str">
        <f>TEXT(Sales_of_Jordan[[#This Row],[Sale_Date]],"mmm")</f>
        <v>Apr</v>
      </c>
    </row>
    <row r="1175" spans="1:11" x14ac:dyDescent="0.35">
      <c r="A1175" s="7" t="s">
        <v>1205</v>
      </c>
      <c r="B1175" s="8">
        <v>45126</v>
      </c>
      <c r="C1175" s="9" t="s">
        <v>31</v>
      </c>
      <c r="D1175" s="9" t="s">
        <v>17</v>
      </c>
      <c r="E1175" s="9" t="s">
        <v>18</v>
      </c>
      <c r="F1175" s="9">
        <v>210</v>
      </c>
      <c r="G1175" s="9">
        <v>665.09</v>
      </c>
      <c r="H1175" s="9" t="s">
        <v>23</v>
      </c>
      <c r="I1175" s="9">
        <v>26</v>
      </c>
      <c r="J1175" s="10">
        <v>455.09</v>
      </c>
      <c r="K1175" s="9" t="str">
        <f>TEXT(Sales_of_Jordan[[#This Row],[Sale_Date]],"mmm")</f>
        <v>Jul</v>
      </c>
    </row>
    <row r="1176" spans="1:11" x14ac:dyDescent="0.35">
      <c r="A1176" s="7" t="s">
        <v>1206</v>
      </c>
      <c r="B1176" s="8">
        <v>45548</v>
      </c>
      <c r="C1176" s="9" t="s">
        <v>31</v>
      </c>
      <c r="D1176" s="9" t="s">
        <v>53</v>
      </c>
      <c r="E1176" s="9" t="s">
        <v>18</v>
      </c>
      <c r="F1176" s="9">
        <v>201</v>
      </c>
      <c r="G1176" s="9">
        <v>597.5</v>
      </c>
      <c r="H1176" s="9" t="s">
        <v>23</v>
      </c>
      <c r="I1176" s="9">
        <v>57</v>
      </c>
      <c r="J1176" s="10">
        <v>396.5</v>
      </c>
      <c r="K1176" s="9" t="str">
        <f>TEXT(Sales_of_Jordan[[#This Row],[Sale_Date]],"mmm")</f>
        <v>Sep</v>
      </c>
    </row>
    <row r="1177" spans="1:11" x14ac:dyDescent="0.35">
      <c r="A1177" s="7" t="s">
        <v>1207</v>
      </c>
      <c r="B1177" s="8">
        <v>44974</v>
      </c>
      <c r="C1177" s="9" t="s">
        <v>31</v>
      </c>
      <c r="D1177" s="9" t="s">
        <v>22</v>
      </c>
      <c r="E1177" s="9" t="s">
        <v>18</v>
      </c>
      <c r="F1177" s="9">
        <v>201</v>
      </c>
      <c r="G1177" s="9">
        <v>446.63</v>
      </c>
      <c r="H1177" s="9" t="s">
        <v>25</v>
      </c>
      <c r="I1177" s="9">
        <v>16</v>
      </c>
      <c r="J1177" s="10">
        <v>245.63</v>
      </c>
      <c r="K1177" s="9" t="str">
        <f>TEXT(Sales_of_Jordan[[#This Row],[Sale_Date]],"mmm")</f>
        <v>Feb</v>
      </c>
    </row>
    <row r="1178" spans="1:11" x14ac:dyDescent="0.35">
      <c r="A1178" s="7" t="s">
        <v>1208</v>
      </c>
      <c r="B1178" s="8">
        <v>45317</v>
      </c>
      <c r="C1178" s="9" t="s">
        <v>27</v>
      </c>
      <c r="D1178" s="9" t="s">
        <v>53</v>
      </c>
      <c r="E1178" s="9" t="s">
        <v>13</v>
      </c>
      <c r="F1178" s="9">
        <v>131</v>
      </c>
      <c r="G1178" s="9">
        <v>92.22</v>
      </c>
      <c r="H1178" s="9" t="s">
        <v>23</v>
      </c>
      <c r="I1178" s="9">
        <v>20</v>
      </c>
      <c r="J1178" s="10">
        <v>-38.78</v>
      </c>
      <c r="K1178" s="9" t="str">
        <f>TEXT(Sales_of_Jordan[[#This Row],[Sale_Date]],"mmm")</f>
        <v>Jan</v>
      </c>
    </row>
    <row r="1179" spans="1:11" x14ac:dyDescent="0.35">
      <c r="A1179" s="7" t="s">
        <v>1209</v>
      </c>
      <c r="B1179" s="8">
        <v>45225</v>
      </c>
      <c r="C1179" s="9" t="s">
        <v>27</v>
      </c>
      <c r="D1179" s="9" t="s">
        <v>22</v>
      </c>
      <c r="E1179" s="9" t="s">
        <v>18</v>
      </c>
      <c r="F1179" s="9">
        <v>130</v>
      </c>
      <c r="G1179" s="9">
        <v>178.38</v>
      </c>
      <c r="H1179" s="9" t="s">
        <v>19</v>
      </c>
      <c r="I1179" s="9">
        <v>3</v>
      </c>
      <c r="J1179" s="10">
        <v>48.379999999999903</v>
      </c>
      <c r="K1179" s="9" t="str">
        <f>TEXT(Sales_of_Jordan[[#This Row],[Sale_Date]],"mmm")</f>
        <v>Oct</v>
      </c>
    </row>
    <row r="1180" spans="1:11" x14ac:dyDescent="0.35">
      <c r="A1180" s="7" t="s">
        <v>1210</v>
      </c>
      <c r="B1180" s="8">
        <v>45687</v>
      </c>
      <c r="C1180" s="9" t="s">
        <v>31</v>
      </c>
      <c r="D1180" s="9" t="s">
        <v>39</v>
      </c>
      <c r="E1180" s="9" t="s">
        <v>13</v>
      </c>
      <c r="F1180" s="9">
        <v>200</v>
      </c>
      <c r="G1180" s="9">
        <v>101.97</v>
      </c>
      <c r="H1180" s="9" t="s">
        <v>19</v>
      </c>
      <c r="I1180" s="9">
        <v>10</v>
      </c>
      <c r="J1180" s="10">
        <v>-98.03</v>
      </c>
      <c r="K1180" s="9" t="str">
        <f>TEXT(Sales_of_Jordan[[#This Row],[Sale_Date]],"mmm")</f>
        <v>Jan</v>
      </c>
    </row>
    <row r="1181" spans="1:11" x14ac:dyDescent="0.35">
      <c r="A1181" s="7" t="s">
        <v>1211</v>
      </c>
      <c r="B1181" s="8">
        <v>44974</v>
      </c>
      <c r="C1181" s="9" t="s">
        <v>21</v>
      </c>
      <c r="D1181" s="9" t="s">
        <v>34</v>
      </c>
      <c r="E1181" s="9" t="s">
        <v>13</v>
      </c>
      <c r="F1181" s="9">
        <v>221</v>
      </c>
      <c r="G1181" s="9">
        <v>167.29</v>
      </c>
      <c r="H1181" s="9" t="s">
        <v>32</v>
      </c>
      <c r="I1181" s="9">
        <v>25</v>
      </c>
      <c r="J1181" s="10">
        <v>-53.71</v>
      </c>
      <c r="K1181" s="9" t="str">
        <f>TEXT(Sales_of_Jordan[[#This Row],[Sale_Date]],"mmm")</f>
        <v>Feb</v>
      </c>
    </row>
    <row r="1182" spans="1:11" x14ac:dyDescent="0.35">
      <c r="A1182" s="7" t="s">
        <v>1212</v>
      </c>
      <c r="B1182" s="8">
        <v>45255</v>
      </c>
      <c r="C1182" s="9" t="s">
        <v>27</v>
      </c>
      <c r="D1182" s="9" t="s">
        <v>46</v>
      </c>
      <c r="E1182" s="9" t="s">
        <v>29</v>
      </c>
      <c r="F1182" s="9">
        <v>138</v>
      </c>
      <c r="G1182" s="9">
        <v>196.34</v>
      </c>
      <c r="H1182" s="9" t="s">
        <v>14</v>
      </c>
      <c r="I1182" s="9">
        <v>9</v>
      </c>
      <c r="J1182" s="10">
        <v>58.34</v>
      </c>
      <c r="K1182" s="9" t="str">
        <f>TEXT(Sales_of_Jordan[[#This Row],[Sale_Date]],"mmm")</f>
        <v>Nov</v>
      </c>
    </row>
    <row r="1183" spans="1:11" x14ac:dyDescent="0.35">
      <c r="A1183" s="7" t="s">
        <v>1213</v>
      </c>
      <c r="B1183" s="8">
        <v>44985</v>
      </c>
      <c r="C1183" s="9" t="s">
        <v>31</v>
      </c>
      <c r="D1183" s="9" t="s">
        <v>36</v>
      </c>
      <c r="E1183" s="9" t="s">
        <v>13</v>
      </c>
      <c r="F1183" s="9">
        <v>201</v>
      </c>
      <c r="G1183" s="9">
        <v>135.27000000000001</v>
      </c>
      <c r="H1183" s="9" t="s">
        <v>23</v>
      </c>
      <c r="I1183" s="9">
        <v>34</v>
      </c>
      <c r="J1183" s="10">
        <v>-65.729999999999905</v>
      </c>
      <c r="K1183" s="9" t="str">
        <f>TEXT(Sales_of_Jordan[[#This Row],[Sale_Date]],"mmm")</f>
        <v>Feb</v>
      </c>
    </row>
    <row r="1184" spans="1:11" x14ac:dyDescent="0.35">
      <c r="A1184" s="7" t="s">
        <v>1214</v>
      </c>
      <c r="B1184" s="8">
        <v>45255</v>
      </c>
      <c r="C1184" s="9" t="s">
        <v>21</v>
      </c>
      <c r="D1184" s="9" t="s">
        <v>55</v>
      </c>
      <c r="E1184" s="9" t="s">
        <v>13</v>
      </c>
      <c r="F1184" s="9">
        <v>224</v>
      </c>
      <c r="G1184" s="9">
        <v>193.06</v>
      </c>
      <c r="H1184" s="9" t="s">
        <v>25</v>
      </c>
      <c r="I1184" s="9">
        <v>15</v>
      </c>
      <c r="J1184" s="10">
        <v>-30.939999999999898</v>
      </c>
      <c r="K1184" s="9" t="str">
        <f>TEXT(Sales_of_Jordan[[#This Row],[Sale_Date]],"mmm")</f>
        <v>Nov</v>
      </c>
    </row>
    <row r="1185" spans="1:11" x14ac:dyDescent="0.35">
      <c r="A1185" s="7" t="s">
        <v>1215</v>
      </c>
      <c r="B1185" s="8">
        <v>45524</v>
      </c>
      <c r="C1185" s="9" t="s">
        <v>31</v>
      </c>
      <c r="D1185" s="9" t="s">
        <v>46</v>
      </c>
      <c r="E1185" s="9" t="s">
        <v>13</v>
      </c>
      <c r="F1185" s="9">
        <v>208</v>
      </c>
      <c r="G1185" s="9">
        <v>145.62</v>
      </c>
      <c r="H1185" s="9" t="s">
        <v>25</v>
      </c>
      <c r="I1185" s="9">
        <v>9</v>
      </c>
      <c r="J1185" s="10">
        <v>-62.379999999999903</v>
      </c>
      <c r="K1185" s="9" t="str">
        <f>TEXT(Sales_of_Jordan[[#This Row],[Sale_Date]],"mmm")</f>
        <v>Aug</v>
      </c>
    </row>
    <row r="1186" spans="1:11" x14ac:dyDescent="0.35">
      <c r="A1186" s="7" t="s">
        <v>1216</v>
      </c>
      <c r="B1186" s="8">
        <v>45842</v>
      </c>
      <c r="C1186" s="9" t="s">
        <v>31</v>
      </c>
      <c r="D1186" s="9" t="s">
        <v>34</v>
      </c>
      <c r="E1186" s="9" t="s">
        <v>29</v>
      </c>
      <c r="F1186" s="9">
        <v>200</v>
      </c>
      <c r="G1186" s="9">
        <v>230.69</v>
      </c>
      <c r="H1186" s="9" t="s">
        <v>23</v>
      </c>
      <c r="I1186" s="9">
        <v>49</v>
      </c>
      <c r="J1186" s="10">
        <v>30.689999999999898</v>
      </c>
      <c r="K1186" s="9" t="str">
        <f>TEXT(Sales_of_Jordan[[#This Row],[Sale_Date]],"mmm")</f>
        <v>Jul</v>
      </c>
    </row>
    <row r="1187" spans="1:11" x14ac:dyDescent="0.35">
      <c r="A1187" s="7" t="s">
        <v>1217</v>
      </c>
      <c r="B1187" s="8">
        <v>45518</v>
      </c>
      <c r="C1187" s="9" t="s">
        <v>21</v>
      </c>
      <c r="D1187" s="9" t="s">
        <v>36</v>
      </c>
      <c r="E1187" s="9" t="s">
        <v>18</v>
      </c>
      <c r="F1187" s="9">
        <v>223</v>
      </c>
      <c r="G1187" s="9">
        <v>509.76</v>
      </c>
      <c r="H1187" s="9" t="s">
        <v>14</v>
      </c>
      <c r="I1187" s="9">
        <v>8</v>
      </c>
      <c r="J1187" s="10">
        <v>286.76</v>
      </c>
      <c r="K1187" s="9" t="str">
        <f>TEXT(Sales_of_Jordan[[#This Row],[Sale_Date]],"mmm")</f>
        <v>Aug</v>
      </c>
    </row>
    <row r="1188" spans="1:11" x14ac:dyDescent="0.35">
      <c r="A1188" s="7" t="s">
        <v>1218</v>
      </c>
      <c r="B1188" s="8">
        <v>45105</v>
      </c>
      <c r="C1188" s="9" t="s">
        <v>21</v>
      </c>
      <c r="D1188" s="9" t="s">
        <v>39</v>
      </c>
      <c r="E1188" s="9" t="s">
        <v>18</v>
      </c>
      <c r="F1188" s="9">
        <v>211</v>
      </c>
      <c r="G1188" s="9">
        <v>319.55</v>
      </c>
      <c r="H1188" s="9" t="s">
        <v>23</v>
      </c>
      <c r="I1188" s="9">
        <v>29</v>
      </c>
      <c r="J1188" s="10">
        <v>108.55</v>
      </c>
      <c r="K1188" s="9" t="str">
        <f>TEXT(Sales_of_Jordan[[#This Row],[Sale_Date]],"mmm")</f>
        <v>Jun</v>
      </c>
    </row>
    <row r="1189" spans="1:11" x14ac:dyDescent="0.35">
      <c r="A1189" s="7" t="s">
        <v>1219</v>
      </c>
      <c r="B1189" s="8">
        <v>45291</v>
      </c>
      <c r="C1189" s="9" t="s">
        <v>21</v>
      </c>
      <c r="D1189" s="9" t="s">
        <v>17</v>
      </c>
      <c r="E1189" s="9" t="s">
        <v>29</v>
      </c>
      <c r="F1189" s="9">
        <v>218</v>
      </c>
      <c r="G1189" s="9">
        <v>282.24</v>
      </c>
      <c r="H1189" s="9" t="s">
        <v>19</v>
      </c>
      <c r="I1189" s="9">
        <v>4</v>
      </c>
      <c r="J1189" s="10">
        <v>64.239999999999995</v>
      </c>
      <c r="K1189" s="9" t="str">
        <f>TEXT(Sales_of_Jordan[[#This Row],[Sale_Date]],"mmm")</f>
        <v>Dec</v>
      </c>
    </row>
    <row r="1190" spans="1:11" x14ac:dyDescent="0.35">
      <c r="A1190" s="7" t="s">
        <v>1220</v>
      </c>
      <c r="B1190" s="8">
        <v>45492</v>
      </c>
      <c r="C1190" s="9" t="s">
        <v>21</v>
      </c>
      <c r="D1190" s="9" t="s">
        <v>36</v>
      </c>
      <c r="E1190" s="9" t="s">
        <v>18</v>
      </c>
      <c r="F1190" s="9">
        <v>221</v>
      </c>
      <c r="G1190" s="9">
        <v>548.25</v>
      </c>
      <c r="H1190" s="9" t="s">
        <v>32</v>
      </c>
      <c r="I1190" s="9">
        <v>50</v>
      </c>
      <c r="J1190" s="10">
        <v>327.25</v>
      </c>
      <c r="K1190" s="9" t="str">
        <f>TEXT(Sales_of_Jordan[[#This Row],[Sale_Date]],"mmm")</f>
        <v>Jul</v>
      </c>
    </row>
    <row r="1191" spans="1:11" x14ac:dyDescent="0.35">
      <c r="A1191" s="7" t="s">
        <v>1221</v>
      </c>
      <c r="B1191" s="8">
        <v>45213</v>
      </c>
      <c r="C1191" s="9" t="s">
        <v>27</v>
      </c>
      <c r="D1191" s="9" t="s">
        <v>36</v>
      </c>
      <c r="E1191" s="9" t="s">
        <v>13</v>
      </c>
      <c r="F1191" s="9">
        <v>110</v>
      </c>
      <c r="G1191" s="9">
        <v>74.13</v>
      </c>
      <c r="H1191" s="9" t="s">
        <v>19</v>
      </c>
      <c r="I1191" s="9">
        <v>8</v>
      </c>
      <c r="J1191" s="10">
        <v>-35.869999999999997</v>
      </c>
      <c r="K1191" s="9" t="str">
        <f>TEXT(Sales_of_Jordan[[#This Row],[Sale_Date]],"mmm")</f>
        <v>Oct</v>
      </c>
    </row>
    <row r="1192" spans="1:11" x14ac:dyDescent="0.35">
      <c r="A1192" s="7" t="s">
        <v>1222</v>
      </c>
      <c r="B1192" s="8">
        <v>45908</v>
      </c>
      <c r="C1192" s="9" t="s">
        <v>31</v>
      </c>
      <c r="D1192" s="9" t="s">
        <v>46</v>
      </c>
      <c r="E1192" s="9" t="s">
        <v>18</v>
      </c>
      <c r="F1192" s="9">
        <v>209</v>
      </c>
      <c r="G1192" s="9">
        <v>641.53</v>
      </c>
      <c r="H1192" s="9" t="s">
        <v>32</v>
      </c>
      <c r="I1192" s="9">
        <v>46</v>
      </c>
      <c r="J1192" s="10">
        <v>432.53</v>
      </c>
      <c r="K1192" s="9" t="str">
        <f>TEXT(Sales_of_Jordan[[#This Row],[Sale_Date]],"mmm")</f>
        <v>Sep</v>
      </c>
    </row>
    <row r="1193" spans="1:11" x14ac:dyDescent="0.35">
      <c r="A1193" s="7" t="s">
        <v>1223</v>
      </c>
      <c r="B1193" s="8">
        <v>44931</v>
      </c>
      <c r="C1193" s="9" t="s">
        <v>16</v>
      </c>
      <c r="D1193" s="9" t="s">
        <v>17</v>
      </c>
      <c r="E1193" s="9" t="s">
        <v>29</v>
      </c>
      <c r="F1193" s="9">
        <v>190</v>
      </c>
      <c r="G1193" s="9">
        <v>193.08</v>
      </c>
      <c r="H1193" s="9" t="s">
        <v>23</v>
      </c>
      <c r="I1193" s="9">
        <v>11</v>
      </c>
      <c r="J1193" s="10">
        <v>3.0800000000000098</v>
      </c>
      <c r="K1193" s="9" t="str">
        <f>TEXT(Sales_of_Jordan[[#This Row],[Sale_Date]],"mmm")</f>
        <v>Jan</v>
      </c>
    </row>
    <row r="1194" spans="1:11" x14ac:dyDescent="0.35">
      <c r="A1194" s="7" t="s">
        <v>1224</v>
      </c>
      <c r="B1194" s="8">
        <v>44990</v>
      </c>
      <c r="C1194" s="9" t="s">
        <v>31</v>
      </c>
      <c r="D1194" s="9" t="s">
        <v>39</v>
      </c>
      <c r="E1194" s="9" t="s">
        <v>18</v>
      </c>
      <c r="F1194" s="9">
        <v>204</v>
      </c>
      <c r="G1194" s="9">
        <v>345.65</v>
      </c>
      <c r="H1194" s="9" t="s">
        <v>14</v>
      </c>
      <c r="I1194" s="9">
        <v>12</v>
      </c>
      <c r="J1194" s="10">
        <v>141.64999999999901</v>
      </c>
      <c r="K1194" s="9" t="str">
        <f>TEXT(Sales_of_Jordan[[#This Row],[Sale_Date]],"mmm")</f>
        <v>Mar</v>
      </c>
    </row>
    <row r="1195" spans="1:11" x14ac:dyDescent="0.35">
      <c r="A1195" s="7" t="s">
        <v>1225</v>
      </c>
      <c r="B1195" s="8">
        <v>45859</v>
      </c>
      <c r="C1195" s="9" t="s">
        <v>27</v>
      </c>
      <c r="D1195" s="9" t="s">
        <v>36</v>
      </c>
      <c r="E1195" s="9" t="s">
        <v>13</v>
      </c>
      <c r="F1195" s="9">
        <v>136</v>
      </c>
      <c r="G1195" s="9">
        <v>113.23</v>
      </c>
      <c r="H1195" s="9" t="s">
        <v>19</v>
      </c>
      <c r="I1195" s="9">
        <v>2</v>
      </c>
      <c r="J1195" s="10">
        <v>-22.7699999999999</v>
      </c>
      <c r="K1195" s="9" t="str">
        <f>TEXT(Sales_of_Jordan[[#This Row],[Sale_Date]],"mmm")</f>
        <v>Jul</v>
      </c>
    </row>
    <row r="1196" spans="1:11" x14ac:dyDescent="0.35">
      <c r="A1196" s="7" t="s">
        <v>1226</v>
      </c>
      <c r="B1196" s="8">
        <v>45792</v>
      </c>
      <c r="C1196" s="9" t="s">
        <v>31</v>
      </c>
      <c r="D1196" s="9" t="s">
        <v>36</v>
      </c>
      <c r="E1196" s="9" t="s">
        <v>18</v>
      </c>
      <c r="F1196" s="9">
        <v>200</v>
      </c>
      <c r="G1196" s="9">
        <v>669.71</v>
      </c>
      <c r="H1196" s="9" t="s">
        <v>23</v>
      </c>
      <c r="I1196" s="9">
        <v>14</v>
      </c>
      <c r="J1196" s="10">
        <v>469.71</v>
      </c>
      <c r="K1196" s="9" t="str">
        <f>TEXT(Sales_of_Jordan[[#This Row],[Sale_Date]],"mmm")</f>
        <v>May</v>
      </c>
    </row>
    <row r="1197" spans="1:11" x14ac:dyDescent="0.35">
      <c r="A1197" s="7" t="s">
        <v>1227</v>
      </c>
      <c r="B1197" s="8">
        <v>45502</v>
      </c>
      <c r="C1197" s="9" t="s">
        <v>16</v>
      </c>
      <c r="D1197" s="9" t="s">
        <v>39</v>
      </c>
      <c r="E1197" s="9" t="s">
        <v>13</v>
      </c>
      <c r="F1197" s="9">
        <v>187</v>
      </c>
      <c r="G1197" s="9">
        <v>147.18</v>
      </c>
      <c r="H1197" s="9" t="s">
        <v>25</v>
      </c>
      <c r="I1197" s="9">
        <v>21</v>
      </c>
      <c r="J1197" s="10">
        <v>-39.819999999999901</v>
      </c>
      <c r="K1197" s="9" t="str">
        <f>TEXT(Sales_of_Jordan[[#This Row],[Sale_Date]],"mmm")</f>
        <v>Jul</v>
      </c>
    </row>
    <row r="1198" spans="1:11" x14ac:dyDescent="0.35">
      <c r="A1198" s="7" t="s">
        <v>1228</v>
      </c>
      <c r="B1198" s="8">
        <v>45842</v>
      </c>
      <c r="C1198" s="9" t="s">
        <v>21</v>
      </c>
      <c r="D1198" s="9" t="s">
        <v>53</v>
      </c>
      <c r="E1198" s="9" t="s">
        <v>29</v>
      </c>
      <c r="F1198" s="9">
        <v>219</v>
      </c>
      <c r="G1198" s="9">
        <v>327</v>
      </c>
      <c r="H1198" s="9" t="s">
        <v>14</v>
      </c>
      <c r="I1198" s="9">
        <v>11</v>
      </c>
      <c r="J1198" s="10">
        <v>108</v>
      </c>
      <c r="K1198" s="9" t="str">
        <f>TEXT(Sales_of_Jordan[[#This Row],[Sale_Date]],"mmm")</f>
        <v>Jul</v>
      </c>
    </row>
    <row r="1199" spans="1:11" x14ac:dyDescent="0.35">
      <c r="A1199" s="7" t="s">
        <v>1229</v>
      </c>
      <c r="B1199" s="8">
        <v>45048</v>
      </c>
      <c r="C1199" s="9" t="s">
        <v>27</v>
      </c>
      <c r="D1199" s="9" t="s">
        <v>46</v>
      </c>
      <c r="E1199" s="9" t="s">
        <v>18</v>
      </c>
      <c r="F1199" s="9">
        <v>131</v>
      </c>
      <c r="G1199" s="9">
        <v>239.58</v>
      </c>
      <c r="H1199" s="9" t="s">
        <v>25</v>
      </c>
      <c r="I1199" s="9">
        <v>40</v>
      </c>
      <c r="J1199" s="10">
        <v>108.58</v>
      </c>
      <c r="K1199" s="9" t="str">
        <f>TEXT(Sales_of_Jordan[[#This Row],[Sale_Date]],"mmm")</f>
        <v>May</v>
      </c>
    </row>
    <row r="1200" spans="1:11" x14ac:dyDescent="0.35">
      <c r="A1200" s="7" t="s">
        <v>1230</v>
      </c>
      <c r="B1200" s="8">
        <v>44940</v>
      </c>
      <c r="C1200" s="9" t="s">
        <v>21</v>
      </c>
      <c r="D1200" s="9" t="s">
        <v>22</v>
      </c>
      <c r="E1200" s="9" t="s">
        <v>29</v>
      </c>
      <c r="F1200" s="9">
        <v>212</v>
      </c>
      <c r="G1200" s="9">
        <v>280.33999999999997</v>
      </c>
      <c r="H1200" s="9" t="s">
        <v>14</v>
      </c>
      <c r="I1200" s="9">
        <v>4</v>
      </c>
      <c r="J1200" s="10">
        <v>68.339999999999904</v>
      </c>
      <c r="K1200" s="9" t="str">
        <f>TEXT(Sales_of_Jordan[[#This Row],[Sale_Date]],"mmm")</f>
        <v>Jan</v>
      </c>
    </row>
    <row r="1201" spans="1:11" x14ac:dyDescent="0.35">
      <c r="A1201" s="7" t="s">
        <v>1231</v>
      </c>
      <c r="B1201" s="8">
        <v>45205</v>
      </c>
      <c r="C1201" s="9" t="s">
        <v>31</v>
      </c>
      <c r="D1201" s="9" t="s">
        <v>53</v>
      </c>
      <c r="E1201" s="9" t="s">
        <v>13</v>
      </c>
      <c r="F1201" s="9">
        <v>206</v>
      </c>
      <c r="G1201" s="9">
        <v>128.15</v>
      </c>
      <c r="H1201" s="9" t="s">
        <v>25</v>
      </c>
      <c r="I1201" s="9">
        <v>26</v>
      </c>
      <c r="J1201" s="10">
        <v>-77.849999999999994</v>
      </c>
      <c r="K1201" s="9" t="str">
        <f>TEXT(Sales_of_Jordan[[#This Row],[Sale_Date]],"mmm")</f>
        <v>Oct</v>
      </c>
    </row>
    <row r="1202" spans="1:11" x14ac:dyDescent="0.35">
      <c r="A1202" s="7" t="s">
        <v>1232</v>
      </c>
      <c r="B1202" s="8">
        <v>45181</v>
      </c>
      <c r="C1202" s="9" t="s">
        <v>11</v>
      </c>
      <c r="D1202" s="9" t="s">
        <v>12</v>
      </c>
      <c r="E1202" s="9" t="s">
        <v>29</v>
      </c>
      <c r="F1202" s="9">
        <v>225</v>
      </c>
      <c r="G1202" s="9">
        <v>268.93</v>
      </c>
      <c r="H1202" s="9" t="s">
        <v>23</v>
      </c>
      <c r="I1202" s="9">
        <v>19</v>
      </c>
      <c r="J1202" s="10">
        <v>43.93</v>
      </c>
      <c r="K1202" s="9" t="str">
        <f>TEXT(Sales_of_Jordan[[#This Row],[Sale_Date]],"mmm")</f>
        <v>Sep</v>
      </c>
    </row>
    <row r="1203" spans="1:11" x14ac:dyDescent="0.35">
      <c r="A1203" s="7" t="s">
        <v>1233</v>
      </c>
      <c r="B1203" s="8">
        <v>45503</v>
      </c>
      <c r="C1203" s="9" t="s">
        <v>21</v>
      </c>
      <c r="D1203" s="9" t="s">
        <v>22</v>
      </c>
      <c r="E1203" s="9" t="s">
        <v>18</v>
      </c>
      <c r="F1203" s="9">
        <v>222</v>
      </c>
      <c r="G1203" s="9">
        <v>593.03</v>
      </c>
      <c r="H1203" s="9" t="s">
        <v>19</v>
      </c>
      <c r="I1203" s="9">
        <v>3</v>
      </c>
      <c r="J1203" s="10">
        <v>371.03</v>
      </c>
      <c r="K1203" s="9" t="str">
        <f>TEXT(Sales_of_Jordan[[#This Row],[Sale_Date]],"mmm")</f>
        <v>Jul</v>
      </c>
    </row>
    <row r="1204" spans="1:11" x14ac:dyDescent="0.35">
      <c r="A1204" s="7" t="s">
        <v>1234</v>
      </c>
      <c r="B1204" s="8">
        <v>45177</v>
      </c>
      <c r="C1204" s="9" t="s">
        <v>16</v>
      </c>
      <c r="D1204" s="9" t="s">
        <v>12</v>
      </c>
      <c r="E1204" s="9" t="s">
        <v>18</v>
      </c>
      <c r="F1204" s="9">
        <v>189</v>
      </c>
      <c r="G1204" s="9">
        <v>426.24</v>
      </c>
      <c r="H1204" s="9" t="s">
        <v>19</v>
      </c>
      <c r="I1204" s="9">
        <v>6</v>
      </c>
      <c r="J1204" s="10">
        <v>237.24</v>
      </c>
      <c r="K1204" s="9" t="str">
        <f>TEXT(Sales_of_Jordan[[#This Row],[Sale_Date]],"mmm")</f>
        <v>Sep</v>
      </c>
    </row>
    <row r="1205" spans="1:11" x14ac:dyDescent="0.35">
      <c r="A1205" s="7" t="s">
        <v>1235</v>
      </c>
      <c r="B1205" s="8">
        <v>45502</v>
      </c>
      <c r="C1205" s="9" t="s">
        <v>16</v>
      </c>
      <c r="D1205" s="9" t="s">
        <v>36</v>
      </c>
      <c r="E1205" s="9" t="s">
        <v>29</v>
      </c>
      <c r="F1205" s="9">
        <v>184</v>
      </c>
      <c r="G1205" s="9">
        <v>242.71</v>
      </c>
      <c r="H1205" s="9" t="s">
        <v>32</v>
      </c>
      <c r="I1205" s="9">
        <v>20</v>
      </c>
      <c r="J1205" s="10">
        <v>58.71</v>
      </c>
      <c r="K1205" s="9" t="str">
        <f>TEXT(Sales_of_Jordan[[#This Row],[Sale_Date]],"mmm")</f>
        <v>Jul</v>
      </c>
    </row>
    <row r="1206" spans="1:11" x14ac:dyDescent="0.35">
      <c r="A1206" s="7" t="s">
        <v>1236</v>
      </c>
      <c r="B1206" s="8">
        <v>45236</v>
      </c>
      <c r="C1206" s="9" t="s">
        <v>27</v>
      </c>
      <c r="D1206" s="9" t="s">
        <v>36</v>
      </c>
      <c r="E1206" s="9" t="s">
        <v>13</v>
      </c>
      <c r="F1206" s="9">
        <v>131</v>
      </c>
      <c r="G1206" s="9">
        <v>75.91</v>
      </c>
      <c r="H1206" s="9" t="s">
        <v>23</v>
      </c>
      <c r="I1206" s="9">
        <v>6</v>
      </c>
      <c r="J1206" s="10">
        <v>-55.09</v>
      </c>
      <c r="K1206" s="9" t="str">
        <f>TEXT(Sales_of_Jordan[[#This Row],[Sale_Date]],"mmm")</f>
        <v>Nov</v>
      </c>
    </row>
    <row r="1207" spans="1:11" x14ac:dyDescent="0.35">
      <c r="A1207" s="7" t="s">
        <v>1237</v>
      </c>
      <c r="B1207" s="8">
        <v>45234</v>
      </c>
      <c r="C1207" s="9" t="s">
        <v>21</v>
      </c>
      <c r="D1207" s="9" t="s">
        <v>55</v>
      </c>
      <c r="E1207" s="9" t="s">
        <v>18</v>
      </c>
      <c r="F1207" s="9">
        <v>215</v>
      </c>
      <c r="G1207" s="9">
        <v>542.12</v>
      </c>
      <c r="H1207" s="9" t="s">
        <v>14</v>
      </c>
      <c r="I1207" s="9">
        <v>1</v>
      </c>
      <c r="J1207" s="10">
        <v>327.12</v>
      </c>
      <c r="K1207" s="9" t="str">
        <f>TEXT(Sales_of_Jordan[[#This Row],[Sale_Date]],"mmm")</f>
        <v>Nov</v>
      </c>
    </row>
    <row r="1208" spans="1:11" x14ac:dyDescent="0.35">
      <c r="A1208" s="7" t="s">
        <v>1238</v>
      </c>
      <c r="B1208" s="8">
        <v>45476</v>
      </c>
      <c r="C1208" s="9" t="s">
        <v>16</v>
      </c>
      <c r="D1208" s="9" t="s">
        <v>39</v>
      </c>
      <c r="E1208" s="9" t="s">
        <v>13</v>
      </c>
      <c r="F1208" s="9">
        <v>182</v>
      </c>
      <c r="G1208" s="9">
        <v>127.66</v>
      </c>
      <c r="H1208" s="9" t="s">
        <v>19</v>
      </c>
      <c r="I1208" s="9">
        <v>13</v>
      </c>
      <c r="J1208" s="10">
        <v>-54.34</v>
      </c>
      <c r="K1208" s="9" t="str">
        <f>TEXT(Sales_of_Jordan[[#This Row],[Sale_Date]],"mmm")</f>
        <v>Jul</v>
      </c>
    </row>
    <row r="1209" spans="1:11" x14ac:dyDescent="0.35">
      <c r="A1209" s="7" t="s">
        <v>1239</v>
      </c>
      <c r="B1209" s="8">
        <v>45156</v>
      </c>
      <c r="C1209" s="9" t="s">
        <v>11</v>
      </c>
      <c r="D1209" s="9" t="s">
        <v>53</v>
      </c>
      <c r="E1209" s="9" t="s">
        <v>29</v>
      </c>
      <c r="F1209" s="9">
        <v>226</v>
      </c>
      <c r="G1209" s="9">
        <v>208.28</v>
      </c>
      <c r="H1209" s="9" t="s">
        <v>14</v>
      </c>
      <c r="I1209" s="9">
        <v>1</v>
      </c>
      <c r="J1209" s="10">
        <v>-17.72</v>
      </c>
      <c r="K1209" s="9" t="str">
        <f>TEXT(Sales_of_Jordan[[#This Row],[Sale_Date]],"mmm")</f>
        <v>Aug</v>
      </c>
    </row>
    <row r="1210" spans="1:11" x14ac:dyDescent="0.35">
      <c r="A1210" s="7" t="s">
        <v>1240</v>
      </c>
      <c r="B1210" s="8">
        <v>45313</v>
      </c>
      <c r="C1210" s="9" t="s">
        <v>31</v>
      </c>
      <c r="D1210" s="9" t="s">
        <v>55</v>
      </c>
      <c r="E1210" s="9" t="s">
        <v>18</v>
      </c>
      <c r="F1210" s="9">
        <v>202</v>
      </c>
      <c r="G1210" s="9">
        <v>464.05</v>
      </c>
      <c r="H1210" s="9" t="s">
        <v>32</v>
      </c>
      <c r="I1210" s="9">
        <v>51</v>
      </c>
      <c r="J1210" s="10">
        <v>262.05</v>
      </c>
      <c r="K1210" s="9" t="str">
        <f>TEXT(Sales_of_Jordan[[#This Row],[Sale_Date]],"mmm")</f>
        <v>Jan</v>
      </c>
    </row>
    <row r="1211" spans="1:11" x14ac:dyDescent="0.35">
      <c r="A1211" s="7" t="s">
        <v>1241</v>
      </c>
      <c r="B1211" s="8">
        <v>45210</v>
      </c>
      <c r="C1211" s="9" t="s">
        <v>31</v>
      </c>
      <c r="D1211" s="9" t="s">
        <v>17</v>
      </c>
      <c r="E1211" s="9" t="s">
        <v>29</v>
      </c>
      <c r="F1211" s="9">
        <v>207</v>
      </c>
      <c r="G1211" s="9">
        <v>218.97</v>
      </c>
      <c r="H1211" s="9" t="s">
        <v>25</v>
      </c>
      <c r="I1211" s="9">
        <v>12</v>
      </c>
      <c r="J1211" s="10">
        <v>11.969999999999899</v>
      </c>
      <c r="K1211" s="9" t="str">
        <f>TEXT(Sales_of_Jordan[[#This Row],[Sale_Date]],"mmm")</f>
        <v>Oct</v>
      </c>
    </row>
    <row r="1212" spans="1:11" x14ac:dyDescent="0.35">
      <c r="A1212" s="7" t="s">
        <v>1242</v>
      </c>
      <c r="B1212" s="8">
        <v>45394</v>
      </c>
      <c r="C1212" s="9" t="s">
        <v>27</v>
      </c>
      <c r="D1212" s="9" t="s">
        <v>12</v>
      </c>
      <c r="E1212" s="9" t="s">
        <v>29</v>
      </c>
      <c r="F1212" s="9">
        <v>131</v>
      </c>
      <c r="G1212" s="9">
        <v>190.49</v>
      </c>
      <c r="H1212" s="9" t="s">
        <v>32</v>
      </c>
      <c r="I1212" s="9">
        <v>37</v>
      </c>
      <c r="J1212" s="10">
        <v>59.49</v>
      </c>
      <c r="K1212" s="9" t="str">
        <f>TEXT(Sales_of_Jordan[[#This Row],[Sale_Date]],"mmm")</f>
        <v>Apr</v>
      </c>
    </row>
    <row r="1213" spans="1:11" x14ac:dyDescent="0.35">
      <c r="A1213" s="7" t="s">
        <v>1243</v>
      </c>
      <c r="B1213" s="8">
        <v>45229</v>
      </c>
      <c r="C1213" s="9" t="s">
        <v>31</v>
      </c>
      <c r="D1213" s="9" t="s">
        <v>22</v>
      </c>
      <c r="E1213" s="9" t="s">
        <v>13</v>
      </c>
      <c r="F1213" s="9">
        <v>206</v>
      </c>
      <c r="G1213" s="9">
        <v>144.27000000000001</v>
      </c>
      <c r="H1213" s="9" t="s">
        <v>32</v>
      </c>
      <c r="I1213" s="9">
        <v>6</v>
      </c>
      <c r="J1213" s="10">
        <v>-61.729999999999897</v>
      </c>
      <c r="K1213" s="9" t="str">
        <f>TEXT(Sales_of_Jordan[[#This Row],[Sale_Date]],"mmm")</f>
        <v>Oct</v>
      </c>
    </row>
    <row r="1214" spans="1:11" x14ac:dyDescent="0.35">
      <c r="A1214" s="7" t="s">
        <v>1244</v>
      </c>
      <c r="B1214" s="8">
        <v>45421</v>
      </c>
      <c r="C1214" s="9" t="s">
        <v>21</v>
      </c>
      <c r="D1214" s="9" t="s">
        <v>53</v>
      </c>
      <c r="E1214" s="9" t="s">
        <v>18</v>
      </c>
      <c r="F1214" s="9">
        <v>219</v>
      </c>
      <c r="G1214" s="9">
        <v>553.32000000000005</v>
      </c>
      <c r="H1214" s="9" t="s">
        <v>14</v>
      </c>
      <c r="I1214" s="9">
        <v>5</v>
      </c>
      <c r="J1214" s="10">
        <v>334.32</v>
      </c>
      <c r="K1214" s="9" t="str">
        <f>TEXT(Sales_of_Jordan[[#This Row],[Sale_Date]],"mmm")</f>
        <v>May</v>
      </c>
    </row>
    <row r="1215" spans="1:11" x14ac:dyDescent="0.35">
      <c r="A1215" s="7" t="s">
        <v>1245</v>
      </c>
      <c r="B1215" s="8">
        <v>45573</v>
      </c>
      <c r="C1215" s="9" t="s">
        <v>16</v>
      </c>
      <c r="D1215" s="9" t="s">
        <v>22</v>
      </c>
      <c r="E1215" s="9" t="s">
        <v>13</v>
      </c>
      <c r="F1215" s="9">
        <v>174</v>
      </c>
      <c r="G1215" s="9">
        <v>123.09</v>
      </c>
      <c r="H1215" s="9" t="s">
        <v>19</v>
      </c>
      <c r="I1215" s="9">
        <v>2</v>
      </c>
      <c r="J1215" s="10">
        <v>-50.91</v>
      </c>
      <c r="K1215" s="9" t="str">
        <f>TEXT(Sales_of_Jordan[[#This Row],[Sale_Date]],"mmm")</f>
        <v>Oct</v>
      </c>
    </row>
    <row r="1216" spans="1:11" x14ac:dyDescent="0.35">
      <c r="A1216" s="7" t="s">
        <v>1246</v>
      </c>
      <c r="B1216" s="8">
        <v>44964</v>
      </c>
      <c r="C1216" s="9" t="s">
        <v>11</v>
      </c>
      <c r="D1216" s="9" t="s">
        <v>46</v>
      </c>
      <c r="E1216" s="9" t="s">
        <v>18</v>
      </c>
      <c r="F1216" s="9">
        <v>225</v>
      </c>
      <c r="G1216" s="9">
        <v>704.76</v>
      </c>
      <c r="H1216" s="9" t="s">
        <v>32</v>
      </c>
      <c r="I1216" s="9">
        <v>9</v>
      </c>
      <c r="J1216" s="10">
        <v>479.76</v>
      </c>
      <c r="K1216" s="9" t="str">
        <f>TEXT(Sales_of_Jordan[[#This Row],[Sale_Date]],"mmm")</f>
        <v>Feb</v>
      </c>
    </row>
    <row r="1217" spans="1:11" x14ac:dyDescent="0.35">
      <c r="A1217" s="7" t="s">
        <v>1247</v>
      </c>
      <c r="B1217" s="8">
        <v>45355</v>
      </c>
      <c r="C1217" s="9" t="s">
        <v>31</v>
      </c>
      <c r="D1217" s="9" t="s">
        <v>22</v>
      </c>
      <c r="E1217" s="9" t="s">
        <v>13</v>
      </c>
      <c r="F1217" s="9">
        <v>202</v>
      </c>
      <c r="G1217" s="9">
        <v>168.84</v>
      </c>
      <c r="H1217" s="9" t="s">
        <v>19</v>
      </c>
      <c r="I1217" s="9">
        <v>4</v>
      </c>
      <c r="J1217" s="10">
        <v>-33.159999999999997</v>
      </c>
      <c r="K1217" s="9" t="str">
        <f>TEXT(Sales_of_Jordan[[#This Row],[Sale_Date]],"mmm")</f>
        <v>Mar</v>
      </c>
    </row>
    <row r="1218" spans="1:11" x14ac:dyDescent="0.35">
      <c r="A1218" s="7" t="s">
        <v>1248</v>
      </c>
      <c r="B1218" s="8">
        <v>45454</v>
      </c>
      <c r="C1218" s="9" t="s">
        <v>21</v>
      </c>
      <c r="D1218" s="9" t="s">
        <v>55</v>
      </c>
      <c r="E1218" s="9" t="s">
        <v>18</v>
      </c>
      <c r="F1218" s="9">
        <v>212</v>
      </c>
      <c r="G1218" s="9">
        <v>549.05999999999995</v>
      </c>
      <c r="H1218" s="9" t="s">
        <v>19</v>
      </c>
      <c r="I1218" s="9">
        <v>6</v>
      </c>
      <c r="J1218" s="10">
        <v>337.05999999999898</v>
      </c>
      <c r="K1218" s="9" t="str">
        <f>TEXT(Sales_of_Jordan[[#This Row],[Sale_Date]],"mmm")</f>
        <v>Jun</v>
      </c>
    </row>
    <row r="1219" spans="1:11" x14ac:dyDescent="0.35">
      <c r="A1219" s="7" t="s">
        <v>1249</v>
      </c>
      <c r="B1219" s="8">
        <v>45923</v>
      </c>
      <c r="C1219" s="9" t="s">
        <v>31</v>
      </c>
      <c r="D1219" s="9" t="s">
        <v>39</v>
      </c>
      <c r="E1219" s="9" t="s">
        <v>29</v>
      </c>
      <c r="F1219" s="9">
        <v>208</v>
      </c>
      <c r="G1219" s="9">
        <v>307.32</v>
      </c>
      <c r="H1219" s="9" t="s">
        <v>19</v>
      </c>
      <c r="I1219" s="9">
        <v>6</v>
      </c>
      <c r="J1219" s="10">
        <v>99.32</v>
      </c>
      <c r="K1219" s="9" t="str">
        <f>TEXT(Sales_of_Jordan[[#This Row],[Sale_Date]],"mmm")</f>
        <v>Sep</v>
      </c>
    </row>
    <row r="1220" spans="1:11" x14ac:dyDescent="0.35">
      <c r="A1220" s="7" t="s">
        <v>1250</v>
      </c>
      <c r="B1220" s="8">
        <v>45479</v>
      </c>
      <c r="C1220" s="9" t="s">
        <v>11</v>
      </c>
      <c r="D1220" s="9" t="s">
        <v>53</v>
      </c>
      <c r="E1220" s="9" t="s">
        <v>18</v>
      </c>
      <c r="F1220" s="9">
        <v>230</v>
      </c>
      <c r="G1220" s="9">
        <v>765.1</v>
      </c>
      <c r="H1220" s="9" t="s">
        <v>14</v>
      </c>
      <c r="I1220" s="9">
        <v>11</v>
      </c>
      <c r="J1220" s="10">
        <v>535.1</v>
      </c>
      <c r="K1220" s="9" t="str">
        <f>TEXT(Sales_of_Jordan[[#This Row],[Sale_Date]],"mmm")</f>
        <v>Jul</v>
      </c>
    </row>
    <row r="1221" spans="1:11" x14ac:dyDescent="0.35">
      <c r="A1221" s="7" t="s">
        <v>1251</v>
      </c>
      <c r="B1221" s="8">
        <v>45806</v>
      </c>
      <c r="C1221" s="9" t="s">
        <v>21</v>
      </c>
      <c r="D1221" s="9" t="s">
        <v>22</v>
      </c>
      <c r="E1221" s="9" t="s">
        <v>18</v>
      </c>
      <c r="F1221" s="9">
        <v>214</v>
      </c>
      <c r="G1221" s="9">
        <v>441.89</v>
      </c>
      <c r="H1221" s="9" t="s">
        <v>23</v>
      </c>
      <c r="I1221" s="9">
        <v>39</v>
      </c>
      <c r="J1221" s="10">
        <v>227.89</v>
      </c>
      <c r="K1221" s="9" t="str">
        <f>TEXT(Sales_of_Jordan[[#This Row],[Sale_Date]],"mmm")</f>
        <v>May</v>
      </c>
    </row>
    <row r="1222" spans="1:11" x14ac:dyDescent="0.35">
      <c r="A1222" s="7" t="s">
        <v>1252</v>
      </c>
      <c r="B1222" s="8">
        <v>45563</v>
      </c>
      <c r="C1222" s="9" t="s">
        <v>31</v>
      </c>
      <c r="D1222" s="9" t="s">
        <v>55</v>
      </c>
      <c r="E1222" s="9" t="s">
        <v>13</v>
      </c>
      <c r="F1222" s="9">
        <v>205</v>
      </c>
      <c r="G1222" s="9">
        <v>131.31</v>
      </c>
      <c r="H1222" s="9" t="s">
        <v>14</v>
      </c>
      <c r="I1222" s="9">
        <v>10</v>
      </c>
      <c r="J1222" s="10">
        <v>-73.69</v>
      </c>
      <c r="K1222" s="9" t="str">
        <f>TEXT(Sales_of_Jordan[[#This Row],[Sale_Date]],"mmm")</f>
        <v>Sep</v>
      </c>
    </row>
    <row r="1223" spans="1:11" x14ac:dyDescent="0.35">
      <c r="A1223" s="7" t="s">
        <v>1253</v>
      </c>
      <c r="B1223" s="8">
        <v>45537</v>
      </c>
      <c r="C1223" s="9" t="s">
        <v>27</v>
      </c>
      <c r="D1223" s="9" t="s">
        <v>22</v>
      </c>
      <c r="E1223" s="9" t="s">
        <v>18</v>
      </c>
      <c r="F1223" s="9">
        <v>110</v>
      </c>
      <c r="G1223" s="9">
        <v>274.3</v>
      </c>
      <c r="H1223" s="9" t="s">
        <v>19</v>
      </c>
      <c r="I1223" s="9">
        <v>11</v>
      </c>
      <c r="J1223" s="10">
        <v>164.3</v>
      </c>
      <c r="K1223" s="9" t="str">
        <f>TEXT(Sales_of_Jordan[[#This Row],[Sale_Date]],"mmm")</f>
        <v>Sep</v>
      </c>
    </row>
    <row r="1224" spans="1:11" x14ac:dyDescent="0.35">
      <c r="A1224" s="7" t="s">
        <v>1254</v>
      </c>
      <c r="B1224" s="8">
        <v>45113</v>
      </c>
      <c r="C1224" s="9" t="s">
        <v>11</v>
      </c>
      <c r="D1224" s="9" t="s">
        <v>46</v>
      </c>
      <c r="E1224" s="9" t="s">
        <v>18</v>
      </c>
      <c r="F1224" s="9">
        <v>228</v>
      </c>
      <c r="G1224" s="9">
        <v>641.76</v>
      </c>
      <c r="H1224" s="9" t="s">
        <v>14</v>
      </c>
      <c r="I1224" s="9">
        <v>3</v>
      </c>
      <c r="J1224" s="10">
        <v>413.76</v>
      </c>
      <c r="K1224" s="9" t="str">
        <f>TEXT(Sales_of_Jordan[[#This Row],[Sale_Date]],"mmm")</f>
        <v>Jul</v>
      </c>
    </row>
    <row r="1225" spans="1:11" x14ac:dyDescent="0.35">
      <c r="A1225" s="7" t="s">
        <v>1255</v>
      </c>
      <c r="B1225" s="8">
        <v>45675</v>
      </c>
      <c r="C1225" s="9" t="s">
        <v>21</v>
      </c>
      <c r="D1225" s="9" t="s">
        <v>22</v>
      </c>
      <c r="E1225" s="9" t="s">
        <v>18</v>
      </c>
      <c r="F1225" s="9">
        <v>223</v>
      </c>
      <c r="G1225" s="9">
        <v>297.52</v>
      </c>
      <c r="H1225" s="9" t="s">
        <v>23</v>
      </c>
      <c r="I1225" s="9">
        <v>10</v>
      </c>
      <c r="J1225" s="10">
        <v>74.519999999999897</v>
      </c>
      <c r="K1225" s="9" t="str">
        <f>TEXT(Sales_of_Jordan[[#This Row],[Sale_Date]],"mmm")</f>
        <v>Jan</v>
      </c>
    </row>
    <row r="1226" spans="1:11" x14ac:dyDescent="0.35">
      <c r="A1226" s="7" t="s">
        <v>1256</v>
      </c>
      <c r="B1226" s="8">
        <v>45745</v>
      </c>
      <c r="C1226" s="9" t="s">
        <v>27</v>
      </c>
      <c r="D1226" s="9" t="s">
        <v>39</v>
      </c>
      <c r="E1226" s="9" t="s">
        <v>18</v>
      </c>
      <c r="F1226" s="9">
        <v>120</v>
      </c>
      <c r="G1226" s="9">
        <v>251.28</v>
      </c>
      <c r="H1226" s="9" t="s">
        <v>19</v>
      </c>
      <c r="I1226" s="9">
        <v>3</v>
      </c>
      <c r="J1226" s="10">
        <v>131.28</v>
      </c>
      <c r="K1226" s="9" t="str">
        <f>TEXT(Sales_of_Jordan[[#This Row],[Sale_Date]],"mmm")</f>
        <v>Mar</v>
      </c>
    </row>
    <row r="1227" spans="1:11" x14ac:dyDescent="0.35">
      <c r="A1227" s="7" t="s">
        <v>1257</v>
      </c>
      <c r="B1227" s="8">
        <v>45017</v>
      </c>
      <c r="C1227" s="9" t="s">
        <v>27</v>
      </c>
      <c r="D1227" s="9" t="s">
        <v>17</v>
      </c>
      <c r="E1227" s="9" t="s">
        <v>18</v>
      </c>
      <c r="F1227" s="9">
        <v>129</v>
      </c>
      <c r="G1227" s="9">
        <v>168.61</v>
      </c>
      <c r="H1227" s="9" t="s">
        <v>19</v>
      </c>
      <c r="I1227" s="9">
        <v>11</v>
      </c>
      <c r="J1227" s="10">
        <v>39.61</v>
      </c>
      <c r="K1227" s="9" t="str">
        <f>TEXT(Sales_of_Jordan[[#This Row],[Sale_Date]],"mmm")</f>
        <v>Apr</v>
      </c>
    </row>
    <row r="1228" spans="1:11" x14ac:dyDescent="0.35">
      <c r="A1228" s="7" t="s">
        <v>1258</v>
      </c>
      <c r="B1228" s="8">
        <v>44985</v>
      </c>
      <c r="C1228" s="9" t="s">
        <v>21</v>
      </c>
      <c r="D1228" s="9" t="s">
        <v>53</v>
      </c>
      <c r="E1228" s="9" t="s">
        <v>29</v>
      </c>
      <c r="F1228" s="9">
        <v>215</v>
      </c>
      <c r="G1228" s="9">
        <v>314.27</v>
      </c>
      <c r="H1228" s="9" t="s">
        <v>25</v>
      </c>
      <c r="I1228" s="9">
        <v>33</v>
      </c>
      <c r="J1228" s="10">
        <v>99.269999999999897</v>
      </c>
      <c r="K1228" s="9" t="str">
        <f>TEXT(Sales_of_Jordan[[#This Row],[Sale_Date]],"mmm")</f>
        <v>Feb</v>
      </c>
    </row>
    <row r="1229" spans="1:11" x14ac:dyDescent="0.35">
      <c r="A1229" s="7" t="s">
        <v>1259</v>
      </c>
      <c r="B1229" s="8">
        <v>45861</v>
      </c>
      <c r="C1229" s="9" t="s">
        <v>31</v>
      </c>
      <c r="D1229" s="9" t="s">
        <v>46</v>
      </c>
      <c r="E1229" s="9" t="s">
        <v>13</v>
      </c>
      <c r="F1229" s="9">
        <v>209</v>
      </c>
      <c r="G1229" s="9">
        <v>174.75</v>
      </c>
      <c r="H1229" s="9" t="s">
        <v>32</v>
      </c>
      <c r="I1229" s="9">
        <v>59</v>
      </c>
      <c r="J1229" s="10">
        <v>-34.25</v>
      </c>
      <c r="K1229" s="9" t="str">
        <f>TEXT(Sales_of_Jordan[[#This Row],[Sale_Date]],"mmm")</f>
        <v>Jul</v>
      </c>
    </row>
    <row r="1230" spans="1:11" x14ac:dyDescent="0.35">
      <c r="A1230" s="7" t="s">
        <v>1260</v>
      </c>
      <c r="B1230" s="8">
        <v>45477</v>
      </c>
      <c r="C1230" s="9" t="s">
        <v>21</v>
      </c>
      <c r="D1230" s="9" t="s">
        <v>53</v>
      </c>
      <c r="E1230" s="9" t="s">
        <v>13</v>
      </c>
      <c r="F1230" s="9">
        <v>213</v>
      </c>
      <c r="G1230" s="9">
        <v>163.02000000000001</v>
      </c>
      <c r="H1230" s="9" t="s">
        <v>14</v>
      </c>
      <c r="I1230" s="9">
        <v>14</v>
      </c>
      <c r="J1230" s="10">
        <v>-49.979999999999897</v>
      </c>
      <c r="K1230" s="9" t="str">
        <f>TEXT(Sales_of_Jordan[[#This Row],[Sale_Date]],"mmm")</f>
        <v>Jul</v>
      </c>
    </row>
    <row r="1231" spans="1:11" x14ac:dyDescent="0.35">
      <c r="A1231" s="7" t="s">
        <v>1261</v>
      </c>
      <c r="B1231" s="8">
        <v>45851</v>
      </c>
      <c r="C1231" s="9" t="s">
        <v>21</v>
      </c>
      <c r="D1231" s="9" t="s">
        <v>12</v>
      </c>
      <c r="E1231" s="9" t="s">
        <v>13</v>
      </c>
      <c r="F1231" s="9">
        <v>220</v>
      </c>
      <c r="G1231" s="9">
        <v>131.88999999999999</v>
      </c>
      <c r="H1231" s="9" t="s">
        <v>23</v>
      </c>
      <c r="I1231" s="9">
        <v>10</v>
      </c>
      <c r="J1231" s="10">
        <v>-88.11</v>
      </c>
      <c r="K1231" s="9" t="str">
        <f>TEXT(Sales_of_Jordan[[#This Row],[Sale_Date]],"mmm")</f>
        <v>Jul</v>
      </c>
    </row>
    <row r="1232" spans="1:11" x14ac:dyDescent="0.35">
      <c r="A1232" s="7" t="s">
        <v>1262</v>
      </c>
      <c r="B1232" s="8">
        <v>45885</v>
      </c>
      <c r="C1232" s="9" t="s">
        <v>21</v>
      </c>
      <c r="D1232" s="9" t="s">
        <v>55</v>
      </c>
      <c r="E1232" s="9" t="s">
        <v>13</v>
      </c>
      <c r="F1232" s="9">
        <v>213</v>
      </c>
      <c r="G1232" s="9">
        <v>118.94</v>
      </c>
      <c r="H1232" s="9" t="s">
        <v>14</v>
      </c>
      <c r="I1232" s="9">
        <v>1</v>
      </c>
      <c r="J1232" s="10">
        <v>-94.06</v>
      </c>
      <c r="K1232" s="9" t="str">
        <f>TEXT(Sales_of_Jordan[[#This Row],[Sale_Date]],"mmm")</f>
        <v>Aug</v>
      </c>
    </row>
    <row r="1233" spans="1:11" x14ac:dyDescent="0.35">
      <c r="A1233" s="7" t="s">
        <v>1263</v>
      </c>
      <c r="B1233" s="8">
        <v>45397</v>
      </c>
      <c r="C1233" s="9" t="s">
        <v>21</v>
      </c>
      <c r="D1233" s="9" t="s">
        <v>22</v>
      </c>
      <c r="E1233" s="9" t="s">
        <v>29</v>
      </c>
      <c r="F1233" s="9">
        <v>218</v>
      </c>
      <c r="G1233" s="9">
        <v>285.27</v>
      </c>
      <c r="H1233" s="9" t="s">
        <v>32</v>
      </c>
      <c r="I1233" s="9">
        <v>40</v>
      </c>
      <c r="J1233" s="10">
        <v>67.269999999999897</v>
      </c>
      <c r="K1233" s="9" t="str">
        <f>TEXT(Sales_of_Jordan[[#This Row],[Sale_Date]],"mmm")</f>
        <v>Apr</v>
      </c>
    </row>
    <row r="1234" spans="1:11" x14ac:dyDescent="0.35">
      <c r="A1234" s="7" t="s">
        <v>1264</v>
      </c>
      <c r="B1234" s="8">
        <v>45540</v>
      </c>
      <c r="C1234" s="9" t="s">
        <v>11</v>
      </c>
      <c r="D1234" s="9" t="s">
        <v>22</v>
      </c>
      <c r="E1234" s="9" t="s">
        <v>29</v>
      </c>
      <c r="F1234" s="9">
        <v>228</v>
      </c>
      <c r="G1234" s="9">
        <v>341.01</v>
      </c>
      <c r="H1234" s="9" t="s">
        <v>32</v>
      </c>
      <c r="I1234" s="9">
        <v>12</v>
      </c>
      <c r="J1234" s="10">
        <v>113.009999999999</v>
      </c>
      <c r="K1234" s="9" t="str">
        <f>TEXT(Sales_of_Jordan[[#This Row],[Sale_Date]],"mmm")</f>
        <v>Sep</v>
      </c>
    </row>
    <row r="1235" spans="1:11" x14ac:dyDescent="0.35">
      <c r="A1235" s="7" t="s">
        <v>1265</v>
      </c>
      <c r="B1235" s="8">
        <v>45563</v>
      </c>
      <c r="C1235" s="9" t="s">
        <v>11</v>
      </c>
      <c r="D1235" s="9" t="s">
        <v>36</v>
      </c>
      <c r="E1235" s="9" t="s">
        <v>18</v>
      </c>
      <c r="F1235" s="9">
        <v>225</v>
      </c>
      <c r="G1235" s="9">
        <v>609.34</v>
      </c>
      <c r="H1235" s="9" t="s">
        <v>25</v>
      </c>
      <c r="I1235" s="9">
        <v>54</v>
      </c>
      <c r="J1235" s="10">
        <v>384.34</v>
      </c>
      <c r="K1235" s="9" t="str">
        <f>TEXT(Sales_of_Jordan[[#This Row],[Sale_Date]],"mmm")</f>
        <v>Sep</v>
      </c>
    </row>
    <row r="1236" spans="1:11" x14ac:dyDescent="0.35">
      <c r="A1236" s="7" t="s">
        <v>1266</v>
      </c>
      <c r="B1236" s="8">
        <v>45037</v>
      </c>
      <c r="C1236" s="9" t="s">
        <v>11</v>
      </c>
      <c r="D1236" s="9" t="s">
        <v>55</v>
      </c>
      <c r="E1236" s="9" t="s">
        <v>18</v>
      </c>
      <c r="F1236" s="9">
        <v>226</v>
      </c>
      <c r="G1236" s="9">
        <v>480.58</v>
      </c>
      <c r="H1236" s="9" t="s">
        <v>25</v>
      </c>
      <c r="I1236" s="9">
        <v>7</v>
      </c>
      <c r="J1236" s="10">
        <v>254.57999999999899</v>
      </c>
      <c r="K1236" s="9" t="str">
        <f>TEXT(Sales_of_Jordan[[#This Row],[Sale_Date]],"mmm")</f>
        <v>Apr</v>
      </c>
    </row>
    <row r="1237" spans="1:11" x14ac:dyDescent="0.35">
      <c r="A1237" s="7" t="s">
        <v>1267</v>
      </c>
      <c r="B1237" s="8">
        <v>45112</v>
      </c>
      <c r="C1237" s="9" t="s">
        <v>16</v>
      </c>
      <c r="D1237" s="9" t="s">
        <v>36</v>
      </c>
      <c r="E1237" s="9" t="s">
        <v>18</v>
      </c>
      <c r="F1237" s="9">
        <v>175</v>
      </c>
      <c r="G1237" s="9">
        <v>517.75</v>
      </c>
      <c r="H1237" s="9" t="s">
        <v>25</v>
      </c>
      <c r="I1237" s="9">
        <v>8</v>
      </c>
      <c r="J1237" s="10">
        <v>342.75</v>
      </c>
      <c r="K1237" s="9" t="str">
        <f>TEXT(Sales_of_Jordan[[#This Row],[Sale_Date]],"mmm")</f>
        <v>Jul</v>
      </c>
    </row>
    <row r="1238" spans="1:11" x14ac:dyDescent="0.35">
      <c r="A1238" s="7" t="s">
        <v>1268</v>
      </c>
      <c r="B1238" s="8">
        <v>45628</v>
      </c>
      <c r="C1238" s="9" t="s">
        <v>16</v>
      </c>
      <c r="D1238" s="9" t="s">
        <v>34</v>
      </c>
      <c r="E1238" s="9" t="s">
        <v>13</v>
      </c>
      <c r="F1238" s="9">
        <v>188</v>
      </c>
      <c r="G1238" s="9">
        <v>101.65</v>
      </c>
      <c r="H1238" s="9" t="s">
        <v>23</v>
      </c>
      <c r="I1238" s="9">
        <v>21</v>
      </c>
      <c r="J1238" s="10">
        <v>-86.35</v>
      </c>
      <c r="K1238" s="9" t="str">
        <f>TEXT(Sales_of_Jordan[[#This Row],[Sale_Date]],"mmm")</f>
        <v>Dec</v>
      </c>
    </row>
    <row r="1239" spans="1:11" x14ac:dyDescent="0.35">
      <c r="A1239" s="7" t="s">
        <v>1269</v>
      </c>
      <c r="B1239" s="8">
        <v>45259</v>
      </c>
      <c r="C1239" s="9" t="s">
        <v>11</v>
      </c>
      <c r="D1239" s="9" t="s">
        <v>39</v>
      </c>
      <c r="E1239" s="9" t="s">
        <v>29</v>
      </c>
      <c r="F1239" s="9">
        <v>229</v>
      </c>
      <c r="G1239" s="9">
        <v>313.95999999999998</v>
      </c>
      <c r="H1239" s="9" t="s">
        <v>23</v>
      </c>
      <c r="I1239" s="9">
        <v>17</v>
      </c>
      <c r="J1239" s="10">
        <v>84.959999999999894</v>
      </c>
      <c r="K1239" s="9" t="str">
        <f>TEXT(Sales_of_Jordan[[#This Row],[Sale_Date]],"mmm")</f>
        <v>Nov</v>
      </c>
    </row>
    <row r="1240" spans="1:11" x14ac:dyDescent="0.35">
      <c r="A1240" s="7" t="s">
        <v>1270</v>
      </c>
      <c r="B1240" s="8">
        <v>45888</v>
      </c>
      <c r="C1240" s="9" t="s">
        <v>21</v>
      </c>
      <c r="D1240" s="9" t="s">
        <v>55</v>
      </c>
      <c r="E1240" s="9" t="s">
        <v>13</v>
      </c>
      <c r="F1240" s="9">
        <v>223</v>
      </c>
      <c r="G1240" s="9">
        <v>134.44</v>
      </c>
      <c r="H1240" s="9" t="s">
        <v>14</v>
      </c>
      <c r="I1240" s="9">
        <v>10</v>
      </c>
      <c r="J1240" s="10">
        <v>-88.56</v>
      </c>
      <c r="K1240" s="9" t="str">
        <f>TEXT(Sales_of_Jordan[[#This Row],[Sale_Date]],"mmm")</f>
        <v>Aug</v>
      </c>
    </row>
    <row r="1241" spans="1:11" x14ac:dyDescent="0.35">
      <c r="A1241" s="7" t="s">
        <v>1271</v>
      </c>
      <c r="B1241" s="8">
        <v>45743</v>
      </c>
      <c r="C1241" s="9" t="s">
        <v>31</v>
      </c>
      <c r="D1241" s="9" t="s">
        <v>17</v>
      </c>
      <c r="E1241" s="9" t="s">
        <v>29</v>
      </c>
      <c r="F1241" s="9">
        <v>210</v>
      </c>
      <c r="G1241" s="9">
        <v>264.69</v>
      </c>
      <c r="H1241" s="9" t="s">
        <v>23</v>
      </c>
      <c r="I1241" s="9">
        <v>8</v>
      </c>
      <c r="J1241" s="10">
        <v>54.69</v>
      </c>
      <c r="K1241" s="9" t="str">
        <f>TEXT(Sales_of_Jordan[[#This Row],[Sale_Date]],"mmm")</f>
        <v>Mar</v>
      </c>
    </row>
    <row r="1242" spans="1:11" x14ac:dyDescent="0.35">
      <c r="A1242" s="7" t="s">
        <v>1272</v>
      </c>
      <c r="B1242" s="8">
        <v>44976</v>
      </c>
      <c r="C1242" s="9" t="s">
        <v>11</v>
      </c>
      <c r="D1242" s="9" t="s">
        <v>46</v>
      </c>
      <c r="E1242" s="9" t="s">
        <v>18</v>
      </c>
      <c r="F1242" s="9">
        <v>228</v>
      </c>
      <c r="G1242" s="9">
        <v>751.09</v>
      </c>
      <c r="H1242" s="9" t="s">
        <v>19</v>
      </c>
      <c r="I1242" s="9">
        <v>14</v>
      </c>
      <c r="J1242" s="10">
        <v>523.09</v>
      </c>
      <c r="K1242" s="9" t="str">
        <f>TEXT(Sales_of_Jordan[[#This Row],[Sale_Date]],"mmm")</f>
        <v>Feb</v>
      </c>
    </row>
    <row r="1243" spans="1:11" x14ac:dyDescent="0.35">
      <c r="A1243" s="7" t="s">
        <v>1273</v>
      </c>
      <c r="B1243" s="8">
        <v>45263</v>
      </c>
      <c r="C1243" s="9" t="s">
        <v>16</v>
      </c>
      <c r="D1243" s="9" t="s">
        <v>22</v>
      </c>
      <c r="E1243" s="9" t="s">
        <v>13</v>
      </c>
      <c r="F1243" s="9">
        <v>187</v>
      </c>
      <c r="G1243" s="9">
        <v>168.28</v>
      </c>
      <c r="H1243" s="9" t="s">
        <v>25</v>
      </c>
      <c r="I1243" s="9">
        <v>36</v>
      </c>
      <c r="J1243" s="10">
        <v>-18.72</v>
      </c>
      <c r="K1243" s="9" t="str">
        <f>TEXT(Sales_of_Jordan[[#This Row],[Sale_Date]],"mmm")</f>
        <v>Dec</v>
      </c>
    </row>
    <row r="1244" spans="1:11" x14ac:dyDescent="0.35">
      <c r="A1244" s="7" t="s">
        <v>1274</v>
      </c>
      <c r="B1244" s="8">
        <v>45879</v>
      </c>
      <c r="C1244" s="9" t="s">
        <v>31</v>
      </c>
      <c r="D1244" s="9" t="s">
        <v>34</v>
      </c>
      <c r="E1244" s="9" t="s">
        <v>13</v>
      </c>
      <c r="F1244" s="9">
        <v>208</v>
      </c>
      <c r="G1244" s="9">
        <v>127.13</v>
      </c>
      <c r="H1244" s="9" t="s">
        <v>19</v>
      </c>
      <c r="I1244" s="9">
        <v>2</v>
      </c>
      <c r="J1244" s="10">
        <v>-80.87</v>
      </c>
      <c r="K1244" s="9" t="str">
        <f>TEXT(Sales_of_Jordan[[#This Row],[Sale_Date]],"mmm")</f>
        <v>Aug</v>
      </c>
    </row>
    <row r="1245" spans="1:11" x14ac:dyDescent="0.35">
      <c r="A1245" s="7" t="s">
        <v>1275</v>
      </c>
      <c r="B1245" s="8">
        <v>45681</v>
      </c>
      <c r="C1245" s="9" t="s">
        <v>31</v>
      </c>
      <c r="D1245" s="9" t="s">
        <v>12</v>
      </c>
      <c r="E1245" s="9" t="s">
        <v>18</v>
      </c>
      <c r="F1245" s="9">
        <v>209</v>
      </c>
      <c r="G1245" s="9">
        <v>614.1</v>
      </c>
      <c r="H1245" s="9" t="s">
        <v>23</v>
      </c>
      <c r="I1245" s="9">
        <v>20</v>
      </c>
      <c r="J1245" s="10">
        <v>405.1</v>
      </c>
      <c r="K1245" s="9" t="str">
        <f>TEXT(Sales_of_Jordan[[#This Row],[Sale_Date]],"mmm")</f>
        <v>Jan</v>
      </c>
    </row>
    <row r="1246" spans="1:11" x14ac:dyDescent="0.35">
      <c r="A1246" s="7" t="s">
        <v>1276</v>
      </c>
      <c r="B1246" s="8">
        <v>45004</v>
      </c>
      <c r="C1246" s="9" t="s">
        <v>16</v>
      </c>
      <c r="D1246" s="9" t="s">
        <v>34</v>
      </c>
      <c r="E1246" s="9" t="s">
        <v>29</v>
      </c>
      <c r="F1246" s="9">
        <v>173</v>
      </c>
      <c r="G1246" s="9">
        <v>182.83</v>
      </c>
      <c r="H1246" s="9" t="s">
        <v>25</v>
      </c>
      <c r="I1246" s="9">
        <v>12</v>
      </c>
      <c r="J1246" s="10">
        <v>9.8300000000000107</v>
      </c>
      <c r="K1246" s="9" t="str">
        <f>TEXT(Sales_of_Jordan[[#This Row],[Sale_Date]],"mmm")</f>
        <v>Mar</v>
      </c>
    </row>
    <row r="1247" spans="1:11" x14ac:dyDescent="0.35">
      <c r="A1247" s="7" t="s">
        <v>1277</v>
      </c>
      <c r="B1247" s="8">
        <v>45729</v>
      </c>
      <c r="C1247" s="9" t="s">
        <v>21</v>
      </c>
      <c r="D1247" s="9" t="s">
        <v>22</v>
      </c>
      <c r="E1247" s="9" t="s">
        <v>29</v>
      </c>
      <c r="F1247" s="9">
        <v>222</v>
      </c>
      <c r="G1247" s="9">
        <v>220.84</v>
      </c>
      <c r="H1247" s="9" t="s">
        <v>23</v>
      </c>
      <c r="I1247" s="9">
        <v>10</v>
      </c>
      <c r="J1247" s="10">
        <v>-1.1599999999999899</v>
      </c>
      <c r="K1247" s="9" t="str">
        <f>TEXT(Sales_of_Jordan[[#This Row],[Sale_Date]],"mmm")</f>
        <v>Mar</v>
      </c>
    </row>
    <row r="1248" spans="1:11" x14ac:dyDescent="0.35">
      <c r="A1248" s="7" t="s">
        <v>1278</v>
      </c>
      <c r="B1248" s="8">
        <v>45543</v>
      </c>
      <c r="C1248" s="9" t="s">
        <v>27</v>
      </c>
      <c r="D1248" s="9" t="s">
        <v>46</v>
      </c>
      <c r="E1248" s="9" t="s">
        <v>29</v>
      </c>
      <c r="F1248" s="9">
        <v>137</v>
      </c>
      <c r="G1248" s="9">
        <v>178.42</v>
      </c>
      <c r="H1248" s="9" t="s">
        <v>19</v>
      </c>
      <c r="I1248" s="9">
        <v>12</v>
      </c>
      <c r="J1248" s="10">
        <v>41.419999999999902</v>
      </c>
      <c r="K1248" s="9" t="str">
        <f>TEXT(Sales_of_Jordan[[#This Row],[Sale_Date]],"mmm")</f>
        <v>Sep</v>
      </c>
    </row>
    <row r="1249" spans="1:11" x14ac:dyDescent="0.35">
      <c r="A1249" s="7" t="s">
        <v>1279</v>
      </c>
      <c r="B1249" s="8">
        <v>45713</v>
      </c>
      <c r="C1249" s="9" t="s">
        <v>11</v>
      </c>
      <c r="D1249" s="9" t="s">
        <v>34</v>
      </c>
      <c r="E1249" s="9" t="s">
        <v>13</v>
      </c>
      <c r="F1249" s="9">
        <v>230</v>
      </c>
      <c r="G1249" s="9">
        <v>184.87</v>
      </c>
      <c r="H1249" s="9" t="s">
        <v>14</v>
      </c>
      <c r="I1249" s="9">
        <v>6</v>
      </c>
      <c r="J1249" s="10">
        <v>-45.129999999999903</v>
      </c>
      <c r="K1249" s="9" t="str">
        <f>TEXT(Sales_of_Jordan[[#This Row],[Sale_Date]],"mmm")</f>
        <v>Feb</v>
      </c>
    </row>
    <row r="1250" spans="1:11" x14ac:dyDescent="0.35">
      <c r="A1250" s="7" t="s">
        <v>1280</v>
      </c>
      <c r="B1250" s="8">
        <v>45776</v>
      </c>
      <c r="C1250" s="9" t="s">
        <v>31</v>
      </c>
      <c r="D1250" s="9" t="s">
        <v>34</v>
      </c>
      <c r="E1250" s="9" t="s">
        <v>29</v>
      </c>
      <c r="F1250" s="9">
        <v>204</v>
      </c>
      <c r="G1250" s="9">
        <v>226.2</v>
      </c>
      <c r="H1250" s="9" t="s">
        <v>14</v>
      </c>
      <c r="I1250" s="9">
        <v>4</v>
      </c>
      <c r="J1250" s="10">
        <v>22.1999999999999</v>
      </c>
      <c r="K1250" s="9" t="str">
        <f>TEXT(Sales_of_Jordan[[#This Row],[Sale_Date]],"mmm")</f>
        <v>Apr</v>
      </c>
    </row>
    <row r="1251" spans="1:11" x14ac:dyDescent="0.35">
      <c r="A1251" s="7" t="s">
        <v>1281</v>
      </c>
      <c r="B1251" s="8">
        <v>45359</v>
      </c>
      <c r="C1251" s="9" t="s">
        <v>16</v>
      </c>
      <c r="D1251" s="9" t="s">
        <v>12</v>
      </c>
      <c r="E1251" s="9" t="s">
        <v>29</v>
      </c>
      <c r="F1251" s="9">
        <v>182</v>
      </c>
      <c r="G1251" s="9">
        <v>201.62</v>
      </c>
      <c r="H1251" s="9" t="s">
        <v>25</v>
      </c>
      <c r="I1251" s="9">
        <v>25</v>
      </c>
      <c r="J1251" s="10">
        <v>19.62</v>
      </c>
      <c r="K1251" s="9" t="str">
        <f>TEXT(Sales_of_Jordan[[#This Row],[Sale_Date]],"mmm")</f>
        <v>Mar</v>
      </c>
    </row>
    <row r="1252" spans="1:11" x14ac:dyDescent="0.35">
      <c r="A1252" s="7" t="s">
        <v>1282</v>
      </c>
      <c r="B1252" s="8">
        <v>45092</v>
      </c>
      <c r="C1252" s="9" t="s">
        <v>16</v>
      </c>
      <c r="D1252" s="9" t="s">
        <v>36</v>
      </c>
      <c r="E1252" s="9" t="s">
        <v>18</v>
      </c>
      <c r="F1252" s="9">
        <v>186</v>
      </c>
      <c r="G1252" s="9">
        <v>321.66000000000003</v>
      </c>
      <c r="H1252" s="9" t="s">
        <v>32</v>
      </c>
      <c r="I1252" s="9">
        <v>57</v>
      </c>
      <c r="J1252" s="10">
        <v>135.66</v>
      </c>
      <c r="K1252" s="9" t="str">
        <f>TEXT(Sales_of_Jordan[[#This Row],[Sale_Date]],"mmm")</f>
        <v>Jun</v>
      </c>
    </row>
    <row r="1253" spans="1:11" x14ac:dyDescent="0.35">
      <c r="A1253" s="7" t="s">
        <v>1283</v>
      </c>
      <c r="B1253" s="8">
        <v>45817</v>
      </c>
      <c r="C1253" s="9" t="s">
        <v>31</v>
      </c>
      <c r="D1253" s="9" t="s">
        <v>22</v>
      </c>
      <c r="E1253" s="9" t="s">
        <v>29</v>
      </c>
      <c r="F1253" s="9">
        <v>206</v>
      </c>
      <c r="G1253" s="9">
        <v>266.68</v>
      </c>
      <c r="H1253" s="9" t="s">
        <v>14</v>
      </c>
      <c r="I1253" s="9">
        <v>9</v>
      </c>
      <c r="J1253" s="10">
        <v>60.68</v>
      </c>
      <c r="K1253" s="9" t="str">
        <f>TEXT(Sales_of_Jordan[[#This Row],[Sale_Date]],"mmm")</f>
        <v>Jun</v>
      </c>
    </row>
    <row r="1254" spans="1:11" x14ac:dyDescent="0.35">
      <c r="A1254" s="7" t="s">
        <v>1284</v>
      </c>
      <c r="B1254" s="8">
        <v>45332</v>
      </c>
      <c r="C1254" s="9" t="s">
        <v>21</v>
      </c>
      <c r="D1254" s="9" t="s">
        <v>34</v>
      </c>
      <c r="E1254" s="9" t="s">
        <v>13</v>
      </c>
      <c r="F1254" s="9">
        <v>214</v>
      </c>
      <c r="G1254" s="9">
        <v>137.02000000000001</v>
      </c>
      <c r="H1254" s="9" t="s">
        <v>25</v>
      </c>
      <c r="I1254" s="9">
        <v>19</v>
      </c>
      <c r="J1254" s="10">
        <v>-76.979999999999905</v>
      </c>
      <c r="K1254" s="9" t="str">
        <f>TEXT(Sales_of_Jordan[[#This Row],[Sale_Date]],"mmm")</f>
        <v>Feb</v>
      </c>
    </row>
    <row r="1255" spans="1:11" x14ac:dyDescent="0.35">
      <c r="A1255" s="7" t="s">
        <v>1285</v>
      </c>
      <c r="B1255" s="8">
        <v>45530</v>
      </c>
      <c r="C1255" s="9" t="s">
        <v>16</v>
      </c>
      <c r="D1255" s="9" t="s">
        <v>34</v>
      </c>
      <c r="E1255" s="9" t="s">
        <v>18</v>
      </c>
      <c r="F1255" s="9">
        <v>174</v>
      </c>
      <c r="G1255" s="9">
        <v>308.32</v>
      </c>
      <c r="H1255" s="9" t="s">
        <v>25</v>
      </c>
      <c r="I1255" s="9">
        <v>23</v>
      </c>
      <c r="J1255" s="10">
        <v>134.32</v>
      </c>
      <c r="K1255" s="9" t="str">
        <f>TEXT(Sales_of_Jordan[[#This Row],[Sale_Date]],"mmm")</f>
        <v>Aug</v>
      </c>
    </row>
    <row r="1256" spans="1:11" x14ac:dyDescent="0.35">
      <c r="A1256" s="7" t="s">
        <v>1286</v>
      </c>
      <c r="B1256" s="8">
        <v>45335</v>
      </c>
      <c r="C1256" s="9" t="s">
        <v>27</v>
      </c>
      <c r="D1256" s="9" t="s">
        <v>55</v>
      </c>
      <c r="E1256" s="9" t="s">
        <v>29</v>
      </c>
      <c r="F1256" s="9">
        <v>121</v>
      </c>
      <c r="G1256" s="9">
        <v>173.92</v>
      </c>
      <c r="H1256" s="9" t="s">
        <v>19</v>
      </c>
      <c r="I1256" s="9">
        <v>6</v>
      </c>
      <c r="J1256" s="10">
        <v>52.919999999999902</v>
      </c>
      <c r="K1256" s="9" t="str">
        <f>TEXT(Sales_of_Jordan[[#This Row],[Sale_Date]],"mmm")</f>
        <v>Feb</v>
      </c>
    </row>
    <row r="1257" spans="1:11" x14ac:dyDescent="0.35">
      <c r="A1257" s="7" t="s">
        <v>1287</v>
      </c>
      <c r="B1257" s="8">
        <v>45548</v>
      </c>
      <c r="C1257" s="9" t="s">
        <v>21</v>
      </c>
      <c r="D1257" s="9" t="s">
        <v>12</v>
      </c>
      <c r="E1257" s="9" t="s">
        <v>18</v>
      </c>
      <c r="F1257" s="9">
        <v>214</v>
      </c>
      <c r="G1257" s="9">
        <v>598.02</v>
      </c>
      <c r="H1257" s="9" t="s">
        <v>25</v>
      </c>
      <c r="I1257" s="9">
        <v>35</v>
      </c>
      <c r="J1257" s="10">
        <v>384.02</v>
      </c>
      <c r="K1257" s="9" t="str">
        <f>TEXT(Sales_of_Jordan[[#This Row],[Sale_Date]],"mmm")</f>
        <v>Sep</v>
      </c>
    </row>
    <row r="1258" spans="1:11" x14ac:dyDescent="0.35">
      <c r="A1258" s="7" t="s">
        <v>1288</v>
      </c>
      <c r="B1258" s="8">
        <v>45087</v>
      </c>
      <c r="C1258" s="9" t="s">
        <v>16</v>
      </c>
      <c r="D1258" s="9" t="s">
        <v>22</v>
      </c>
      <c r="E1258" s="9" t="s">
        <v>29</v>
      </c>
      <c r="F1258" s="9">
        <v>184</v>
      </c>
      <c r="G1258" s="9">
        <v>270.98</v>
      </c>
      <c r="H1258" s="9" t="s">
        <v>19</v>
      </c>
      <c r="I1258" s="9">
        <v>6</v>
      </c>
      <c r="J1258" s="10">
        <v>86.98</v>
      </c>
      <c r="K1258" s="9" t="str">
        <f>TEXT(Sales_of_Jordan[[#This Row],[Sale_Date]],"mmm")</f>
        <v>Jun</v>
      </c>
    </row>
    <row r="1259" spans="1:11" x14ac:dyDescent="0.35">
      <c r="A1259" s="7" t="s">
        <v>1289</v>
      </c>
      <c r="B1259" s="8">
        <v>45320</v>
      </c>
      <c r="C1259" s="9" t="s">
        <v>21</v>
      </c>
      <c r="D1259" s="9" t="s">
        <v>12</v>
      </c>
      <c r="E1259" s="9" t="s">
        <v>18</v>
      </c>
      <c r="F1259" s="9">
        <v>219</v>
      </c>
      <c r="G1259" s="9">
        <v>652.13</v>
      </c>
      <c r="H1259" s="9" t="s">
        <v>32</v>
      </c>
      <c r="I1259" s="9">
        <v>34</v>
      </c>
      <c r="J1259" s="10">
        <v>433.13</v>
      </c>
      <c r="K1259" s="9" t="str">
        <f>TEXT(Sales_of_Jordan[[#This Row],[Sale_Date]],"mmm")</f>
        <v>Jan</v>
      </c>
    </row>
    <row r="1260" spans="1:11" x14ac:dyDescent="0.35">
      <c r="A1260" s="7" t="s">
        <v>1290</v>
      </c>
      <c r="B1260" s="8">
        <v>45321</v>
      </c>
      <c r="C1260" s="9" t="s">
        <v>11</v>
      </c>
      <c r="D1260" s="9" t="s">
        <v>53</v>
      </c>
      <c r="E1260" s="9" t="s">
        <v>18</v>
      </c>
      <c r="F1260" s="9">
        <v>226</v>
      </c>
      <c r="G1260" s="9">
        <v>360.54</v>
      </c>
      <c r="H1260" s="9" t="s">
        <v>23</v>
      </c>
      <c r="I1260" s="9">
        <v>31</v>
      </c>
      <c r="J1260" s="10">
        <v>134.54</v>
      </c>
      <c r="K1260" s="9" t="str">
        <f>TEXT(Sales_of_Jordan[[#This Row],[Sale_Date]],"mmm")</f>
        <v>Jan</v>
      </c>
    </row>
    <row r="1261" spans="1:11" x14ac:dyDescent="0.35">
      <c r="A1261" s="7" t="s">
        <v>1291</v>
      </c>
      <c r="B1261" s="8">
        <v>44947</v>
      </c>
      <c r="C1261" s="9" t="s">
        <v>31</v>
      </c>
      <c r="D1261" s="9" t="s">
        <v>46</v>
      </c>
      <c r="E1261" s="9" t="s">
        <v>18</v>
      </c>
      <c r="F1261" s="9">
        <v>208</v>
      </c>
      <c r="G1261" s="9">
        <v>478.17</v>
      </c>
      <c r="H1261" s="9" t="s">
        <v>25</v>
      </c>
      <c r="I1261" s="9">
        <v>14</v>
      </c>
      <c r="J1261" s="10">
        <v>270.17</v>
      </c>
      <c r="K1261" s="9" t="str">
        <f>TEXT(Sales_of_Jordan[[#This Row],[Sale_Date]],"mmm")</f>
        <v>Jan</v>
      </c>
    </row>
    <row r="1262" spans="1:11" x14ac:dyDescent="0.35">
      <c r="A1262" s="7" t="s">
        <v>1292</v>
      </c>
      <c r="B1262" s="8">
        <v>45390</v>
      </c>
      <c r="C1262" s="9" t="s">
        <v>31</v>
      </c>
      <c r="D1262" s="9" t="s">
        <v>22</v>
      </c>
      <c r="E1262" s="9" t="s">
        <v>29</v>
      </c>
      <c r="F1262" s="9">
        <v>200</v>
      </c>
      <c r="G1262" s="9">
        <v>243.82</v>
      </c>
      <c r="H1262" s="9" t="s">
        <v>14</v>
      </c>
      <c r="I1262" s="9">
        <v>5</v>
      </c>
      <c r="J1262" s="10">
        <v>43.819999999999901</v>
      </c>
      <c r="K1262" s="9" t="str">
        <f>TEXT(Sales_of_Jordan[[#This Row],[Sale_Date]],"mmm")</f>
        <v>Apr</v>
      </c>
    </row>
    <row r="1263" spans="1:11" x14ac:dyDescent="0.35">
      <c r="A1263" s="7" t="s">
        <v>1293</v>
      </c>
      <c r="B1263" s="8">
        <v>45092</v>
      </c>
      <c r="C1263" s="9" t="s">
        <v>27</v>
      </c>
      <c r="D1263" s="9" t="s">
        <v>34</v>
      </c>
      <c r="E1263" s="9" t="s">
        <v>13</v>
      </c>
      <c r="F1263" s="9">
        <v>133</v>
      </c>
      <c r="G1263" s="9">
        <v>70.48</v>
      </c>
      <c r="H1263" s="9" t="s">
        <v>32</v>
      </c>
      <c r="I1263" s="9">
        <v>46</v>
      </c>
      <c r="J1263" s="10">
        <v>-62.519999999999897</v>
      </c>
      <c r="K1263" s="9" t="str">
        <f>TEXT(Sales_of_Jordan[[#This Row],[Sale_Date]],"mmm")</f>
        <v>Jun</v>
      </c>
    </row>
    <row r="1264" spans="1:11" x14ac:dyDescent="0.35">
      <c r="A1264" s="7" t="s">
        <v>1294</v>
      </c>
      <c r="B1264" s="8">
        <v>44974</v>
      </c>
      <c r="C1264" s="9" t="s">
        <v>11</v>
      </c>
      <c r="D1264" s="9" t="s">
        <v>55</v>
      </c>
      <c r="E1264" s="9" t="s">
        <v>18</v>
      </c>
      <c r="F1264" s="9">
        <v>227</v>
      </c>
      <c r="G1264" s="9">
        <v>685.17</v>
      </c>
      <c r="H1264" s="9" t="s">
        <v>19</v>
      </c>
      <c r="I1264" s="9">
        <v>5</v>
      </c>
      <c r="J1264" s="10">
        <v>458.16999999999899</v>
      </c>
      <c r="K1264" s="9" t="str">
        <f>TEXT(Sales_of_Jordan[[#This Row],[Sale_Date]],"mmm")</f>
        <v>Feb</v>
      </c>
    </row>
    <row r="1265" spans="1:11" x14ac:dyDescent="0.35">
      <c r="A1265" s="7" t="s">
        <v>1295</v>
      </c>
      <c r="B1265" s="8">
        <v>45324</v>
      </c>
      <c r="C1265" s="9" t="s">
        <v>21</v>
      </c>
      <c r="D1265" s="9" t="s">
        <v>36</v>
      </c>
      <c r="E1265" s="9" t="s">
        <v>18</v>
      </c>
      <c r="F1265" s="9">
        <v>211</v>
      </c>
      <c r="G1265" s="9">
        <v>433.98</v>
      </c>
      <c r="H1265" s="9" t="s">
        <v>32</v>
      </c>
      <c r="I1265" s="9">
        <v>47</v>
      </c>
      <c r="J1265" s="10">
        <v>222.98</v>
      </c>
      <c r="K1265" s="9" t="str">
        <f>TEXT(Sales_of_Jordan[[#This Row],[Sale_Date]],"mmm")</f>
        <v>Feb</v>
      </c>
    </row>
    <row r="1266" spans="1:11" x14ac:dyDescent="0.35">
      <c r="A1266" s="7" t="s">
        <v>1296</v>
      </c>
      <c r="B1266" s="8">
        <v>45372</v>
      </c>
      <c r="C1266" s="9" t="s">
        <v>16</v>
      </c>
      <c r="D1266" s="9" t="s">
        <v>17</v>
      </c>
      <c r="E1266" s="9" t="s">
        <v>13</v>
      </c>
      <c r="F1266" s="9">
        <v>182</v>
      </c>
      <c r="G1266" s="9">
        <v>127.37</v>
      </c>
      <c r="H1266" s="9" t="s">
        <v>25</v>
      </c>
      <c r="I1266" s="9">
        <v>24</v>
      </c>
      <c r="J1266" s="10">
        <v>-54.629999999999903</v>
      </c>
      <c r="K1266" s="9" t="str">
        <f>TEXT(Sales_of_Jordan[[#This Row],[Sale_Date]],"mmm")</f>
        <v>Mar</v>
      </c>
    </row>
    <row r="1267" spans="1:11" x14ac:dyDescent="0.35">
      <c r="A1267" s="7" t="s">
        <v>1297</v>
      </c>
      <c r="B1267" s="8">
        <v>45260</v>
      </c>
      <c r="C1267" s="9" t="s">
        <v>27</v>
      </c>
      <c r="D1267" s="9" t="s">
        <v>22</v>
      </c>
      <c r="E1267" s="9" t="s">
        <v>13</v>
      </c>
      <c r="F1267" s="9">
        <v>115</v>
      </c>
      <c r="G1267" s="9">
        <v>97.35</v>
      </c>
      <c r="H1267" s="9" t="s">
        <v>25</v>
      </c>
      <c r="I1267" s="9">
        <v>49</v>
      </c>
      <c r="J1267" s="10">
        <v>-17.649999999999999</v>
      </c>
      <c r="K1267" s="9" t="str">
        <f>TEXT(Sales_of_Jordan[[#This Row],[Sale_Date]],"mmm")</f>
        <v>Nov</v>
      </c>
    </row>
    <row r="1268" spans="1:11" x14ac:dyDescent="0.35">
      <c r="A1268" s="7" t="s">
        <v>1298</v>
      </c>
      <c r="B1268" s="8">
        <v>45070</v>
      </c>
      <c r="C1268" s="9" t="s">
        <v>31</v>
      </c>
      <c r="D1268" s="9" t="s">
        <v>55</v>
      </c>
      <c r="E1268" s="9" t="s">
        <v>29</v>
      </c>
      <c r="F1268" s="9">
        <v>207</v>
      </c>
      <c r="G1268" s="9">
        <v>187.37</v>
      </c>
      <c r="H1268" s="9" t="s">
        <v>32</v>
      </c>
      <c r="I1268" s="9">
        <v>5</v>
      </c>
      <c r="J1268" s="10">
        <v>-19.6299999999999</v>
      </c>
      <c r="K1268" s="9" t="str">
        <f>TEXT(Sales_of_Jordan[[#This Row],[Sale_Date]],"mmm")</f>
        <v>May</v>
      </c>
    </row>
    <row r="1269" spans="1:11" x14ac:dyDescent="0.35">
      <c r="A1269" s="7" t="s">
        <v>1299</v>
      </c>
      <c r="B1269" s="8">
        <v>45373</v>
      </c>
      <c r="C1269" s="9" t="s">
        <v>16</v>
      </c>
      <c r="D1269" s="9" t="s">
        <v>39</v>
      </c>
      <c r="E1269" s="9" t="s">
        <v>18</v>
      </c>
      <c r="F1269" s="9">
        <v>186</v>
      </c>
      <c r="G1269" s="9">
        <v>317.10000000000002</v>
      </c>
      <c r="H1269" s="9" t="s">
        <v>19</v>
      </c>
      <c r="I1269" s="9">
        <v>2</v>
      </c>
      <c r="J1269" s="10">
        <v>131.1</v>
      </c>
      <c r="K1269" s="9" t="str">
        <f>TEXT(Sales_of_Jordan[[#This Row],[Sale_Date]],"mmm")</f>
        <v>Mar</v>
      </c>
    </row>
    <row r="1270" spans="1:11" x14ac:dyDescent="0.35">
      <c r="A1270" s="7" t="s">
        <v>1300</v>
      </c>
      <c r="B1270" s="8">
        <v>45768</v>
      </c>
      <c r="C1270" s="9" t="s">
        <v>27</v>
      </c>
      <c r="D1270" s="9" t="s">
        <v>36</v>
      </c>
      <c r="E1270" s="9" t="s">
        <v>29</v>
      </c>
      <c r="F1270" s="9">
        <v>118</v>
      </c>
      <c r="G1270" s="9">
        <v>175.25</v>
      </c>
      <c r="H1270" s="9" t="s">
        <v>32</v>
      </c>
      <c r="I1270" s="9">
        <v>30</v>
      </c>
      <c r="J1270" s="10">
        <v>57.25</v>
      </c>
      <c r="K1270" s="9" t="str">
        <f>TEXT(Sales_of_Jordan[[#This Row],[Sale_Date]],"mmm")</f>
        <v>Apr</v>
      </c>
    </row>
    <row r="1271" spans="1:11" x14ac:dyDescent="0.35">
      <c r="A1271" s="7" t="s">
        <v>1301</v>
      </c>
      <c r="B1271" s="8">
        <v>45209</v>
      </c>
      <c r="C1271" s="9" t="s">
        <v>11</v>
      </c>
      <c r="D1271" s="9" t="s">
        <v>17</v>
      </c>
      <c r="E1271" s="9" t="s">
        <v>13</v>
      </c>
      <c r="F1271" s="9">
        <v>229</v>
      </c>
      <c r="G1271" s="9">
        <v>190.82</v>
      </c>
      <c r="H1271" s="9" t="s">
        <v>32</v>
      </c>
      <c r="I1271" s="9">
        <v>41</v>
      </c>
      <c r="J1271" s="10">
        <v>-38.18</v>
      </c>
      <c r="K1271" s="9" t="str">
        <f>TEXT(Sales_of_Jordan[[#This Row],[Sale_Date]],"mmm")</f>
        <v>Oct</v>
      </c>
    </row>
    <row r="1272" spans="1:11" x14ac:dyDescent="0.35">
      <c r="A1272" s="7" t="s">
        <v>1302</v>
      </c>
      <c r="B1272" s="8">
        <v>45245</v>
      </c>
      <c r="C1272" s="9" t="s">
        <v>16</v>
      </c>
      <c r="D1272" s="9" t="s">
        <v>53</v>
      </c>
      <c r="E1272" s="9" t="s">
        <v>13</v>
      </c>
      <c r="F1272" s="9">
        <v>178</v>
      </c>
      <c r="G1272" s="9">
        <v>147.97</v>
      </c>
      <c r="H1272" s="9" t="s">
        <v>23</v>
      </c>
      <c r="I1272" s="9">
        <v>59</v>
      </c>
      <c r="J1272" s="10">
        <v>-30.03</v>
      </c>
      <c r="K1272" s="9" t="str">
        <f>TEXT(Sales_of_Jordan[[#This Row],[Sale_Date]],"mmm")</f>
        <v>Nov</v>
      </c>
    </row>
    <row r="1273" spans="1:11" x14ac:dyDescent="0.35">
      <c r="A1273" s="7" t="s">
        <v>1303</v>
      </c>
      <c r="B1273" s="8">
        <v>45113</v>
      </c>
      <c r="C1273" s="9" t="s">
        <v>21</v>
      </c>
      <c r="D1273" s="9" t="s">
        <v>34</v>
      </c>
      <c r="E1273" s="9" t="s">
        <v>29</v>
      </c>
      <c r="F1273" s="9">
        <v>221</v>
      </c>
      <c r="G1273" s="9">
        <v>229.67</v>
      </c>
      <c r="H1273" s="9" t="s">
        <v>19</v>
      </c>
      <c r="I1273" s="9">
        <v>12</v>
      </c>
      <c r="J1273" s="10">
        <v>8.6699999999999804</v>
      </c>
      <c r="K1273" s="9" t="str">
        <f>TEXT(Sales_of_Jordan[[#This Row],[Sale_Date]],"mmm")</f>
        <v>Jul</v>
      </c>
    </row>
    <row r="1274" spans="1:11" x14ac:dyDescent="0.35">
      <c r="A1274" s="7" t="s">
        <v>1304</v>
      </c>
      <c r="B1274" s="8">
        <v>45254</v>
      </c>
      <c r="C1274" s="9" t="s">
        <v>21</v>
      </c>
      <c r="D1274" s="9" t="s">
        <v>55</v>
      </c>
      <c r="E1274" s="9" t="s">
        <v>13</v>
      </c>
      <c r="F1274" s="9">
        <v>223</v>
      </c>
      <c r="G1274" s="9">
        <v>157.21</v>
      </c>
      <c r="H1274" s="9" t="s">
        <v>32</v>
      </c>
      <c r="I1274" s="9">
        <v>51</v>
      </c>
      <c r="J1274" s="10">
        <v>-65.789999999999907</v>
      </c>
      <c r="K1274" s="9" t="str">
        <f>TEXT(Sales_of_Jordan[[#This Row],[Sale_Date]],"mmm")</f>
        <v>Nov</v>
      </c>
    </row>
    <row r="1275" spans="1:11" x14ac:dyDescent="0.35">
      <c r="A1275" s="7" t="s">
        <v>1305</v>
      </c>
      <c r="B1275" s="8">
        <v>45592</v>
      </c>
      <c r="C1275" s="9" t="s">
        <v>16</v>
      </c>
      <c r="D1275" s="9" t="s">
        <v>55</v>
      </c>
      <c r="E1275" s="9" t="s">
        <v>29</v>
      </c>
      <c r="F1275" s="9">
        <v>183</v>
      </c>
      <c r="G1275" s="9">
        <v>167.84</v>
      </c>
      <c r="H1275" s="9" t="s">
        <v>23</v>
      </c>
      <c r="I1275" s="9">
        <v>53</v>
      </c>
      <c r="J1275" s="10">
        <v>-15.159999999999901</v>
      </c>
      <c r="K1275" s="9" t="str">
        <f>TEXT(Sales_of_Jordan[[#This Row],[Sale_Date]],"mmm")</f>
        <v>Oct</v>
      </c>
    </row>
    <row r="1276" spans="1:11" x14ac:dyDescent="0.35">
      <c r="A1276" s="7" t="s">
        <v>1306</v>
      </c>
      <c r="B1276" s="8">
        <v>45298</v>
      </c>
      <c r="C1276" s="9" t="s">
        <v>31</v>
      </c>
      <c r="D1276" s="9" t="s">
        <v>17</v>
      </c>
      <c r="E1276" s="9" t="s">
        <v>29</v>
      </c>
      <c r="F1276" s="9">
        <v>202</v>
      </c>
      <c r="G1276" s="9">
        <v>223.45</v>
      </c>
      <c r="H1276" s="9" t="s">
        <v>25</v>
      </c>
      <c r="I1276" s="9">
        <v>37</v>
      </c>
      <c r="J1276" s="10">
        <v>21.4499999999999</v>
      </c>
      <c r="K1276" s="9" t="str">
        <f>TEXT(Sales_of_Jordan[[#This Row],[Sale_Date]],"mmm")</f>
        <v>Jan</v>
      </c>
    </row>
    <row r="1277" spans="1:11" x14ac:dyDescent="0.35">
      <c r="A1277" s="7" t="s">
        <v>1307</v>
      </c>
      <c r="B1277" s="8">
        <v>45877</v>
      </c>
      <c r="C1277" s="9" t="s">
        <v>31</v>
      </c>
      <c r="D1277" s="9" t="s">
        <v>22</v>
      </c>
      <c r="E1277" s="9" t="s">
        <v>13</v>
      </c>
      <c r="F1277" s="9">
        <v>202</v>
      </c>
      <c r="G1277" s="9">
        <v>104.3</v>
      </c>
      <c r="H1277" s="9" t="s">
        <v>19</v>
      </c>
      <c r="I1277" s="9">
        <v>4</v>
      </c>
      <c r="J1277" s="10">
        <v>-97.7</v>
      </c>
      <c r="K1277" s="9" t="str">
        <f>TEXT(Sales_of_Jordan[[#This Row],[Sale_Date]],"mmm")</f>
        <v>Aug</v>
      </c>
    </row>
    <row r="1278" spans="1:11" x14ac:dyDescent="0.35">
      <c r="A1278" s="7" t="s">
        <v>1308</v>
      </c>
      <c r="B1278" s="8">
        <v>45413</v>
      </c>
      <c r="C1278" s="9" t="s">
        <v>21</v>
      </c>
      <c r="D1278" s="9" t="s">
        <v>36</v>
      </c>
      <c r="E1278" s="9" t="s">
        <v>13</v>
      </c>
      <c r="F1278" s="9">
        <v>213</v>
      </c>
      <c r="G1278" s="9">
        <v>154.75</v>
      </c>
      <c r="H1278" s="9" t="s">
        <v>19</v>
      </c>
      <c r="I1278" s="9">
        <v>9</v>
      </c>
      <c r="J1278" s="10">
        <v>-58.25</v>
      </c>
      <c r="K1278" s="9" t="str">
        <f>TEXT(Sales_of_Jordan[[#This Row],[Sale_Date]],"mmm")</f>
        <v>May</v>
      </c>
    </row>
    <row r="1279" spans="1:11" x14ac:dyDescent="0.35">
      <c r="A1279" s="7" t="s">
        <v>1309</v>
      </c>
      <c r="B1279" s="8">
        <v>45638</v>
      </c>
      <c r="C1279" s="9" t="s">
        <v>27</v>
      </c>
      <c r="D1279" s="9" t="s">
        <v>17</v>
      </c>
      <c r="E1279" s="9" t="s">
        <v>18</v>
      </c>
      <c r="F1279" s="9">
        <v>129</v>
      </c>
      <c r="G1279" s="9">
        <v>240.57</v>
      </c>
      <c r="H1279" s="9" t="s">
        <v>19</v>
      </c>
      <c r="I1279" s="9">
        <v>2</v>
      </c>
      <c r="J1279" s="10">
        <v>111.57</v>
      </c>
      <c r="K1279" s="9" t="str">
        <f>TEXT(Sales_of_Jordan[[#This Row],[Sale_Date]],"mmm")</f>
        <v>Dec</v>
      </c>
    </row>
    <row r="1280" spans="1:11" x14ac:dyDescent="0.35">
      <c r="A1280" s="7" t="s">
        <v>1310</v>
      </c>
      <c r="B1280" s="8">
        <v>44994</v>
      </c>
      <c r="C1280" s="9" t="s">
        <v>16</v>
      </c>
      <c r="D1280" s="9" t="s">
        <v>34</v>
      </c>
      <c r="E1280" s="9" t="s">
        <v>18</v>
      </c>
      <c r="F1280" s="9">
        <v>187</v>
      </c>
      <c r="G1280" s="9">
        <v>312.57</v>
      </c>
      <c r="H1280" s="9" t="s">
        <v>23</v>
      </c>
      <c r="I1280" s="9">
        <v>25</v>
      </c>
      <c r="J1280" s="10">
        <v>125.57</v>
      </c>
      <c r="K1280" s="9" t="str">
        <f>TEXT(Sales_of_Jordan[[#This Row],[Sale_Date]],"mmm")</f>
        <v>Mar</v>
      </c>
    </row>
    <row r="1281" spans="1:11" x14ac:dyDescent="0.35">
      <c r="A1281" s="7" t="s">
        <v>1311</v>
      </c>
      <c r="B1281" s="8">
        <v>45850</v>
      </c>
      <c r="C1281" s="9" t="s">
        <v>27</v>
      </c>
      <c r="D1281" s="9" t="s">
        <v>46</v>
      </c>
      <c r="E1281" s="9" t="s">
        <v>29</v>
      </c>
      <c r="F1281" s="9">
        <v>135</v>
      </c>
      <c r="G1281" s="9">
        <v>135.24</v>
      </c>
      <c r="H1281" s="9" t="s">
        <v>19</v>
      </c>
      <c r="I1281" s="9">
        <v>8</v>
      </c>
      <c r="J1281" s="10">
        <v>0.24000000000000901</v>
      </c>
      <c r="K1281" s="9" t="str">
        <f>TEXT(Sales_of_Jordan[[#This Row],[Sale_Date]],"mmm")</f>
        <v>Jul</v>
      </c>
    </row>
    <row r="1282" spans="1:11" x14ac:dyDescent="0.35">
      <c r="A1282" s="7" t="s">
        <v>1312</v>
      </c>
      <c r="B1282" s="8">
        <v>45856</v>
      </c>
      <c r="C1282" s="9" t="s">
        <v>27</v>
      </c>
      <c r="D1282" s="9" t="s">
        <v>22</v>
      </c>
      <c r="E1282" s="9" t="s">
        <v>29</v>
      </c>
      <c r="F1282" s="9">
        <v>124</v>
      </c>
      <c r="G1282" s="9">
        <v>149.15</v>
      </c>
      <c r="H1282" s="9" t="s">
        <v>14</v>
      </c>
      <c r="I1282" s="9">
        <v>7</v>
      </c>
      <c r="J1282" s="10">
        <v>25.15</v>
      </c>
      <c r="K1282" s="9" t="str">
        <f>TEXT(Sales_of_Jordan[[#This Row],[Sale_Date]],"mmm")</f>
        <v>Jul</v>
      </c>
    </row>
    <row r="1283" spans="1:11" x14ac:dyDescent="0.35">
      <c r="A1283" s="7" t="s">
        <v>1313</v>
      </c>
      <c r="B1283" s="8">
        <v>45182</v>
      </c>
      <c r="C1283" s="9" t="s">
        <v>27</v>
      </c>
      <c r="D1283" s="9" t="s">
        <v>36</v>
      </c>
      <c r="E1283" s="9" t="s">
        <v>18</v>
      </c>
      <c r="F1283" s="9">
        <v>131</v>
      </c>
      <c r="G1283" s="9">
        <v>406.86</v>
      </c>
      <c r="H1283" s="9" t="s">
        <v>25</v>
      </c>
      <c r="I1283" s="9">
        <v>20</v>
      </c>
      <c r="J1283" s="10">
        <v>275.86</v>
      </c>
      <c r="K1283" s="9" t="str">
        <f>TEXT(Sales_of_Jordan[[#This Row],[Sale_Date]],"mmm")</f>
        <v>Sep</v>
      </c>
    </row>
    <row r="1284" spans="1:11" x14ac:dyDescent="0.35">
      <c r="A1284" s="7" t="s">
        <v>1314</v>
      </c>
      <c r="B1284" s="8">
        <v>45487</v>
      </c>
      <c r="C1284" s="9" t="s">
        <v>31</v>
      </c>
      <c r="D1284" s="9" t="s">
        <v>53</v>
      </c>
      <c r="E1284" s="9" t="s">
        <v>18</v>
      </c>
      <c r="F1284" s="9">
        <v>204</v>
      </c>
      <c r="G1284" s="9">
        <v>560.64</v>
      </c>
      <c r="H1284" s="9" t="s">
        <v>19</v>
      </c>
      <c r="I1284" s="9">
        <v>8</v>
      </c>
      <c r="J1284" s="10">
        <v>356.64</v>
      </c>
      <c r="K1284" s="9" t="str">
        <f>TEXT(Sales_of_Jordan[[#This Row],[Sale_Date]],"mmm")</f>
        <v>Jul</v>
      </c>
    </row>
    <row r="1285" spans="1:11" x14ac:dyDescent="0.35">
      <c r="A1285" s="7" t="s">
        <v>1315</v>
      </c>
      <c r="B1285" s="8">
        <v>45603</v>
      </c>
      <c r="C1285" s="9" t="s">
        <v>16</v>
      </c>
      <c r="D1285" s="9" t="s">
        <v>46</v>
      </c>
      <c r="E1285" s="9" t="s">
        <v>13</v>
      </c>
      <c r="F1285" s="9">
        <v>186</v>
      </c>
      <c r="G1285" s="9">
        <v>142.69</v>
      </c>
      <c r="H1285" s="9" t="s">
        <v>14</v>
      </c>
      <c r="I1285" s="9">
        <v>2</v>
      </c>
      <c r="J1285" s="10">
        <v>-43.31</v>
      </c>
      <c r="K1285" s="9" t="str">
        <f>TEXT(Sales_of_Jordan[[#This Row],[Sale_Date]],"mmm")</f>
        <v>Nov</v>
      </c>
    </row>
    <row r="1286" spans="1:11" x14ac:dyDescent="0.35">
      <c r="A1286" s="7" t="s">
        <v>1316</v>
      </c>
      <c r="B1286" s="8">
        <v>45430</v>
      </c>
      <c r="C1286" s="9" t="s">
        <v>31</v>
      </c>
      <c r="D1286" s="9" t="s">
        <v>55</v>
      </c>
      <c r="E1286" s="9" t="s">
        <v>13</v>
      </c>
      <c r="F1286" s="9">
        <v>210</v>
      </c>
      <c r="G1286" s="9">
        <v>128.61000000000001</v>
      </c>
      <c r="H1286" s="9" t="s">
        <v>19</v>
      </c>
      <c r="I1286" s="9">
        <v>3</v>
      </c>
      <c r="J1286" s="10">
        <v>-81.389999999999901</v>
      </c>
      <c r="K1286" s="9" t="str">
        <f>TEXT(Sales_of_Jordan[[#This Row],[Sale_Date]],"mmm")</f>
        <v>May</v>
      </c>
    </row>
    <row r="1287" spans="1:11" x14ac:dyDescent="0.35">
      <c r="A1287" s="7" t="s">
        <v>1317</v>
      </c>
      <c r="B1287" s="8">
        <v>45545</v>
      </c>
      <c r="C1287" s="9" t="s">
        <v>27</v>
      </c>
      <c r="D1287" s="9" t="s">
        <v>36</v>
      </c>
      <c r="E1287" s="9" t="s">
        <v>29</v>
      </c>
      <c r="F1287" s="9">
        <v>132</v>
      </c>
      <c r="G1287" s="9">
        <v>147.09</v>
      </c>
      <c r="H1287" s="9" t="s">
        <v>19</v>
      </c>
      <c r="I1287" s="9">
        <v>14</v>
      </c>
      <c r="J1287" s="10">
        <v>15.09</v>
      </c>
      <c r="K1287" s="9" t="str">
        <f>TEXT(Sales_of_Jordan[[#This Row],[Sale_Date]],"mmm")</f>
        <v>Sep</v>
      </c>
    </row>
    <row r="1288" spans="1:11" x14ac:dyDescent="0.35">
      <c r="A1288" s="7" t="s">
        <v>1318</v>
      </c>
      <c r="B1288" s="8">
        <v>45655</v>
      </c>
      <c r="C1288" s="9" t="s">
        <v>21</v>
      </c>
      <c r="D1288" s="9" t="s">
        <v>17</v>
      </c>
      <c r="E1288" s="9" t="s">
        <v>13</v>
      </c>
      <c r="F1288" s="9">
        <v>223</v>
      </c>
      <c r="G1288" s="9">
        <v>187.67</v>
      </c>
      <c r="H1288" s="9" t="s">
        <v>23</v>
      </c>
      <c r="I1288" s="9">
        <v>48</v>
      </c>
      <c r="J1288" s="10">
        <v>-35.33</v>
      </c>
      <c r="K1288" s="9" t="str">
        <f>TEXT(Sales_of_Jordan[[#This Row],[Sale_Date]],"mmm")</f>
        <v>Dec</v>
      </c>
    </row>
    <row r="1289" spans="1:11" x14ac:dyDescent="0.35">
      <c r="A1289" s="7" t="s">
        <v>1319</v>
      </c>
      <c r="B1289" s="8">
        <v>45550</v>
      </c>
      <c r="C1289" s="9" t="s">
        <v>31</v>
      </c>
      <c r="D1289" s="9" t="s">
        <v>55</v>
      </c>
      <c r="E1289" s="9" t="s">
        <v>18</v>
      </c>
      <c r="F1289" s="9">
        <v>202</v>
      </c>
      <c r="G1289" s="9">
        <v>675.32</v>
      </c>
      <c r="H1289" s="9" t="s">
        <v>23</v>
      </c>
      <c r="I1289" s="9">
        <v>21</v>
      </c>
      <c r="J1289" s="10">
        <v>473.32</v>
      </c>
      <c r="K1289" s="9" t="str">
        <f>TEXT(Sales_of_Jordan[[#This Row],[Sale_Date]],"mmm")</f>
        <v>Sep</v>
      </c>
    </row>
    <row r="1290" spans="1:11" x14ac:dyDescent="0.35">
      <c r="A1290" s="7" t="s">
        <v>1320</v>
      </c>
      <c r="B1290" s="8">
        <v>45688</v>
      </c>
      <c r="C1290" s="9" t="s">
        <v>27</v>
      </c>
      <c r="D1290" s="9" t="s">
        <v>53</v>
      </c>
      <c r="E1290" s="9" t="s">
        <v>13</v>
      </c>
      <c r="F1290" s="9">
        <v>127</v>
      </c>
      <c r="G1290" s="9">
        <v>108.2</v>
      </c>
      <c r="H1290" s="9" t="s">
        <v>23</v>
      </c>
      <c r="I1290" s="9">
        <v>5</v>
      </c>
      <c r="J1290" s="10">
        <v>-18.799999999999901</v>
      </c>
      <c r="K1290" s="9" t="str">
        <f>TEXT(Sales_of_Jordan[[#This Row],[Sale_Date]],"mmm")</f>
        <v>Jan</v>
      </c>
    </row>
    <row r="1291" spans="1:11" x14ac:dyDescent="0.35">
      <c r="A1291" s="7" t="s">
        <v>1321</v>
      </c>
      <c r="B1291" s="8">
        <v>45099</v>
      </c>
      <c r="C1291" s="9" t="s">
        <v>27</v>
      </c>
      <c r="D1291" s="9" t="s">
        <v>17</v>
      </c>
      <c r="E1291" s="9" t="s">
        <v>13</v>
      </c>
      <c r="F1291" s="9">
        <v>112</v>
      </c>
      <c r="G1291" s="9">
        <v>88.76</v>
      </c>
      <c r="H1291" s="9" t="s">
        <v>19</v>
      </c>
      <c r="I1291" s="9">
        <v>10</v>
      </c>
      <c r="J1291" s="10">
        <v>-23.239999999999899</v>
      </c>
      <c r="K1291" s="9" t="str">
        <f>TEXT(Sales_of_Jordan[[#This Row],[Sale_Date]],"mmm")</f>
        <v>Jun</v>
      </c>
    </row>
    <row r="1292" spans="1:11" x14ac:dyDescent="0.35">
      <c r="A1292" s="7" t="s">
        <v>1322</v>
      </c>
      <c r="B1292" s="8">
        <v>45318</v>
      </c>
      <c r="C1292" s="9" t="s">
        <v>11</v>
      </c>
      <c r="D1292" s="9" t="s">
        <v>22</v>
      </c>
      <c r="E1292" s="9" t="s">
        <v>18</v>
      </c>
      <c r="F1292" s="9">
        <v>226</v>
      </c>
      <c r="G1292" s="9">
        <v>506.73</v>
      </c>
      <c r="H1292" s="9" t="s">
        <v>14</v>
      </c>
      <c r="I1292" s="9">
        <v>8</v>
      </c>
      <c r="J1292" s="10">
        <v>280.73</v>
      </c>
      <c r="K1292" s="9" t="str">
        <f>TEXT(Sales_of_Jordan[[#This Row],[Sale_Date]],"mmm")</f>
        <v>Jan</v>
      </c>
    </row>
    <row r="1293" spans="1:11" x14ac:dyDescent="0.35">
      <c r="A1293" s="7" t="s">
        <v>1323</v>
      </c>
      <c r="B1293" s="8">
        <v>45603</v>
      </c>
      <c r="C1293" s="9" t="s">
        <v>11</v>
      </c>
      <c r="D1293" s="9" t="s">
        <v>46</v>
      </c>
      <c r="E1293" s="9" t="s">
        <v>18</v>
      </c>
      <c r="F1293" s="9">
        <v>226</v>
      </c>
      <c r="G1293" s="9">
        <v>557.83000000000004</v>
      </c>
      <c r="H1293" s="9" t="s">
        <v>32</v>
      </c>
      <c r="I1293" s="9">
        <v>20</v>
      </c>
      <c r="J1293" s="10">
        <v>331.83</v>
      </c>
      <c r="K1293" s="9" t="str">
        <f>TEXT(Sales_of_Jordan[[#This Row],[Sale_Date]],"mmm")</f>
        <v>Nov</v>
      </c>
    </row>
    <row r="1294" spans="1:11" x14ac:dyDescent="0.35">
      <c r="A1294" s="7" t="s">
        <v>1324</v>
      </c>
      <c r="B1294" s="8">
        <v>45219</v>
      </c>
      <c r="C1294" s="9" t="s">
        <v>27</v>
      </c>
      <c r="D1294" s="9" t="s">
        <v>34</v>
      </c>
      <c r="E1294" s="9" t="s">
        <v>29</v>
      </c>
      <c r="F1294" s="9">
        <v>131</v>
      </c>
      <c r="G1294" s="9">
        <v>176.99</v>
      </c>
      <c r="H1294" s="9" t="s">
        <v>14</v>
      </c>
      <c r="I1294" s="9">
        <v>8</v>
      </c>
      <c r="J1294" s="10">
        <v>45.99</v>
      </c>
      <c r="K1294" s="9" t="str">
        <f>TEXT(Sales_of_Jordan[[#This Row],[Sale_Date]],"mmm")</f>
        <v>Oct</v>
      </c>
    </row>
    <row r="1295" spans="1:11" x14ac:dyDescent="0.35">
      <c r="A1295" s="7" t="s">
        <v>1325</v>
      </c>
      <c r="B1295" s="8">
        <v>45486</v>
      </c>
      <c r="C1295" s="9" t="s">
        <v>11</v>
      </c>
      <c r="D1295" s="9" t="s">
        <v>53</v>
      </c>
      <c r="E1295" s="9" t="s">
        <v>29</v>
      </c>
      <c r="F1295" s="9">
        <v>227</v>
      </c>
      <c r="G1295" s="9">
        <v>223.07</v>
      </c>
      <c r="H1295" s="9" t="s">
        <v>19</v>
      </c>
      <c r="I1295" s="9">
        <v>1</v>
      </c>
      <c r="J1295" s="10">
        <v>-3.93</v>
      </c>
      <c r="K1295" s="9" t="str">
        <f>TEXT(Sales_of_Jordan[[#This Row],[Sale_Date]],"mmm")</f>
        <v>Jul</v>
      </c>
    </row>
    <row r="1296" spans="1:11" x14ac:dyDescent="0.35">
      <c r="A1296" s="7" t="s">
        <v>1326</v>
      </c>
      <c r="B1296" s="8">
        <v>45309</v>
      </c>
      <c r="C1296" s="9" t="s">
        <v>11</v>
      </c>
      <c r="D1296" s="9" t="s">
        <v>39</v>
      </c>
      <c r="E1296" s="9" t="s">
        <v>13</v>
      </c>
      <c r="F1296" s="9">
        <v>230</v>
      </c>
      <c r="G1296" s="9">
        <v>116.61</v>
      </c>
      <c r="H1296" s="9" t="s">
        <v>14</v>
      </c>
      <c r="I1296" s="9">
        <v>1</v>
      </c>
      <c r="J1296" s="10">
        <v>-113.39</v>
      </c>
      <c r="K1296" s="9" t="str">
        <f>TEXT(Sales_of_Jordan[[#This Row],[Sale_Date]],"mmm")</f>
        <v>Jan</v>
      </c>
    </row>
    <row r="1297" spans="1:11" x14ac:dyDescent="0.35">
      <c r="A1297" s="7" t="s">
        <v>1327</v>
      </c>
      <c r="B1297" s="8">
        <v>45644</v>
      </c>
      <c r="C1297" s="9" t="s">
        <v>27</v>
      </c>
      <c r="D1297" s="9" t="s">
        <v>22</v>
      </c>
      <c r="E1297" s="9" t="s">
        <v>18</v>
      </c>
      <c r="F1297" s="9">
        <v>126</v>
      </c>
      <c r="G1297" s="9">
        <v>326.51</v>
      </c>
      <c r="H1297" s="9" t="s">
        <v>23</v>
      </c>
      <c r="I1297" s="9">
        <v>7</v>
      </c>
      <c r="J1297" s="10">
        <v>200.51</v>
      </c>
      <c r="K1297" s="9" t="str">
        <f>TEXT(Sales_of_Jordan[[#This Row],[Sale_Date]],"mmm")</f>
        <v>Dec</v>
      </c>
    </row>
    <row r="1298" spans="1:11" x14ac:dyDescent="0.35">
      <c r="A1298" s="7" t="s">
        <v>1328</v>
      </c>
      <c r="B1298" s="8">
        <v>45402</v>
      </c>
      <c r="C1298" s="9" t="s">
        <v>11</v>
      </c>
      <c r="D1298" s="9" t="s">
        <v>22</v>
      </c>
      <c r="E1298" s="9" t="s">
        <v>13</v>
      </c>
      <c r="F1298" s="9">
        <v>227</v>
      </c>
      <c r="G1298" s="9">
        <v>202.67</v>
      </c>
      <c r="H1298" s="9" t="s">
        <v>23</v>
      </c>
      <c r="I1298" s="9">
        <v>22</v>
      </c>
      <c r="J1298" s="10">
        <v>-24.33</v>
      </c>
      <c r="K1298" s="9" t="str">
        <f>TEXT(Sales_of_Jordan[[#This Row],[Sale_Date]],"mmm")</f>
        <v>Apr</v>
      </c>
    </row>
    <row r="1299" spans="1:11" x14ac:dyDescent="0.35">
      <c r="A1299" s="7" t="s">
        <v>1329</v>
      </c>
      <c r="B1299" s="8">
        <v>45336</v>
      </c>
      <c r="C1299" s="9" t="s">
        <v>21</v>
      </c>
      <c r="D1299" s="9" t="s">
        <v>46</v>
      </c>
      <c r="E1299" s="9" t="s">
        <v>13</v>
      </c>
      <c r="F1299" s="9">
        <v>214</v>
      </c>
      <c r="G1299" s="9">
        <v>164.64</v>
      </c>
      <c r="H1299" s="9" t="s">
        <v>19</v>
      </c>
      <c r="I1299" s="9">
        <v>8</v>
      </c>
      <c r="J1299" s="10">
        <v>-49.36</v>
      </c>
      <c r="K1299" s="9" t="str">
        <f>TEXT(Sales_of_Jordan[[#This Row],[Sale_Date]],"mmm")</f>
        <v>Feb</v>
      </c>
    </row>
    <row r="1300" spans="1:11" x14ac:dyDescent="0.35">
      <c r="A1300" s="7" t="s">
        <v>1330</v>
      </c>
      <c r="B1300" s="8">
        <v>45896</v>
      </c>
      <c r="C1300" s="9" t="s">
        <v>11</v>
      </c>
      <c r="D1300" s="9" t="s">
        <v>22</v>
      </c>
      <c r="E1300" s="9" t="s">
        <v>18</v>
      </c>
      <c r="F1300" s="9">
        <v>225</v>
      </c>
      <c r="G1300" s="9">
        <v>353.94</v>
      </c>
      <c r="H1300" s="9" t="s">
        <v>32</v>
      </c>
      <c r="I1300" s="9">
        <v>43</v>
      </c>
      <c r="J1300" s="10">
        <v>128.94</v>
      </c>
      <c r="K1300" s="9" t="str">
        <f>TEXT(Sales_of_Jordan[[#This Row],[Sale_Date]],"mmm")</f>
        <v>Aug</v>
      </c>
    </row>
    <row r="1301" spans="1:11" x14ac:dyDescent="0.35">
      <c r="A1301" s="7" t="s">
        <v>1331</v>
      </c>
      <c r="B1301" s="8">
        <v>45501</v>
      </c>
      <c r="C1301" s="9" t="s">
        <v>21</v>
      </c>
      <c r="D1301" s="9" t="s">
        <v>17</v>
      </c>
      <c r="E1301" s="9" t="s">
        <v>29</v>
      </c>
      <c r="F1301" s="9">
        <v>210</v>
      </c>
      <c r="G1301" s="9">
        <v>302.83</v>
      </c>
      <c r="H1301" s="9" t="s">
        <v>25</v>
      </c>
      <c r="I1301" s="9">
        <v>30</v>
      </c>
      <c r="J1301" s="10">
        <v>92.829999999999899</v>
      </c>
      <c r="K1301" s="9" t="str">
        <f>TEXT(Sales_of_Jordan[[#This Row],[Sale_Date]],"mmm")</f>
        <v>Jul</v>
      </c>
    </row>
    <row r="1302" spans="1:11" x14ac:dyDescent="0.35">
      <c r="A1302" s="7" t="s">
        <v>1332</v>
      </c>
      <c r="B1302" s="8">
        <v>45728</v>
      </c>
      <c r="C1302" s="9" t="s">
        <v>31</v>
      </c>
      <c r="D1302" s="9" t="s">
        <v>17</v>
      </c>
      <c r="E1302" s="9" t="s">
        <v>13</v>
      </c>
      <c r="F1302" s="9">
        <v>208</v>
      </c>
      <c r="G1302" s="9">
        <v>181.02</v>
      </c>
      <c r="H1302" s="9" t="s">
        <v>25</v>
      </c>
      <c r="I1302" s="9">
        <v>14</v>
      </c>
      <c r="J1302" s="10">
        <v>-26.979999999999901</v>
      </c>
      <c r="K1302" s="9" t="str">
        <f>TEXT(Sales_of_Jordan[[#This Row],[Sale_Date]],"mmm")</f>
        <v>Mar</v>
      </c>
    </row>
    <row r="1303" spans="1:11" x14ac:dyDescent="0.35">
      <c r="A1303" s="7" t="s">
        <v>1333</v>
      </c>
      <c r="B1303" s="8">
        <v>45627</v>
      </c>
      <c r="C1303" s="9" t="s">
        <v>31</v>
      </c>
      <c r="D1303" s="9" t="s">
        <v>12</v>
      </c>
      <c r="E1303" s="9" t="s">
        <v>18</v>
      </c>
      <c r="F1303" s="9">
        <v>207</v>
      </c>
      <c r="G1303" s="9">
        <v>504.81</v>
      </c>
      <c r="H1303" s="9" t="s">
        <v>23</v>
      </c>
      <c r="I1303" s="9">
        <v>33</v>
      </c>
      <c r="J1303" s="10">
        <v>297.81</v>
      </c>
      <c r="K1303" s="9" t="str">
        <f>TEXT(Sales_of_Jordan[[#This Row],[Sale_Date]],"mmm")</f>
        <v>Dec</v>
      </c>
    </row>
    <row r="1304" spans="1:11" x14ac:dyDescent="0.35">
      <c r="A1304" s="7" t="s">
        <v>1334</v>
      </c>
      <c r="B1304" s="8">
        <v>45822</v>
      </c>
      <c r="C1304" s="9" t="s">
        <v>21</v>
      </c>
      <c r="D1304" s="9" t="s">
        <v>53</v>
      </c>
      <c r="E1304" s="9" t="s">
        <v>29</v>
      </c>
      <c r="F1304" s="9">
        <v>225</v>
      </c>
      <c r="G1304" s="9">
        <v>288.27</v>
      </c>
      <c r="H1304" s="9" t="s">
        <v>14</v>
      </c>
      <c r="I1304" s="9">
        <v>8</v>
      </c>
      <c r="J1304" s="10">
        <v>63.269999999999897</v>
      </c>
      <c r="K1304" s="9" t="str">
        <f>TEXT(Sales_of_Jordan[[#This Row],[Sale_Date]],"mmm")</f>
        <v>Jun</v>
      </c>
    </row>
    <row r="1305" spans="1:11" x14ac:dyDescent="0.35">
      <c r="A1305" s="7" t="s">
        <v>1335</v>
      </c>
      <c r="B1305" s="8">
        <v>45424</v>
      </c>
      <c r="C1305" s="9" t="s">
        <v>31</v>
      </c>
      <c r="D1305" s="9" t="s">
        <v>34</v>
      </c>
      <c r="E1305" s="9" t="s">
        <v>13</v>
      </c>
      <c r="F1305" s="9">
        <v>209</v>
      </c>
      <c r="G1305" s="9">
        <v>167.63</v>
      </c>
      <c r="H1305" s="9" t="s">
        <v>19</v>
      </c>
      <c r="I1305" s="9">
        <v>1</v>
      </c>
      <c r="J1305" s="10">
        <v>-41.37</v>
      </c>
      <c r="K1305" s="9" t="str">
        <f>TEXT(Sales_of_Jordan[[#This Row],[Sale_Date]],"mmm")</f>
        <v>May</v>
      </c>
    </row>
    <row r="1306" spans="1:11" x14ac:dyDescent="0.35">
      <c r="A1306" s="7" t="s">
        <v>1336</v>
      </c>
      <c r="B1306" s="8">
        <v>45276</v>
      </c>
      <c r="C1306" s="9" t="s">
        <v>27</v>
      </c>
      <c r="D1306" s="9" t="s">
        <v>22</v>
      </c>
      <c r="E1306" s="9" t="s">
        <v>29</v>
      </c>
      <c r="F1306" s="9">
        <v>135</v>
      </c>
      <c r="G1306" s="9">
        <v>154.05000000000001</v>
      </c>
      <c r="H1306" s="9" t="s">
        <v>32</v>
      </c>
      <c r="I1306" s="9">
        <v>40</v>
      </c>
      <c r="J1306" s="10">
        <v>19.05</v>
      </c>
      <c r="K1306" s="9" t="str">
        <f>TEXT(Sales_of_Jordan[[#This Row],[Sale_Date]],"mmm")</f>
        <v>Dec</v>
      </c>
    </row>
    <row r="1307" spans="1:11" x14ac:dyDescent="0.35">
      <c r="A1307" s="7" t="s">
        <v>1337</v>
      </c>
      <c r="B1307" s="8">
        <v>45910</v>
      </c>
      <c r="C1307" s="9" t="s">
        <v>16</v>
      </c>
      <c r="D1307" s="9" t="s">
        <v>36</v>
      </c>
      <c r="E1307" s="9" t="s">
        <v>13</v>
      </c>
      <c r="F1307" s="9">
        <v>170</v>
      </c>
      <c r="G1307" s="9">
        <v>109.11</v>
      </c>
      <c r="H1307" s="9" t="s">
        <v>23</v>
      </c>
      <c r="I1307" s="9">
        <v>33</v>
      </c>
      <c r="J1307" s="10">
        <v>-60.89</v>
      </c>
      <c r="K1307" s="9" t="str">
        <f>TEXT(Sales_of_Jordan[[#This Row],[Sale_Date]],"mmm")</f>
        <v>Sep</v>
      </c>
    </row>
    <row r="1308" spans="1:11" x14ac:dyDescent="0.35">
      <c r="A1308" s="7" t="s">
        <v>1338</v>
      </c>
      <c r="B1308" s="8">
        <v>45013</v>
      </c>
      <c r="C1308" s="9" t="s">
        <v>27</v>
      </c>
      <c r="D1308" s="9" t="s">
        <v>17</v>
      </c>
      <c r="E1308" s="9" t="s">
        <v>13</v>
      </c>
      <c r="F1308" s="9">
        <v>118</v>
      </c>
      <c r="G1308" s="9">
        <v>96.07</v>
      </c>
      <c r="H1308" s="9" t="s">
        <v>14</v>
      </c>
      <c r="I1308" s="9">
        <v>8</v>
      </c>
      <c r="J1308" s="10">
        <v>-21.93</v>
      </c>
      <c r="K1308" s="9" t="str">
        <f>TEXT(Sales_of_Jordan[[#This Row],[Sale_Date]],"mmm")</f>
        <v>Mar</v>
      </c>
    </row>
    <row r="1309" spans="1:11" x14ac:dyDescent="0.35">
      <c r="A1309" s="7" t="s">
        <v>1339</v>
      </c>
      <c r="B1309" s="8">
        <v>45595</v>
      </c>
      <c r="C1309" s="9" t="s">
        <v>16</v>
      </c>
      <c r="D1309" s="9" t="s">
        <v>46</v>
      </c>
      <c r="E1309" s="9" t="s">
        <v>29</v>
      </c>
      <c r="F1309" s="9">
        <v>178</v>
      </c>
      <c r="G1309" s="9">
        <v>238.8</v>
      </c>
      <c r="H1309" s="9" t="s">
        <v>14</v>
      </c>
      <c r="I1309" s="9">
        <v>11</v>
      </c>
      <c r="J1309" s="10">
        <v>60.8</v>
      </c>
      <c r="K1309" s="9" t="str">
        <f>TEXT(Sales_of_Jordan[[#This Row],[Sale_Date]],"mmm")</f>
        <v>Oct</v>
      </c>
    </row>
    <row r="1310" spans="1:11" x14ac:dyDescent="0.35">
      <c r="A1310" s="7" t="s">
        <v>1340</v>
      </c>
      <c r="B1310" s="8">
        <v>44996</v>
      </c>
      <c r="C1310" s="9" t="s">
        <v>16</v>
      </c>
      <c r="D1310" s="9" t="s">
        <v>55</v>
      </c>
      <c r="E1310" s="9" t="s">
        <v>18</v>
      </c>
      <c r="F1310" s="9">
        <v>177</v>
      </c>
      <c r="G1310" s="9">
        <v>518.77</v>
      </c>
      <c r="H1310" s="9" t="s">
        <v>32</v>
      </c>
      <c r="I1310" s="9">
        <v>54</v>
      </c>
      <c r="J1310" s="10">
        <v>341.77</v>
      </c>
      <c r="K1310" s="9" t="str">
        <f>TEXT(Sales_of_Jordan[[#This Row],[Sale_Date]],"mmm")</f>
        <v>Mar</v>
      </c>
    </row>
    <row r="1311" spans="1:11" x14ac:dyDescent="0.35">
      <c r="A1311" s="7" t="s">
        <v>1341</v>
      </c>
      <c r="B1311" s="8">
        <v>45927</v>
      </c>
      <c r="C1311" s="9" t="s">
        <v>27</v>
      </c>
      <c r="D1311" s="9" t="s">
        <v>22</v>
      </c>
      <c r="E1311" s="9" t="s">
        <v>29</v>
      </c>
      <c r="F1311" s="9">
        <v>118</v>
      </c>
      <c r="G1311" s="9">
        <v>121.36</v>
      </c>
      <c r="H1311" s="9" t="s">
        <v>25</v>
      </c>
      <c r="I1311" s="9">
        <v>41</v>
      </c>
      <c r="J1311" s="10">
        <v>3.3599999999999901</v>
      </c>
      <c r="K1311" s="9" t="str">
        <f>TEXT(Sales_of_Jordan[[#This Row],[Sale_Date]],"mmm")</f>
        <v>Sep</v>
      </c>
    </row>
    <row r="1312" spans="1:11" x14ac:dyDescent="0.35">
      <c r="A1312" s="7" t="s">
        <v>1342</v>
      </c>
      <c r="B1312" s="8">
        <v>45470</v>
      </c>
      <c r="C1312" s="9" t="s">
        <v>31</v>
      </c>
      <c r="D1312" s="9" t="s">
        <v>12</v>
      </c>
      <c r="E1312" s="9" t="s">
        <v>29</v>
      </c>
      <c r="F1312" s="9">
        <v>209</v>
      </c>
      <c r="G1312" s="9">
        <v>233.24</v>
      </c>
      <c r="H1312" s="9" t="s">
        <v>25</v>
      </c>
      <c r="I1312" s="9">
        <v>14</v>
      </c>
      <c r="J1312" s="10">
        <v>24.24</v>
      </c>
      <c r="K1312" s="9" t="str">
        <f>TEXT(Sales_of_Jordan[[#This Row],[Sale_Date]],"mmm")</f>
        <v>Jun</v>
      </c>
    </row>
    <row r="1313" spans="1:11" x14ac:dyDescent="0.35">
      <c r="A1313" s="7" t="s">
        <v>1343</v>
      </c>
      <c r="B1313" s="8">
        <v>45233</v>
      </c>
      <c r="C1313" s="9" t="s">
        <v>21</v>
      </c>
      <c r="D1313" s="9" t="s">
        <v>34</v>
      </c>
      <c r="E1313" s="9" t="s">
        <v>29</v>
      </c>
      <c r="F1313" s="9">
        <v>222</v>
      </c>
      <c r="G1313" s="9">
        <v>224.81</v>
      </c>
      <c r="H1313" s="9" t="s">
        <v>19</v>
      </c>
      <c r="I1313" s="9">
        <v>12</v>
      </c>
      <c r="J1313" s="10">
        <v>2.81</v>
      </c>
      <c r="K1313" s="9" t="str">
        <f>TEXT(Sales_of_Jordan[[#This Row],[Sale_Date]],"mmm")</f>
        <v>Nov</v>
      </c>
    </row>
    <row r="1314" spans="1:11" x14ac:dyDescent="0.35">
      <c r="A1314" s="7" t="s">
        <v>1344</v>
      </c>
      <c r="B1314" s="8">
        <v>44943</v>
      </c>
      <c r="C1314" s="9" t="s">
        <v>11</v>
      </c>
      <c r="D1314" s="9" t="s">
        <v>46</v>
      </c>
      <c r="E1314" s="9" t="s">
        <v>18</v>
      </c>
      <c r="F1314" s="9">
        <v>230</v>
      </c>
      <c r="G1314" s="9">
        <v>339.86</v>
      </c>
      <c r="H1314" s="9" t="s">
        <v>14</v>
      </c>
      <c r="I1314" s="9">
        <v>14</v>
      </c>
      <c r="J1314" s="10">
        <v>109.86</v>
      </c>
      <c r="K1314" s="9" t="str">
        <f>TEXT(Sales_of_Jordan[[#This Row],[Sale_Date]],"mmm")</f>
        <v>Jan</v>
      </c>
    </row>
    <row r="1315" spans="1:11" x14ac:dyDescent="0.35">
      <c r="A1315" s="7" t="s">
        <v>1345</v>
      </c>
      <c r="B1315" s="8">
        <v>45187</v>
      </c>
      <c r="C1315" s="9" t="s">
        <v>31</v>
      </c>
      <c r="D1315" s="9" t="s">
        <v>46</v>
      </c>
      <c r="E1315" s="9" t="s">
        <v>29</v>
      </c>
      <c r="F1315" s="9">
        <v>205</v>
      </c>
      <c r="G1315" s="9">
        <v>243.76</v>
      </c>
      <c r="H1315" s="9" t="s">
        <v>14</v>
      </c>
      <c r="I1315" s="9">
        <v>6</v>
      </c>
      <c r="J1315" s="10">
        <v>38.759999999999899</v>
      </c>
      <c r="K1315" s="9" t="str">
        <f>TEXT(Sales_of_Jordan[[#This Row],[Sale_Date]],"mmm")</f>
        <v>Sep</v>
      </c>
    </row>
    <row r="1316" spans="1:11" x14ac:dyDescent="0.35">
      <c r="A1316" s="7" t="s">
        <v>1346</v>
      </c>
      <c r="B1316" s="8">
        <v>45448</v>
      </c>
      <c r="C1316" s="9" t="s">
        <v>27</v>
      </c>
      <c r="D1316" s="9" t="s">
        <v>53</v>
      </c>
      <c r="E1316" s="9" t="s">
        <v>29</v>
      </c>
      <c r="F1316" s="9">
        <v>112</v>
      </c>
      <c r="G1316" s="9">
        <v>164.7</v>
      </c>
      <c r="H1316" s="9" t="s">
        <v>23</v>
      </c>
      <c r="I1316" s="9">
        <v>34</v>
      </c>
      <c r="J1316" s="10">
        <v>52.699999999999903</v>
      </c>
      <c r="K1316" s="9" t="str">
        <f>TEXT(Sales_of_Jordan[[#This Row],[Sale_Date]],"mmm")</f>
        <v>Jun</v>
      </c>
    </row>
    <row r="1317" spans="1:11" x14ac:dyDescent="0.35">
      <c r="A1317" s="7" t="s">
        <v>1347</v>
      </c>
      <c r="B1317" s="8">
        <v>45031</v>
      </c>
      <c r="C1317" s="9" t="s">
        <v>21</v>
      </c>
      <c r="D1317" s="9" t="s">
        <v>39</v>
      </c>
      <c r="E1317" s="9" t="s">
        <v>29</v>
      </c>
      <c r="F1317" s="9">
        <v>213</v>
      </c>
      <c r="G1317" s="9">
        <v>192.1</v>
      </c>
      <c r="H1317" s="9" t="s">
        <v>19</v>
      </c>
      <c r="I1317" s="9">
        <v>11</v>
      </c>
      <c r="J1317" s="10">
        <v>-20.9</v>
      </c>
      <c r="K1317" s="9" t="str">
        <f>TEXT(Sales_of_Jordan[[#This Row],[Sale_Date]],"mmm")</f>
        <v>Apr</v>
      </c>
    </row>
    <row r="1318" spans="1:11" x14ac:dyDescent="0.35">
      <c r="A1318" s="7" t="s">
        <v>1348</v>
      </c>
      <c r="B1318" s="8">
        <v>45408</v>
      </c>
      <c r="C1318" s="9" t="s">
        <v>31</v>
      </c>
      <c r="D1318" s="9" t="s">
        <v>34</v>
      </c>
      <c r="E1318" s="9" t="s">
        <v>13</v>
      </c>
      <c r="F1318" s="9">
        <v>205</v>
      </c>
      <c r="G1318" s="9">
        <v>154.83000000000001</v>
      </c>
      <c r="H1318" s="9" t="s">
        <v>14</v>
      </c>
      <c r="I1318" s="9">
        <v>11</v>
      </c>
      <c r="J1318" s="10">
        <v>-50.169999999999902</v>
      </c>
      <c r="K1318" s="9" t="str">
        <f>TEXT(Sales_of_Jordan[[#This Row],[Sale_Date]],"mmm")</f>
        <v>Apr</v>
      </c>
    </row>
    <row r="1319" spans="1:11" x14ac:dyDescent="0.35">
      <c r="A1319" s="7" t="s">
        <v>1349</v>
      </c>
      <c r="B1319" s="8">
        <v>45738</v>
      </c>
      <c r="C1319" s="9" t="s">
        <v>21</v>
      </c>
      <c r="D1319" s="9" t="s">
        <v>39</v>
      </c>
      <c r="E1319" s="9" t="s">
        <v>13</v>
      </c>
      <c r="F1319" s="9">
        <v>213</v>
      </c>
      <c r="G1319" s="9">
        <v>121.33</v>
      </c>
      <c r="H1319" s="9" t="s">
        <v>19</v>
      </c>
      <c r="I1319" s="9">
        <v>14</v>
      </c>
      <c r="J1319" s="10">
        <v>-91.67</v>
      </c>
      <c r="K1319" s="9" t="str">
        <f>TEXT(Sales_of_Jordan[[#This Row],[Sale_Date]],"mmm")</f>
        <v>Mar</v>
      </c>
    </row>
    <row r="1320" spans="1:11" x14ac:dyDescent="0.35">
      <c r="A1320" s="7" t="s">
        <v>1350</v>
      </c>
      <c r="B1320" s="8">
        <v>45313</v>
      </c>
      <c r="C1320" s="9" t="s">
        <v>21</v>
      </c>
      <c r="D1320" s="9" t="s">
        <v>55</v>
      </c>
      <c r="E1320" s="9" t="s">
        <v>18</v>
      </c>
      <c r="F1320" s="9">
        <v>221</v>
      </c>
      <c r="G1320" s="9">
        <v>552.41999999999996</v>
      </c>
      <c r="H1320" s="9" t="s">
        <v>32</v>
      </c>
      <c r="I1320" s="9">
        <v>54</v>
      </c>
      <c r="J1320" s="10">
        <v>331.41999999999899</v>
      </c>
      <c r="K1320" s="9" t="str">
        <f>TEXT(Sales_of_Jordan[[#This Row],[Sale_Date]],"mmm")</f>
        <v>Jan</v>
      </c>
    </row>
    <row r="1321" spans="1:11" x14ac:dyDescent="0.35">
      <c r="A1321" s="7" t="s">
        <v>1351</v>
      </c>
      <c r="B1321" s="8">
        <v>45150</v>
      </c>
      <c r="C1321" s="9" t="s">
        <v>21</v>
      </c>
      <c r="D1321" s="9" t="s">
        <v>39</v>
      </c>
      <c r="E1321" s="9" t="s">
        <v>18</v>
      </c>
      <c r="F1321" s="9">
        <v>223</v>
      </c>
      <c r="G1321" s="9">
        <v>680.16</v>
      </c>
      <c r="H1321" s="9" t="s">
        <v>32</v>
      </c>
      <c r="I1321" s="9">
        <v>14</v>
      </c>
      <c r="J1321" s="10">
        <v>457.159999999999</v>
      </c>
      <c r="K1321" s="9" t="str">
        <f>TEXT(Sales_of_Jordan[[#This Row],[Sale_Date]],"mmm")</f>
        <v>Aug</v>
      </c>
    </row>
    <row r="1322" spans="1:11" x14ac:dyDescent="0.35">
      <c r="A1322" s="7" t="s">
        <v>1352</v>
      </c>
      <c r="B1322" s="8">
        <v>45184</v>
      </c>
      <c r="C1322" s="9" t="s">
        <v>31</v>
      </c>
      <c r="D1322" s="9" t="s">
        <v>34</v>
      </c>
      <c r="E1322" s="9" t="s">
        <v>18</v>
      </c>
      <c r="F1322" s="9">
        <v>209</v>
      </c>
      <c r="G1322" s="9">
        <v>403.17</v>
      </c>
      <c r="H1322" s="9" t="s">
        <v>19</v>
      </c>
      <c r="I1322" s="9">
        <v>1</v>
      </c>
      <c r="J1322" s="10">
        <v>194.17</v>
      </c>
      <c r="K1322" s="9" t="str">
        <f>TEXT(Sales_of_Jordan[[#This Row],[Sale_Date]],"mmm")</f>
        <v>Sep</v>
      </c>
    </row>
    <row r="1323" spans="1:11" x14ac:dyDescent="0.35">
      <c r="A1323" s="7" t="s">
        <v>1353</v>
      </c>
      <c r="B1323" s="8">
        <v>45419</v>
      </c>
      <c r="C1323" s="9" t="s">
        <v>31</v>
      </c>
      <c r="D1323" s="9" t="s">
        <v>22</v>
      </c>
      <c r="E1323" s="9" t="s">
        <v>18</v>
      </c>
      <c r="F1323" s="9">
        <v>203</v>
      </c>
      <c r="G1323" s="9">
        <v>518.92999999999995</v>
      </c>
      <c r="H1323" s="9" t="s">
        <v>32</v>
      </c>
      <c r="I1323" s="9">
        <v>60</v>
      </c>
      <c r="J1323" s="10">
        <v>315.92999999999898</v>
      </c>
      <c r="K1323" s="9" t="str">
        <f>TEXT(Sales_of_Jordan[[#This Row],[Sale_Date]],"mmm")</f>
        <v>May</v>
      </c>
    </row>
    <row r="1324" spans="1:11" x14ac:dyDescent="0.35">
      <c r="A1324" s="7" t="s">
        <v>1354</v>
      </c>
      <c r="B1324" s="8">
        <v>45131</v>
      </c>
      <c r="C1324" s="9" t="s">
        <v>16</v>
      </c>
      <c r="D1324" s="9" t="s">
        <v>55</v>
      </c>
      <c r="E1324" s="9" t="s">
        <v>13</v>
      </c>
      <c r="F1324" s="9">
        <v>188</v>
      </c>
      <c r="G1324" s="9">
        <v>121.75</v>
      </c>
      <c r="H1324" s="9" t="s">
        <v>25</v>
      </c>
      <c r="I1324" s="9">
        <v>21</v>
      </c>
      <c r="J1324" s="10">
        <v>-66.25</v>
      </c>
      <c r="K1324" s="9" t="str">
        <f>TEXT(Sales_of_Jordan[[#This Row],[Sale_Date]],"mmm")</f>
        <v>Jul</v>
      </c>
    </row>
    <row r="1325" spans="1:11" x14ac:dyDescent="0.35">
      <c r="A1325" s="7" t="s">
        <v>1355</v>
      </c>
      <c r="B1325" s="8">
        <v>45386</v>
      </c>
      <c r="C1325" s="9" t="s">
        <v>16</v>
      </c>
      <c r="D1325" s="9" t="s">
        <v>34</v>
      </c>
      <c r="E1325" s="9" t="s">
        <v>18</v>
      </c>
      <c r="F1325" s="9">
        <v>174</v>
      </c>
      <c r="G1325" s="9">
        <v>373.23</v>
      </c>
      <c r="H1325" s="9" t="s">
        <v>25</v>
      </c>
      <c r="I1325" s="9">
        <v>8</v>
      </c>
      <c r="J1325" s="10">
        <v>199.23</v>
      </c>
      <c r="K1325" s="9" t="str">
        <f>TEXT(Sales_of_Jordan[[#This Row],[Sale_Date]],"mmm")</f>
        <v>Apr</v>
      </c>
    </row>
    <row r="1326" spans="1:11" x14ac:dyDescent="0.35">
      <c r="A1326" s="7" t="s">
        <v>1356</v>
      </c>
      <c r="B1326" s="8">
        <v>45276</v>
      </c>
      <c r="C1326" s="9" t="s">
        <v>16</v>
      </c>
      <c r="D1326" s="9" t="s">
        <v>46</v>
      </c>
      <c r="E1326" s="9" t="s">
        <v>29</v>
      </c>
      <c r="F1326" s="9">
        <v>182</v>
      </c>
      <c r="G1326" s="9">
        <v>258.76</v>
      </c>
      <c r="H1326" s="9" t="s">
        <v>32</v>
      </c>
      <c r="I1326" s="9">
        <v>58</v>
      </c>
      <c r="J1326" s="10">
        <v>76.759999999999906</v>
      </c>
      <c r="K1326" s="9" t="str">
        <f>TEXT(Sales_of_Jordan[[#This Row],[Sale_Date]],"mmm")</f>
        <v>Dec</v>
      </c>
    </row>
    <row r="1327" spans="1:11" x14ac:dyDescent="0.35">
      <c r="A1327" s="7" t="s">
        <v>1357</v>
      </c>
      <c r="B1327" s="8">
        <v>45518</v>
      </c>
      <c r="C1327" s="9" t="s">
        <v>21</v>
      </c>
      <c r="D1327" s="9" t="s">
        <v>39</v>
      </c>
      <c r="E1327" s="9" t="s">
        <v>18</v>
      </c>
      <c r="F1327" s="9">
        <v>210</v>
      </c>
      <c r="G1327" s="9">
        <v>613.73</v>
      </c>
      <c r="H1327" s="9" t="s">
        <v>19</v>
      </c>
      <c r="I1327" s="9">
        <v>3</v>
      </c>
      <c r="J1327" s="10">
        <v>403.73</v>
      </c>
      <c r="K1327" s="9" t="str">
        <f>TEXT(Sales_of_Jordan[[#This Row],[Sale_Date]],"mmm")</f>
        <v>Aug</v>
      </c>
    </row>
    <row r="1328" spans="1:11" x14ac:dyDescent="0.35">
      <c r="A1328" s="7" t="s">
        <v>1358</v>
      </c>
      <c r="B1328" s="8">
        <v>45714</v>
      </c>
      <c r="C1328" s="9" t="s">
        <v>27</v>
      </c>
      <c r="D1328" s="9" t="s">
        <v>55</v>
      </c>
      <c r="E1328" s="9" t="s">
        <v>18</v>
      </c>
      <c r="F1328" s="9">
        <v>125</v>
      </c>
      <c r="G1328" s="9">
        <v>259.45</v>
      </c>
      <c r="H1328" s="9" t="s">
        <v>32</v>
      </c>
      <c r="I1328" s="9">
        <v>28</v>
      </c>
      <c r="J1328" s="10">
        <v>134.44999999999999</v>
      </c>
      <c r="K1328" s="9" t="str">
        <f>TEXT(Sales_of_Jordan[[#This Row],[Sale_Date]],"mmm")</f>
        <v>Feb</v>
      </c>
    </row>
    <row r="1329" spans="1:11" x14ac:dyDescent="0.35">
      <c r="A1329" s="7" t="s">
        <v>1359</v>
      </c>
      <c r="B1329" s="8">
        <v>45487</v>
      </c>
      <c r="C1329" s="9" t="s">
        <v>27</v>
      </c>
      <c r="D1329" s="9" t="s">
        <v>22</v>
      </c>
      <c r="E1329" s="9" t="s">
        <v>29</v>
      </c>
      <c r="F1329" s="9">
        <v>114</v>
      </c>
      <c r="G1329" s="9">
        <v>160.99</v>
      </c>
      <c r="H1329" s="9" t="s">
        <v>23</v>
      </c>
      <c r="I1329" s="9">
        <v>42</v>
      </c>
      <c r="J1329" s="10">
        <v>46.99</v>
      </c>
      <c r="K1329" s="9" t="str">
        <f>TEXT(Sales_of_Jordan[[#This Row],[Sale_Date]],"mmm")</f>
        <v>Jul</v>
      </c>
    </row>
    <row r="1330" spans="1:11" x14ac:dyDescent="0.35">
      <c r="A1330" s="7" t="s">
        <v>1360</v>
      </c>
      <c r="B1330" s="8">
        <v>45265</v>
      </c>
      <c r="C1330" s="9" t="s">
        <v>27</v>
      </c>
      <c r="D1330" s="9" t="s">
        <v>55</v>
      </c>
      <c r="E1330" s="9" t="s">
        <v>18</v>
      </c>
      <c r="F1330" s="9">
        <v>116</v>
      </c>
      <c r="G1330" s="9">
        <v>369.75</v>
      </c>
      <c r="H1330" s="9" t="s">
        <v>23</v>
      </c>
      <c r="I1330" s="9">
        <v>19</v>
      </c>
      <c r="J1330" s="10">
        <v>253.75</v>
      </c>
      <c r="K1330" s="9" t="str">
        <f>TEXT(Sales_of_Jordan[[#This Row],[Sale_Date]],"mmm")</f>
        <v>Dec</v>
      </c>
    </row>
    <row r="1331" spans="1:11" x14ac:dyDescent="0.35">
      <c r="A1331" s="7" t="s">
        <v>1361</v>
      </c>
      <c r="B1331" s="8">
        <v>45604</v>
      </c>
      <c r="C1331" s="9" t="s">
        <v>21</v>
      </c>
      <c r="D1331" s="9" t="s">
        <v>39</v>
      </c>
      <c r="E1331" s="9" t="s">
        <v>18</v>
      </c>
      <c r="F1331" s="9">
        <v>217</v>
      </c>
      <c r="G1331" s="9">
        <v>687.65</v>
      </c>
      <c r="H1331" s="9" t="s">
        <v>25</v>
      </c>
      <c r="I1331" s="9">
        <v>36</v>
      </c>
      <c r="J1331" s="10">
        <v>470.65</v>
      </c>
      <c r="K1331" s="9" t="str">
        <f>TEXT(Sales_of_Jordan[[#This Row],[Sale_Date]],"mmm")</f>
        <v>Nov</v>
      </c>
    </row>
    <row r="1332" spans="1:11" x14ac:dyDescent="0.35">
      <c r="A1332" s="7" t="s">
        <v>1362</v>
      </c>
      <c r="B1332" s="8">
        <v>45352</v>
      </c>
      <c r="C1332" s="9" t="s">
        <v>27</v>
      </c>
      <c r="D1332" s="9" t="s">
        <v>22</v>
      </c>
      <c r="E1332" s="9" t="s">
        <v>13</v>
      </c>
      <c r="F1332" s="9">
        <v>116</v>
      </c>
      <c r="G1332" s="9">
        <v>58.93</v>
      </c>
      <c r="H1332" s="9" t="s">
        <v>25</v>
      </c>
      <c r="I1332" s="9">
        <v>37</v>
      </c>
      <c r="J1332" s="10">
        <v>-57.07</v>
      </c>
      <c r="K1332" s="9" t="str">
        <f>TEXT(Sales_of_Jordan[[#This Row],[Sale_Date]],"mmm")</f>
        <v>Mar</v>
      </c>
    </row>
    <row r="1333" spans="1:11" x14ac:dyDescent="0.35">
      <c r="A1333" s="7" t="s">
        <v>1363</v>
      </c>
      <c r="B1333" s="8">
        <v>44933</v>
      </c>
      <c r="C1333" s="9" t="s">
        <v>11</v>
      </c>
      <c r="D1333" s="9" t="s">
        <v>36</v>
      </c>
      <c r="E1333" s="9" t="s">
        <v>18</v>
      </c>
      <c r="F1333" s="9">
        <v>227</v>
      </c>
      <c r="G1333" s="9">
        <v>541.49</v>
      </c>
      <c r="H1333" s="9" t="s">
        <v>23</v>
      </c>
      <c r="I1333" s="9">
        <v>52</v>
      </c>
      <c r="J1333" s="10">
        <v>314.49</v>
      </c>
      <c r="K1333" s="9" t="str">
        <f>TEXT(Sales_of_Jordan[[#This Row],[Sale_Date]],"mmm")</f>
        <v>Jan</v>
      </c>
    </row>
    <row r="1334" spans="1:11" x14ac:dyDescent="0.35">
      <c r="A1334" s="7" t="s">
        <v>1364</v>
      </c>
      <c r="B1334" s="8">
        <v>45177</v>
      </c>
      <c r="C1334" s="9" t="s">
        <v>31</v>
      </c>
      <c r="D1334" s="9" t="s">
        <v>36</v>
      </c>
      <c r="E1334" s="9" t="s">
        <v>18</v>
      </c>
      <c r="F1334" s="9">
        <v>208</v>
      </c>
      <c r="G1334" s="9">
        <v>322.33</v>
      </c>
      <c r="H1334" s="9" t="s">
        <v>19</v>
      </c>
      <c r="I1334" s="9">
        <v>10</v>
      </c>
      <c r="J1334" s="10">
        <v>114.329999999999</v>
      </c>
      <c r="K1334" s="9" t="str">
        <f>TEXT(Sales_of_Jordan[[#This Row],[Sale_Date]],"mmm")</f>
        <v>Sep</v>
      </c>
    </row>
    <row r="1335" spans="1:11" x14ac:dyDescent="0.35">
      <c r="A1335" s="7" t="s">
        <v>1365</v>
      </c>
      <c r="B1335" s="8">
        <v>45877</v>
      </c>
      <c r="C1335" s="9" t="s">
        <v>27</v>
      </c>
      <c r="D1335" s="9" t="s">
        <v>46</v>
      </c>
      <c r="E1335" s="9" t="s">
        <v>18</v>
      </c>
      <c r="F1335" s="9">
        <v>139</v>
      </c>
      <c r="G1335" s="9">
        <v>390.47</v>
      </c>
      <c r="H1335" s="9" t="s">
        <v>25</v>
      </c>
      <c r="I1335" s="9">
        <v>32</v>
      </c>
      <c r="J1335" s="10">
        <v>251.47</v>
      </c>
      <c r="K1335" s="9" t="str">
        <f>TEXT(Sales_of_Jordan[[#This Row],[Sale_Date]],"mmm")</f>
        <v>Aug</v>
      </c>
    </row>
    <row r="1336" spans="1:11" x14ac:dyDescent="0.35">
      <c r="A1336" s="7" t="s">
        <v>1366</v>
      </c>
      <c r="B1336" s="8">
        <v>45625</v>
      </c>
      <c r="C1336" s="9" t="s">
        <v>31</v>
      </c>
      <c r="D1336" s="9" t="s">
        <v>39</v>
      </c>
      <c r="E1336" s="9" t="s">
        <v>13</v>
      </c>
      <c r="F1336" s="9">
        <v>208</v>
      </c>
      <c r="G1336" s="9">
        <v>177.96</v>
      </c>
      <c r="H1336" s="9" t="s">
        <v>14</v>
      </c>
      <c r="I1336" s="9">
        <v>2</v>
      </c>
      <c r="J1336" s="10">
        <v>-30.0399999999999</v>
      </c>
      <c r="K1336" s="9" t="str">
        <f>TEXT(Sales_of_Jordan[[#This Row],[Sale_Date]],"mmm")</f>
        <v>Nov</v>
      </c>
    </row>
    <row r="1337" spans="1:11" x14ac:dyDescent="0.35">
      <c r="A1337" s="7" t="s">
        <v>1367</v>
      </c>
      <c r="B1337" s="8">
        <v>45061</v>
      </c>
      <c r="C1337" s="9" t="s">
        <v>21</v>
      </c>
      <c r="D1337" s="9" t="s">
        <v>46</v>
      </c>
      <c r="E1337" s="9" t="s">
        <v>13</v>
      </c>
      <c r="F1337" s="9">
        <v>211</v>
      </c>
      <c r="G1337" s="9">
        <v>186.15</v>
      </c>
      <c r="H1337" s="9" t="s">
        <v>32</v>
      </c>
      <c r="I1337" s="9">
        <v>5</v>
      </c>
      <c r="J1337" s="10">
        <v>-24.849999999999898</v>
      </c>
      <c r="K1337" s="9" t="str">
        <f>TEXT(Sales_of_Jordan[[#This Row],[Sale_Date]],"mmm")</f>
        <v>May</v>
      </c>
    </row>
    <row r="1338" spans="1:11" x14ac:dyDescent="0.35">
      <c r="A1338" s="7" t="s">
        <v>1368</v>
      </c>
      <c r="B1338" s="8">
        <v>45355</v>
      </c>
      <c r="C1338" s="9" t="s">
        <v>27</v>
      </c>
      <c r="D1338" s="9" t="s">
        <v>22</v>
      </c>
      <c r="E1338" s="9" t="s">
        <v>29</v>
      </c>
      <c r="F1338" s="9">
        <v>129</v>
      </c>
      <c r="G1338" s="9">
        <v>186.2</v>
      </c>
      <c r="H1338" s="9" t="s">
        <v>25</v>
      </c>
      <c r="I1338" s="9">
        <v>60</v>
      </c>
      <c r="J1338" s="10">
        <v>57.199999999999903</v>
      </c>
      <c r="K1338" s="9" t="str">
        <f>TEXT(Sales_of_Jordan[[#This Row],[Sale_Date]],"mmm")</f>
        <v>Mar</v>
      </c>
    </row>
    <row r="1339" spans="1:11" x14ac:dyDescent="0.35">
      <c r="A1339" s="7" t="s">
        <v>1369</v>
      </c>
      <c r="B1339" s="8">
        <v>45418</v>
      </c>
      <c r="C1339" s="9" t="s">
        <v>11</v>
      </c>
      <c r="D1339" s="9" t="s">
        <v>39</v>
      </c>
      <c r="E1339" s="9" t="s">
        <v>18</v>
      </c>
      <c r="F1339" s="9">
        <v>230</v>
      </c>
      <c r="G1339" s="9">
        <v>497.46</v>
      </c>
      <c r="H1339" s="9" t="s">
        <v>23</v>
      </c>
      <c r="I1339" s="9">
        <v>40</v>
      </c>
      <c r="J1339" s="10">
        <v>267.45999999999998</v>
      </c>
      <c r="K1339" s="9" t="str">
        <f>TEXT(Sales_of_Jordan[[#This Row],[Sale_Date]],"mmm")</f>
        <v>May</v>
      </c>
    </row>
    <row r="1340" spans="1:11" x14ac:dyDescent="0.35">
      <c r="A1340" s="7" t="s">
        <v>1370</v>
      </c>
      <c r="B1340" s="8">
        <v>45927</v>
      </c>
      <c r="C1340" s="9" t="s">
        <v>16</v>
      </c>
      <c r="D1340" s="9" t="s">
        <v>39</v>
      </c>
      <c r="E1340" s="9" t="s">
        <v>13</v>
      </c>
      <c r="F1340" s="9">
        <v>177</v>
      </c>
      <c r="G1340" s="9">
        <v>125.47</v>
      </c>
      <c r="H1340" s="9" t="s">
        <v>32</v>
      </c>
      <c r="I1340" s="9">
        <v>24</v>
      </c>
      <c r="J1340" s="10">
        <v>-51.53</v>
      </c>
      <c r="K1340" s="9" t="str">
        <f>TEXT(Sales_of_Jordan[[#This Row],[Sale_Date]],"mmm")</f>
        <v>Sep</v>
      </c>
    </row>
    <row r="1341" spans="1:11" x14ac:dyDescent="0.35">
      <c r="A1341" s="7" t="s">
        <v>1371</v>
      </c>
      <c r="B1341" s="8">
        <v>45656</v>
      </c>
      <c r="C1341" s="9" t="s">
        <v>21</v>
      </c>
      <c r="D1341" s="9" t="s">
        <v>39</v>
      </c>
      <c r="E1341" s="9" t="s">
        <v>29</v>
      </c>
      <c r="F1341" s="9">
        <v>212</v>
      </c>
      <c r="G1341" s="9">
        <v>301.37</v>
      </c>
      <c r="H1341" s="9" t="s">
        <v>32</v>
      </c>
      <c r="I1341" s="9">
        <v>36</v>
      </c>
      <c r="J1341" s="10">
        <v>89.37</v>
      </c>
      <c r="K1341" s="9" t="str">
        <f>TEXT(Sales_of_Jordan[[#This Row],[Sale_Date]],"mmm")</f>
        <v>Dec</v>
      </c>
    </row>
    <row r="1342" spans="1:11" x14ac:dyDescent="0.35">
      <c r="A1342" s="7" t="s">
        <v>1372</v>
      </c>
      <c r="B1342" s="8">
        <v>45474</v>
      </c>
      <c r="C1342" s="9" t="s">
        <v>21</v>
      </c>
      <c r="D1342" s="9" t="s">
        <v>36</v>
      </c>
      <c r="E1342" s="9" t="s">
        <v>18</v>
      </c>
      <c r="F1342" s="9">
        <v>216</v>
      </c>
      <c r="G1342" s="9">
        <v>332.04</v>
      </c>
      <c r="H1342" s="9" t="s">
        <v>19</v>
      </c>
      <c r="I1342" s="9">
        <v>2</v>
      </c>
      <c r="J1342" s="10">
        <v>116.04</v>
      </c>
      <c r="K1342" s="9" t="str">
        <f>TEXT(Sales_of_Jordan[[#This Row],[Sale_Date]],"mmm")</f>
        <v>Jul</v>
      </c>
    </row>
    <row r="1343" spans="1:11" x14ac:dyDescent="0.35">
      <c r="A1343" s="7" t="s">
        <v>1373</v>
      </c>
      <c r="B1343" s="8">
        <v>45643</v>
      </c>
      <c r="C1343" s="9" t="s">
        <v>31</v>
      </c>
      <c r="D1343" s="9" t="s">
        <v>36</v>
      </c>
      <c r="E1343" s="9" t="s">
        <v>13</v>
      </c>
      <c r="F1343" s="9">
        <v>200</v>
      </c>
      <c r="G1343" s="9">
        <v>144.69</v>
      </c>
      <c r="H1343" s="9" t="s">
        <v>23</v>
      </c>
      <c r="I1343" s="9">
        <v>45</v>
      </c>
      <c r="J1343" s="10">
        <v>-55.31</v>
      </c>
      <c r="K1343" s="9" t="str">
        <f>TEXT(Sales_of_Jordan[[#This Row],[Sale_Date]],"mmm")</f>
        <v>Dec</v>
      </c>
    </row>
    <row r="1344" spans="1:11" x14ac:dyDescent="0.35">
      <c r="A1344" s="7" t="s">
        <v>1374</v>
      </c>
      <c r="B1344" s="8">
        <v>45110</v>
      </c>
      <c r="C1344" s="9" t="s">
        <v>16</v>
      </c>
      <c r="D1344" s="9" t="s">
        <v>17</v>
      </c>
      <c r="E1344" s="9" t="s">
        <v>18</v>
      </c>
      <c r="F1344" s="9">
        <v>184</v>
      </c>
      <c r="G1344" s="9">
        <v>601.99</v>
      </c>
      <c r="H1344" s="9" t="s">
        <v>14</v>
      </c>
      <c r="I1344" s="9">
        <v>11</v>
      </c>
      <c r="J1344" s="10">
        <v>417.99</v>
      </c>
      <c r="K1344" s="9" t="str">
        <f>TEXT(Sales_of_Jordan[[#This Row],[Sale_Date]],"mmm")</f>
        <v>Jul</v>
      </c>
    </row>
    <row r="1345" spans="1:11" x14ac:dyDescent="0.35">
      <c r="A1345" s="7" t="s">
        <v>1375</v>
      </c>
      <c r="B1345" s="8">
        <v>45099</v>
      </c>
      <c r="C1345" s="9" t="s">
        <v>16</v>
      </c>
      <c r="D1345" s="9" t="s">
        <v>39</v>
      </c>
      <c r="E1345" s="9" t="s">
        <v>13</v>
      </c>
      <c r="F1345" s="9">
        <v>185</v>
      </c>
      <c r="G1345" s="9">
        <v>103.57</v>
      </c>
      <c r="H1345" s="9" t="s">
        <v>19</v>
      </c>
      <c r="I1345" s="9">
        <v>1</v>
      </c>
      <c r="J1345" s="10">
        <v>-81.430000000000007</v>
      </c>
      <c r="K1345" s="9" t="str">
        <f>TEXT(Sales_of_Jordan[[#This Row],[Sale_Date]],"mmm")</f>
        <v>Jun</v>
      </c>
    </row>
    <row r="1346" spans="1:11" x14ac:dyDescent="0.35">
      <c r="A1346" s="7" t="s">
        <v>1376</v>
      </c>
      <c r="B1346" s="8">
        <v>45413</v>
      </c>
      <c r="C1346" s="9" t="s">
        <v>21</v>
      </c>
      <c r="D1346" s="9" t="s">
        <v>46</v>
      </c>
      <c r="E1346" s="9" t="s">
        <v>13</v>
      </c>
      <c r="F1346" s="9">
        <v>217</v>
      </c>
      <c r="G1346" s="9">
        <v>120.35</v>
      </c>
      <c r="H1346" s="9" t="s">
        <v>19</v>
      </c>
      <c r="I1346" s="9">
        <v>6</v>
      </c>
      <c r="J1346" s="10">
        <v>-96.65</v>
      </c>
      <c r="K1346" s="9" t="str">
        <f>TEXT(Sales_of_Jordan[[#This Row],[Sale_Date]],"mmm")</f>
        <v>May</v>
      </c>
    </row>
    <row r="1347" spans="1:11" x14ac:dyDescent="0.35">
      <c r="A1347" s="7" t="s">
        <v>1377</v>
      </c>
      <c r="B1347" s="8">
        <v>45275</v>
      </c>
      <c r="C1347" s="9" t="s">
        <v>31</v>
      </c>
      <c r="D1347" s="9" t="s">
        <v>39</v>
      </c>
      <c r="E1347" s="9" t="s">
        <v>18</v>
      </c>
      <c r="F1347" s="9">
        <v>200</v>
      </c>
      <c r="G1347" s="9">
        <v>496.37</v>
      </c>
      <c r="H1347" s="9" t="s">
        <v>25</v>
      </c>
      <c r="I1347" s="9">
        <v>50</v>
      </c>
      <c r="J1347" s="10">
        <v>296.37</v>
      </c>
      <c r="K1347" s="9" t="str">
        <f>TEXT(Sales_of_Jordan[[#This Row],[Sale_Date]],"mmm")</f>
        <v>Dec</v>
      </c>
    </row>
    <row r="1348" spans="1:11" x14ac:dyDescent="0.35">
      <c r="A1348" s="7" t="s">
        <v>1378</v>
      </c>
      <c r="B1348" s="8">
        <v>45567</v>
      </c>
      <c r="C1348" s="9" t="s">
        <v>16</v>
      </c>
      <c r="D1348" s="9" t="s">
        <v>55</v>
      </c>
      <c r="E1348" s="9" t="s">
        <v>13</v>
      </c>
      <c r="F1348" s="9">
        <v>184</v>
      </c>
      <c r="G1348" s="9">
        <v>143.82</v>
      </c>
      <c r="H1348" s="9" t="s">
        <v>23</v>
      </c>
      <c r="I1348" s="9">
        <v>7</v>
      </c>
      <c r="J1348" s="10">
        <v>-40.18</v>
      </c>
      <c r="K1348" s="9" t="str">
        <f>TEXT(Sales_of_Jordan[[#This Row],[Sale_Date]],"mmm")</f>
        <v>Oct</v>
      </c>
    </row>
    <row r="1349" spans="1:11" x14ac:dyDescent="0.35">
      <c r="A1349" s="7" t="s">
        <v>1379</v>
      </c>
      <c r="B1349" s="8">
        <v>45536</v>
      </c>
      <c r="C1349" s="9" t="s">
        <v>21</v>
      </c>
      <c r="D1349" s="9" t="s">
        <v>53</v>
      </c>
      <c r="E1349" s="9" t="s">
        <v>18</v>
      </c>
      <c r="F1349" s="9">
        <v>211</v>
      </c>
      <c r="G1349" s="9">
        <v>490.46</v>
      </c>
      <c r="H1349" s="9" t="s">
        <v>32</v>
      </c>
      <c r="I1349" s="9">
        <v>6</v>
      </c>
      <c r="J1349" s="10">
        <v>279.45999999999998</v>
      </c>
      <c r="K1349" s="9" t="str">
        <f>TEXT(Sales_of_Jordan[[#This Row],[Sale_Date]],"mmm")</f>
        <v>Sep</v>
      </c>
    </row>
    <row r="1350" spans="1:11" x14ac:dyDescent="0.35">
      <c r="A1350" s="7" t="s">
        <v>1380</v>
      </c>
      <c r="B1350" s="8">
        <v>44961</v>
      </c>
      <c r="C1350" s="9" t="s">
        <v>31</v>
      </c>
      <c r="D1350" s="9" t="s">
        <v>46</v>
      </c>
      <c r="E1350" s="9" t="s">
        <v>29</v>
      </c>
      <c r="F1350" s="9">
        <v>203</v>
      </c>
      <c r="G1350" s="9">
        <v>233.21</v>
      </c>
      <c r="H1350" s="9" t="s">
        <v>25</v>
      </c>
      <c r="I1350" s="9">
        <v>36</v>
      </c>
      <c r="J1350" s="10">
        <v>30.21</v>
      </c>
      <c r="K1350" s="9" t="str">
        <f>TEXT(Sales_of_Jordan[[#This Row],[Sale_Date]],"mmm")</f>
        <v>Feb</v>
      </c>
    </row>
    <row r="1351" spans="1:11" x14ac:dyDescent="0.35">
      <c r="A1351" s="7" t="s">
        <v>1381</v>
      </c>
      <c r="B1351" s="8">
        <v>45309</v>
      </c>
      <c r="C1351" s="9" t="s">
        <v>21</v>
      </c>
      <c r="D1351" s="9" t="s">
        <v>53</v>
      </c>
      <c r="E1351" s="9" t="s">
        <v>18</v>
      </c>
      <c r="F1351" s="9">
        <v>219</v>
      </c>
      <c r="G1351" s="9">
        <v>379.93</v>
      </c>
      <c r="H1351" s="9" t="s">
        <v>23</v>
      </c>
      <c r="I1351" s="9">
        <v>20</v>
      </c>
      <c r="J1351" s="10">
        <v>160.93</v>
      </c>
      <c r="K1351" s="9" t="str">
        <f>TEXT(Sales_of_Jordan[[#This Row],[Sale_Date]],"mmm")</f>
        <v>Jan</v>
      </c>
    </row>
    <row r="1352" spans="1:11" x14ac:dyDescent="0.35">
      <c r="A1352" s="7" t="s">
        <v>1382</v>
      </c>
      <c r="B1352" s="8">
        <v>45281</v>
      </c>
      <c r="C1352" s="9" t="s">
        <v>11</v>
      </c>
      <c r="D1352" s="9" t="s">
        <v>36</v>
      </c>
      <c r="E1352" s="9" t="s">
        <v>18</v>
      </c>
      <c r="F1352" s="9">
        <v>227</v>
      </c>
      <c r="G1352" s="9">
        <v>645.12</v>
      </c>
      <c r="H1352" s="9" t="s">
        <v>14</v>
      </c>
      <c r="I1352" s="9">
        <v>11</v>
      </c>
      <c r="J1352" s="10">
        <v>418.12</v>
      </c>
      <c r="K1352" s="9" t="str">
        <f>TEXT(Sales_of_Jordan[[#This Row],[Sale_Date]],"mmm")</f>
        <v>Dec</v>
      </c>
    </row>
    <row r="1353" spans="1:11" x14ac:dyDescent="0.35">
      <c r="A1353" s="7" t="s">
        <v>1383</v>
      </c>
      <c r="B1353" s="8">
        <v>45224</v>
      </c>
      <c r="C1353" s="9" t="s">
        <v>11</v>
      </c>
      <c r="D1353" s="9" t="s">
        <v>55</v>
      </c>
      <c r="E1353" s="9" t="s">
        <v>18</v>
      </c>
      <c r="F1353" s="9">
        <v>226</v>
      </c>
      <c r="G1353" s="9">
        <v>390.44</v>
      </c>
      <c r="H1353" s="9" t="s">
        <v>14</v>
      </c>
      <c r="I1353" s="9">
        <v>1</v>
      </c>
      <c r="J1353" s="10">
        <v>164.44</v>
      </c>
      <c r="K1353" s="9" t="str">
        <f>TEXT(Sales_of_Jordan[[#This Row],[Sale_Date]],"mmm")</f>
        <v>Oct</v>
      </c>
    </row>
    <row r="1354" spans="1:11" x14ac:dyDescent="0.35">
      <c r="A1354" s="7" t="s">
        <v>1384</v>
      </c>
      <c r="B1354" s="8">
        <v>45877</v>
      </c>
      <c r="C1354" s="9" t="s">
        <v>31</v>
      </c>
      <c r="D1354" s="9" t="s">
        <v>36</v>
      </c>
      <c r="E1354" s="9" t="s">
        <v>13</v>
      </c>
      <c r="F1354" s="9">
        <v>203</v>
      </c>
      <c r="G1354" s="9">
        <v>148.37</v>
      </c>
      <c r="H1354" s="9" t="s">
        <v>14</v>
      </c>
      <c r="I1354" s="9">
        <v>1</v>
      </c>
      <c r="J1354" s="10">
        <v>-54.629999999999903</v>
      </c>
      <c r="K1354" s="9" t="str">
        <f>TEXT(Sales_of_Jordan[[#This Row],[Sale_Date]],"mmm")</f>
        <v>Aug</v>
      </c>
    </row>
    <row r="1355" spans="1:11" x14ac:dyDescent="0.35">
      <c r="A1355" s="7" t="s">
        <v>1385</v>
      </c>
      <c r="B1355" s="8">
        <v>45579</v>
      </c>
      <c r="C1355" s="9" t="s">
        <v>31</v>
      </c>
      <c r="D1355" s="9" t="s">
        <v>12</v>
      </c>
      <c r="E1355" s="9" t="s">
        <v>18</v>
      </c>
      <c r="F1355" s="9">
        <v>210</v>
      </c>
      <c r="G1355" s="9">
        <v>378.91</v>
      </c>
      <c r="H1355" s="9" t="s">
        <v>19</v>
      </c>
      <c r="I1355" s="9">
        <v>2</v>
      </c>
      <c r="J1355" s="10">
        <v>168.91</v>
      </c>
      <c r="K1355" s="9" t="str">
        <f>TEXT(Sales_of_Jordan[[#This Row],[Sale_Date]],"mmm")</f>
        <v>Oct</v>
      </c>
    </row>
    <row r="1356" spans="1:11" x14ac:dyDescent="0.35">
      <c r="A1356" s="7" t="s">
        <v>1386</v>
      </c>
      <c r="B1356" s="8">
        <v>45028</v>
      </c>
      <c r="C1356" s="9" t="s">
        <v>21</v>
      </c>
      <c r="D1356" s="9" t="s">
        <v>46</v>
      </c>
      <c r="E1356" s="9" t="s">
        <v>29</v>
      </c>
      <c r="F1356" s="9">
        <v>216</v>
      </c>
      <c r="G1356" s="9">
        <v>309.62</v>
      </c>
      <c r="H1356" s="9" t="s">
        <v>23</v>
      </c>
      <c r="I1356" s="9">
        <v>45</v>
      </c>
      <c r="J1356" s="10">
        <v>93.62</v>
      </c>
      <c r="K1356" s="9" t="str">
        <f>TEXT(Sales_of_Jordan[[#This Row],[Sale_Date]],"mmm")</f>
        <v>Apr</v>
      </c>
    </row>
    <row r="1357" spans="1:11" x14ac:dyDescent="0.35">
      <c r="A1357" s="7" t="s">
        <v>1387</v>
      </c>
      <c r="B1357" s="8">
        <v>45416</v>
      </c>
      <c r="C1357" s="9" t="s">
        <v>27</v>
      </c>
      <c r="D1357" s="9" t="s">
        <v>17</v>
      </c>
      <c r="E1357" s="9" t="s">
        <v>13</v>
      </c>
      <c r="F1357" s="9">
        <v>114</v>
      </c>
      <c r="G1357" s="9">
        <v>76.599999999999994</v>
      </c>
      <c r="H1357" s="9" t="s">
        <v>32</v>
      </c>
      <c r="I1357" s="9">
        <v>28</v>
      </c>
      <c r="J1357" s="10">
        <v>-37.4</v>
      </c>
      <c r="K1357" s="9" t="str">
        <f>TEXT(Sales_of_Jordan[[#This Row],[Sale_Date]],"mmm")</f>
        <v>May</v>
      </c>
    </row>
    <row r="1358" spans="1:11" x14ac:dyDescent="0.35">
      <c r="A1358" s="7" t="s">
        <v>1388</v>
      </c>
      <c r="B1358" s="8">
        <v>45900</v>
      </c>
      <c r="C1358" s="9" t="s">
        <v>27</v>
      </c>
      <c r="D1358" s="9" t="s">
        <v>53</v>
      </c>
      <c r="E1358" s="9" t="s">
        <v>18</v>
      </c>
      <c r="F1358" s="9">
        <v>114</v>
      </c>
      <c r="G1358" s="9">
        <v>357.56</v>
      </c>
      <c r="H1358" s="9" t="s">
        <v>25</v>
      </c>
      <c r="I1358" s="9">
        <v>37</v>
      </c>
      <c r="J1358" s="10">
        <v>243.56</v>
      </c>
      <c r="K1358" s="9" t="str">
        <f>TEXT(Sales_of_Jordan[[#This Row],[Sale_Date]],"mmm")</f>
        <v>Aug</v>
      </c>
    </row>
    <row r="1359" spans="1:11" x14ac:dyDescent="0.35">
      <c r="A1359" s="7" t="s">
        <v>1389</v>
      </c>
      <c r="B1359" s="8">
        <v>45534</v>
      </c>
      <c r="C1359" s="9" t="s">
        <v>21</v>
      </c>
      <c r="D1359" s="9" t="s">
        <v>12</v>
      </c>
      <c r="E1359" s="9" t="s">
        <v>18</v>
      </c>
      <c r="F1359" s="9">
        <v>220</v>
      </c>
      <c r="G1359" s="9">
        <v>474.18</v>
      </c>
      <c r="H1359" s="9" t="s">
        <v>25</v>
      </c>
      <c r="I1359" s="9">
        <v>46</v>
      </c>
      <c r="J1359" s="10">
        <v>254.18</v>
      </c>
      <c r="K1359" s="9" t="str">
        <f>TEXT(Sales_of_Jordan[[#This Row],[Sale_Date]],"mmm")</f>
        <v>Aug</v>
      </c>
    </row>
    <row r="1360" spans="1:11" x14ac:dyDescent="0.35">
      <c r="A1360" s="7" t="s">
        <v>1390</v>
      </c>
      <c r="B1360" s="8">
        <v>45407</v>
      </c>
      <c r="C1360" s="9" t="s">
        <v>31</v>
      </c>
      <c r="D1360" s="9" t="s">
        <v>12</v>
      </c>
      <c r="E1360" s="9" t="s">
        <v>13</v>
      </c>
      <c r="F1360" s="9">
        <v>206</v>
      </c>
      <c r="G1360" s="9">
        <v>119.63</v>
      </c>
      <c r="H1360" s="9" t="s">
        <v>32</v>
      </c>
      <c r="I1360" s="9">
        <v>13</v>
      </c>
      <c r="J1360" s="10">
        <v>-86.37</v>
      </c>
      <c r="K1360" s="9" t="str">
        <f>TEXT(Sales_of_Jordan[[#This Row],[Sale_Date]],"mmm")</f>
        <v>Apr</v>
      </c>
    </row>
    <row r="1361" spans="1:11" x14ac:dyDescent="0.35">
      <c r="A1361" s="7" t="s">
        <v>1391</v>
      </c>
      <c r="B1361" s="8">
        <v>45242</v>
      </c>
      <c r="C1361" s="9" t="s">
        <v>27</v>
      </c>
      <c r="D1361" s="9" t="s">
        <v>12</v>
      </c>
      <c r="E1361" s="9" t="s">
        <v>18</v>
      </c>
      <c r="F1361" s="9">
        <v>117</v>
      </c>
      <c r="G1361" s="9">
        <v>287.35000000000002</v>
      </c>
      <c r="H1361" s="9" t="s">
        <v>32</v>
      </c>
      <c r="I1361" s="9">
        <v>31</v>
      </c>
      <c r="J1361" s="10">
        <v>170.35</v>
      </c>
      <c r="K1361" s="9" t="str">
        <f>TEXT(Sales_of_Jordan[[#This Row],[Sale_Date]],"mmm")</f>
        <v>Nov</v>
      </c>
    </row>
    <row r="1362" spans="1:11" x14ac:dyDescent="0.35">
      <c r="A1362" s="7" t="s">
        <v>1392</v>
      </c>
      <c r="B1362" s="8">
        <v>45859</v>
      </c>
      <c r="C1362" s="9" t="s">
        <v>31</v>
      </c>
      <c r="D1362" s="9" t="s">
        <v>39</v>
      </c>
      <c r="E1362" s="9" t="s">
        <v>13</v>
      </c>
      <c r="F1362" s="9">
        <v>203</v>
      </c>
      <c r="G1362" s="9">
        <v>162.83000000000001</v>
      </c>
      <c r="H1362" s="9" t="s">
        <v>25</v>
      </c>
      <c r="I1362" s="9">
        <v>29</v>
      </c>
      <c r="J1362" s="10">
        <v>-40.169999999999902</v>
      </c>
      <c r="K1362" s="9" t="str">
        <f>TEXT(Sales_of_Jordan[[#This Row],[Sale_Date]],"mmm")</f>
        <v>Jul</v>
      </c>
    </row>
    <row r="1363" spans="1:11" x14ac:dyDescent="0.35">
      <c r="A1363" s="7" t="s">
        <v>1393</v>
      </c>
      <c r="B1363" s="8">
        <v>45305</v>
      </c>
      <c r="C1363" s="9" t="s">
        <v>16</v>
      </c>
      <c r="D1363" s="9" t="s">
        <v>12</v>
      </c>
      <c r="E1363" s="9" t="s">
        <v>13</v>
      </c>
      <c r="F1363" s="9">
        <v>176</v>
      </c>
      <c r="G1363" s="9">
        <v>125.73</v>
      </c>
      <c r="H1363" s="9" t="s">
        <v>32</v>
      </c>
      <c r="I1363" s="9">
        <v>34</v>
      </c>
      <c r="J1363" s="10">
        <v>-50.269999999999897</v>
      </c>
      <c r="K1363" s="9" t="str">
        <f>TEXT(Sales_of_Jordan[[#This Row],[Sale_Date]],"mmm")</f>
        <v>Jan</v>
      </c>
    </row>
    <row r="1364" spans="1:11" x14ac:dyDescent="0.35">
      <c r="A1364" s="7" t="s">
        <v>1394</v>
      </c>
      <c r="B1364" s="8">
        <v>45906</v>
      </c>
      <c r="C1364" s="9" t="s">
        <v>16</v>
      </c>
      <c r="D1364" s="9" t="s">
        <v>53</v>
      </c>
      <c r="E1364" s="9" t="s">
        <v>29</v>
      </c>
      <c r="F1364" s="9">
        <v>183</v>
      </c>
      <c r="G1364" s="9">
        <v>190.84</v>
      </c>
      <c r="H1364" s="9" t="s">
        <v>23</v>
      </c>
      <c r="I1364" s="9">
        <v>38</v>
      </c>
      <c r="J1364" s="10">
        <v>7.84</v>
      </c>
      <c r="K1364" s="9" t="str">
        <f>TEXT(Sales_of_Jordan[[#This Row],[Sale_Date]],"mmm")</f>
        <v>Sep</v>
      </c>
    </row>
    <row r="1365" spans="1:11" x14ac:dyDescent="0.35">
      <c r="A1365" s="7" t="s">
        <v>1395</v>
      </c>
      <c r="B1365" s="8">
        <v>45223</v>
      </c>
      <c r="C1365" s="9" t="s">
        <v>27</v>
      </c>
      <c r="D1365" s="9" t="s">
        <v>34</v>
      </c>
      <c r="E1365" s="9" t="s">
        <v>18</v>
      </c>
      <c r="F1365" s="9">
        <v>136</v>
      </c>
      <c r="G1365" s="9">
        <v>360.71</v>
      </c>
      <c r="H1365" s="9" t="s">
        <v>19</v>
      </c>
      <c r="I1365" s="9">
        <v>4</v>
      </c>
      <c r="J1365" s="10">
        <v>224.70999999999901</v>
      </c>
      <c r="K1365" s="9" t="str">
        <f>TEXT(Sales_of_Jordan[[#This Row],[Sale_Date]],"mmm")</f>
        <v>Oct</v>
      </c>
    </row>
    <row r="1366" spans="1:11" x14ac:dyDescent="0.35">
      <c r="A1366" s="7" t="s">
        <v>1396</v>
      </c>
      <c r="B1366" s="8">
        <v>45295</v>
      </c>
      <c r="C1366" s="9" t="s">
        <v>31</v>
      </c>
      <c r="D1366" s="9" t="s">
        <v>53</v>
      </c>
      <c r="E1366" s="9" t="s">
        <v>29</v>
      </c>
      <c r="F1366" s="9">
        <v>206</v>
      </c>
      <c r="G1366" s="9">
        <v>217.27</v>
      </c>
      <c r="H1366" s="9" t="s">
        <v>25</v>
      </c>
      <c r="I1366" s="9">
        <v>24</v>
      </c>
      <c r="J1366" s="10">
        <v>11.27</v>
      </c>
      <c r="K1366" s="9" t="str">
        <f>TEXT(Sales_of_Jordan[[#This Row],[Sale_Date]],"mmm")</f>
        <v>Jan</v>
      </c>
    </row>
    <row r="1367" spans="1:11" x14ac:dyDescent="0.35">
      <c r="A1367" s="7" t="s">
        <v>1397</v>
      </c>
      <c r="B1367" s="8">
        <v>45740</v>
      </c>
      <c r="C1367" s="9" t="s">
        <v>11</v>
      </c>
      <c r="D1367" s="9" t="s">
        <v>39</v>
      </c>
      <c r="E1367" s="9" t="s">
        <v>29</v>
      </c>
      <c r="F1367" s="9">
        <v>227</v>
      </c>
      <c r="G1367" s="9">
        <v>311.91000000000003</v>
      </c>
      <c r="H1367" s="9" t="s">
        <v>25</v>
      </c>
      <c r="I1367" s="9">
        <v>15</v>
      </c>
      <c r="J1367" s="10">
        <v>84.91</v>
      </c>
      <c r="K1367" s="9" t="str">
        <f>TEXT(Sales_of_Jordan[[#This Row],[Sale_Date]],"mmm")</f>
        <v>Mar</v>
      </c>
    </row>
    <row r="1368" spans="1:11" x14ac:dyDescent="0.35">
      <c r="A1368" s="7" t="s">
        <v>1398</v>
      </c>
      <c r="B1368" s="8">
        <v>45279</v>
      </c>
      <c r="C1368" s="9" t="s">
        <v>27</v>
      </c>
      <c r="D1368" s="9" t="s">
        <v>55</v>
      </c>
      <c r="E1368" s="9" t="s">
        <v>18</v>
      </c>
      <c r="F1368" s="9">
        <v>121</v>
      </c>
      <c r="G1368" s="9">
        <v>169.7</v>
      </c>
      <c r="H1368" s="9" t="s">
        <v>19</v>
      </c>
      <c r="I1368" s="9">
        <v>8</v>
      </c>
      <c r="J1368" s="10">
        <v>48.699999999999903</v>
      </c>
      <c r="K1368" s="9" t="str">
        <f>TEXT(Sales_of_Jordan[[#This Row],[Sale_Date]],"mmm")</f>
        <v>Dec</v>
      </c>
    </row>
    <row r="1369" spans="1:11" x14ac:dyDescent="0.35">
      <c r="A1369" s="7" t="s">
        <v>1399</v>
      </c>
      <c r="B1369" s="8">
        <v>45217</v>
      </c>
      <c r="C1369" s="9" t="s">
        <v>16</v>
      </c>
      <c r="D1369" s="9" t="s">
        <v>17</v>
      </c>
      <c r="E1369" s="9" t="s">
        <v>18</v>
      </c>
      <c r="F1369" s="9">
        <v>174</v>
      </c>
      <c r="G1369" s="9">
        <v>516.88</v>
      </c>
      <c r="H1369" s="9" t="s">
        <v>25</v>
      </c>
      <c r="I1369" s="9">
        <v>28</v>
      </c>
      <c r="J1369" s="10">
        <v>342.88</v>
      </c>
      <c r="K1369" s="9" t="str">
        <f>TEXT(Sales_of_Jordan[[#This Row],[Sale_Date]],"mmm")</f>
        <v>Oct</v>
      </c>
    </row>
    <row r="1370" spans="1:11" x14ac:dyDescent="0.35">
      <c r="A1370" s="7" t="s">
        <v>1400</v>
      </c>
      <c r="B1370" s="8">
        <v>45227</v>
      </c>
      <c r="C1370" s="9" t="s">
        <v>21</v>
      </c>
      <c r="D1370" s="9" t="s">
        <v>55</v>
      </c>
      <c r="E1370" s="9" t="s">
        <v>29</v>
      </c>
      <c r="F1370" s="9">
        <v>217</v>
      </c>
      <c r="G1370" s="9">
        <v>272.32</v>
      </c>
      <c r="H1370" s="9" t="s">
        <v>23</v>
      </c>
      <c r="I1370" s="9">
        <v>45</v>
      </c>
      <c r="J1370" s="10">
        <v>55.319999999999901</v>
      </c>
      <c r="K1370" s="9" t="str">
        <f>TEXT(Sales_of_Jordan[[#This Row],[Sale_Date]],"mmm")</f>
        <v>Oct</v>
      </c>
    </row>
    <row r="1371" spans="1:11" x14ac:dyDescent="0.35">
      <c r="A1371" s="7" t="s">
        <v>1401</v>
      </c>
      <c r="B1371" s="8">
        <v>45853</v>
      </c>
      <c r="C1371" s="9" t="s">
        <v>21</v>
      </c>
      <c r="D1371" s="9" t="s">
        <v>34</v>
      </c>
      <c r="E1371" s="9" t="s">
        <v>18</v>
      </c>
      <c r="F1371" s="9">
        <v>212</v>
      </c>
      <c r="G1371" s="9">
        <v>697.75</v>
      </c>
      <c r="H1371" s="9" t="s">
        <v>32</v>
      </c>
      <c r="I1371" s="9">
        <v>57</v>
      </c>
      <c r="J1371" s="10">
        <v>485.75</v>
      </c>
      <c r="K1371" s="9" t="str">
        <f>TEXT(Sales_of_Jordan[[#This Row],[Sale_Date]],"mmm")</f>
        <v>Jul</v>
      </c>
    </row>
    <row r="1372" spans="1:11" x14ac:dyDescent="0.35">
      <c r="A1372" s="7" t="s">
        <v>1402</v>
      </c>
      <c r="B1372" s="8">
        <v>45383</v>
      </c>
      <c r="C1372" s="9" t="s">
        <v>21</v>
      </c>
      <c r="D1372" s="9" t="s">
        <v>17</v>
      </c>
      <c r="E1372" s="9" t="s">
        <v>29</v>
      </c>
      <c r="F1372" s="9">
        <v>224</v>
      </c>
      <c r="G1372" s="9">
        <v>234.74</v>
      </c>
      <c r="H1372" s="9" t="s">
        <v>14</v>
      </c>
      <c r="I1372" s="9">
        <v>5</v>
      </c>
      <c r="J1372" s="10">
        <v>10.74</v>
      </c>
      <c r="K1372" s="9" t="str">
        <f>TEXT(Sales_of_Jordan[[#This Row],[Sale_Date]],"mmm")</f>
        <v>Apr</v>
      </c>
    </row>
    <row r="1373" spans="1:11" x14ac:dyDescent="0.35">
      <c r="A1373" s="7" t="s">
        <v>1403</v>
      </c>
      <c r="B1373" s="8">
        <v>45157</v>
      </c>
      <c r="C1373" s="9" t="s">
        <v>16</v>
      </c>
      <c r="D1373" s="9" t="s">
        <v>36</v>
      </c>
      <c r="E1373" s="9" t="s">
        <v>18</v>
      </c>
      <c r="F1373" s="9">
        <v>172</v>
      </c>
      <c r="G1373" s="9">
        <v>518.23</v>
      </c>
      <c r="H1373" s="9" t="s">
        <v>32</v>
      </c>
      <c r="I1373" s="9">
        <v>29</v>
      </c>
      <c r="J1373" s="10">
        <v>346.23</v>
      </c>
      <c r="K1373" s="9" t="str">
        <f>TEXT(Sales_of_Jordan[[#This Row],[Sale_Date]],"mmm")</f>
        <v>Aug</v>
      </c>
    </row>
    <row r="1374" spans="1:11" x14ac:dyDescent="0.35">
      <c r="A1374" s="7" t="s">
        <v>1404</v>
      </c>
      <c r="B1374" s="8">
        <v>45419</v>
      </c>
      <c r="C1374" s="9" t="s">
        <v>31</v>
      </c>
      <c r="D1374" s="9" t="s">
        <v>22</v>
      </c>
      <c r="E1374" s="9" t="s">
        <v>18</v>
      </c>
      <c r="F1374" s="9">
        <v>210</v>
      </c>
      <c r="G1374" s="9">
        <v>694.13</v>
      </c>
      <c r="H1374" s="9" t="s">
        <v>19</v>
      </c>
      <c r="I1374" s="9">
        <v>9</v>
      </c>
      <c r="J1374" s="10">
        <v>484.13</v>
      </c>
      <c r="K1374" s="9" t="str">
        <f>TEXT(Sales_of_Jordan[[#This Row],[Sale_Date]],"mmm")</f>
        <v>May</v>
      </c>
    </row>
    <row r="1375" spans="1:11" x14ac:dyDescent="0.35">
      <c r="A1375" s="7" t="s">
        <v>1405</v>
      </c>
      <c r="B1375" s="8">
        <v>45330</v>
      </c>
      <c r="C1375" s="9" t="s">
        <v>16</v>
      </c>
      <c r="D1375" s="9" t="s">
        <v>36</v>
      </c>
      <c r="E1375" s="9" t="s">
        <v>18</v>
      </c>
      <c r="F1375" s="9">
        <v>173</v>
      </c>
      <c r="G1375" s="9">
        <v>412.14</v>
      </c>
      <c r="H1375" s="9" t="s">
        <v>23</v>
      </c>
      <c r="I1375" s="9">
        <v>8</v>
      </c>
      <c r="J1375" s="10">
        <v>239.14</v>
      </c>
      <c r="K1375" s="9" t="str">
        <f>TEXT(Sales_of_Jordan[[#This Row],[Sale_Date]],"mmm")</f>
        <v>Feb</v>
      </c>
    </row>
    <row r="1376" spans="1:11" x14ac:dyDescent="0.35">
      <c r="A1376" s="7" t="s">
        <v>1406</v>
      </c>
      <c r="B1376" s="8">
        <v>45174</v>
      </c>
      <c r="C1376" s="9" t="s">
        <v>16</v>
      </c>
      <c r="D1376" s="9" t="s">
        <v>55</v>
      </c>
      <c r="E1376" s="9" t="s">
        <v>29</v>
      </c>
      <c r="F1376" s="9">
        <v>186</v>
      </c>
      <c r="G1376" s="9">
        <v>248.27</v>
      </c>
      <c r="H1376" s="9" t="s">
        <v>14</v>
      </c>
      <c r="I1376" s="9">
        <v>11</v>
      </c>
      <c r="J1376" s="10">
        <v>62.27</v>
      </c>
      <c r="K1376" s="9" t="str">
        <f>TEXT(Sales_of_Jordan[[#This Row],[Sale_Date]],"mmm")</f>
        <v>Sep</v>
      </c>
    </row>
    <row r="1377" spans="1:11" x14ac:dyDescent="0.35">
      <c r="A1377" s="7" t="s">
        <v>1407</v>
      </c>
      <c r="B1377" s="8">
        <v>45351</v>
      </c>
      <c r="C1377" s="9" t="s">
        <v>16</v>
      </c>
      <c r="D1377" s="9" t="s">
        <v>53</v>
      </c>
      <c r="E1377" s="9" t="s">
        <v>29</v>
      </c>
      <c r="F1377" s="9">
        <v>176</v>
      </c>
      <c r="G1377" s="9">
        <v>159.19</v>
      </c>
      <c r="H1377" s="9" t="s">
        <v>19</v>
      </c>
      <c r="I1377" s="9">
        <v>14</v>
      </c>
      <c r="J1377" s="10">
        <v>-16.809999999999999</v>
      </c>
      <c r="K1377" s="9" t="str">
        <f>TEXT(Sales_of_Jordan[[#This Row],[Sale_Date]],"mmm")</f>
        <v>Feb</v>
      </c>
    </row>
    <row r="1378" spans="1:11" x14ac:dyDescent="0.35">
      <c r="A1378" s="7" t="s">
        <v>1408</v>
      </c>
      <c r="B1378" s="8">
        <v>45462</v>
      </c>
      <c r="C1378" s="9" t="s">
        <v>21</v>
      </c>
      <c r="D1378" s="9" t="s">
        <v>39</v>
      </c>
      <c r="E1378" s="9" t="s">
        <v>13</v>
      </c>
      <c r="F1378" s="9">
        <v>219</v>
      </c>
      <c r="G1378" s="9">
        <v>141.84</v>
      </c>
      <c r="H1378" s="9" t="s">
        <v>19</v>
      </c>
      <c r="I1378" s="9">
        <v>9</v>
      </c>
      <c r="J1378" s="10">
        <v>-77.16</v>
      </c>
      <c r="K1378" s="9" t="str">
        <f>TEXT(Sales_of_Jordan[[#This Row],[Sale_Date]],"mmm")</f>
        <v>Jun</v>
      </c>
    </row>
    <row r="1379" spans="1:11" x14ac:dyDescent="0.35">
      <c r="A1379" s="7" t="s">
        <v>1409</v>
      </c>
      <c r="B1379" s="8">
        <v>45638</v>
      </c>
      <c r="C1379" s="9" t="s">
        <v>27</v>
      </c>
      <c r="D1379" s="9" t="s">
        <v>53</v>
      </c>
      <c r="E1379" s="9" t="s">
        <v>18</v>
      </c>
      <c r="F1379" s="9">
        <v>133</v>
      </c>
      <c r="G1379" s="9">
        <v>423.62</v>
      </c>
      <c r="H1379" s="9" t="s">
        <v>23</v>
      </c>
      <c r="I1379" s="9">
        <v>45</v>
      </c>
      <c r="J1379" s="10">
        <v>290.62</v>
      </c>
      <c r="K1379" s="9" t="str">
        <f>TEXT(Sales_of_Jordan[[#This Row],[Sale_Date]],"mmm")</f>
        <v>Dec</v>
      </c>
    </row>
    <row r="1380" spans="1:11" x14ac:dyDescent="0.35">
      <c r="A1380" s="7" t="s">
        <v>1410</v>
      </c>
      <c r="B1380" s="8">
        <v>45817</v>
      </c>
      <c r="C1380" s="9" t="s">
        <v>27</v>
      </c>
      <c r="D1380" s="9" t="s">
        <v>46</v>
      </c>
      <c r="E1380" s="9" t="s">
        <v>13</v>
      </c>
      <c r="F1380" s="9">
        <v>116</v>
      </c>
      <c r="G1380" s="9">
        <v>96.06</v>
      </c>
      <c r="H1380" s="9" t="s">
        <v>23</v>
      </c>
      <c r="I1380" s="9">
        <v>15</v>
      </c>
      <c r="J1380" s="10">
        <v>-19.939999999999898</v>
      </c>
      <c r="K1380" s="9" t="str">
        <f>TEXT(Sales_of_Jordan[[#This Row],[Sale_Date]],"mmm")</f>
        <v>Jun</v>
      </c>
    </row>
    <row r="1381" spans="1:11" x14ac:dyDescent="0.35">
      <c r="A1381" s="7" t="s">
        <v>1411</v>
      </c>
      <c r="B1381" s="8">
        <v>45380</v>
      </c>
      <c r="C1381" s="9" t="s">
        <v>27</v>
      </c>
      <c r="D1381" s="9" t="s">
        <v>17</v>
      </c>
      <c r="E1381" s="9" t="s">
        <v>29</v>
      </c>
      <c r="F1381" s="9">
        <v>120</v>
      </c>
      <c r="G1381" s="9">
        <v>177.23</v>
      </c>
      <c r="H1381" s="9" t="s">
        <v>14</v>
      </c>
      <c r="I1381" s="9">
        <v>1</v>
      </c>
      <c r="J1381" s="10">
        <v>57.229999999999897</v>
      </c>
      <c r="K1381" s="9" t="str">
        <f>TEXT(Sales_of_Jordan[[#This Row],[Sale_Date]],"mmm")</f>
        <v>Mar</v>
      </c>
    </row>
    <row r="1382" spans="1:11" x14ac:dyDescent="0.35">
      <c r="A1382" s="7" t="s">
        <v>1412</v>
      </c>
      <c r="B1382" s="8">
        <v>45231</v>
      </c>
      <c r="C1382" s="9" t="s">
        <v>16</v>
      </c>
      <c r="D1382" s="9" t="s">
        <v>53</v>
      </c>
      <c r="E1382" s="9" t="s">
        <v>29</v>
      </c>
      <c r="F1382" s="9">
        <v>187</v>
      </c>
      <c r="G1382" s="9">
        <v>183.67</v>
      </c>
      <c r="H1382" s="9" t="s">
        <v>14</v>
      </c>
      <c r="I1382" s="9">
        <v>10</v>
      </c>
      <c r="J1382" s="10">
        <v>-3.3300000000000098</v>
      </c>
      <c r="K1382" s="9" t="str">
        <f>TEXT(Sales_of_Jordan[[#This Row],[Sale_Date]],"mmm")</f>
        <v>Nov</v>
      </c>
    </row>
    <row r="1383" spans="1:11" x14ac:dyDescent="0.35">
      <c r="A1383" s="7" t="s">
        <v>1413</v>
      </c>
      <c r="B1383" s="8">
        <v>45799</v>
      </c>
      <c r="C1383" s="9" t="s">
        <v>11</v>
      </c>
      <c r="D1383" s="9" t="s">
        <v>17</v>
      </c>
      <c r="E1383" s="9" t="s">
        <v>18</v>
      </c>
      <c r="F1383" s="9">
        <v>228</v>
      </c>
      <c r="G1383" s="9">
        <v>791.95</v>
      </c>
      <c r="H1383" s="9" t="s">
        <v>23</v>
      </c>
      <c r="I1383" s="9">
        <v>21</v>
      </c>
      <c r="J1383" s="10">
        <v>563.95000000000005</v>
      </c>
      <c r="K1383" s="9" t="str">
        <f>TEXT(Sales_of_Jordan[[#This Row],[Sale_Date]],"mmm")</f>
        <v>May</v>
      </c>
    </row>
    <row r="1384" spans="1:11" x14ac:dyDescent="0.35">
      <c r="A1384" s="7" t="s">
        <v>1414</v>
      </c>
      <c r="B1384" s="8">
        <v>45264</v>
      </c>
      <c r="C1384" s="9" t="s">
        <v>27</v>
      </c>
      <c r="D1384" s="9" t="s">
        <v>53</v>
      </c>
      <c r="E1384" s="9" t="s">
        <v>29</v>
      </c>
      <c r="F1384" s="9">
        <v>120</v>
      </c>
      <c r="G1384" s="9">
        <v>154.62</v>
      </c>
      <c r="H1384" s="9" t="s">
        <v>23</v>
      </c>
      <c r="I1384" s="9">
        <v>60</v>
      </c>
      <c r="J1384" s="10">
        <v>34.619999999999997</v>
      </c>
      <c r="K1384" s="9" t="str">
        <f>TEXT(Sales_of_Jordan[[#This Row],[Sale_Date]],"mmm")</f>
        <v>Dec</v>
      </c>
    </row>
    <row r="1385" spans="1:11" x14ac:dyDescent="0.35">
      <c r="A1385" s="7" t="s">
        <v>1415</v>
      </c>
      <c r="B1385" s="8">
        <v>45494</v>
      </c>
      <c r="C1385" s="9" t="s">
        <v>31</v>
      </c>
      <c r="D1385" s="9" t="s">
        <v>39</v>
      </c>
      <c r="E1385" s="9" t="s">
        <v>29</v>
      </c>
      <c r="F1385" s="9">
        <v>208</v>
      </c>
      <c r="G1385" s="9">
        <v>310.08999999999997</v>
      </c>
      <c r="H1385" s="9" t="s">
        <v>25</v>
      </c>
      <c r="I1385" s="9">
        <v>11</v>
      </c>
      <c r="J1385" s="10">
        <v>102.08999999999899</v>
      </c>
      <c r="K1385" s="9" t="str">
        <f>TEXT(Sales_of_Jordan[[#This Row],[Sale_Date]],"mmm")</f>
        <v>Jul</v>
      </c>
    </row>
    <row r="1386" spans="1:11" x14ac:dyDescent="0.35">
      <c r="A1386" s="7" t="s">
        <v>1416</v>
      </c>
      <c r="B1386" s="8">
        <v>45635</v>
      </c>
      <c r="C1386" s="9" t="s">
        <v>27</v>
      </c>
      <c r="D1386" s="9" t="s">
        <v>12</v>
      </c>
      <c r="E1386" s="9" t="s">
        <v>29</v>
      </c>
      <c r="F1386" s="9">
        <v>122</v>
      </c>
      <c r="G1386" s="9">
        <v>126.54</v>
      </c>
      <c r="H1386" s="9" t="s">
        <v>32</v>
      </c>
      <c r="I1386" s="9">
        <v>20</v>
      </c>
      <c r="J1386" s="10">
        <v>4.54</v>
      </c>
      <c r="K1386" s="9" t="str">
        <f>TEXT(Sales_of_Jordan[[#This Row],[Sale_Date]],"mmm")</f>
        <v>Dec</v>
      </c>
    </row>
    <row r="1387" spans="1:11" x14ac:dyDescent="0.35">
      <c r="A1387" s="7" t="s">
        <v>1417</v>
      </c>
      <c r="B1387" s="8">
        <v>45724</v>
      </c>
      <c r="C1387" s="9" t="s">
        <v>21</v>
      </c>
      <c r="D1387" s="9" t="s">
        <v>53</v>
      </c>
      <c r="E1387" s="9" t="s">
        <v>29</v>
      </c>
      <c r="F1387" s="9">
        <v>221</v>
      </c>
      <c r="G1387" s="9">
        <v>264.42</v>
      </c>
      <c r="H1387" s="9" t="s">
        <v>19</v>
      </c>
      <c r="I1387" s="9">
        <v>4</v>
      </c>
      <c r="J1387" s="10">
        <v>43.42</v>
      </c>
      <c r="K1387" s="9" t="str">
        <f>TEXT(Sales_of_Jordan[[#This Row],[Sale_Date]],"mmm")</f>
        <v>Mar</v>
      </c>
    </row>
    <row r="1388" spans="1:11" x14ac:dyDescent="0.35">
      <c r="A1388" s="7" t="s">
        <v>1418</v>
      </c>
      <c r="B1388" s="8">
        <v>45519</v>
      </c>
      <c r="C1388" s="9" t="s">
        <v>27</v>
      </c>
      <c r="D1388" s="9" t="s">
        <v>22</v>
      </c>
      <c r="E1388" s="9" t="s">
        <v>13</v>
      </c>
      <c r="F1388" s="9">
        <v>129</v>
      </c>
      <c r="G1388" s="9">
        <v>80.91</v>
      </c>
      <c r="H1388" s="9" t="s">
        <v>32</v>
      </c>
      <c r="I1388" s="9">
        <v>45</v>
      </c>
      <c r="J1388" s="10">
        <v>-48.09</v>
      </c>
      <c r="K1388" s="9" t="str">
        <f>TEXT(Sales_of_Jordan[[#This Row],[Sale_Date]],"mmm")</f>
        <v>Aug</v>
      </c>
    </row>
    <row r="1389" spans="1:11" x14ac:dyDescent="0.35">
      <c r="A1389" s="7" t="s">
        <v>1419</v>
      </c>
      <c r="B1389" s="8">
        <v>45898</v>
      </c>
      <c r="C1389" s="9" t="s">
        <v>21</v>
      </c>
      <c r="D1389" s="9" t="s">
        <v>12</v>
      </c>
      <c r="E1389" s="9" t="s">
        <v>13</v>
      </c>
      <c r="F1389" s="9">
        <v>225</v>
      </c>
      <c r="G1389" s="9">
        <v>187.45</v>
      </c>
      <c r="H1389" s="9" t="s">
        <v>14</v>
      </c>
      <c r="I1389" s="9">
        <v>5</v>
      </c>
      <c r="J1389" s="10">
        <v>-37.549999999999997</v>
      </c>
      <c r="K1389" s="9" t="str">
        <f>TEXT(Sales_of_Jordan[[#This Row],[Sale_Date]],"mmm")</f>
        <v>Aug</v>
      </c>
    </row>
    <row r="1390" spans="1:11" x14ac:dyDescent="0.35">
      <c r="A1390" s="7" t="s">
        <v>1420</v>
      </c>
      <c r="B1390" s="8">
        <v>45185</v>
      </c>
      <c r="C1390" s="9" t="s">
        <v>11</v>
      </c>
      <c r="D1390" s="9" t="s">
        <v>12</v>
      </c>
      <c r="E1390" s="9" t="s">
        <v>13</v>
      </c>
      <c r="F1390" s="9">
        <v>228</v>
      </c>
      <c r="G1390" s="9">
        <v>117.69</v>
      </c>
      <c r="H1390" s="9" t="s">
        <v>32</v>
      </c>
      <c r="I1390" s="9">
        <v>34</v>
      </c>
      <c r="J1390" s="10">
        <v>-110.31</v>
      </c>
      <c r="K1390" s="9" t="str">
        <f>TEXT(Sales_of_Jordan[[#This Row],[Sale_Date]],"mmm")</f>
        <v>Sep</v>
      </c>
    </row>
    <row r="1391" spans="1:11" x14ac:dyDescent="0.35">
      <c r="A1391" s="7" t="s">
        <v>1421</v>
      </c>
      <c r="B1391" s="8">
        <v>45716</v>
      </c>
      <c r="C1391" s="9" t="s">
        <v>21</v>
      </c>
      <c r="D1391" s="9" t="s">
        <v>17</v>
      </c>
      <c r="E1391" s="9" t="s">
        <v>13</v>
      </c>
      <c r="F1391" s="9">
        <v>225</v>
      </c>
      <c r="G1391" s="9">
        <v>185.48</v>
      </c>
      <c r="H1391" s="9" t="s">
        <v>23</v>
      </c>
      <c r="I1391" s="9">
        <v>41</v>
      </c>
      <c r="J1391" s="10">
        <v>-39.520000000000003</v>
      </c>
      <c r="K1391" s="9" t="str">
        <f>TEXT(Sales_of_Jordan[[#This Row],[Sale_Date]],"mmm")</f>
        <v>Feb</v>
      </c>
    </row>
    <row r="1392" spans="1:11" x14ac:dyDescent="0.35">
      <c r="A1392" s="7" t="s">
        <v>1422</v>
      </c>
      <c r="B1392" s="8">
        <v>45079</v>
      </c>
      <c r="C1392" s="9" t="s">
        <v>11</v>
      </c>
      <c r="D1392" s="9" t="s">
        <v>46</v>
      </c>
      <c r="E1392" s="9" t="s">
        <v>29</v>
      </c>
      <c r="F1392" s="9">
        <v>227</v>
      </c>
      <c r="G1392" s="9">
        <v>320.95</v>
      </c>
      <c r="H1392" s="9" t="s">
        <v>23</v>
      </c>
      <c r="I1392" s="9">
        <v>14</v>
      </c>
      <c r="J1392" s="10">
        <v>93.949999999999903</v>
      </c>
      <c r="K1392" s="9" t="str">
        <f>TEXT(Sales_of_Jordan[[#This Row],[Sale_Date]],"mmm")</f>
        <v>Jun</v>
      </c>
    </row>
    <row r="1393" spans="1:11" x14ac:dyDescent="0.35">
      <c r="A1393" s="7" t="s">
        <v>1423</v>
      </c>
      <c r="B1393" s="8">
        <v>45126</v>
      </c>
      <c r="C1393" s="9" t="s">
        <v>16</v>
      </c>
      <c r="D1393" s="9" t="s">
        <v>36</v>
      </c>
      <c r="E1393" s="9" t="s">
        <v>29</v>
      </c>
      <c r="F1393" s="9">
        <v>176</v>
      </c>
      <c r="G1393" s="9">
        <v>252.15</v>
      </c>
      <c r="H1393" s="9" t="s">
        <v>23</v>
      </c>
      <c r="I1393" s="9">
        <v>36</v>
      </c>
      <c r="J1393" s="10">
        <v>76.150000000000006</v>
      </c>
      <c r="K1393" s="9" t="str">
        <f>TEXT(Sales_of_Jordan[[#This Row],[Sale_Date]],"mmm")</f>
        <v>Jul</v>
      </c>
    </row>
    <row r="1394" spans="1:11" x14ac:dyDescent="0.35">
      <c r="A1394" s="7" t="s">
        <v>1424</v>
      </c>
      <c r="B1394" s="8">
        <v>45269</v>
      </c>
      <c r="C1394" s="9" t="s">
        <v>16</v>
      </c>
      <c r="D1394" s="9" t="s">
        <v>12</v>
      </c>
      <c r="E1394" s="9" t="s">
        <v>29</v>
      </c>
      <c r="F1394" s="9">
        <v>183</v>
      </c>
      <c r="G1394" s="9">
        <v>231.99</v>
      </c>
      <c r="H1394" s="9" t="s">
        <v>19</v>
      </c>
      <c r="I1394" s="9">
        <v>13</v>
      </c>
      <c r="J1394" s="10">
        <v>48.99</v>
      </c>
      <c r="K1394" s="9" t="str">
        <f>TEXT(Sales_of_Jordan[[#This Row],[Sale_Date]],"mmm")</f>
        <v>Dec</v>
      </c>
    </row>
    <row r="1395" spans="1:11" x14ac:dyDescent="0.35">
      <c r="A1395" s="7" t="s">
        <v>1425</v>
      </c>
      <c r="B1395" s="8">
        <v>45500</v>
      </c>
      <c r="C1395" s="9" t="s">
        <v>16</v>
      </c>
      <c r="D1395" s="9" t="s">
        <v>39</v>
      </c>
      <c r="E1395" s="9" t="s">
        <v>18</v>
      </c>
      <c r="F1395" s="9">
        <v>175</v>
      </c>
      <c r="G1395" s="9">
        <v>566.76</v>
      </c>
      <c r="H1395" s="9" t="s">
        <v>32</v>
      </c>
      <c r="I1395" s="9">
        <v>25</v>
      </c>
      <c r="J1395" s="10">
        <v>391.76</v>
      </c>
      <c r="K1395" s="9" t="str">
        <f>TEXT(Sales_of_Jordan[[#This Row],[Sale_Date]],"mmm")</f>
        <v>Jul</v>
      </c>
    </row>
    <row r="1396" spans="1:11" x14ac:dyDescent="0.35">
      <c r="A1396" s="7" t="s">
        <v>1426</v>
      </c>
      <c r="B1396" s="8">
        <v>45786</v>
      </c>
      <c r="C1396" s="9" t="s">
        <v>16</v>
      </c>
      <c r="D1396" s="9" t="s">
        <v>39</v>
      </c>
      <c r="E1396" s="9" t="s">
        <v>18</v>
      </c>
      <c r="F1396" s="9">
        <v>185</v>
      </c>
      <c r="G1396" s="9">
        <v>647.24</v>
      </c>
      <c r="H1396" s="9" t="s">
        <v>25</v>
      </c>
      <c r="I1396" s="9">
        <v>59</v>
      </c>
      <c r="J1396" s="10">
        <v>462.24</v>
      </c>
      <c r="K1396" s="9" t="str">
        <f>TEXT(Sales_of_Jordan[[#This Row],[Sale_Date]],"mmm")</f>
        <v>May</v>
      </c>
    </row>
    <row r="1397" spans="1:11" x14ac:dyDescent="0.35">
      <c r="A1397" s="7" t="s">
        <v>1427</v>
      </c>
      <c r="B1397" s="8">
        <v>45577</v>
      </c>
      <c r="C1397" s="9" t="s">
        <v>31</v>
      </c>
      <c r="D1397" s="9" t="s">
        <v>55</v>
      </c>
      <c r="E1397" s="9" t="s">
        <v>13</v>
      </c>
      <c r="F1397" s="9">
        <v>209</v>
      </c>
      <c r="G1397" s="9">
        <v>153.63999999999999</v>
      </c>
      <c r="H1397" s="9" t="s">
        <v>32</v>
      </c>
      <c r="I1397" s="9">
        <v>50</v>
      </c>
      <c r="J1397" s="10">
        <v>-55.36</v>
      </c>
      <c r="K1397" s="9" t="str">
        <f>TEXT(Sales_of_Jordan[[#This Row],[Sale_Date]],"mmm")</f>
        <v>Oct</v>
      </c>
    </row>
    <row r="1398" spans="1:11" x14ac:dyDescent="0.35">
      <c r="A1398" s="7" t="s">
        <v>1428</v>
      </c>
      <c r="B1398" s="8">
        <v>44943</v>
      </c>
      <c r="C1398" s="9" t="s">
        <v>21</v>
      </c>
      <c r="D1398" s="9" t="s">
        <v>53</v>
      </c>
      <c r="E1398" s="9" t="s">
        <v>18</v>
      </c>
      <c r="F1398" s="9">
        <v>220</v>
      </c>
      <c r="G1398" s="9">
        <v>518.12</v>
      </c>
      <c r="H1398" s="9" t="s">
        <v>32</v>
      </c>
      <c r="I1398" s="9">
        <v>38</v>
      </c>
      <c r="J1398" s="10">
        <v>298.12</v>
      </c>
      <c r="K1398" s="9" t="str">
        <f>TEXT(Sales_of_Jordan[[#This Row],[Sale_Date]],"mmm")</f>
        <v>Jan</v>
      </c>
    </row>
    <row r="1399" spans="1:11" x14ac:dyDescent="0.35">
      <c r="A1399" s="7" t="s">
        <v>1429</v>
      </c>
      <c r="B1399" s="8">
        <v>45334</v>
      </c>
      <c r="C1399" s="9" t="s">
        <v>27</v>
      </c>
      <c r="D1399" s="9" t="s">
        <v>53</v>
      </c>
      <c r="E1399" s="9" t="s">
        <v>29</v>
      </c>
      <c r="F1399" s="9">
        <v>131</v>
      </c>
      <c r="G1399" s="9">
        <v>149.30000000000001</v>
      </c>
      <c r="H1399" s="9" t="s">
        <v>32</v>
      </c>
      <c r="I1399" s="9">
        <v>14</v>
      </c>
      <c r="J1399" s="10">
        <v>18.3</v>
      </c>
      <c r="K1399" s="9" t="str">
        <f>TEXT(Sales_of_Jordan[[#This Row],[Sale_Date]],"mmm")</f>
        <v>Feb</v>
      </c>
    </row>
    <row r="1400" spans="1:11" x14ac:dyDescent="0.35">
      <c r="A1400" s="7" t="s">
        <v>1430</v>
      </c>
      <c r="B1400" s="8">
        <v>45144</v>
      </c>
      <c r="C1400" s="9" t="s">
        <v>31</v>
      </c>
      <c r="D1400" s="9" t="s">
        <v>12</v>
      </c>
      <c r="E1400" s="9" t="s">
        <v>29</v>
      </c>
      <c r="F1400" s="9">
        <v>203</v>
      </c>
      <c r="G1400" s="9">
        <v>262.32</v>
      </c>
      <c r="H1400" s="9" t="s">
        <v>32</v>
      </c>
      <c r="I1400" s="9">
        <v>59</v>
      </c>
      <c r="J1400" s="10">
        <v>59.319999999999901</v>
      </c>
      <c r="K1400" s="9" t="str">
        <f>TEXT(Sales_of_Jordan[[#This Row],[Sale_Date]],"mmm")</f>
        <v>Aug</v>
      </c>
    </row>
    <row r="1401" spans="1:11" x14ac:dyDescent="0.35">
      <c r="A1401" s="7" t="s">
        <v>1431</v>
      </c>
      <c r="B1401" s="8">
        <v>44998</v>
      </c>
      <c r="C1401" s="9" t="s">
        <v>27</v>
      </c>
      <c r="D1401" s="9" t="s">
        <v>34</v>
      </c>
      <c r="E1401" s="9" t="s">
        <v>29</v>
      </c>
      <c r="F1401" s="9">
        <v>132</v>
      </c>
      <c r="G1401" s="9">
        <v>186.14</v>
      </c>
      <c r="H1401" s="9" t="s">
        <v>14</v>
      </c>
      <c r="I1401" s="9">
        <v>12</v>
      </c>
      <c r="J1401" s="10">
        <v>54.139999999999901</v>
      </c>
      <c r="K1401" s="9" t="str">
        <f>TEXT(Sales_of_Jordan[[#This Row],[Sale_Date]],"mmm")</f>
        <v>Mar</v>
      </c>
    </row>
    <row r="1402" spans="1:11" x14ac:dyDescent="0.35">
      <c r="A1402" s="7" t="s">
        <v>1432</v>
      </c>
      <c r="B1402" s="8">
        <v>45357</v>
      </c>
      <c r="C1402" s="9" t="s">
        <v>21</v>
      </c>
      <c r="D1402" s="9" t="s">
        <v>34</v>
      </c>
      <c r="E1402" s="9" t="s">
        <v>18</v>
      </c>
      <c r="F1402" s="9">
        <v>212</v>
      </c>
      <c r="G1402" s="9">
        <v>501.18</v>
      </c>
      <c r="H1402" s="9" t="s">
        <v>23</v>
      </c>
      <c r="I1402" s="9">
        <v>9</v>
      </c>
      <c r="J1402" s="10">
        <v>289.18</v>
      </c>
      <c r="K1402" s="9" t="str">
        <f>TEXT(Sales_of_Jordan[[#This Row],[Sale_Date]],"mmm")</f>
        <v>Mar</v>
      </c>
    </row>
    <row r="1403" spans="1:11" x14ac:dyDescent="0.35">
      <c r="A1403" s="7" t="s">
        <v>1433</v>
      </c>
      <c r="B1403" s="8">
        <v>45249</v>
      </c>
      <c r="C1403" s="9" t="s">
        <v>21</v>
      </c>
      <c r="D1403" s="9" t="s">
        <v>34</v>
      </c>
      <c r="E1403" s="9" t="s">
        <v>18</v>
      </c>
      <c r="F1403" s="9">
        <v>225</v>
      </c>
      <c r="G1403" s="9">
        <v>391.84</v>
      </c>
      <c r="H1403" s="9" t="s">
        <v>25</v>
      </c>
      <c r="I1403" s="9">
        <v>33</v>
      </c>
      <c r="J1403" s="10">
        <v>166.83999999999901</v>
      </c>
      <c r="K1403" s="9" t="str">
        <f>TEXT(Sales_of_Jordan[[#This Row],[Sale_Date]],"mmm")</f>
        <v>Nov</v>
      </c>
    </row>
    <row r="1404" spans="1:11" x14ac:dyDescent="0.35">
      <c r="A1404" s="7" t="s">
        <v>1434</v>
      </c>
      <c r="B1404" s="8">
        <v>45833</v>
      </c>
      <c r="C1404" s="9" t="s">
        <v>11</v>
      </c>
      <c r="D1404" s="9" t="s">
        <v>34</v>
      </c>
      <c r="E1404" s="9" t="s">
        <v>13</v>
      </c>
      <c r="F1404" s="9">
        <v>226</v>
      </c>
      <c r="G1404" s="9">
        <v>147.24</v>
      </c>
      <c r="H1404" s="9" t="s">
        <v>19</v>
      </c>
      <c r="I1404" s="9">
        <v>12</v>
      </c>
      <c r="J1404" s="10">
        <v>-78.759999999999906</v>
      </c>
      <c r="K1404" s="9" t="str">
        <f>TEXT(Sales_of_Jordan[[#This Row],[Sale_Date]],"mmm")</f>
        <v>Jun</v>
      </c>
    </row>
    <row r="1405" spans="1:11" x14ac:dyDescent="0.35">
      <c r="A1405" s="7" t="s">
        <v>1435</v>
      </c>
      <c r="B1405" s="8">
        <v>45632</v>
      </c>
      <c r="C1405" s="9" t="s">
        <v>27</v>
      </c>
      <c r="D1405" s="9" t="s">
        <v>36</v>
      </c>
      <c r="E1405" s="9" t="s">
        <v>29</v>
      </c>
      <c r="F1405" s="9">
        <v>121</v>
      </c>
      <c r="G1405" s="9">
        <v>166.89</v>
      </c>
      <c r="H1405" s="9" t="s">
        <v>23</v>
      </c>
      <c r="I1405" s="9">
        <v>6</v>
      </c>
      <c r="J1405" s="10">
        <v>45.889999999999901</v>
      </c>
      <c r="K1405" s="9" t="str">
        <f>TEXT(Sales_of_Jordan[[#This Row],[Sale_Date]],"mmm")</f>
        <v>Dec</v>
      </c>
    </row>
    <row r="1406" spans="1:11" x14ac:dyDescent="0.35">
      <c r="A1406" s="7" t="s">
        <v>1436</v>
      </c>
      <c r="B1406" s="8">
        <v>45221</v>
      </c>
      <c r="C1406" s="9" t="s">
        <v>27</v>
      </c>
      <c r="D1406" s="9" t="s">
        <v>53</v>
      </c>
      <c r="E1406" s="9" t="s">
        <v>13</v>
      </c>
      <c r="F1406" s="9">
        <v>138</v>
      </c>
      <c r="G1406" s="9">
        <v>120.62</v>
      </c>
      <c r="H1406" s="9" t="s">
        <v>23</v>
      </c>
      <c r="I1406" s="9">
        <v>21</v>
      </c>
      <c r="J1406" s="10">
        <v>-17.3799999999999</v>
      </c>
      <c r="K1406" s="9" t="str">
        <f>TEXT(Sales_of_Jordan[[#This Row],[Sale_Date]],"mmm")</f>
        <v>Oct</v>
      </c>
    </row>
    <row r="1407" spans="1:11" x14ac:dyDescent="0.35">
      <c r="A1407" s="7" t="s">
        <v>1437</v>
      </c>
      <c r="B1407" s="8">
        <v>45301</v>
      </c>
      <c r="C1407" s="9" t="s">
        <v>16</v>
      </c>
      <c r="D1407" s="9" t="s">
        <v>36</v>
      </c>
      <c r="E1407" s="9" t="s">
        <v>18</v>
      </c>
      <c r="F1407" s="9">
        <v>179</v>
      </c>
      <c r="G1407" s="9">
        <v>379.88</v>
      </c>
      <c r="H1407" s="9" t="s">
        <v>23</v>
      </c>
      <c r="I1407" s="9">
        <v>48</v>
      </c>
      <c r="J1407" s="10">
        <v>200.88</v>
      </c>
      <c r="K1407" s="9" t="str">
        <f>TEXT(Sales_of_Jordan[[#This Row],[Sale_Date]],"mmm")</f>
        <v>Jan</v>
      </c>
    </row>
    <row r="1408" spans="1:11" x14ac:dyDescent="0.35">
      <c r="A1408" s="7" t="s">
        <v>1438</v>
      </c>
      <c r="B1408" s="8">
        <v>45679</v>
      </c>
      <c r="C1408" s="9" t="s">
        <v>16</v>
      </c>
      <c r="D1408" s="9" t="s">
        <v>36</v>
      </c>
      <c r="E1408" s="9" t="s">
        <v>29</v>
      </c>
      <c r="F1408" s="9">
        <v>172</v>
      </c>
      <c r="G1408" s="9">
        <v>198.05</v>
      </c>
      <c r="H1408" s="9" t="s">
        <v>23</v>
      </c>
      <c r="I1408" s="9">
        <v>28</v>
      </c>
      <c r="J1408" s="10">
        <v>26.05</v>
      </c>
      <c r="K1408" s="9" t="str">
        <f>TEXT(Sales_of_Jordan[[#This Row],[Sale_Date]],"mmm")</f>
        <v>Jan</v>
      </c>
    </row>
    <row r="1409" spans="1:11" x14ac:dyDescent="0.35">
      <c r="A1409" s="7" t="s">
        <v>1439</v>
      </c>
      <c r="B1409" s="8">
        <v>45061</v>
      </c>
      <c r="C1409" s="9" t="s">
        <v>11</v>
      </c>
      <c r="D1409" s="9" t="s">
        <v>36</v>
      </c>
      <c r="E1409" s="9" t="s">
        <v>13</v>
      </c>
      <c r="F1409" s="9">
        <v>225</v>
      </c>
      <c r="G1409" s="9">
        <v>161.75</v>
      </c>
      <c r="H1409" s="9" t="s">
        <v>19</v>
      </c>
      <c r="I1409" s="9">
        <v>12</v>
      </c>
      <c r="J1409" s="10">
        <v>-63.25</v>
      </c>
      <c r="K1409" s="9" t="str">
        <f>TEXT(Sales_of_Jordan[[#This Row],[Sale_Date]],"mmm")</f>
        <v>May</v>
      </c>
    </row>
    <row r="1410" spans="1:11" x14ac:dyDescent="0.35">
      <c r="A1410" s="7" t="s">
        <v>1440</v>
      </c>
      <c r="B1410" s="8">
        <v>45656</v>
      </c>
      <c r="C1410" s="9" t="s">
        <v>21</v>
      </c>
      <c r="D1410" s="9" t="s">
        <v>17</v>
      </c>
      <c r="E1410" s="9" t="s">
        <v>29</v>
      </c>
      <c r="F1410" s="9">
        <v>212</v>
      </c>
      <c r="G1410" s="9">
        <v>237.34</v>
      </c>
      <c r="H1410" s="9" t="s">
        <v>23</v>
      </c>
      <c r="I1410" s="9">
        <v>51</v>
      </c>
      <c r="J1410" s="10">
        <v>25.34</v>
      </c>
      <c r="K1410" s="9" t="str">
        <f>TEXT(Sales_of_Jordan[[#This Row],[Sale_Date]],"mmm")</f>
        <v>Dec</v>
      </c>
    </row>
    <row r="1411" spans="1:11" x14ac:dyDescent="0.35">
      <c r="A1411" s="7" t="s">
        <v>1441</v>
      </c>
      <c r="B1411" s="8">
        <v>45612</v>
      </c>
      <c r="C1411" s="9" t="s">
        <v>11</v>
      </c>
      <c r="D1411" s="9" t="s">
        <v>17</v>
      </c>
      <c r="E1411" s="9" t="s">
        <v>13</v>
      </c>
      <c r="F1411" s="9">
        <v>225</v>
      </c>
      <c r="G1411" s="9">
        <v>174.57</v>
      </c>
      <c r="H1411" s="9" t="s">
        <v>32</v>
      </c>
      <c r="I1411" s="9">
        <v>20</v>
      </c>
      <c r="J1411" s="10">
        <v>-50.43</v>
      </c>
      <c r="K1411" s="9" t="str">
        <f>TEXT(Sales_of_Jordan[[#This Row],[Sale_Date]],"mmm")</f>
        <v>Nov</v>
      </c>
    </row>
    <row r="1412" spans="1:11" x14ac:dyDescent="0.35">
      <c r="A1412" s="7" t="s">
        <v>1442</v>
      </c>
      <c r="B1412" s="8">
        <v>45502</v>
      </c>
      <c r="C1412" s="9" t="s">
        <v>16</v>
      </c>
      <c r="D1412" s="9" t="s">
        <v>22</v>
      </c>
      <c r="E1412" s="9" t="s">
        <v>29</v>
      </c>
      <c r="F1412" s="9">
        <v>174</v>
      </c>
      <c r="G1412" s="9">
        <v>215.06</v>
      </c>
      <c r="H1412" s="9" t="s">
        <v>32</v>
      </c>
      <c r="I1412" s="9">
        <v>10</v>
      </c>
      <c r="J1412" s="10">
        <v>41.06</v>
      </c>
      <c r="K1412" s="9" t="str">
        <f>TEXT(Sales_of_Jordan[[#This Row],[Sale_Date]],"mmm")</f>
        <v>Jul</v>
      </c>
    </row>
    <row r="1413" spans="1:11" x14ac:dyDescent="0.35">
      <c r="A1413" s="7" t="s">
        <v>1443</v>
      </c>
      <c r="B1413" s="8">
        <v>45197</v>
      </c>
      <c r="C1413" s="9" t="s">
        <v>11</v>
      </c>
      <c r="D1413" s="9" t="s">
        <v>34</v>
      </c>
      <c r="E1413" s="9" t="s">
        <v>13</v>
      </c>
      <c r="F1413" s="9">
        <v>227</v>
      </c>
      <c r="G1413" s="9">
        <v>160.12</v>
      </c>
      <c r="H1413" s="9" t="s">
        <v>14</v>
      </c>
      <c r="I1413" s="9">
        <v>11</v>
      </c>
      <c r="J1413" s="10">
        <v>-66.88</v>
      </c>
      <c r="K1413" s="9" t="str">
        <f>TEXT(Sales_of_Jordan[[#This Row],[Sale_Date]],"mmm")</f>
        <v>Sep</v>
      </c>
    </row>
    <row r="1414" spans="1:11" x14ac:dyDescent="0.35">
      <c r="A1414" s="7" t="s">
        <v>1444</v>
      </c>
      <c r="B1414" s="8">
        <v>45897</v>
      </c>
      <c r="C1414" s="9" t="s">
        <v>31</v>
      </c>
      <c r="D1414" s="9" t="s">
        <v>46</v>
      </c>
      <c r="E1414" s="9" t="s">
        <v>13</v>
      </c>
      <c r="F1414" s="9">
        <v>206</v>
      </c>
      <c r="G1414" s="9">
        <v>184.55</v>
      </c>
      <c r="H1414" s="9" t="s">
        <v>25</v>
      </c>
      <c r="I1414" s="9">
        <v>32</v>
      </c>
      <c r="J1414" s="10">
        <v>-21.4499999999999</v>
      </c>
      <c r="K1414" s="9" t="str">
        <f>TEXT(Sales_of_Jordan[[#This Row],[Sale_Date]],"mmm")</f>
        <v>Aug</v>
      </c>
    </row>
    <row r="1415" spans="1:11" x14ac:dyDescent="0.35">
      <c r="A1415" s="7" t="s">
        <v>1445</v>
      </c>
      <c r="B1415" s="8">
        <v>45538</v>
      </c>
      <c r="C1415" s="9" t="s">
        <v>31</v>
      </c>
      <c r="D1415" s="9" t="s">
        <v>46</v>
      </c>
      <c r="E1415" s="9" t="s">
        <v>29</v>
      </c>
      <c r="F1415" s="9">
        <v>202</v>
      </c>
      <c r="G1415" s="9">
        <v>290.63</v>
      </c>
      <c r="H1415" s="9" t="s">
        <v>32</v>
      </c>
      <c r="I1415" s="9">
        <v>52</v>
      </c>
      <c r="J1415" s="10">
        <v>88.63</v>
      </c>
      <c r="K1415" s="9" t="str">
        <f>TEXT(Sales_of_Jordan[[#This Row],[Sale_Date]],"mmm")</f>
        <v>Sep</v>
      </c>
    </row>
    <row r="1416" spans="1:11" x14ac:dyDescent="0.35">
      <c r="A1416" s="7" t="s">
        <v>1446</v>
      </c>
      <c r="B1416" s="8">
        <v>45526</v>
      </c>
      <c r="C1416" s="9" t="s">
        <v>21</v>
      </c>
      <c r="D1416" s="9" t="s">
        <v>36</v>
      </c>
      <c r="E1416" s="9" t="s">
        <v>29</v>
      </c>
      <c r="F1416" s="9">
        <v>213</v>
      </c>
      <c r="G1416" s="9">
        <v>284.54000000000002</v>
      </c>
      <c r="H1416" s="9" t="s">
        <v>19</v>
      </c>
      <c r="I1416" s="9">
        <v>7</v>
      </c>
      <c r="J1416" s="10">
        <v>71.540000000000006</v>
      </c>
      <c r="K1416" s="9" t="str">
        <f>TEXT(Sales_of_Jordan[[#This Row],[Sale_Date]],"mmm")</f>
        <v>Aug</v>
      </c>
    </row>
    <row r="1417" spans="1:11" x14ac:dyDescent="0.35">
      <c r="A1417" s="7" t="s">
        <v>1447</v>
      </c>
      <c r="B1417" s="8">
        <v>45242</v>
      </c>
      <c r="C1417" s="9" t="s">
        <v>27</v>
      </c>
      <c r="D1417" s="9" t="s">
        <v>53</v>
      </c>
      <c r="E1417" s="9" t="s">
        <v>13</v>
      </c>
      <c r="F1417" s="9">
        <v>127</v>
      </c>
      <c r="G1417" s="9">
        <v>101.18</v>
      </c>
      <c r="H1417" s="9" t="s">
        <v>25</v>
      </c>
      <c r="I1417" s="9">
        <v>17</v>
      </c>
      <c r="J1417" s="10">
        <v>-25.819999999999901</v>
      </c>
      <c r="K1417" s="9" t="str">
        <f>TEXT(Sales_of_Jordan[[#This Row],[Sale_Date]],"mmm")</f>
        <v>Nov</v>
      </c>
    </row>
    <row r="1418" spans="1:11" x14ac:dyDescent="0.35">
      <c r="A1418" s="7" t="s">
        <v>1448</v>
      </c>
      <c r="B1418" s="8">
        <v>45058</v>
      </c>
      <c r="C1418" s="9" t="s">
        <v>31</v>
      </c>
      <c r="D1418" s="9" t="s">
        <v>36</v>
      </c>
      <c r="E1418" s="9" t="s">
        <v>29</v>
      </c>
      <c r="F1418" s="9">
        <v>208</v>
      </c>
      <c r="G1418" s="9">
        <v>229.1</v>
      </c>
      <c r="H1418" s="9" t="s">
        <v>25</v>
      </c>
      <c r="I1418" s="9">
        <v>11</v>
      </c>
      <c r="J1418" s="10">
        <v>21.099999999999898</v>
      </c>
      <c r="K1418" s="9" t="str">
        <f>TEXT(Sales_of_Jordan[[#This Row],[Sale_Date]],"mmm")</f>
        <v>May</v>
      </c>
    </row>
    <row r="1419" spans="1:11" x14ac:dyDescent="0.35">
      <c r="A1419" s="7" t="s">
        <v>1449</v>
      </c>
      <c r="B1419" s="8">
        <v>45705</v>
      </c>
      <c r="C1419" s="9" t="s">
        <v>21</v>
      </c>
      <c r="D1419" s="9" t="s">
        <v>17</v>
      </c>
      <c r="E1419" s="9" t="s">
        <v>18</v>
      </c>
      <c r="F1419" s="9">
        <v>224</v>
      </c>
      <c r="G1419" s="9">
        <v>637.1</v>
      </c>
      <c r="H1419" s="9" t="s">
        <v>14</v>
      </c>
      <c r="I1419" s="9">
        <v>7</v>
      </c>
      <c r="J1419" s="10">
        <v>413.1</v>
      </c>
      <c r="K1419" s="9" t="str">
        <f>TEXT(Sales_of_Jordan[[#This Row],[Sale_Date]],"mmm")</f>
        <v>Feb</v>
      </c>
    </row>
    <row r="1420" spans="1:11" x14ac:dyDescent="0.35">
      <c r="A1420" s="7" t="s">
        <v>1450</v>
      </c>
      <c r="B1420" s="8">
        <v>45071</v>
      </c>
      <c r="C1420" s="9" t="s">
        <v>27</v>
      </c>
      <c r="D1420" s="9" t="s">
        <v>53</v>
      </c>
      <c r="E1420" s="9" t="s">
        <v>13</v>
      </c>
      <c r="F1420" s="9">
        <v>111</v>
      </c>
      <c r="G1420" s="9">
        <v>98.82</v>
      </c>
      <c r="H1420" s="9" t="s">
        <v>32</v>
      </c>
      <c r="I1420" s="9">
        <v>47</v>
      </c>
      <c r="J1420" s="10">
        <v>-12.18</v>
      </c>
      <c r="K1420" s="9" t="str">
        <f>TEXT(Sales_of_Jordan[[#This Row],[Sale_Date]],"mmm")</f>
        <v>May</v>
      </c>
    </row>
    <row r="1421" spans="1:11" x14ac:dyDescent="0.35">
      <c r="A1421" s="7" t="s">
        <v>1451</v>
      </c>
      <c r="B1421" s="8">
        <v>45720</v>
      </c>
      <c r="C1421" s="9" t="s">
        <v>16</v>
      </c>
      <c r="D1421" s="9" t="s">
        <v>17</v>
      </c>
      <c r="E1421" s="9" t="s">
        <v>18</v>
      </c>
      <c r="F1421" s="9">
        <v>176</v>
      </c>
      <c r="G1421" s="9">
        <v>369.86</v>
      </c>
      <c r="H1421" s="9" t="s">
        <v>23</v>
      </c>
      <c r="I1421" s="9">
        <v>39</v>
      </c>
      <c r="J1421" s="10">
        <v>193.86</v>
      </c>
      <c r="K1421" s="9" t="str">
        <f>TEXT(Sales_of_Jordan[[#This Row],[Sale_Date]],"mmm")</f>
        <v>Mar</v>
      </c>
    </row>
    <row r="1422" spans="1:11" x14ac:dyDescent="0.35">
      <c r="A1422" s="7" t="s">
        <v>1452</v>
      </c>
      <c r="B1422" s="8">
        <v>45241</v>
      </c>
      <c r="C1422" s="9" t="s">
        <v>27</v>
      </c>
      <c r="D1422" s="9" t="s">
        <v>39</v>
      </c>
      <c r="E1422" s="9" t="s">
        <v>18</v>
      </c>
      <c r="F1422" s="9">
        <v>125</v>
      </c>
      <c r="G1422" s="9">
        <v>268.11</v>
      </c>
      <c r="H1422" s="9" t="s">
        <v>25</v>
      </c>
      <c r="I1422" s="9">
        <v>40</v>
      </c>
      <c r="J1422" s="10">
        <v>143.11000000000001</v>
      </c>
      <c r="K1422" s="9" t="str">
        <f>TEXT(Sales_of_Jordan[[#This Row],[Sale_Date]],"mmm")</f>
        <v>Nov</v>
      </c>
    </row>
    <row r="1423" spans="1:11" x14ac:dyDescent="0.35">
      <c r="A1423" s="7" t="s">
        <v>1453</v>
      </c>
      <c r="B1423" s="8">
        <v>45438</v>
      </c>
      <c r="C1423" s="9" t="s">
        <v>16</v>
      </c>
      <c r="D1423" s="9" t="s">
        <v>53</v>
      </c>
      <c r="E1423" s="9" t="s">
        <v>29</v>
      </c>
      <c r="F1423" s="9">
        <v>189</v>
      </c>
      <c r="G1423" s="9">
        <v>172.71</v>
      </c>
      <c r="H1423" s="9" t="s">
        <v>23</v>
      </c>
      <c r="I1423" s="9">
        <v>46</v>
      </c>
      <c r="J1423" s="10">
        <v>-16.2899999999999</v>
      </c>
      <c r="K1423" s="9" t="str">
        <f>TEXT(Sales_of_Jordan[[#This Row],[Sale_Date]],"mmm")</f>
        <v>May</v>
      </c>
    </row>
    <row r="1424" spans="1:11" x14ac:dyDescent="0.35">
      <c r="A1424" s="7" t="s">
        <v>1454</v>
      </c>
      <c r="B1424" s="8">
        <v>44977</v>
      </c>
      <c r="C1424" s="9" t="s">
        <v>16</v>
      </c>
      <c r="D1424" s="9" t="s">
        <v>17</v>
      </c>
      <c r="E1424" s="9" t="s">
        <v>18</v>
      </c>
      <c r="F1424" s="9">
        <v>187</v>
      </c>
      <c r="G1424" s="9">
        <v>408.96</v>
      </c>
      <c r="H1424" s="9" t="s">
        <v>23</v>
      </c>
      <c r="I1424" s="9">
        <v>22</v>
      </c>
      <c r="J1424" s="10">
        <v>221.95999999999901</v>
      </c>
      <c r="K1424" s="9" t="str">
        <f>TEXT(Sales_of_Jordan[[#This Row],[Sale_Date]],"mmm")</f>
        <v>Feb</v>
      </c>
    </row>
    <row r="1425" spans="1:11" x14ac:dyDescent="0.35">
      <c r="A1425" s="7" t="s">
        <v>1455</v>
      </c>
      <c r="B1425" s="8">
        <v>45709</v>
      </c>
      <c r="C1425" s="9" t="s">
        <v>21</v>
      </c>
      <c r="D1425" s="9" t="s">
        <v>36</v>
      </c>
      <c r="E1425" s="9" t="s">
        <v>18</v>
      </c>
      <c r="F1425" s="9">
        <v>221</v>
      </c>
      <c r="G1425" s="9">
        <v>319.37</v>
      </c>
      <c r="H1425" s="9" t="s">
        <v>32</v>
      </c>
      <c r="I1425" s="9">
        <v>26</v>
      </c>
      <c r="J1425" s="10">
        <v>98.37</v>
      </c>
      <c r="K1425" s="9" t="str">
        <f>TEXT(Sales_of_Jordan[[#This Row],[Sale_Date]],"mmm")</f>
        <v>Feb</v>
      </c>
    </row>
    <row r="1426" spans="1:11" x14ac:dyDescent="0.35">
      <c r="A1426" s="7" t="s">
        <v>1456</v>
      </c>
      <c r="B1426" s="8">
        <v>45784</v>
      </c>
      <c r="C1426" s="9" t="s">
        <v>27</v>
      </c>
      <c r="D1426" s="9" t="s">
        <v>46</v>
      </c>
      <c r="E1426" s="9" t="s">
        <v>13</v>
      </c>
      <c r="F1426" s="9">
        <v>122</v>
      </c>
      <c r="G1426" s="9">
        <v>100.83</v>
      </c>
      <c r="H1426" s="9" t="s">
        <v>25</v>
      </c>
      <c r="I1426" s="9">
        <v>58</v>
      </c>
      <c r="J1426" s="10">
        <v>-21.17</v>
      </c>
      <c r="K1426" s="9" t="str">
        <f>TEXT(Sales_of_Jordan[[#This Row],[Sale_Date]],"mmm")</f>
        <v>May</v>
      </c>
    </row>
    <row r="1427" spans="1:11" x14ac:dyDescent="0.35">
      <c r="A1427" s="7" t="s">
        <v>1457</v>
      </c>
      <c r="B1427" s="8">
        <v>45322</v>
      </c>
      <c r="C1427" s="9" t="s">
        <v>21</v>
      </c>
      <c r="D1427" s="9" t="s">
        <v>12</v>
      </c>
      <c r="E1427" s="9" t="s">
        <v>13</v>
      </c>
      <c r="F1427" s="9">
        <v>220</v>
      </c>
      <c r="G1427" s="9">
        <v>191.13</v>
      </c>
      <c r="H1427" s="9" t="s">
        <v>32</v>
      </c>
      <c r="I1427" s="9">
        <v>31</v>
      </c>
      <c r="J1427" s="10">
        <v>-28.87</v>
      </c>
      <c r="K1427" s="9" t="str">
        <f>TEXT(Sales_of_Jordan[[#This Row],[Sale_Date]],"mmm")</f>
        <v>Jan</v>
      </c>
    </row>
    <row r="1428" spans="1:11" x14ac:dyDescent="0.35">
      <c r="A1428" s="7" t="s">
        <v>1458</v>
      </c>
      <c r="B1428" s="8">
        <v>45367</v>
      </c>
      <c r="C1428" s="9" t="s">
        <v>16</v>
      </c>
      <c r="D1428" s="9" t="s">
        <v>22</v>
      </c>
      <c r="E1428" s="9" t="s">
        <v>18</v>
      </c>
      <c r="F1428" s="9">
        <v>173</v>
      </c>
      <c r="G1428" s="9">
        <v>463.4</v>
      </c>
      <c r="H1428" s="9" t="s">
        <v>25</v>
      </c>
      <c r="I1428" s="9">
        <v>34</v>
      </c>
      <c r="J1428" s="10">
        <v>290.39999999999998</v>
      </c>
      <c r="K1428" s="9" t="str">
        <f>TEXT(Sales_of_Jordan[[#This Row],[Sale_Date]],"mmm")</f>
        <v>Mar</v>
      </c>
    </row>
    <row r="1429" spans="1:11" x14ac:dyDescent="0.35">
      <c r="A1429" s="7" t="s">
        <v>1459</v>
      </c>
      <c r="B1429" s="8">
        <v>45223</v>
      </c>
      <c r="C1429" s="9" t="s">
        <v>27</v>
      </c>
      <c r="D1429" s="9" t="s">
        <v>55</v>
      </c>
      <c r="E1429" s="9" t="s">
        <v>13</v>
      </c>
      <c r="F1429" s="9">
        <v>135</v>
      </c>
      <c r="G1429" s="9">
        <v>78.8</v>
      </c>
      <c r="H1429" s="9" t="s">
        <v>32</v>
      </c>
      <c r="I1429" s="9">
        <v>54</v>
      </c>
      <c r="J1429" s="10">
        <v>-56.2</v>
      </c>
      <c r="K1429" s="9" t="str">
        <f>TEXT(Sales_of_Jordan[[#This Row],[Sale_Date]],"mmm")</f>
        <v>Oct</v>
      </c>
    </row>
    <row r="1430" spans="1:11" x14ac:dyDescent="0.35">
      <c r="A1430" s="7" t="s">
        <v>1460</v>
      </c>
      <c r="B1430" s="8">
        <v>45889</v>
      </c>
      <c r="C1430" s="9" t="s">
        <v>16</v>
      </c>
      <c r="D1430" s="9" t="s">
        <v>17</v>
      </c>
      <c r="E1430" s="9" t="s">
        <v>18</v>
      </c>
      <c r="F1430" s="9">
        <v>183</v>
      </c>
      <c r="G1430" s="9">
        <v>640.20000000000005</v>
      </c>
      <c r="H1430" s="9" t="s">
        <v>23</v>
      </c>
      <c r="I1430" s="9">
        <v>11</v>
      </c>
      <c r="J1430" s="10">
        <v>457.2</v>
      </c>
      <c r="K1430" s="9" t="str">
        <f>TEXT(Sales_of_Jordan[[#This Row],[Sale_Date]],"mmm")</f>
        <v>Aug</v>
      </c>
    </row>
    <row r="1431" spans="1:11" x14ac:dyDescent="0.35">
      <c r="A1431" s="7" t="s">
        <v>1461</v>
      </c>
      <c r="B1431" s="8">
        <v>45425</v>
      </c>
      <c r="C1431" s="9" t="s">
        <v>27</v>
      </c>
      <c r="D1431" s="9" t="s">
        <v>36</v>
      </c>
      <c r="E1431" s="9" t="s">
        <v>29</v>
      </c>
      <c r="F1431" s="9">
        <v>117</v>
      </c>
      <c r="G1431" s="9">
        <v>115.1</v>
      </c>
      <c r="H1431" s="9" t="s">
        <v>25</v>
      </c>
      <c r="I1431" s="9">
        <v>16</v>
      </c>
      <c r="J1431" s="10">
        <v>-1.9</v>
      </c>
      <c r="K1431" s="9" t="str">
        <f>TEXT(Sales_of_Jordan[[#This Row],[Sale_Date]],"mmm")</f>
        <v>May</v>
      </c>
    </row>
    <row r="1432" spans="1:11" x14ac:dyDescent="0.35">
      <c r="A1432" s="7" t="s">
        <v>1462</v>
      </c>
      <c r="B1432" s="8">
        <v>44929</v>
      </c>
      <c r="C1432" s="9" t="s">
        <v>16</v>
      </c>
      <c r="D1432" s="9" t="s">
        <v>36</v>
      </c>
      <c r="E1432" s="9" t="s">
        <v>29</v>
      </c>
      <c r="F1432" s="9">
        <v>177</v>
      </c>
      <c r="G1432" s="9">
        <v>195.14</v>
      </c>
      <c r="H1432" s="9" t="s">
        <v>14</v>
      </c>
      <c r="I1432" s="9">
        <v>6</v>
      </c>
      <c r="J1432" s="10">
        <v>18.139999999999901</v>
      </c>
      <c r="K1432" s="9" t="str">
        <f>TEXT(Sales_of_Jordan[[#This Row],[Sale_Date]],"mmm")</f>
        <v>Jan</v>
      </c>
    </row>
    <row r="1433" spans="1:11" x14ac:dyDescent="0.35">
      <c r="A1433" s="7" t="s">
        <v>1463</v>
      </c>
      <c r="B1433" s="8">
        <v>45605</v>
      </c>
      <c r="C1433" s="9" t="s">
        <v>11</v>
      </c>
      <c r="D1433" s="9" t="s">
        <v>36</v>
      </c>
      <c r="E1433" s="9" t="s">
        <v>18</v>
      </c>
      <c r="F1433" s="9">
        <v>228</v>
      </c>
      <c r="G1433" s="9">
        <v>650.41</v>
      </c>
      <c r="H1433" s="9" t="s">
        <v>23</v>
      </c>
      <c r="I1433" s="9">
        <v>36</v>
      </c>
      <c r="J1433" s="10">
        <v>422.409999999999</v>
      </c>
      <c r="K1433" s="9" t="str">
        <f>TEXT(Sales_of_Jordan[[#This Row],[Sale_Date]],"mmm")</f>
        <v>Nov</v>
      </c>
    </row>
    <row r="1434" spans="1:11" x14ac:dyDescent="0.35">
      <c r="A1434" s="7" t="s">
        <v>1464</v>
      </c>
      <c r="B1434" s="8">
        <v>44946</v>
      </c>
      <c r="C1434" s="9" t="s">
        <v>16</v>
      </c>
      <c r="D1434" s="9" t="s">
        <v>36</v>
      </c>
      <c r="E1434" s="9" t="s">
        <v>29</v>
      </c>
      <c r="F1434" s="9">
        <v>180</v>
      </c>
      <c r="G1434" s="9">
        <v>260.67</v>
      </c>
      <c r="H1434" s="9" t="s">
        <v>19</v>
      </c>
      <c r="I1434" s="9">
        <v>4</v>
      </c>
      <c r="J1434" s="10">
        <v>80.67</v>
      </c>
      <c r="K1434" s="9" t="str">
        <f>TEXT(Sales_of_Jordan[[#This Row],[Sale_Date]],"mmm")</f>
        <v>Jan</v>
      </c>
    </row>
    <row r="1435" spans="1:11" x14ac:dyDescent="0.35">
      <c r="A1435" s="7" t="s">
        <v>1465</v>
      </c>
      <c r="B1435" s="8">
        <v>44986</v>
      </c>
      <c r="C1435" s="9" t="s">
        <v>27</v>
      </c>
      <c r="D1435" s="9" t="s">
        <v>53</v>
      </c>
      <c r="E1435" s="9" t="s">
        <v>13</v>
      </c>
      <c r="F1435" s="9">
        <v>129</v>
      </c>
      <c r="G1435" s="9">
        <v>73.66</v>
      </c>
      <c r="H1435" s="9" t="s">
        <v>19</v>
      </c>
      <c r="I1435" s="9">
        <v>7</v>
      </c>
      <c r="J1435" s="10">
        <v>-55.34</v>
      </c>
      <c r="K1435" s="9" t="str">
        <f>TEXT(Sales_of_Jordan[[#This Row],[Sale_Date]],"mmm")</f>
        <v>Mar</v>
      </c>
    </row>
    <row r="1436" spans="1:11" x14ac:dyDescent="0.35">
      <c r="A1436" s="7" t="s">
        <v>1466</v>
      </c>
      <c r="B1436" s="8">
        <v>45134</v>
      </c>
      <c r="C1436" s="9" t="s">
        <v>11</v>
      </c>
      <c r="D1436" s="9" t="s">
        <v>39</v>
      </c>
      <c r="E1436" s="9" t="s">
        <v>29</v>
      </c>
      <c r="F1436" s="9">
        <v>227</v>
      </c>
      <c r="G1436" s="9">
        <v>327.2</v>
      </c>
      <c r="H1436" s="9" t="s">
        <v>32</v>
      </c>
      <c r="I1436" s="9">
        <v>25</v>
      </c>
      <c r="J1436" s="10">
        <v>100.19999999999899</v>
      </c>
      <c r="K1436" s="9" t="str">
        <f>TEXT(Sales_of_Jordan[[#This Row],[Sale_Date]],"mmm")</f>
        <v>Jul</v>
      </c>
    </row>
    <row r="1437" spans="1:11" x14ac:dyDescent="0.35">
      <c r="A1437" s="7" t="s">
        <v>1467</v>
      </c>
      <c r="B1437" s="8">
        <v>45322</v>
      </c>
      <c r="C1437" s="9" t="s">
        <v>27</v>
      </c>
      <c r="D1437" s="9" t="s">
        <v>34</v>
      </c>
      <c r="E1437" s="9" t="s">
        <v>13</v>
      </c>
      <c r="F1437" s="9">
        <v>127</v>
      </c>
      <c r="G1437" s="9">
        <v>95.25</v>
      </c>
      <c r="H1437" s="9" t="s">
        <v>25</v>
      </c>
      <c r="I1437" s="9">
        <v>60</v>
      </c>
      <c r="J1437" s="10">
        <v>-31.75</v>
      </c>
      <c r="K1437" s="9" t="str">
        <f>TEXT(Sales_of_Jordan[[#This Row],[Sale_Date]],"mmm")</f>
        <v>Jan</v>
      </c>
    </row>
    <row r="1438" spans="1:11" x14ac:dyDescent="0.35">
      <c r="A1438" s="7" t="s">
        <v>1468</v>
      </c>
      <c r="B1438" s="8">
        <v>45709</v>
      </c>
      <c r="C1438" s="9" t="s">
        <v>27</v>
      </c>
      <c r="D1438" s="9" t="s">
        <v>55</v>
      </c>
      <c r="E1438" s="9" t="s">
        <v>29</v>
      </c>
      <c r="F1438" s="9">
        <v>125</v>
      </c>
      <c r="G1438" s="9">
        <v>125.36</v>
      </c>
      <c r="H1438" s="9" t="s">
        <v>19</v>
      </c>
      <c r="I1438" s="9">
        <v>13</v>
      </c>
      <c r="J1438" s="10">
        <v>0.35999999999999899</v>
      </c>
      <c r="K1438" s="9" t="str">
        <f>TEXT(Sales_of_Jordan[[#This Row],[Sale_Date]],"mmm")</f>
        <v>Feb</v>
      </c>
    </row>
    <row r="1439" spans="1:11" x14ac:dyDescent="0.35">
      <c r="A1439" s="7" t="s">
        <v>1469</v>
      </c>
      <c r="B1439" s="8">
        <v>45859</v>
      </c>
      <c r="C1439" s="9" t="s">
        <v>21</v>
      </c>
      <c r="D1439" s="9" t="s">
        <v>39</v>
      </c>
      <c r="E1439" s="9" t="s">
        <v>13</v>
      </c>
      <c r="F1439" s="9">
        <v>224</v>
      </c>
      <c r="G1439" s="9">
        <v>136.99</v>
      </c>
      <c r="H1439" s="9" t="s">
        <v>19</v>
      </c>
      <c r="I1439" s="9">
        <v>3</v>
      </c>
      <c r="J1439" s="10">
        <v>-87.009999999999906</v>
      </c>
      <c r="K1439" s="9" t="str">
        <f>TEXT(Sales_of_Jordan[[#This Row],[Sale_Date]],"mmm")</f>
        <v>Jul</v>
      </c>
    </row>
    <row r="1440" spans="1:11" x14ac:dyDescent="0.35">
      <c r="A1440" s="7" t="s">
        <v>1470</v>
      </c>
      <c r="B1440" s="8">
        <v>45505</v>
      </c>
      <c r="C1440" s="9" t="s">
        <v>27</v>
      </c>
      <c r="D1440" s="9" t="s">
        <v>55</v>
      </c>
      <c r="E1440" s="9" t="s">
        <v>29</v>
      </c>
      <c r="F1440" s="9">
        <v>113</v>
      </c>
      <c r="G1440" s="9">
        <v>168.08</v>
      </c>
      <c r="H1440" s="9" t="s">
        <v>23</v>
      </c>
      <c r="I1440" s="9">
        <v>49</v>
      </c>
      <c r="J1440" s="10">
        <v>55.08</v>
      </c>
      <c r="K1440" s="9" t="str">
        <f>TEXT(Sales_of_Jordan[[#This Row],[Sale_Date]],"mmm")</f>
        <v>Aug</v>
      </c>
    </row>
    <row r="1441" spans="1:11" x14ac:dyDescent="0.35">
      <c r="A1441" s="7" t="s">
        <v>1471</v>
      </c>
      <c r="B1441" s="8">
        <v>45701</v>
      </c>
      <c r="C1441" s="9" t="s">
        <v>27</v>
      </c>
      <c r="D1441" s="9" t="s">
        <v>17</v>
      </c>
      <c r="E1441" s="9" t="s">
        <v>13</v>
      </c>
      <c r="F1441" s="9">
        <v>128</v>
      </c>
      <c r="G1441" s="9">
        <v>113.9</v>
      </c>
      <c r="H1441" s="9" t="s">
        <v>14</v>
      </c>
      <c r="I1441" s="9">
        <v>12</v>
      </c>
      <c r="J1441" s="10">
        <v>-14.0999999999999</v>
      </c>
      <c r="K1441" s="9" t="str">
        <f>TEXT(Sales_of_Jordan[[#This Row],[Sale_Date]],"mmm")</f>
        <v>Feb</v>
      </c>
    </row>
    <row r="1442" spans="1:11" x14ac:dyDescent="0.35">
      <c r="A1442" s="7" t="s">
        <v>1472</v>
      </c>
      <c r="B1442" s="8">
        <v>45291</v>
      </c>
      <c r="C1442" s="9" t="s">
        <v>11</v>
      </c>
      <c r="D1442" s="9" t="s">
        <v>17</v>
      </c>
      <c r="E1442" s="9" t="s">
        <v>18</v>
      </c>
      <c r="F1442" s="9">
        <v>228</v>
      </c>
      <c r="G1442" s="9">
        <v>433.66</v>
      </c>
      <c r="H1442" s="9" t="s">
        <v>19</v>
      </c>
      <c r="I1442" s="9">
        <v>13</v>
      </c>
      <c r="J1442" s="10">
        <v>205.66</v>
      </c>
      <c r="K1442" s="9" t="str">
        <f>TEXT(Sales_of_Jordan[[#This Row],[Sale_Date]],"mmm")</f>
        <v>Dec</v>
      </c>
    </row>
    <row r="1443" spans="1:11" x14ac:dyDescent="0.35">
      <c r="A1443" s="7" t="s">
        <v>1473</v>
      </c>
      <c r="B1443" s="8">
        <v>45854</v>
      </c>
      <c r="C1443" s="9" t="s">
        <v>31</v>
      </c>
      <c r="D1443" s="9" t="s">
        <v>17</v>
      </c>
      <c r="E1443" s="9" t="s">
        <v>18</v>
      </c>
      <c r="F1443" s="9">
        <v>200</v>
      </c>
      <c r="G1443" s="9">
        <v>616.42999999999995</v>
      </c>
      <c r="H1443" s="9" t="s">
        <v>32</v>
      </c>
      <c r="I1443" s="9">
        <v>37</v>
      </c>
      <c r="J1443" s="10">
        <v>416.42999999999898</v>
      </c>
      <c r="K1443" s="9" t="str">
        <f>TEXT(Sales_of_Jordan[[#This Row],[Sale_Date]],"mmm")</f>
        <v>Jul</v>
      </c>
    </row>
    <row r="1444" spans="1:11" x14ac:dyDescent="0.35">
      <c r="A1444" s="7" t="s">
        <v>1474</v>
      </c>
      <c r="B1444" s="8">
        <v>45502</v>
      </c>
      <c r="C1444" s="9" t="s">
        <v>16</v>
      </c>
      <c r="D1444" s="9" t="s">
        <v>22</v>
      </c>
      <c r="E1444" s="9" t="s">
        <v>18</v>
      </c>
      <c r="F1444" s="9">
        <v>190</v>
      </c>
      <c r="G1444" s="9">
        <v>462.97</v>
      </c>
      <c r="H1444" s="9" t="s">
        <v>25</v>
      </c>
      <c r="I1444" s="9">
        <v>42</v>
      </c>
      <c r="J1444" s="10">
        <v>272.97000000000003</v>
      </c>
      <c r="K1444" s="9" t="str">
        <f>TEXT(Sales_of_Jordan[[#This Row],[Sale_Date]],"mmm")</f>
        <v>Jul</v>
      </c>
    </row>
    <row r="1445" spans="1:11" x14ac:dyDescent="0.35">
      <c r="A1445" s="7" t="s">
        <v>1475</v>
      </c>
      <c r="B1445" s="8">
        <v>45716</v>
      </c>
      <c r="C1445" s="9" t="s">
        <v>27</v>
      </c>
      <c r="D1445" s="9" t="s">
        <v>39</v>
      </c>
      <c r="E1445" s="9" t="s">
        <v>18</v>
      </c>
      <c r="F1445" s="9">
        <v>131</v>
      </c>
      <c r="G1445" s="9">
        <v>310.08999999999997</v>
      </c>
      <c r="H1445" s="9" t="s">
        <v>32</v>
      </c>
      <c r="I1445" s="9">
        <v>54</v>
      </c>
      <c r="J1445" s="10">
        <v>179.08999999999901</v>
      </c>
      <c r="K1445" s="9" t="str">
        <f>TEXT(Sales_of_Jordan[[#This Row],[Sale_Date]],"mmm")</f>
        <v>Feb</v>
      </c>
    </row>
    <row r="1446" spans="1:11" x14ac:dyDescent="0.35">
      <c r="A1446" s="7" t="s">
        <v>1476</v>
      </c>
      <c r="B1446" s="8">
        <v>45086</v>
      </c>
      <c r="C1446" s="9" t="s">
        <v>11</v>
      </c>
      <c r="D1446" s="9" t="s">
        <v>17</v>
      </c>
      <c r="E1446" s="9" t="s">
        <v>18</v>
      </c>
      <c r="F1446" s="9">
        <v>230</v>
      </c>
      <c r="G1446" s="9">
        <v>697.81</v>
      </c>
      <c r="H1446" s="9" t="s">
        <v>19</v>
      </c>
      <c r="I1446" s="9">
        <v>5</v>
      </c>
      <c r="J1446" s="10">
        <v>467.80999999999898</v>
      </c>
      <c r="K1446" s="9" t="str">
        <f>TEXT(Sales_of_Jordan[[#This Row],[Sale_Date]],"mmm")</f>
        <v>Jun</v>
      </c>
    </row>
    <row r="1447" spans="1:11" x14ac:dyDescent="0.35">
      <c r="A1447" s="7" t="s">
        <v>1477</v>
      </c>
      <c r="B1447" s="8">
        <v>44964</v>
      </c>
      <c r="C1447" s="9" t="s">
        <v>31</v>
      </c>
      <c r="D1447" s="9" t="s">
        <v>39</v>
      </c>
      <c r="E1447" s="9" t="s">
        <v>18</v>
      </c>
      <c r="F1447" s="9">
        <v>205</v>
      </c>
      <c r="G1447" s="9">
        <v>329.05</v>
      </c>
      <c r="H1447" s="9" t="s">
        <v>23</v>
      </c>
      <c r="I1447" s="9">
        <v>45</v>
      </c>
      <c r="J1447" s="10">
        <v>124.05</v>
      </c>
      <c r="K1447" s="9" t="str">
        <f>TEXT(Sales_of_Jordan[[#This Row],[Sale_Date]],"mmm")</f>
        <v>Feb</v>
      </c>
    </row>
    <row r="1448" spans="1:11" x14ac:dyDescent="0.35">
      <c r="A1448" s="7" t="s">
        <v>1478</v>
      </c>
      <c r="B1448" s="8">
        <v>45183</v>
      </c>
      <c r="C1448" s="9" t="s">
        <v>27</v>
      </c>
      <c r="D1448" s="9" t="s">
        <v>34</v>
      </c>
      <c r="E1448" s="9" t="s">
        <v>18</v>
      </c>
      <c r="F1448" s="9">
        <v>121</v>
      </c>
      <c r="G1448" s="9">
        <v>248.38</v>
      </c>
      <c r="H1448" s="9" t="s">
        <v>23</v>
      </c>
      <c r="I1448" s="9">
        <v>43</v>
      </c>
      <c r="J1448" s="10">
        <v>127.38</v>
      </c>
      <c r="K1448" s="9" t="str">
        <f>TEXT(Sales_of_Jordan[[#This Row],[Sale_Date]],"mmm")</f>
        <v>Sep</v>
      </c>
    </row>
    <row r="1449" spans="1:11" x14ac:dyDescent="0.35">
      <c r="A1449" s="7" t="s">
        <v>1479</v>
      </c>
      <c r="B1449" s="8">
        <v>45636</v>
      </c>
      <c r="C1449" s="9" t="s">
        <v>27</v>
      </c>
      <c r="D1449" s="9" t="s">
        <v>12</v>
      </c>
      <c r="E1449" s="9" t="s">
        <v>18</v>
      </c>
      <c r="F1449" s="9">
        <v>111</v>
      </c>
      <c r="G1449" s="9">
        <v>272.45999999999998</v>
      </c>
      <c r="H1449" s="9" t="s">
        <v>23</v>
      </c>
      <c r="I1449" s="9">
        <v>10</v>
      </c>
      <c r="J1449" s="10">
        <v>161.45999999999901</v>
      </c>
      <c r="K1449" s="9" t="str">
        <f>TEXT(Sales_of_Jordan[[#This Row],[Sale_Date]],"mmm")</f>
        <v>Dec</v>
      </c>
    </row>
    <row r="1450" spans="1:11" x14ac:dyDescent="0.35">
      <c r="A1450" s="7" t="s">
        <v>1480</v>
      </c>
      <c r="B1450" s="8">
        <v>45815</v>
      </c>
      <c r="C1450" s="9" t="s">
        <v>27</v>
      </c>
      <c r="D1450" s="9" t="s">
        <v>55</v>
      </c>
      <c r="E1450" s="9" t="s">
        <v>13</v>
      </c>
      <c r="F1450" s="9">
        <v>131</v>
      </c>
      <c r="G1450" s="9">
        <v>86.18</v>
      </c>
      <c r="H1450" s="9" t="s">
        <v>23</v>
      </c>
      <c r="I1450" s="9">
        <v>58</v>
      </c>
      <c r="J1450" s="10">
        <v>-44.819999999999901</v>
      </c>
      <c r="K1450" s="9" t="str">
        <f>TEXT(Sales_of_Jordan[[#This Row],[Sale_Date]],"mmm")</f>
        <v>Jun</v>
      </c>
    </row>
    <row r="1451" spans="1:11" x14ac:dyDescent="0.35">
      <c r="A1451" s="7" t="s">
        <v>1481</v>
      </c>
      <c r="B1451" s="8">
        <v>44955</v>
      </c>
      <c r="C1451" s="9" t="s">
        <v>21</v>
      </c>
      <c r="D1451" s="9" t="s">
        <v>39</v>
      </c>
      <c r="E1451" s="9" t="s">
        <v>13</v>
      </c>
      <c r="F1451" s="9">
        <v>216</v>
      </c>
      <c r="G1451" s="9">
        <v>186.39</v>
      </c>
      <c r="H1451" s="9" t="s">
        <v>23</v>
      </c>
      <c r="I1451" s="9">
        <v>40</v>
      </c>
      <c r="J1451" s="10">
        <v>-29.61</v>
      </c>
      <c r="K1451" s="9" t="str">
        <f>TEXT(Sales_of_Jordan[[#This Row],[Sale_Date]],"mmm")</f>
        <v>Jan</v>
      </c>
    </row>
    <row r="1452" spans="1:11" x14ac:dyDescent="0.35">
      <c r="A1452" s="7" t="s">
        <v>1482</v>
      </c>
      <c r="B1452" s="8">
        <v>45723</v>
      </c>
      <c r="C1452" s="9" t="s">
        <v>27</v>
      </c>
      <c r="D1452" s="9" t="s">
        <v>22</v>
      </c>
      <c r="E1452" s="9" t="s">
        <v>18</v>
      </c>
      <c r="F1452" s="9">
        <v>134</v>
      </c>
      <c r="G1452" s="9">
        <v>242.95</v>
      </c>
      <c r="H1452" s="9" t="s">
        <v>25</v>
      </c>
      <c r="I1452" s="9">
        <v>55</v>
      </c>
      <c r="J1452" s="10">
        <v>108.94999999999899</v>
      </c>
      <c r="K1452" s="9" t="str">
        <f>TEXT(Sales_of_Jordan[[#This Row],[Sale_Date]],"mmm")</f>
        <v>Mar</v>
      </c>
    </row>
    <row r="1453" spans="1:11" x14ac:dyDescent="0.35">
      <c r="A1453" s="7" t="s">
        <v>1483</v>
      </c>
      <c r="B1453" s="8">
        <v>45796</v>
      </c>
      <c r="C1453" s="9" t="s">
        <v>21</v>
      </c>
      <c r="D1453" s="9" t="s">
        <v>22</v>
      </c>
      <c r="E1453" s="9" t="s">
        <v>29</v>
      </c>
      <c r="F1453" s="9">
        <v>216</v>
      </c>
      <c r="G1453" s="9">
        <v>211.05</v>
      </c>
      <c r="H1453" s="9" t="s">
        <v>19</v>
      </c>
      <c r="I1453" s="9">
        <v>14</v>
      </c>
      <c r="J1453" s="10">
        <v>-4.9499999999999797</v>
      </c>
      <c r="K1453" s="9" t="str">
        <f>TEXT(Sales_of_Jordan[[#This Row],[Sale_Date]],"mmm")</f>
        <v>May</v>
      </c>
    </row>
    <row r="1454" spans="1:11" x14ac:dyDescent="0.35">
      <c r="A1454" s="7" t="s">
        <v>1484</v>
      </c>
      <c r="B1454" s="8">
        <v>45813</v>
      </c>
      <c r="C1454" s="9" t="s">
        <v>21</v>
      </c>
      <c r="D1454" s="9" t="s">
        <v>34</v>
      </c>
      <c r="E1454" s="9" t="s">
        <v>18</v>
      </c>
      <c r="F1454" s="9">
        <v>223</v>
      </c>
      <c r="G1454" s="9">
        <v>343.94</v>
      </c>
      <c r="H1454" s="9" t="s">
        <v>14</v>
      </c>
      <c r="I1454" s="9">
        <v>6</v>
      </c>
      <c r="J1454" s="10">
        <v>120.94</v>
      </c>
      <c r="K1454" s="9" t="str">
        <f>TEXT(Sales_of_Jordan[[#This Row],[Sale_Date]],"mmm")</f>
        <v>Jun</v>
      </c>
    </row>
    <row r="1455" spans="1:11" x14ac:dyDescent="0.35">
      <c r="A1455" s="7" t="s">
        <v>1485</v>
      </c>
      <c r="B1455" s="8">
        <v>45724</v>
      </c>
      <c r="C1455" s="9" t="s">
        <v>27</v>
      </c>
      <c r="D1455" s="9" t="s">
        <v>39</v>
      </c>
      <c r="E1455" s="9" t="s">
        <v>18</v>
      </c>
      <c r="F1455" s="9">
        <v>121</v>
      </c>
      <c r="G1455" s="9">
        <v>216.18</v>
      </c>
      <c r="H1455" s="9" t="s">
        <v>25</v>
      </c>
      <c r="I1455" s="9">
        <v>6</v>
      </c>
      <c r="J1455" s="10">
        <v>95.18</v>
      </c>
      <c r="K1455" s="9" t="str">
        <f>TEXT(Sales_of_Jordan[[#This Row],[Sale_Date]],"mmm")</f>
        <v>Mar</v>
      </c>
    </row>
    <row r="1456" spans="1:11" x14ac:dyDescent="0.35">
      <c r="A1456" s="7" t="s">
        <v>1486</v>
      </c>
      <c r="B1456" s="8">
        <v>44928</v>
      </c>
      <c r="C1456" s="9" t="s">
        <v>31</v>
      </c>
      <c r="D1456" s="9" t="s">
        <v>34</v>
      </c>
      <c r="E1456" s="9" t="s">
        <v>29</v>
      </c>
      <c r="F1456" s="9">
        <v>209</v>
      </c>
      <c r="G1456" s="9">
        <v>240.57</v>
      </c>
      <c r="H1456" s="9" t="s">
        <v>19</v>
      </c>
      <c r="I1456" s="9">
        <v>13</v>
      </c>
      <c r="J1456" s="10">
        <v>31.569999999999901</v>
      </c>
      <c r="K1456" s="9" t="str">
        <f>TEXT(Sales_of_Jordan[[#This Row],[Sale_Date]],"mmm")</f>
        <v>Jan</v>
      </c>
    </row>
    <row r="1457" spans="1:11" x14ac:dyDescent="0.35">
      <c r="A1457" s="7" t="s">
        <v>1487</v>
      </c>
      <c r="B1457" s="8">
        <v>45763</v>
      </c>
      <c r="C1457" s="9" t="s">
        <v>11</v>
      </c>
      <c r="D1457" s="9" t="s">
        <v>17</v>
      </c>
      <c r="E1457" s="9" t="s">
        <v>18</v>
      </c>
      <c r="F1457" s="9">
        <v>226</v>
      </c>
      <c r="G1457" s="9">
        <v>691.84</v>
      </c>
      <c r="H1457" s="9" t="s">
        <v>23</v>
      </c>
      <c r="I1457" s="9">
        <v>60</v>
      </c>
      <c r="J1457" s="10">
        <v>465.84</v>
      </c>
      <c r="K1457" s="9" t="str">
        <f>TEXT(Sales_of_Jordan[[#This Row],[Sale_Date]],"mmm")</f>
        <v>Apr</v>
      </c>
    </row>
    <row r="1458" spans="1:11" x14ac:dyDescent="0.35">
      <c r="A1458" s="7" t="s">
        <v>1488</v>
      </c>
      <c r="B1458" s="8">
        <v>45042</v>
      </c>
      <c r="C1458" s="9" t="s">
        <v>11</v>
      </c>
      <c r="D1458" s="9" t="s">
        <v>17</v>
      </c>
      <c r="E1458" s="9" t="s">
        <v>29</v>
      </c>
      <c r="F1458" s="9">
        <v>230</v>
      </c>
      <c r="G1458" s="9">
        <v>270.92</v>
      </c>
      <c r="H1458" s="9" t="s">
        <v>19</v>
      </c>
      <c r="I1458" s="9">
        <v>13</v>
      </c>
      <c r="J1458" s="10">
        <v>40.92</v>
      </c>
      <c r="K1458" s="9" t="str">
        <f>TEXT(Sales_of_Jordan[[#This Row],[Sale_Date]],"mmm")</f>
        <v>Apr</v>
      </c>
    </row>
    <row r="1459" spans="1:11" x14ac:dyDescent="0.35">
      <c r="A1459" s="7" t="s">
        <v>1489</v>
      </c>
      <c r="B1459" s="8">
        <v>45381</v>
      </c>
      <c r="C1459" s="9" t="s">
        <v>31</v>
      </c>
      <c r="D1459" s="9" t="s">
        <v>22</v>
      </c>
      <c r="E1459" s="9" t="s">
        <v>29</v>
      </c>
      <c r="F1459" s="9">
        <v>207</v>
      </c>
      <c r="G1459" s="9">
        <v>192.15</v>
      </c>
      <c r="H1459" s="9" t="s">
        <v>23</v>
      </c>
      <c r="I1459" s="9">
        <v>20</v>
      </c>
      <c r="J1459" s="10">
        <v>-14.8499999999999</v>
      </c>
      <c r="K1459" s="9" t="str">
        <f>TEXT(Sales_of_Jordan[[#This Row],[Sale_Date]],"mmm")</f>
        <v>Mar</v>
      </c>
    </row>
    <row r="1460" spans="1:11" x14ac:dyDescent="0.35">
      <c r="A1460" s="7" t="s">
        <v>1490</v>
      </c>
      <c r="B1460" s="8">
        <v>45496</v>
      </c>
      <c r="C1460" s="9" t="s">
        <v>31</v>
      </c>
      <c r="D1460" s="9" t="s">
        <v>34</v>
      </c>
      <c r="E1460" s="9" t="s">
        <v>29</v>
      </c>
      <c r="F1460" s="9">
        <v>203</v>
      </c>
      <c r="G1460" s="9">
        <v>247.08</v>
      </c>
      <c r="H1460" s="9" t="s">
        <v>23</v>
      </c>
      <c r="I1460" s="9">
        <v>6</v>
      </c>
      <c r="J1460" s="10">
        <v>44.08</v>
      </c>
      <c r="K1460" s="9" t="str">
        <f>TEXT(Sales_of_Jordan[[#This Row],[Sale_Date]],"mmm")</f>
        <v>Jul</v>
      </c>
    </row>
    <row r="1461" spans="1:11" x14ac:dyDescent="0.35">
      <c r="A1461" s="7" t="s">
        <v>1491</v>
      </c>
      <c r="B1461" s="8">
        <v>45376</v>
      </c>
      <c r="C1461" s="9" t="s">
        <v>11</v>
      </c>
      <c r="D1461" s="9" t="s">
        <v>53</v>
      </c>
      <c r="E1461" s="9" t="s">
        <v>29</v>
      </c>
      <c r="F1461" s="9">
        <v>226</v>
      </c>
      <c r="G1461" s="9">
        <v>212.57</v>
      </c>
      <c r="H1461" s="9" t="s">
        <v>14</v>
      </c>
      <c r="I1461" s="9">
        <v>6</v>
      </c>
      <c r="J1461" s="10">
        <v>-13.43</v>
      </c>
      <c r="K1461" s="9" t="str">
        <f>TEXT(Sales_of_Jordan[[#This Row],[Sale_Date]],"mmm")</f>
        <v>Mar</v>
      </c>
    </row>
    <row r="1462" spans="1:11" x14ac:dyDescent="0.35">
      <c r="A1462" s="7" t="s">
        <v>1492</v>
      </c>
      <c r="B1462" s="8">
        <v>44930</v>
      </c>
      <c r="C1462" s="9" t="s">
        <v>27</v>
      </c>
      <c r="D1462" s="9" t="s">
        <v>12</v>
      </c>
      <c r="E1462" s="9" t="s">
        <v>18</v>
      </c>
      <c r="F1462" s="9">
        <v>114</v>
      </c>
      <c r="G1462" s="9">
        <v>276.66000000000003</v>
      </c>
      <c r="H1462" s="9" t="s">
        <v>32</v>
      </c>
      <c r="I1462" s="9">
        <v>8</v>
      </c>
      <c r="J1462" s="10">
        <v>162.66</v>
      </c>
      <c r="K1462" s="9" t="str">
        <f>TEXT(Sales_of_Jordan[[#This Row],[Sale_Date]],"mmm")</f>
        <v>Jan</v>
      </c>
    </row>
    <row r="1463" spans="1:11" x14ac:dyDescent="0.35">
      <c r="A1463" s="7" t="s">
        <v>1493</v>
      </c>
      <c r="B1463" s="8">
        <v>45530</v>
      </c>
      <c r="C1463" s="9" t="s">
        <v>27</v>
      </c>
      <c r="D1463" s="9" t="s">
        <v>46</v>
      </c>
      <c r="E1463" s="9" t="s">
        <v>29</v>
      </c>
      <c r="F1463" s="9">
        <v>140</v>
      </c>
      <c r="G1463" s="9">
        <v>143.5</v>
      </c>
      <c r="H1463" s="9" t="s">
        <v>23</v>
      </c>
      <c r="I1463" s="9">
        <v>22</v>
      </c>
      <c r="J1463" s="10">
        <v>3.5</v>
      </c>
      <c r="K1463" s="9" t="str">
        <f>TEXT(Sales_of_Jordan[[#This Row],[Sale_Date]],"mmm")</f>
        <v>Aug</v>
      </c>
    </row>
    <row r="1464" spans="1:11" x14ac:dyDescent="0.35">
      <c r="A1464" s="7" t="s">
        <v>1494</v>
      </c>
      <c r="B1464" s="8">
        <v>44957</v>
      </c>
      <c r="C1464" s="9" t="s">
        <v>11</v>
      </c>
      <c r="D1464" s="9" t="s">
        <v>46</v>
      </c>
      <c r="E1464" s="9" t="s">
        <v>13</v>
      </c>
      <c r="F1464" s="9">
        <v>225</v>
      </c>
      <c r="G1464" s="9">
        <v>178.9</v>
      </c>
      <c r="H1464" s="9" t="s">
        <v>32</v>
      </c>
      <c r="I1464" s="9">
        <v>44</v>
      </c>
      <c r="J1464" s="10">
        <v>-46.099999999999902</v>
      </c>
      <c r="K1464" s="9" t="str">
        <f>TEXT(Sales_of_Jordan[[#This Row],[Sale_Date]],"mmm")</f>
        <v>Jan</v>
      </c>
    </row>
    <row r="1465" spans="1:11" x14ac:dyDescent="0.35">
      <c r="A1465" s="7" t="s">
        <v>1495</v>
      </c>
      <c r="B1465" s="8">
        <v>45117</v>
      </c>
      <c r="C1465" s="9" t="s">
        <v>27</v>
      </c>
      <c r="D1465" s="9" t="s">
        <v>22</v>
      </c>
      <c r="E1465" s="9" t="s">
        <v>18</v>
      </c>
      <c r="F1465" s="9">
        <v>127</v>
      </c>
      <c r="G1465" s="9">
        <v>254.37</v>
      </c>
      <c r="H1465" s="9" t="s">
        <v>23</v>
      </c>
      <c r="I1465" s="9">
        <v>20</v>
      </c>
      <c r="J1465" s="10">
        <v>127.37</v>
      </c>
      <c r="K1465" s="9" t="str">
        <f>TEXT(Sales_of_Jordan[[#This Row],[Sale_Date]],"mmm")</f>
        <v>Jul</v>
      </c>
    </row>
    <row r="1466" spans="1:11" x14ac:dyDescent="0.35">
      <c r="A1466" s="7" t="s">
        <v>1496</v>
      </c>
      <c r="B1466" s="8">
        <v>45192</v>
      </c>
      <c r="C1466" s="9" t="s">
        <v>27</v>
      </c>
      <c r="D1466" s="9" t="s">
        <v>34</v>
      </c>
      <c r="E1466" s="9" t="s">
        <v>29</v>
      </c>
      <c r="F1466" s="9">
        <v>129</v>
      </c>
      <c r="G1466" s="9">
        <v>152.69999999999999</v>
      </c>
      <c r="H1466" s="9" t="s">
        <v>23</v>
      </c>
      <c r="I1466" s="9">
        <v>38</v>
      </c>
      <c r="J1466" s="10">
        <v>23.6999999999999</v>
      </c>
      <c r="K1466" s="9" t="str">
        <f>TEXT(Sales_of_Jordan[[#This Row],[Sale_Date]],"mmm")</f>
        <v>Sep</v>
      </c>
    </row>
    <row r="1467" spans="1:11" x14ac:dyDescent="0.35">
      <c r="A1467" s="7" t="s">
        <v>1497</v>
      </c>
      <c r="B1467" s="8">
        <v>45018</v>
      </c>
      <c r="C1467" s="9" t="s">
        <v>16</v>
      </c>
      <c r="D1467" s="9" t="s">
        <v>22</v>
      </c>
      <c r="E1467" s="9" t="s">
        <v>13</v>
      </c>
      <c r="F1467" s="9">
        <v>173</v>
      </c>
      <c r="G1467" s="9">
        <v>145.79</v>
      </c>
      <c r="H1467" s="9" t="s">
        <v>19</v>
      </c>
      <c r="I1467" s="9">
        <v>7</v>
      </c>
      <c r="J1467" s="10">
        <v>-27.21</v>
      </c>
      <c r="K1467" s="9" t="str">
        <f>TEXT(Sales_of_Jordan[[#This Row],[Sale_Date]],"mmm")</f>
        <v>Apr</v>
      </c>
    </row>
    <row r="1468" spans="1:11" x14ac:dyDescent="0.35">
      <c r="A1468" s="7" t="s">
        <v>1498</v>
      </c>
      <c r="B1468" s="8">
        <v>45755</v>
      </c>
      <c r="C1468" s="9" t="s">
        <v>21</v>
      </c>
      <c r="D1468" s="9" t="s">
        <v>22</v>
      </c>
      <c r="E1468" s="9" t="s">
        <v>18</v>
      </c>
      <c r="F1468" s="9">
        <v>220</v>
      </c>
      <c r="G1468" s="9">
        <v>551.75</v>
      </c>
      <c r="H1468" s="9" t="s">
        <v>19</v>
      </c>
      <c r="I1468" s="9">
        <v>6</v>
      </c>
      <c r="J1468" s="10">
        <v>331.75</v>
      </c>
      <c r="K1468" s="9" t="str">
        <f>TEXT(Sales_of_Jordan[[#This Row],[Sale_Date]],"mmm")</f>
        <v>Apr</v>
      </c>
    </row>
    <row r="1469" spans="1:11" x14ac:dyDescent="0.35">
      <c r="A1469" s="7" t="s">
        <v>1499</v>
      </c>
      <c r="B1469" s="8">
        <v>45907</v>
      </c>
      <c r="C1469" s="9" t="s">
        <v>27</v>
      </c>
      <c r="D1469" s="9" t="s">
        <v>46</v>
      </c>
      <c r="E1469" s="9" t="s">
        <v>13</v>
      </c>
      <c r="F1469" s="9">
        <v>140</v>
      </c>
      <c r="G1469" s="9">
        <v>107.37</v>
      </c>
      <c r="H1469" s="9" t="s">
        <v>32</v>
      </c>
      <c r="I1469" s="9">
        <v>34</v>
      </c>
      <c r="J1469" s="10">
        <v>-32.629999999999903</v>
      </c>
      <c r="K1469" s="9" t="str">
        <f>TEXT(Sales_of_Jordan[[#This Row],[Sale_Date]],"mmm")</f>
        <v>Sep</v>
      </c>
    </row>
    <row r="1470" spans="1:11" x14ac:dyDescent="0.35">
      <c r="A1470" s="7" t="s">
        <v>1500</v>
      </c>
      <c r="B1470" s="8">
        <v>45475</v>
      </c>
      <c r="C1470" s="9" t="s">
        <v>16</v>
      </c>
      <c r="D1470" s="9" t="s">
        <v>55</v>
      </c>
      <c r="E1470" s="9" t="s">
        <v>13</v>
      </c>
      <c r="F1470" s="9">
        <v>190</v>
      </c>
      <c r="G1470" s="9">
        <v>113.33</v>
      </c>
      <c r="H1470" s="9" t="s">
        <v>32</v>
      </c>
      <c r="I1470" s="9">
        <v>46</v>
      </c>
      <c r="J1470" s="10">
        <v>-76.67</v>
      </c>
      <c r="K1470" s="9" t="str">
        <f>TEXT(Sales_of_Jordan[[#This Row],[Sale_Date]],"mmm")</f>
        <v>Jul</v>
      </c>
    </row>
    <row r="1471" spans="1:11" x14ac:dyDescent="0.35">
      <c r="A1471" s="7" t="s">
        <v>1501</v>
      </c>
      <c r="B1471" s="8">
        <v>45848</v>
      </c>
      <c r="C1471" s="9" t="s">
        <v>31</v>
      </c>
      <c r="D1471" s="9" t="s">
        <v>36</v>
      </c>
      <c r="E1471" s="9" t="s">
        <v>29</v>
      </c>
      <c r="F1471" s="9">
        <v>201</v>
      </c>
      <c r="G1471" s="9">
        <v>225.3</v>
      </c>
      <c r="H1471" s="9" t="s">
        <v>19</v>
      </c>
      <c r="I1471" s="9">
        <v>14</v>
      </c>
      <c r="J1471" s="10">
        <v>24.3</v>
      </c>
      <c r="K1471" s="9" t="str">
        <f>TEXT(Sales_of_Jordan[[#This Row],[Sale_Date]],"mmm")</f>
        <v>Jul</v>
      </c>
    </row>
    <row r="1472" spans="1:11" x14ac:dyDescent="0.35">
      <c r="A1472" s="7" t="s">
        <v>1502</v>
      </c>
      <c r="B1472" s="8">
        <v>45611</v>
      </c>
      <c r="C1472" s="9" t="s">
        <v>11</v>
      </c>
      <c r="D1472" s="9" t="s">
        <v>34</v>
      </c>
      <c r="E1472" s="9" t="s">
        <v>29</v>
      </c>
      <c r="F1472" s="9">
        <v>226</v>
      </c>
      <c r="G1472" s="9">
        <v>328.64</v>
      </c>
      <c r="H1472" s="9" t="s">
        <v>25</v>
      </c>
      <c r="I1472" s="9">
        <v>15</v>
      </c>
      <c r="J1472" s="10">
        <v>102.63999999999901</v>
      </c>
      <c r="K1472" s="9" t="str">
        <f>TEXT(Sales_of_Jordan[[#This Row],[Sale_Date]],"mmm")</f>
        <v>Nov</v>
      </c>
    </row>
    <row r="1473" spans="1:11" x14ac:dyDescent="0.35">
      <c r="A1473" s="7" t="s">
        <v>1503</v>
      </c>
      <c r="B1473" s="8">
        <v>45640</v>
      </c>
      <c r="C1473" s="9" t="s">
        <v>21</v>
      </c>
      <c r="D1473" s="9" t="s">
        <v>22</v>
      </c>
      <c r="E1473" s="9" t="s">
        <v>18</v>
      </c>
      <c r="F1473" s="9">
        <v>215</v>
      </c>
      <c r="G1473" s="9">
        <v>628.88</v>
      </c>
      <c r="H1473" s="9" t="s">
        <v>19</v>
      </c>
      <c r="I1473" s="9">
        <v>10</v>
      </c>
      <c r="J1473" s="10">
        <v>413.88</v>
      </c>
      <c r="K1473" s="9" t="str">
        <f>TEXT(Sales_of_Jordan[[#This Row],[Sale_Date]],"mmm")</f>
        <v>Dec</v>
      </c>
    </row>
    <row r="1474" spans="1:11" x14ac:dyDescent="0.35">
      <c r="A1474" s="7" t="s">
        <v>1504</v>
      </c>
      <c r="B1474" s="8">
        <v>45784</v>
      </c>
      <c r="C1474" s="9" t="s">
        <v>16</v>
      </c>
      <c r="D1474" s="9" t="s">
        <v>53</v>
      </c>
      <c r="E1474" s="9" t="s">
        <v>29</v>
      </c>
      <c r="F1474" s="9">
        <v>181</v>
      </c>
      <c r="G1474" s="9">
        <v>214.9</v>
      </c>
      <c r="H1474" s="9" t="s">
        <v>25</v>
      </c>
      <c r="I1474" s="9">
        <v>39</v>
      </c>
      <c r="J1474" s="10">
        <v>33.9</v>
      </c>
      <c r="K1474" s="9" t="str">
        <f>TEXT(Sales_of_Jordan[[#This Row],[Sale_Date]],"mmm")</f>
        <v>May</v>
      </c>
    </row>
    <row r="1475" spans="1:11" x14ac:dyDescent="0.35">
      <c r="A1475" s="7" t="s">
        <v>1505</v>
      </c>
      <c r="B1475" s="8">
        <v>44929</v>
      </c>
      <c r="C1475" s="9" t="s">
        <v>21</v>
      </c>
      <c r="D1475" s="9" t="s">
        <v>22</v>
      </c>
      <c r="E1475" s="9" t="s">
        <v>29</v>
      </c>
      <c r="F1475" s="9">
        <v>224</v>
      </c>
      <c r="G1475" s="9">
        <v>264</v>
      </c>
      <c r="H1475" s="9" t="s">
        <v>32</v>
      </c>
      <c r="I1475" s="9">
        <v>16</v>
      </c>
      <c r="J1475" s="10">
        <v>40</v>
      </c>
      <c r="K1475" s="9" t="str">
        <f>TEXT(Sales_of_Jordan[[#This Row],[Sale_Date]],"mmm")</f>
        <v>Jan</v>
      </c>
    </row>
    <row r="1476" spans="1:11" x14ac:dyDescent="0.35">
      <c r="A1476" s="7" t="s">
        <v>1506</v>
      </c>
      <c r="B1476" s="8">
        <v>45411</v>
      </c>
      <c r="C1476" s="9" t="s">
        <v>27</v>
      </c>
      <c r="D1476" s="9" t="s">
        <v>17</v>
      </c>
      <c r="E1476" s="9" t="s">
        <v>29</v>
      </c>
      <c r="F1476" s="9">
        <v>122</v>
      </c>
      <c r="G1476" s="9">
        <v>125.34</v>
      </c>
      <c r="H1476" s="9" t="s">
        <v>19</v>
      </c>
      <c r="I1476" s="9">
        <v>14</v>
      </c>
      <c r="J1476" s="10">
        <v>3.34</v>
      </c>
      <c r="K1476" s="9" t="str">
        <f>TEXT(Sales_of_Jordan[[#This Row],[Sale_Date]],"mmm")</f>
        <v>Apr</v>
      </c>
    </row>
    <row r="1477" spans="1:11" x14ac:dyDescent="0.35">
      <c r="A1477" s="7" t="s">
        <v>1507</v>
      </c>
      <c r="B1477" s="8">
        <v>45147</v>
      </c>
      <c r="C1477" s="9" t="s">
        <v>21</v>
      </c>
      <c r="D1477" s="9" t="s">
        <v>12</v>
      </c>
      <c r="E1477" s="9" t="s">
        <v>29</v>
      </c>
      <c r="F1477" s="9">
        <v>216</v>
      </c>
      <c r="G1477" s="9">
        <v>286.73</v>
      </c>
      <c r="H1477" s="9" t="s">
        <v>32</v>
      </c>
      <c r="I1477" s="9">
        <v>35</v>
      </c>
      <c r="J1477" s="10">
        <v>70.73</v>
      </c>
      <c r="K1477" s="9" t="str">
        <f>TEXT(Sales_of_Jordan[[#This Row],[Sale_Date]],"mmm")</f>
        <v>Aug</v>
      </c>
    </row>
    <row r="1478" spans="1:11" x14ac:dyDescent="0.35">
      <c r="A1478" s="7" t="s">
        <v>1508</v>
      </c>
      <c r="B1478" s="8">
        <v>45101</v>
      </c>
      <c r="C1478" s="9" t="s">
        <v>21</v>
      </c>
      <c r="D1478" s="9" t="s">
        <v>46</v>
      </c>
      <c r="E1478" s="9" t="s">
        <v>13</v>
      </c>
      <c r="F1478" s="9">
        <v>210</v>
      </c>
      <c r="G1478" s="9">
        <v>175.38</v>
      </c>
      <c r="H1478" s="9" t="s">
        <v>19</v>
      </c>
      <c r="I1478" s="9">
        <v>3</v>
      </c>
      <c r="J1478" s="10">
        <v>-34.619999999999997</v>
      </c>
      <c r="K1478" s="9" t="str">
        <f>TEXT(Sales_of_Jordan[[#This Row],[Sale_Date]],"mmm")</f>
        <v>Jun</v>
      </c>
    </row>
    <row r="1479" spans="1:11" x14ac:dyDescent="0.35">
      <c r="A1479" s="7" t="s">
        <v>1509</v>
      </c>
      <c r="B1479" s="8">
        <v>45243</v>
      </c>
      <c r="C1479" s="9" t="s">
        <v>31</v>
      </c>
      <c r="D1479" s="9" t="s">
        <v>34</v>
      </c>
      <c r="E1479" s="9" t="s">
        <v>13</v>
      </c>
      <c r="F1479" s="9">
        <v>209</v>
      </c>
      <c r="G1479" s="9">
        <v>145.25</v>
      </c>
      <c r="H1479" s="9" t="s">
        <v>32</v>
      </c>
      <c r="I1479" s="9">
        <v>12</v>
      </c>
      <c r="J1479" s="10">
        <v>-63.75</v>
      </c>
      <c r="K1479" s="9" t="str">
        <f>TEXT(Sales_of_Jordan[[#This Row],[Sale_Date]],"mmm")</f>
        <v>Nov</v>
      </c>
    </row>
    <row r="1480" spans="1:11" x14ac:dyDescent="0.35">
      <c r="A1480" s="7" t="s">
        <v>1510</v>
      </c>
      <c r="B1480" s="8">
        <v>45793</v>
      </c>
      <c r="C1480" s="9" t="s">
        <v>21</v>
      </c>
      <c r="D1480" s="9" t="s">
        <v>12</v>
      </c>
      <c r="E1480" s="9" t="s">
        <v>18</v>
      </c>
      <c r="F1480" s="9">
        <v>212</v>
      </c>
      <c r="G1480" s="9">
        <v>659.22</v>
      </c>
      <c r="H1480" s="9" t="s">
        <v>32</v>
      </c>
      <c r="I1480" s="9">
        <v>56</v>
      </c>
      <c r="J1480" s="10">
        <v>447.22</v>
      </c>
      <c r="K1480" s="9" t="str">
        <f>TEXT(Sales_of_Jordan[[#This Row],[Sale_Date]],"mmm")</f>
        <v>May</v>
      </c>
    </row>
    <row r="1481" spans="1:11" x14ac:dyDescent="0.35">
      <c r="A1481" s="7" t="s">
        <v>1511</v>
      </c>
      <c r="B1481" s="8">
        <v>45271</v>
      </c>
      <c r="C1481" s="9" t="s">
        <v>11</v>
      </c>
      <c r="D1481" s="9" t="s">
        <v>39</v>
      </c>
      <c r="E1481" s="9" t="s">
        <v>18</v>
      </c>
      <c r="F1481" s="9">
        <v>226</v>
      </c>
      <c r="G1481" s="9">
        <v>616.01</v>
      </c>
      <c r="H1481" s="9" t="s">
        <v>25</v>
      </c>
      <c r="I1481" s="9">
        <v>50</v>
      </c>
      <c r="J1481" s="10">
        <v>390.01</v>
      </c>
      <c r="K1481" s="9" t="str">
        <f>TEXT(Sales_of_Jordan[[#This Row],[Sale_Date]],"mmm")</f>
        <v>Dec</v>
      </c>
    </row>
    <row r="1482" spans="1:11" x14ac:dyDescent="0.35">
      <c r="A1482" s="7" t="s">
        <v>1512</v>
      </c>
      <c r="B1482" s="8">
        <v>45276</v>
      </c>
      <c r="C1482" s="9" t="s">
        <v>27</v>
      </c>
      <c r="D1482" s="9" t="s">
        <v>53</v>
      </c>
      <c r="E1482" s="9" t="s">
        <v>29</v>
      </c>
      <c r="F1482" s="9">
        <v>138</v>
      </c>
      <c r="G1482" s="9">
        <v>203.43</v>
      </c>
      <c r="H1482" s="9" t="s">
        <v>23</v>
      </c>
      <c r="I1482" s="9">
        <v>48</v>
      </c>
      <c r="J1482" s="10">
        <v>65.430000000000007</v>
      </c>
      <c r="K1482" s="9" t="str">
        <f>TEXT(Sales_of_Jordan[[#This Row],[Sale_Date]],"mmm")</f>
        <v>Dec</v>
      </c>
    </row>
    <row r="1483" spans="1:11" x14ac:dyDescent="0.35">
      <c r="A1483" s="7" t="s">
        <v>1513</v>
      </c>
      <c r="B1483" s="8">
        <v>45783</v>
      </c>
      <c r="C1483" s="9" t="s">
        <v>11</v>
      </c>
      <c r="D1483" s="9" t="s">
        <v>53</v>
      </c>
      <c r="E1483" s="9" t="s">
        <v>18</v>
      </c>
      <c r="F1483" s="9">
        <v>229</v>
      </c>
      <c r="G1483" s="9">
        <v>412.71</v>
      </c>
      <c r="H1483" s="9" t="s">
        <v>32</v>
      </c>
      <c r="I1483" s="9">
        <v>37</v>
      </c>
      <c r="J1483" s="10">
        <v>183.70999999999901</v>
      </c>
      <c r="K1483" s="9" t="str">
        <f>TEXT(Sales_of_Jordan[[#This Row],[Sale_Date]],"mmm")</f>
        <v>May</v>
      </c>
    </row>
    <row r="1484" spans="1:11" x14ac:dyDescent="0.35">
      <c r="A1484" s="7" t="s">
        <v>1514</v>
      </c>
      <c r="B1484" s="8">
        <v>45551</v>
      </c>
      <c r="C1484" s="9" t="s">
        <v>27</v>
      </c>
      <c r="D1484" s="9" t="s">
        <v>53</v>
      </c>
      <c r="E1484" s="9" t="s">
        <v>18</v>
      </c>
      <c r="F1484" s="9">
        <v>120</v>
      </c>
      <c r="G1484" s="9">
        <v>156.29</v>
      </c>
      <c r="H1484" s="9" t="s">
        <v>23</v>
      </c>
      <c r="I1484" s="9">
        <v>19</v>
      </c>
      <c r="J1484" s="10">
        <v>36.2899999999999</v>
      </c>
      <c r="K1484" s="9" t="str">
        <f>TEXT(Sales_of_Jordan[[#This Row],[Sale_Date]],"mmm")</f>
        <v>Sep</v>
      </c>
    </row>
    <row r="1485" spans="1:11" x14ac:dyDescent="0.35">
      <c r="A1485" s="7" t="s">
        <v>1515</v>
      </c>
      <c r="B1485" s="8">
        <v>45728</v>
      </c>
      <c r="C1485" s="9" t="s">
        <v>31</v>
      </c>
      <c r="D1485" s="9" t="s">
        <v>12</v>
      </c>
      <c r="E1485" s="9" t="s">
        <v>13</v>
      </c>
      <c r="F1485" s="9">
        <v>201</v>
      </c>
      <c r="G1485" s="9">
        <v>102.68</v>
      </c>
      <c r="H1485" s="9" t="s">
        <v>32</v>
      </c>
      <c r="I1485" s="9">
        <v>55</v>
      </c>
      <c r="J1485" s="10">
        <v>-98.32</v>
      </c>
      <c r="K1485" s="9" t="str">
        <f>TEXT(Sales_of_Jordan[[#This Row],[Sale_Date]],"mmm")</f>
        <v>Mar</v>
      </c>
    </row>
    <row r="1486" spans="1:11" x14ac:dyDescent="0.35">
      <c r="A1486" s="7" t="s">
        <v>1516</v>
      </c>
      <c r="B1486" s="8">
        <v>45844</v>
      </c>
      <c r="C1486" s="9" t="s">
        <v>27</v>
      </c>
      <c r="D1486" s="9" t="s">
        <v>17</v>
      </c>
      <c r="E1486" s="9" t="s">
        <v>18</v>
      </c>
      <c r="F1486" s="9">
        <v>120</v>
      </c>
      <c r="G1486" s="9">
        <v>297.26</v>
      </c>
      <c r="H1486" s="9" t="s">
        <v>14</v>
      </c>
      <c r="I1486" s="9">
        <v>1</v>
      </c>
      <c r="J1486" s="10">
        <v>177.26</v>
      </c>
      <c r="K1486" s="9" t="str">
        <f>TEXT(Sales_of_Jordan[[#This Row],[Sale_Date]],"mmm")</f>
        <v>Jul</v>
      </c>
    </row>
    <row r="1487" spans="1:11" x14ac:dyDescent="0.35">
      <c r="A1487" s="7" t="s">
        <v>1517</v>
      </c>
      <c r="B1487" s="8">
        <v>45026</v>
      </c>
      <c r="C1487" s="9" t="s">
        <v>11</v>
      </c>
      <c r="D1487" s="9" t="s">
        <v>17</v>
      </c>
      <c r="E1487" s="9" t="s">
        <v>18</v>
      </c>
      <c r="F1487" s="9">
        <v>225</v>
      </c>
      <c r="G1487" s="9">
        <v>375.81</v>
      </c>
      <c r="H1487" s="9" t="s">
        <v>32</v>
      </c>
      <c r="I1487" s="9">
        <v>18</v>
      </c>
      <c r="J1487" s="10">
        <v>150.81</v>
      </c>
      <c r="K1487" s="9" t="str">
        <f>TEXT(Sales_of_Jordan[[#This Row],[Sale_Date]],"mmm")</f>
        <v>Apr</v>
      </c>
    </row>
    <row r="1488" spans="1:11" x14ac:dyDescent="0.35">
      <c r="A1488" s="7" t="s">
        <v>1518</v>
      </c>
      <c r="B1488" s="8">
        <v>45557</v>
      </c>
      <c r="C1488" s="9" t="s">
        <v>31</v>
      </c>
      <c r="D1488" s="9" t="s">
        <v>36</v>
      </c>
      <c r="E1488" s="9" t="s">
        <v>18</v>
      </c>
      <c r="F1488" s="9">
        <v>202</v>
      </c>
      <c r="G1488" s="9">
        <v>508.03</v>
      </c>
      <c r="H1488" s="9" t="s">
        <v>25</v>
      </c>
      <c r="I1488" s="9">
        <v>42</v>
      </c>
      <c r="J1488" s="10">
        <v>306.02999999999997</v>
      </c>
      <c r="K1488" s="9" t="str">
        <f>TEXT(Sales_of_Jordan[[#This Row],[Sale_Date]],"mmm")</f>
        <v>Sep</v>
      </c>
    </row>
    <row r="1489" spans="1:11" x14ac:dyDescent="0.35">
      <c r="A1489" s="7" t="s">
        <v>1519</v>
      </c>
      <c r="B1489" s="8">
        <v>45461</v>
      </c>
      <c r="C1489" s="9" t="s">
        <v>11</v>
      </c>
      <c r="D1489" s="9" t="s">
        <v>34</v>
      </c>
      <c r="E1489" s="9" t="s">
        <v>13</v>
      </c>
      <c r="F1489" s="9">
        <v>227</v>
      </c>
      <c r="G1489" s="9">
        <v>129.47999999999999</v>
      </c>
      <c r="H1489" s="9" t="s">
        <v>25</v>
      </c>
      <c r="I1489" s="9">
        <v>49</v>
      </c>
      <c r="J1489" s="10">
        <v>-97.52</v>
      </c>
      <c r="K1489" s="9" t="str">
        <f>TEXT(Sales_of_Jordan[[#This Row],[Sale_Date]],"mmm")</f>
        <v>Jun</v>
      </c>
    </row>
    <row r="1490" spans="1:11" x14ac:dyDescent="0.35">
      <c r="A1490" s="7" t="s">
        <v>1520</v>
      </c>
      <c r="B1490" s="8">
        <v>45326</v>
      </c>
      <c r="C1490" s="9" t="s">
        <v>31</v>
      </c>
      <c r="D1490" s="9" t="s">
        <v>12</v>
      </c>
      <c r="E1490" s="9" t="s">
        <v>18</v>
      </c>
      <c r="F1490" s="9">
        <v>203</v>
      </c>
      <c r="G1490" s="9">
        <v>331.93</v>
      </c>
      <c r="H1490" s="9" t="s">
        <v>25</v>
      </c>
      <c r="I1490" s="9">
        <v>22</v>
      </c>
      <c r="J1490" s="10">
        <v>128.93</v>
      </c>
      <c r="K1490" s="9" t="str">
        <f>TEXT(Sales_of_Jordan[[#This Row],[Sale_Date]],"mmm")</f>
        <v>Feb</v>
      </c>
    </row>
    <row r="1491" spans="1:11" x14ac:dyDescent="0.35">
      <c r="A1491" s="7" t="s">
        <v>1521</v>
      </c>
      <c r="B1491" s="8">
        <v>45804</v>
      </c>
      <c r="C1491" s="9" t="s">
        <v>16</v>
      </c>
      <c r="D1491" s="9" t="s">
        <v>36</v>
      </c>
      <c r="E1491" s="9" t="s">
        <v>18</v>
      </c>
      <c r="F1491" s="9">
        <v>174</v>
      </c>
      <c r="G1491" s="9">
        <v>321.93</v>
      </c>
      <c r="H1491" s="9" t="s">
        <v>23</v>
      </c>
      <c r="I1491" s="9">
        <v>21</v>
      </c>
      <c r="J1491" s="10">
        <v>147.93</v>
      </c>
      <c r="K1491" s="9" t="str">
        <f>TEXT(Sales_of_Jordan[[#This Row],[Sale_Date]],"mmm")</f>
        <v>May</v>
      </c>
    </row>
    <row r="1492" spans="1:11" x14ac:dyDescent="0.35">
      <c r="A1492" s="7" t="s">
        <v>1522</v>
      </c>
      <c r="B1492" s="8">
        <v>45589</v>
      </c>
      <c r="C1492" s="9" t="s">
        <v>21</v>
      </c>
      <c r="D1492" s="9" t="s">
        <v>34</v>
      </c>
      <c r="E1492" s="9" t="s">
        <v>29</v>
      </c>
      <c r="F1492" s="9">
        <v>220</v>
      </c>
      <c r="G1492" s="9">
        <v>319.39</v>
      </c>
      <c r="H1492" s="9" t="s">
        <v>14</v>
      </c>
      <c r="I1492" s="9">
        <v>3</v>
      </c>
      <c r="J1492" s="10">
        <v>99.389999999999901</v>
      </c>
      <c r="K1492" s="9" t="str">
        <f>TEXT(Sales_of_Jordan[[#This Row],[Sale_Date]],"mmm")</f>
        <v>Oct</v>
      </c>
    </row>
    <row r="1493" spans="1:11" x14ac:dyDescent="0.35">
      <c r="A1493" s="7" t="s">
        <v>1523</v>
      </c>
      <c r="B1493" s="8">
        <v>45191</v>
      </c>
      <c r="C1493" s="9" t="s">
        <v>21</v>
      </c>
      <c r="D1493" s="9" t="s">
        <v>36</v>
      </c>
      <c r="E1493" s="9" t="s">
        <v>18</v>
      </c>
      <c r="F1493" s="9">
        <v>213</v>
      </c>
      <c r="G1493" s="9">
        <v>535.9</v>
      </c>
      <c r="H1493" s="9" t="s">
        <v>25</v>
      </c>
      <c r="I1493" s="9">
        <v>43</v>
      </c>
      <c r="J1493" s="10">
        <v>322.89999999999998</v>
      </c>
      <c r="K1493" s="9" t="str">
        <f>TEXT(Sales_of_Jordan[[#This Row],[Sale_Date]],"mmm")</f>
        <v>Sep</v>
      </c>
    </row>
    <row r="1494" spans="1:11" x14ac:dyDescent="0.35">
      <c r="A1494" s="7" t="s">
        <v>1524</v>
      </c>
      <c r="B1494" s="8">
        <v>45805</v>
      </c>
      <c r="C1494" s="9" t="s">
        <v>16</v>
      </c>
      <c r="D1494" s="9" t="s">
        <v>53</v>
      </c>
      <c r="E1494" s="9" t="s">
        <v>18</v>
      </c>
      <c r="F1494" s="9">
        <v>173</v>
      </c>
      <c r="G1494" s="9">
        <v>224.12</v>
      </c>
      <c r="H1494" s="9" t="s">
        <v>23</v>
      </c>
      <c r="I1494" s="9">
        <v>48</v>
      </c>
      <c r="J1494" s="10">
        <v>51.12</v>
      </c>
      <c r="K1494" s="9" t="str">
        <f>TEXT(Sales_of_Jordan[[#This Row],[Sale_Date]],"mmm")</f>
        <v>May</v>
      </c>
    </row>
    <row r="1495" spans="1:11" x14ac:dyDescent="0.35">
      <c r="A1495" s="7" t="s">
        <v>1525</v>
      </c>
      <c r="B1495" s="8">
        <v>44991</v>
      </c>
      <c r="C1495" s="9" t="s">
        <v>11</v>
      </c>
      <c r="D1495" s="9" t="s">
        <v>39</v>
      </c>
      <c r="E1495" s="9" t="s">
        <v>13</v>
      </c>
      <c r="F1495" s="9">
        <v>230</v>
      </c>
      <c r="G1495" s="9">
        <v>151.78</v>
      </c>
      <c r="H1495" s="9" t="s">
        <v>32</v>
      </c>
      <c r="I1495" s="9">
        <v>21</v>
      </c>
      <c r="J1495" s="10">
        <v>-78.22</v>
      </c>
      <c r="K1495" s="9" t="str">
        <f>TEXT(Sales_of_Jordan[[#This Row],[Sale_Date]],"mmm")</f>
        <v>Mar</v>
      </c>
    </row>
    <row r="1496" spans="1:11" x14ac:dyDescent="0.35">
      <c r="A1496" s="7" t="s">
        <v>1526</v>
      </c>
      <c r="B1496" s="8">
        <v>45331</v>
      </c>
      <c r="C1496" s="9" t="s">
        <v>27</v>
      </c>
      <c r="D1496" s="9" t="s">
        <v>17</v>
      </c>
      <c r="E1496" s="9" t="s">
        <v>13</v>
      </c>
      <c r="F1496" s="9">
        <v>129</v>
      </c>
      <c r="G1496" s="9">
        <v>105.9</v>
      </c>
      <c r="H1496" s="9" t="s">
        <v>32</v>
      </c>
      <c r="I1496" s="9">
        <v>26</v>
      </c>
      <c r="J1496" s="10">
        <v>-23.099999999999898</v>
      </c>
      <c r="K1496" s="9" t="str">
        <f>TEXT(Sales_of_Jordan[[#This Row],[Sale_Date]],"mmm")</f>
        <v>Feb</v>
      </c>
    </row>
    <row r="1497" spans="1:11" x14ac:dyDescent="0.35">
      <c r="A1497" s="7" t="s">
        <v>1527</v>
      </c>
      <c r="B1497" s="8">
        <v>45458</v>
      </c>
      <c r="C1497" s="9" t="s">
        <v>21</v>
      </c>
      <c r="D1497" s="9" t="s">
        <v>46</v>
      </c>
      <c r="E1497" s="9" t="s">
        <v>18</v>
      </c>
      <c r="F1497" s="9">
        <v>222</v>
      </c>
      <c r="G1497" s="9">
        <v>314.08999999999997</v>
      </c>
      <c r="H1497" s="9" t="s">
        <v>14</v>
      </c>
      <c r="I1497" s="9">
        <v>4</v>
      </c>
      <c r="J1497" s="10">
        <v>92.089999999999904</v>
      </c>
      <c r="K1497" s="9" t="str">
        <f>TEXT(Sales_of_Jordan[[#This Row],[Sale_Date]],"mmm")</f>
        <v>Jun</v>
      </c>
    </row>
    <row r="1498" spans="1:11" x14ac:dyDescent="0.35">
      <c r="A1498" s="7" t="s">
        <v>1528</v>
      </c>
      <c r="B1498" s="8">
        <v>45302</v>
      </c>
      <c r="C1498" s="9" t="s">
        <v>16</v>
      </c>
      <c r="D1498" s="9" t="s">
        <v>53</v>
      </c>
      <c r="E1498" s="9" t="s">
        <v>13</v>
      </c>
      <c r="F1498" s="9">
        <v>175</v>
      </c>
      <c r="G1498" s="9">
        <v>142.61000000000001</v>
      </c>
      <c r="H1498" s="9" t="s">
        <v>25</v>
      </c>
      <c r="I1498" s="9">
        <v>25</v>
      </c>
      <c r="J1498" s="10">
        <v>-32.389999999999901</v>
      </c>
      <c r="K1498" s="9" t="str">
        <f>TEXT(Sales_of_Jordan[[#This Row],[Sale_Date]],"mmm")</f>
        <v>Jan</v>
      </c>
    </row>
    <row r="1499" spans="1:11" x14ac:dyDescent="0.35">
      <c r="A1499" s="7" t="s">
        <v>1529</v>
      </c>
      <c r="B1499" s="8">
        <v>45776</v>
      </c>
      <c r="C1499" s="9" t="s">
        <v>31</v>
      </c>
      <c r="D1499" s="9" t="s">
        <v>46</v>
      </c>
      <c r="E1499" s="9" t="s">
        <v>13</v>
      </c>
      <c r="F1499" s="9">
        <v>200</v>
      </c>
      <c r="G1499" s="9">
        <v>102.72</v>
      </c>
      <c r="H1499" s="9" t="s">
        <v>14</v>
      </c>
      <c r="I1499" s="9">
        <v>7</v>
      </c>
      <c r="J1499" s="10">
        <v>-97.28</v>
      </c>
      <c r="K1499" s="9" t="str">
        <f>TEXT(Sales_of_Jordan[[#This Row],[Sale_Date]],"mmm")</f>
        <v>Apr</v>
      </c>
    </row>
    <row r="1500" spans="1:11" x14ac:dyDescent="0.35">
      <c r="A1500" s="7" t="s">
        <v>1530</v>
      </c>
      <c r="B1500" s="8">
        <v>45112</v>
      </c>
      <c r="C1500" s="9" t="s">
        <v>27</v>
      </c>
      <c r="D1500" s="9" t="s">
        <v>46</v>
      </c>
      <c r="E1500" s="9" t="s">
        <v>29</v>
      </c>
      <c r="F1500" s="9">
        <v>119</v>
      </c>
      <c r="G1500" s="9">
        <v>137.76</v>
      </c>
      <c r="H1500" s="9" t="s">
        <v>25</v>
      </c>
      <c r="I1500" s="9">
        <v>60</v>
      </c>
      <c r="J1500" s="10">
        <v>18.759999999999899</v>
      </c>
      <c r="K1500" s="9" t="str">
        <f>TEXT(Sales_of_Jordan[[#This Row],[Sale_Date]],"mmm")</f>
        <v>Jul</v>
      </c>
    </row>
    <row r="1501" spans="1:11" x14ac:dyDescent="0.35">
      <c r="A1501" s="7" t="s">
        <v>1531</v>
      </c>
      <c r="B1501" s="8">
        <v>45178</v>
      </c>
      <c r="C1501" s="9" t="s">
        <v>21</v>
      </c>
      <c r="D1501" s="9" t="s">
        <v>12</v>
      </c>
      <c r="E1501" s="9" t="s">
        <v>29</v>
      </c>
      <c r="F1501" s="9">
        <v>218</v>
      </c>
      <c r="G1501" s="9">
        <v>257.41000000000003</v>
      </c>
      <c r="H1501" s="9" t="s">
        <v>23</v>
      </c>
      <c r="I1501" s="9">
        <v>48</v>
      </c>
      <c r="J1501" s="10">
        <v>39.409999999999997</v>
      </c>
      <c r="K1501" s="9" t="str">
        <f>TEXT(Sales_of_Jordan[[#This Row],[Sale_Date]],"mmm")</f>
        <v>Sep</v>
      </c>
    </row>
    <row r="1502" spans="1:11" x14ac:dyDescent="0.35">
      <c r="A1502" s="7" t="s">
        <v>1532</v>
      </c>
      <c r="B1502" s="8">
        <v>45426</v>
      </c>
      <c r="C1502" s="9" t="s">
        <v>11</v>
      </c>
      <c r="D1502" s="9" t="s">
        <v>53</v>
      </c>
      <c r="E1502" s="9" t="s">
        <v>13</v>
      </c>
      <c r="F1502" s="9">
        <v>226</v>
      </c>
      <c r="G1502" s="9">
        <v>170.07</v>
      </c>
      <c r="H1502" s="9" t="s">
        <v>32</v>
      </c>
      <c r="I1502" s="9">
        <v>20</v>
      </c>
      <c r="J1502" s="10">
        <v>-55.93</v>
      </c>
      <c r="K1502" s="9" t="str">
        <f>TEXT(Sales_of_Jordan[[#This Row],[Sale_Date]],"mmm")</f>
        <v>May</v>
      </c>
    </row>
    <row r="1503" spans="1:11" x14ac:dyDescent="0.35">
      <c r="A1503" s="7" t="s">
        <v>1533</v>
      </c>
      <c r="B1503" s="8">
        <v>45570</v>
      </c>
      <c r="C1503" s="9" t="s">
        <v>21</v>
      </c>
      <c r="D1503" s="9" t="s">
        <v>17</v>
      </c>
      <c r="E1503" s="9" t="s">
        <v>29</v>
      </c>
      <c r="F1503" s="9">
        <v>221</v>
      </c>
      <c r="G1503" s="9">
        <v>272.06</v>
      </c>
      <c r="H1503" s="9" t="s">
        <v>19</v>
      </c>
      <c r="I1503" s="9">
        <v>8</v>
      </c>
      <c r="J1503" s="10">
        <v>51.06</v>
      </c>
      <c r="K1503" s="9" t="str">
        <f>TEXT(Sales_of_Jordan[[#This Row],[Sale_Date]],"mmm")</f>
        <v>Oct</v>
      </c>
    </row>
    <row r="1504" spans="1:11" x14ac:dyDescent="0.35">
      <c r="A1504" s="7" t="s">
        <v>1534</v>
      </c>
      <c r="B1504" s="8">
        <v>45204</v>
      </c>
      <c r="C1504" s="9" t="s">
        <v>16</v>
      </c>
      <c r="D1504" s="9" t="s">
        <v>53</v>
      </c>
      <c r="E1504" s="9" t="s">
        <v>18</v>
      </c>
      <c r="F1504" s="9">
        <v>189</v>
      </c>
      <c r="G1504" s="9">
        <v>525.84</v>
      </c>
      <c r="H1504" s="9" t="s">
        <v>19</v>
      </c>
      <c r="I1504" s="9">
        <v>8</v>
      </c>
      <c r="J1504" s="10">
        <v>336.84</v>
      </c>
      <c r="K1504" s="9" t="str">
        <f>TEXT(Sales_of_Jordan[[#This Row],[Sale_Date]],"mmm")</f>
        <v>Oct</v>
      </c>
    </row>
    <row r="1505" spans="1:11" x14ac:dyDescent="0.35">
      <c r="A1505" s="7" t="s">
        <v>1535</v>
      </c>
      <c r="B1505" s="8">
        <v>45065</v>
      </c>
      <c r="C1505" s="9" t="s">
        <v>21</v>
      </c>
      <c r="D1505" s="9" t="s">
        <v>36</v>
      </c>
      <c r="E1505" s="9" t="s">
        <v>29</v>
      </c>
      <c r="F1505" s="9">
        <v>221</v>
      </c>
      <c r="G1505" s="9">
        <v>318.55</v>
      </c>
      <c r="H1505" s="9" t="s">
        <v>14</v>
      </c>
      <c r="I1505" s="9">
        <v>11</v>
      </c>
      <c r="J1505" s="10">
        <v>97.55</v>
      </c>
      <c r="K1505" s="9" t="str">
        <f>TEXT(Sales_of_Jordan[[#This Row],[Sale_Date]],"mmm")</f>
        <v>May</v>
      </c>
    </row>
    <row r="1506" spans="1:11" x14ac:dyDescent="0.35">
      <c r="A1506" s="7" t="s">
        <v>1536</v>
      </c>
      <c r="B1506" s="8">
        <v>45480</v>
      </c>
      <c r="C1506" s="9" t="s">
        <v>11</v>
      </c>
      <c r="D1506" s="9" t="s">
        <v>34</v>
      </c>
      <c r="E1506" s="9" t="s">
        <v>13</v>
      </c>
      <c r="F1506" s="9">
        <v>226</v>
      </c>
      <c r="G1506" s="9">
        <v>150.97999999999999</v>
      </c>
      <c r="H1506" s="9" t="s">
        <v>32</v>
      </c>
      <c r="I1506" s="9">
        <v>55</v>
      </c>
      <c r="J1506" s="10">
        <v>-75.02</v>
      </c>
      <c r="K1506" s="9" t="str">
        <f>TEXT(Sales_of_Jordan[[#This Row],[Sale_Date]],"mmm")</f>
        <v>Jul</v>
      </c>
    </row>
    <row r="1507" spans="1:11" x14ac:dyDescent="0.35">
      <c r="A1507" s="7" t="s">
        <v>1537</v>
      </c>
      <c r="B1507" s="8">
        <v>45896</v>
      </c>
      <c r="C1507" s="9" t="s">
        <v>16</v>
      </c>
      <c r="D1507" s="9" t="s">
        <v>34</v>
      </c>
      <c r="E1507" s="9" t="s">
        <v>29</v>
      </c>
      <c r="F1507" s="9">
        <v>173</v>
      </c>
      <c r="G1507" s="9">
        <v>214.17</v>
      </c>
      <c r="H1507" s="9" t="s">
        <v>32</v>
      </c>
      <c r="I1507" s="9">
        <v>41</v>
      </c>
      <c r="J1507" s="10">
        <v>41.169999999999902</v>
      </c>
      <c r="K1507" s="9" t="str">
        <f>TEXT(Sales_of_Jordan[[#This Row],[Sale_Date]],"mmm")</f>
        <v>Aug</v>
      </c>
    </row>
    <row r="1508" spans="1:11" x14ac:dyDescent="0.35">
      <c r="A1508" s="7" t="s">
        <v>1538</v>
      </c>
      <c r="B1508" s="8">
        <v>45787</v>
      </c>
      <c r="C1508" s="9" t="s">
        <v>27</v>
      </c>
      <c r="D1508" s="9" t="s">
        <v>55</v>
      </c>
      <c r="E1508" s="9" t="s">
        <v>13</v>
      </c>
      <c r="F1508" s="9">
        <v>129</v>
      </c>
      <c r="G1508" s="9">
        <v>83.3</v>
      </c>
      <c r="H1508" s="9" t="s">
        <v>32</v>
      </c>
      <c r="I1508" s="9">
        <v>52</v>
      </c>
      <c r="J1508" s="10">
        <v>-45.7</v>
      </c>
      <c r="K1508" s="9" t="str">
        <f>TEXT(Sales_of_Jordan[[#This Row],[Sale_Date]],"mmm")</f>
        <v>May</v>
      </c>
    </row>
    <row r="1509" spans="1:11" x14ac:dyDescent="0.35">
      <c r="A1509" s="7" t="s">
        <v>1539</v>
      </c>
      <c r="B1509" s="8">
        <v>45845</v>
      </c>
      <c r="C1509" s="9" t="s">
        <v>31</v>
      </c>
      <c r="D1509" s="9" t="s">
        <v>12</v>
      </c>
      <c r="E1509" s="9" t="s">
        <v>18</v>
      </c>
      <c r="F1509" s="9">
        <v>207</v>
      </c>
      <c r="G1509" s="9">
        <v>716.09</v>
      </c>
      <c r="H1509" s="9" t="s">
        <v>32</v>
      </c>
      <c r="I1509" s="9">
        <v>54</v>
      </c>
      <c r="J1509" s="10">
        <v>509.09</v>
      </c>
      <c r="K1509" s="9" t="str">
        <f>TEXT(Sales_of_Jordan[[#This Row],[Sale_Date]],"mmm")</f>
        <v>Jul</v>
      </c>
    </row>
    <row r="1510" spans="1:11" x14ac:dyDescent="0.35">
      <c r="A1510" s="7" t="s">
        <v>1540</v>
      </c>
      <c r="B1510" s="8">
        <v>45427</v>
      </c>
      <c r="C1510" s="9" t="s">
        <v>11</v>
      </c>
      <c r="D1510" s="9" t="s">
        <v>12</v>
      </c>
      <c r="E1510" s="9" t="s">
        <v>18</v>
      </c>
      <c r="F1510" s="9">
        <v>227</v>
      </c>
      <c r="G1510" s="9">
        <v>518.14</v>
      </c>
      <c r="H1510" s="9" t="s">
        <v>32</v>
      </c>
      <c r="I1510" s="9">
        <v>25</v>
      </c>
      <c r="J1510" s="10">
        <v>291.14</v>
      </c>
      <c r="K1510" s="9" t="str">
        <f>TEXT(Sales_of_Jordan[[#This Row],[Sale_Date]],"mmm")</f>
        <v>May</v>
      </c>
    </row>
    <row r="1511" spans="1:11" x14ac:dyDescent="0.35">
      <c r="A1511" s="7" t="s">
        <v>1541</v>
      </c>
      <c r="B1511" s="8">
        <v>45592</v>
      </c>
      <c r="C1511" s="9" t="s">
        <v>27</v>
      </c>
      <c r="D1511" s="9" t="s">
        <v>17</v>
      </c>
      <c r="E1511" s="9" t="s">
        <v>13</v>
      </c>
      <c r="F1511" s="9">
        <v>124</v>
      </c>
      <c r="G1511" s="9">
        <v>105.6</v>
      </c>
      <c r="H1511" s="9" t="s">
        <v>19</v>
      </c>
      <c r="I1511" s="9">
        <v>5</v>
      </c>
      <c r="J1511" s="10">
        <v>-18.399999999999999</v>
      </c>
      <c r="K1511" s="9" t="str">
        <f>TEXT(Sales_of_Jordan[[#This Row],[Sale_Date]],"mmm")</f>
        <v>Oct</v>
      </c>
    </row>
    <row r="1512" spans="1:11" x14ac:dyDescent="0.35">
      <c r="A1512" s="7" t="s">
        <v>1542</v>
      </c>
      <c r="B1512" s="8">
        <v>45863</v>
      </c>
      <c r="C1512" s="9" t="s">
        <v>11</v>
      </c>
      <c r="D1512" s="9" t="s">
        <v>36</v>
      </c>
      <c r="E1512" s="9" t="s">
        <v>18</v>
      </c>
      <c r="F1512" s="9">
        <v>225</v>
      </c>
      <c r="G1512" s="9">
        <v>714.33</v>
      </c>
      <c r="H1512" s="9" t="s">
        <v>23</v>
      </c>
      <c r="I1512" s="9">
        <v>20</v>
      </c>
      <c r="J1512" s="10">
        <v>489.33</v>
      </c>
      <c r="K1512" s="9" t="str">
        <f>TEXT(Sales_of_Jordan[[#This Row],[Sale_Date]],"mmm")</f>
        <v>Jul</v>
      </c>
    </row>
    <row r="1513" spans="1:11" x14ac:dyDescent="0.35">
      <c r="A1513" s="7" t="s">
        <v>1543</v>
      </c>
      <c r="B1513" s="8">
        <v>45041</v>
      </c>
      <c r="C1513" s="9" t="s">
        <v>11</v>
      </c>
      <c r="D1513" s="9" t="s">
        <v>34</v>
      </c>
      <c r="E1513" s="9" t="s">
        <v>29</v>
      </c>
      <c r="F1513" s="9">
        <v>226</v>
      </c>
      <c r="G1513" s="9">
        <v>257.19</v>
      </c>
      <c r="H1513" s="9" t="s">
        <v>14</v>
      </c>
      <c r="I1513" s="9">
        <v>1</v>
      </c>
      <c r="J1513" s="10">
        <v>31.189999999999898</v>
      </c>
      <c r="K1513" s="9" t="str">
        <f>TEXT(Sales_of_Jordan[[#This Row],[Sale_Date]],"mmm")</f>
        <v>Apr</v>
      </c>
    </row>
    <row r="1514" spans="1:11" x14ac:dyDescent="0.35">
      <c r="A1514" s="7" t="s">
        <v>1544</v>
      </c>
      <c r="B1514" s="8">
        <v>45665</v>
      </c>
      <c r="C1514" s="9" t="s">
        <v>11</v>
      </c>
      <c r="D1514" s="9" t="s">
        <v>34</v>
      </c>
      <c r="E1514" s="9" t="s">
        <v>29</v>
      </c>
      <c r="F1514" s="9">
        <v>228</v>
      </c>
      <c r="G1514" s="9">
        <v>331.74</v>
      </c>
      <c r="H1514" s="9" t="s">
        <v>23</v>
      </c>
      <c r="I1514" s="9">
        <v>46</v>
      </c>
      <c r="J1514" s="10">
        <v>103.74</v>
      </c>
      <c r="K1514" s="9" t="str">
        <f>TEXT(Sales_of_Jordan[[#This Row],[Sale_Date]],"mmm")</f>
        <v>Jan</v>
      </c>
    </row>
    <row r="1515" spans="1:11" x14ac:dyDescent="0.35">
      <c r="A1515" s="7" t="s">
        <v>1545</v>
      </c>
      <c r="B1515" s="8">
        <v>45628</v>
      </c>
      <c r="C1515" s="9" t="s">
        <v>11</v>
      </c>
      <c r="D1515" s="9" t="s">
        <v>12</v>
      </c>
      <c r="E1515" s="9" t="s">
        <v>29</v>
      </c>
      <c r="F1515" s="9">
        <v>229</v>
      </c>
      <c r="G1515" s="9">
        <v>304.62</v>
      </c>
      <c r="H1515" s="9" t="s">
        <v>32</v>
      </c>
      <c r="I1515" s="9">
        <v>13</v>
      </c>
      <c r="J1515" s="10">
        <v>75.62</v>
      </c>
      <c r="K1515" s="9" t="str">
        <f>TEXT(Sales_of_Jordan[[#This Row],[Sale_Date]],"mmm")</f>
        <v>Dec</v>
      </c>
    </row>
    <row r="1516" spans="1:11" x14ac:dyDescent="0.35">
      <c r="A1516" s="7" t="s">
        <v>1546</v>
      </c>
      <c r="B1516" s="8">
        <v>45280</v>
      </c>
      <c r="C1516" s="9" t="s">
        <v>27</v>
      </c>
      <c r="D1516" s="9" t="s">
        <v>46</v>
      </c>
      <c r="E1516" s="9" t="s">
        <v>18</v>
      </c>
      <c r="F1516" s="9">
        <v>127</v>
      </c>
      <c r="G1516" s="9">
        <v>296.99</v>
      </c>
      <c r="H1516" s="9" t="s">
        <v>32</v>
      </c>
      <c r="I1516" s="9">
        <v>27</v>
      </c>
      <c r="J1516" s="10">
        <v>169.99</v>
      </c>
      <c r="K1516" s="9" t="str">
        <f>TEXT(Sales_of_Jordan[[#This Row],[Sale_Date]],"mmm")</f>
        <v>Dec</v>
      </c>
    </row>
    <row r="1517" spans="1:11" x14ac:dyDescent="0.35">
      <c r="A1517" s="7" t="s">
        <v>1547</v>
      </c>
      <c r="B1517" s="8">
        <v>45012</v>
      </c>
      <c r="C1517" s="9" t="s">
        <v>21</v>
      </c>
      <c r="D1517" s="9" t="s">
        <v>36</v>
      </c>
      <c r="E1517" s="9" t="s">
        <v>18</v>
      </c>
      <c r="F1517" s="9">
        <v>217</v>
      </c>
      <c r="G1517" s="9">
        <v>719.59</v>
      </c>
      <c r="H1517" s="9" t="s">
        <v>32</v>
      </c>
      <c r="I1517" s="9">
        <v>23</v>
      </c>
      <c r="J1517" s="10">
        <v>502.59</v>
      </c>
      <c r="K1517" s="9" t="str">
        <f>TEXT(Sales_of_Jordan[[#This Row],[Sale_Date]],"mmm")</f>
        <v>Mar</v>
      </c>
    </row>
    <row r="1518" spans="1:11" x14ac:dyDescent="0.35">
      <c r="A1518" s="7" t="s">
        <v>1548</v>
      </c>
      <c r="B1518" s="8">
        <v>45252</v>
      </c>
      <c r="C1518" s="9" t="s">
        <v>31</v>
      </c>
      <c r="D1518" s="9" t="s">
        <v>12</v>
      </c>
      <c r="E1518" s="9" t="s">
        <v>13</v>
      </c>
      <c r="F1518" s="9">
        <v>207</v>
      </c>
      <c r="G1518" s="9">
        <v>153.28</v>
      </c>
      <c r="H1518" s="9" t="s">
        <v>25</v>
      </c>
      <c r="I1518" s="9">
        <v>59</v>
      </c>
      <c r="J1518" s="10">
        <v>-53.72</v>
      </c>
      <c r="K1518" s="9" t="str">
        <f>TEXT(Sales_of_Jordan[[#This Row],[Sale_Date]],"mmm")</f>
        <v>Nov</v>
      </c>
    </row>
    <row r="1519" spans="1:11" x14ac:dyDescent="0.35">
      <c r="A1519" s="7" t="s">
        <v>1549</v>
      </c>
      <c r="B1519" s="8">
        <v>45713</v>
      </c>
      <c r="C1519" s="9" t="s">
        <v>31</v>
      </c>
      <c r="D1519" s="9" t="s">
        <v>53</v>
      </c>
      <c r="E1519" s="9" t="s">
        <v>29</v>
      </c>
      <c r="F1519" s="9">
        <v>209</v>
      </c>
      <c r="G1519" s="9">
        <v>201.15</v>
      </c>
      <c r="H1519" s="9" t="s">
        <v>32</v>
      </c>
      <c r="I1519" s="9">
        <v>36</v>
      </c>
      <c r="J1519" s="10">
        <v>-7.8499999999999899</v>
      </c>
      <c r="K1519" s="9" t="str">
        <f>TEXT(Sales_of_Jordan[[#This Row],[Sale_Date]],"mmm")</f>
        <v>Feb</v>
      </c>
    </row>
    <row r="1520" spans="1:11" x14ac:dyDescent="0.35">
      <c r="A1520" s="7" t="s">
        <v>1550</v>
      </c>
      <c r="B1520" s="8">
        <v>45842</v>
      </c>
      <c r="C1520" s="9" t="s">
        <v>16</v>
      </c>
      <c r="D1520" s="9" t="s">
        <v>34</v>
      </c>
      <c r="E1520" s="9" t="s">
        <v>13</v>
      </c>
      <c r="F1520" s="9">
        <v>183</v>
      </c>
      <c r="G1520" s="9">
        <v>164.5</v>
      </c>
      <c r="H1520" s="9" t="s">
        <v>32</v>
      </c>
      <c r="I1520" s="9">
        <v>45</v>
      </c>
      <c r="J1520" s="10">
        <v>-18.5</v>
      </c>
      <c r="K1520" s="9" t="str">
        <f>TEXT(Sales_of_Jordan[[#This Row],[Sale_Date]],"mmm")</f>
        <v>Jul</v>
      </c>
    </row>
    <row r="1521" spans="1:11" x14ac:dyDescent="0.35">
      <c r="A1521" s="7" t="s">
        <v>1551</v>
      </c>
      <c r="B1521" s="8">
        <v>45292</v>
      </c>
      <c r="C1521" s="9" t="s">
        <v>31</v>
      </c>
      <c r="D1521" s="9" t="s">
        <v>55</v>
      </c>
      <c r="E1521" s="9" t="s">
        <v>18</v>
      </c>
      <c r="F1521" s="9">
        <v>204</v>
      </c>
      <c r="G1521" s="9">
        <v>307.33999999999997</v>
      </c>
      <c r="H1521" s="9" t="s">
        <v>14</v>
      </c>
      <c r="I1521" s="9">
        <v>1</v>
      </c>
      <c r="J1521" s="10">
        <v>103.33999999999899</v>
      </c>
      <c r="K1521" s="9" t="str">
        <f>TEXT(Sales_of_Jordan[[#This Row],[Sale_Date]],"mmm")</f>
        <v>Jan</v>
      </c>
    </row>
    <row r="1522" spans="1:11" x14ac:dyDescent="0.35">
      <c r="A1522" s="7" t="s">
        <v>1552</v>
      </c>
      <c r="B1522" s="8">
        <v>45391</v>
      </c>
      <c r="C1522" s="9" t="s">
        <v>27</v>
      </c>
      <c r="D1522" s="9" t="s">
        <v>53</v>
      </c>
      <c r="E1522" s="9" t="s">
        <v>13</v>
      </c>
      <c r="F1522" s="9">
        <v>127</v>
      </c>
      <c r="G1522" s="9">
        <v>112.72</v>
      </c>
      <c r="H1522" s="9" t="s">
        <v>14</v>
      </c>
      <c r="I1522" s="9">
        <v>8</v>
      </c>
      <c r="J1522" s="10">
        <v>-14.28</v>
      </c>
      <c r="K1522" s="9" t="str">
        <f>TEXT(Sales_of_Jordan[[#This Row],[Sale_Date]],"mmm")</f>
        <v>Apr</v>
      </c>
    </row>
    <row r="1523" spans="1:11" x14ac:dyDescent="0.35">
      <c r="A1523" s="7" t="s">
        <v>1553</v>
      </c>
      <c r="B1523" s="8">
        <v>45268</v>
      </c>
      <c r="C1523" s="9" t="s">
        <v>21</v>
      </c>
      <c r="D1523" s="9" t="s">
        <v>36</v>
      </c>
      <c r="E1523" s="9" t="s">
        <v>18</v>
      </c>
      <c r="F1523" s="9">
        <v>223</v>
      </c>
      <c r="G1523" s="9">
        <v>285.36</v>
      </c>
      <c r="H1523" s="9" t="s">
        <v>14</v>
      </c>
      <c r="I1523" s="9">
        <v>8</v>
      </c>
      <c r="J1523" s="10">
        <v>62.36</v>
      </c>
      <c r="K1523" s="9" t="str">
        <f>TEXT(Sales_of_Jordan[[#This Row],[Sale_Date]],"mmm")</f>
        <v>Dec</v>
      </c>
    </row>
    <row r="1524" spans="1:11" x14ac:dyDescent="0.35">
      <c r="A1524" s="7" t="s">
        <v>1554</v>
      </c>
      <c r="B1524" s="8">
        <v>45186</v>
      </c>
      <c r="C1524" s="9" t="s">
        <v>11</v>
      </c>
      <c r="D1524" s="9" t="s">
        <v>39</v>
      </c>
      <c r="E1524" s="9" t="s">
        <v>13</v>
      </c>
      <c r="F1524" s="9">
        <v>230</v>
      </c>
      <c r="G1524" s="9">
        <v>120.63</v>
      </c>
      <c r="H1524" s="9" t="s">
        <v>32</v>
      </c>
      <c r="I1524" s="9">
        <v>48</v>
      </c>
      <c r="J1524" s="10">
        <v>-109.37</v>
      </c>
      <c r="K1524" s="9" t="str">
        <f>TEXT(Sales_of_Jordan[[#This Row],[Sale_Date]],"mmm")</f>
        <v>Sep</v>
      </c>
    </row>
    <row r="1525" spans="1:11" x14ac:dyDescent="0.35">
      <c r="A1525" s="7" t="s">
        <v>1555</v>
      </c>
      <c r="B1525" s="8">
        <v>45558</v>
      </c>
      <c r="C1525" s="9" t="s">
        <v>11</v>
      </c>
      <c r="D1525" s="9" t="s">
        <v>55</v>
      </c>
      <c r="E1525" s="9" t="s">
        <v>18</v>
      </c>
      <c r="F1525" s="9">
        <v>226</v>
      </c>
      <c r="G1525" s="9">
        <v>415.99</v>
      </c>
      <c r="H1525" s="9" t="s">
        <v>25</v>
      </c>
      <c r="I1525" s="9">
        <v>43</v>
      </c>
      <c r="J1525" s="10">
        <v>189.99</v>
      </c>
      <c r="K1525" s="9" t="str">
        <f>TEXT(Sales_of_Jordan[[#This Row],[Sale_Date]],"mmm")</f>
        <v>Sep</v>
      </c>
    </row>
    <row r="1526" spans="1:11" x14ac:dyDescent="0.35">
      <c r="A1526" s="7" t="s">
        <v>1556</v>
      </c>
      <c r="B1526" s="8">
        <v>45375</v>
      </c>
      <c r="C1526" s="9" t="s">
        <v>16</v>
      </c>
      <c r="D1526" s="9" t="s">
        <v>55</v>
      </c>
      <c r="E1526" s="9" t="s">
        <v>13</v>
      </c>
      <c r="F1526" s="9">
        <v>189</v>
      </c>
      <c r="G1526" s="9">
        <v>160.52000000000001</v>
      </c>
      <c r="H1526" s="9" t="s">
        <v>32</v>
      </c>
      <c r="I1526" s="9">
        <v>49</v>
      </c>
      <c r="J1526" s="10">
        <v>-28.479999999999901</v>
      </c>
      <c r="K1526" s="9" t="str">
        <f>TEXT(Sales_of_Jordan[[#This Row],[Sale_Date]],"mmm")</f>
        <v>Mar</v>
      </c>
    </row>
    <row r="1527" spans="1:11" x14ac:dyDescent="0.35">
      <c r="A1527" s="7" t="s">
        <v>1557</v>
      </c>
      <c r="B1527" s="8">
        <v>45853</v>
      </c>
      <c r="C1527" s="9" t="s">
        <v>27</v>
      </c>
      <c r="D1527" s="9" t="s">
        <v>22</v>
      </c>
      <c r="E1527" s="9" t="s">
        <v>13</v>
      </c>
      <c r="F1527" s="9">
        <v>136</v>
      </c>
      <c r="G1527" s="9">
        <v>95.87</v>
      </c>
      <c r="H1527" s="9" t="s">
        <v>32</v>
      </c>
      <c r="I1527" s="9">
        <v>44</v>
      </c>
      <c r="J1527" s="10">
        <v>-40.129999999999903</v>
      </c>
      <c r="K1527" s="9" t="str">
        <f>TEXT(Sales_of_Jordan[[#This Row],[Sale_Date]],"mmm")</f>
        <v>Jul</v>
      </c>
    </row>
    <row r="1528" spans="1:11" x14ac:dyDescent="0.35">
      <c r="A1528" s="7" t="s">
        <v>1558</v>
      </c>
      <c r="B1528" s="8">
        <v>45021</v>
      </c>
      <c r="C1528" s="9" t="s">
        <v>31</v>
      </c>
      <c r="D1528" s="9" t="s">
        <v>34</v>
      </c>
      <c r="E1528" s="9" t="s">
        <v>18</v>
      </c>
      <c r="F1528" s="9">
        <v>201</v>
      </c>
      <c r="G1528" s="9">
        <v>448.45</v>
      </c>
      <c r="H1528" s="9" t="s">
        <v>19</v>
      </c>
      <c r="I1528" s="9">
        <v>12</v>
      </c>
      <c r="J1528" s="10">
        <v>247.45</v>
      </c>
      <c r="K1528" s="9" t="str">
        <f>TEXT(Sales_of_Jordan[[#This Row],[Sale_Date]],"mmm")</f>
        <v>Apr</v>
      </c>
    </row>
    <row r="1529" spans="1:11" x14ac:dyDescent="0.35">
      <c r="A1529" s="7" t="s">
        <v>1559</v>
      </c>
      <c r="B1529" s="8">
        <v>45435</v>
      </c>
      <c r="C1529" s="9" t="s">
        <v>27</v>
      </c>
      <c r="D1529" s="9" t="s">
        <v>36</v>
      </c>
      <c r="E1529" s="9" t="s">
        <v>13</v>
      </c>
      <c r="F1529" s="9">
        <v>128</v>
      </c>
      <c r="G1529" s="9">
        <v>91.26</v>
      </c>
      <c r="H1529" s="9" t="s">
        <v>14</v>
      </c>
      <c r="I1529" s="9">
        <v>13</v>
      </c>
      <c r="J1529" s="10">
        <v>-36.739999999999903</v>
      </c>
      <c r="K1529" s="9" t="str">
        <f>TEXT(Sales_of_Jordan[[#This Row],[Sale_Date]],"mmm")</f>
        <v>May</v>
      </c>
    </row>
    <row r="1530" spans="1:11" x14ac:dyDescent="0.35">
      <c r="A1530" s="7" t="s">
        <v>1560</v>
      </c>
      <c r="B1530" s="8">
        <v>44941</v>
      </c>
      <c r="C1530" s="9" t="s">
        <v>11</v>
      </c>
      <c r="D1530" s="9" t="s">
        <v>12</v>
      </c>
      <c r="E1530" s="9" t="s">
        <v>13</v>
      </c>
      <c r="F1530" s="9">
        <v>228</v>
      </c>
      <c r="G1530" s="9">
        <v>188.39</v>
      </c>
      <c r="H1530" s="9" t="s">
        <v>19</v>
      </c>
      <c r="I1530" s="9">
        <v>8</v>
      </c>
      <c r="J1530" s="10">
        <v>-39.61</v>
      </c>
      <c r="K1530" s="9" t="str">
        <f>TEXT(Sales_of_Jordan[[#This Row],[Sale_Date]],"mmm")</f>
        <v>Jan</v>
      </c>
    </row>
    <row r="1531" spans="1:11" x14ac:dyDescent="0.35">
      <c r="A1531" s="7" t="s">
        <v>1561</v>
      </c>
      <c r="B1531" s="8">
        <v>45752</v>
      </c>
      <c r="C1531" s="9" t="s">
        <v>27</v>
      </c>
      <c r="D1531" s="9" t="s">
        <v>34</v>
      </c>
      <c r="E1531" s="9" t="s">
        <v>29</v>
      </c>
      <c r="F1531" s="9">
        <v>128</v>
      </c>
      <c r="G1531" s="9">
        <v>133.15</v>
      </c>
      <c r="H1531" s="9" t="s">
        <v>14</v>
      </c>
      <c r="I1531" s="9">
        <v>11</v>
      </c>
      <c r="J1531" s="10">
        <v>5.15</v>
      </c>
      <c r="K1531" s="9" t="str">
        <f>TEXT(Sales_of_Jordan[[#This Row],[Sale_Date]],"mmm")</f>
        <v>Apr</v>
      </c>
    </row>
    <row r="1532" spans="1:11" x14ac:dyDescent="0.35">
      <c r="A1532" s="7" t="s">
        <v>1562</v>
      </c>
      <c r="B1532" s="8">
        <v>45233</v>
      </c>
      <c r="C1532" s="9" t="s">
        <v>31</v>
      </c>
      <c r="D1532" s="9" t="s">
        <v>34</v>
      </c>
      <c r="E1532" s="9" t="s">
        <v>29</v>
      </c>
      <c r="F1532" s="9">
        <v>206</v>
      </c>
      <c r="G1532" s="9">
        <v>258.61</v>
      </c>
      <c r="H1532" s="9" t="s">
        <v>23</v>
      </c>
      <c r="I1532" s="9">
        <v>35</v>
      </c>
      <c r="J1532" s="10">
        <v>52.61</v>
      </c>
      <c r="K1532" s="9" t="str">
        <f>TEXT(Sales_of_Jordan[[#This Row],[Sale_Date]],"mmm")</f>
        <v>Nov</v>
      </c>
    </row>
    <row r="1533" spans="1:11" x14ac:dyDescent="0.35">
      <c r="A1533" s="7" t="s">
        <v>1563</v>
      </c>
      <c r="B1533" s="8">
        <v>45142</v>
      </c>
      <c r="C1533" s="9" t="s">
        <v>31</v>
      </c>
      <c r="D1533" s="9" t="s">
        <v>12</v>
      </c>
      <c r="E1533" s="9" t="s">
        <v>18</v>
      </c>
      <c r="F1533" s="9">
        <v>202</v>
      </c>
      <c r="G1533" s="9">
        <v>297.88</v>
      </c>
      <c r="H1533" s="9" t="s">
        <v>25</v>
      </c>
      <c r="I1533" s="9">
        <v>31</v>
      </c>
      <c r="J1533" s="10">
        <v>95.88</v>
      </c>
      <c r="K1533" s="9" t="str">
        <f>TEXT(Sales_of_Jordan[[#This Row],[Sale_Date]],"mmm")</f>
        <v>Aug</v>
      </c>
    </row>
    <row r="1534" spans="1:11" x14ac:dyDescent="0.35">
      <c r="A1534" s="7" t="s">
        <v>1564</v>
      </c>
      <c r="B1534" s="8">
        <v>45523</v>
      </c>
      <c r="C1534" s="9" t="s">
        <v>27</v>
      </c>
      <c r="D1534" s="9" t="s">
        <v>36</v>
      </c>
      <c r="E1534" s="9" t="s">
        <v>18</v>
      </c>
      <c r="F1534" s="9">
        <v>127</v>
      </c>
      <c r="G1534" s="9">
        <v>206.11</v>
      </c>
      <c r="H1534" s="9" t="s">
        <v>25</v>
      </c>
      <c r="I1534" s="9">
        <v>52</v>
      </c>
      <c r="J1534" s="10">
        <v>79.11</v>
      </c>
      <c r="K1534" s="9" t="str">
        <f>TEXT(Sales_of_Jordan[[#This Row],[Sale_Date]],"mmm")</f>
        <v>Aug</v>
      </c>
    </row>
    <row r="1535" spans="1:11" x14ac:dyDescent="0.35">
      <c r="A1535" s="7" t="s">
        <v>1565</v>
      </c>
      <c r="B1535" s="8">
        <v>45667</v>
      </c>
      <c r="C1535" s="9" t="s">
        <v>11</v>
      </c>
      <c r="D1535" s="9" t="s">
        <v>46</v>
      </c>
      <c r="E1535" s="9" t="s">
        <v>13</v>
      </c>
      <c r="F1535" s="9">
        <v>227</v>
      </c>
      <c r="G1535" s="9">
        <v>117.2</v>
      </c>
      <c r="H1535" s="9" t="s">
        <v>23</v>
      </c>
      <c r="I1535" s="9">
        <v>45</v>
      </c>
      <c r="J1535" s="10">
        <v>-109.8</v>
      </c>
      <c r="K1535" s="9" t="str">
        <f>TEXT(Sales_of_Jordan[[#This Row],[Sale_Date]],"mmm")</f>
        <v>Jan</v>
      </c>
    </row>
    <row r="1536" spans="1:11" x14ac:dyDescent="0.35">
      <c r="A1536" s="7" t="s">
        <v>1566</v>
      </c>
      <c r="B1536" s="8">
        <v>44997</v>
      </c>
      <c r="C1536" s="9" t="s">
        <v>27</v>
      </c>
      <c r="D1536" s="9" t="s">
        <v>55</v>
      </c>
      <c r="E1536" s="9" t="s">
        <v>18</v>
      </c>
      <c r="F1536" s="9">
        <v>114</v>
      </c>
      <c r="G1536" s="9">
        <v>352.41</v>
      </c>
      <c r="H1536" s="9" t="s">
        <v>19</v>
      </c>
      <c r="I1536" s="9">
        <v>13</v>
      </c>
      <c r="J1536" s="10">
        <v>238.41</v>
      </c>
      <c r="K1536" s="9" t="str">
        <f>TEXT(Sales_of_Jordan[[#This Row],[Sale_Date]],"mmm")</f>
        <v>Mar</v>
      </c>
    </row>
    <row r="1537" spans="1:11" x14ac:dyDescent="0.35">
      <c r="A1537" s="7" t="s">
        <v>1567</v>
      </c>
      <c r="B1537" s="8">
        <v>45129</v>
      </c>
      <c r="C1537" s="9" t="s">
        <v>16</v>
      </c>
      <c r="D1537" s="9" t="s">
        <v>17</v>
      </c>
      <c r="E1537" s="9" t="s">
        <v>18</v>
      </c>
      <c r="F1537" s="9">
        <v>174</v>
      </c>
      <c r="G1537" s="9">
        <v>564.07000000000005</v>
      </c>
      <c r="H1537" s="9" t="s">
        <v>14</v>
      </c>
      <c r="I1537" s="9">
        <v>12</v>
      </c>
      <c r="J1537" s="10">
        <v>390.07</v>
      </c>
      <c r="K1537" s="9" t="str">
        <f>TEXT(Sales_of_Jordan[[#This Row],[Sale_Date]],"mmm")</f>
        <v>Jul</v>
      </c>
    </row>
    <row r="1538" spans="1:11" x14ac:dyDescent="0.35">
      <c r="A1538" s="7" t="s">
        <v>1568</v>
      </c>
      <c r="B1538" s="8">
        <v>45696</v>
      </c>
      <c r="C1538" s="9" t="s">
        <v>16</v>
      </c>
      <c r="D1538" s="9" t="s">
        <v>53</v>
      </c>
      <c r="E1538" s="9" t="s">
        <v>18</v>
      </c>
      <c r="F1538" s="9">
        <v>172</v>
      </c>
      <c r="G1538" s="9">
        <v>317.86</v>
      </c>
      <c r="H1538" s="9" t="s">
        <v>19</v>
      </c>
      <c r="I1538" s="9">
        <v>4</v>
      </c>
      <c r="J1538" s="10">
        <v>145.86000000000001</v>
      </c>
      <c r="K1538" s="9" t="str">
        <f>TEXT(Sales_of_Jordan[[#This Row],[Sale_Date]],"mmm")</f>
        <v>Feb</v>
      </c>
    </row>
    <row r="1539" spans="1:11" x14ac:dyDescent="0.35">
      <c r="A1539" s="7" t="s">
        <v>1569</v>
      </c>
      <c r="B1539" s="8">
        <v>45888</v>
      </c>
      <c r="C1539" s="9" t="s">
        <v>21</v>
      </c>
      <c r="D1539" s="9" t="s">
        <v>46</v>
      </c>
      <c r="E1539" s="9" t="s">
        <v>13</v>
      </c>
      <c r="F1539" s="9">
        <v>222</v>
      </c>
      <c r="G1539" s="9">
        <v>142.69999999999999</v>
      </c>
      <c r="H1539" s="9" t="s">
        <v>25</v>
      </c>
      <c r="I1539" s="9">
        <v>46</v>
      </c>
      <c r="J1539" s="10">
        <v>-79.3</v>
      </c>
      <c r="K1539" s="9" t="str">
        <f>TEXT(Sales_of_Jordan[[#This Row],[Sale_Date]],"mmm")</f>
        <v>Aug</v>
      </c>
    </row>
    <row r="1540" spans="1:11" x14ac:dyDescent="0.35">
      <c r="A1540" s="7" t="s">
        <v>1570</v>
      </c>
      <c r="B1540" s="8">
        <v>45837</v>
      </c>
      <c r="C1540" s="9" t="s">
        <v>31</v>
      </c>
      <c r="D1540" s="9" t="s">
        <v>22</v>
      </c>
      <c r="E1540" s="9" t="s">
        <v>29</v>
      </c>
      <c r="F1540" s="9">
        <v>207</v>
      </c>
      <c r="G1540" s="9">
        <v>244.09</v>
      </c>
      <c r="H1540" s="9" t="s">
        <v>14</v>
      </c>
      <c r="I1540" s="9">
        <v>13</v>
      </c>
      <c r="J1540" s="10">
        <v>37.090000000000003</v>
      </c>
      <c r="K1540" s="9" t="str">
        <f>TEXT(Sales_of_Jordan[[#This Row],[Sale_Date]],"mmm")</f>
        <v>Jun</v>
      </c>
    </row>
    <row r="1541" spans="1:11" x14ac:dyDescent="0.35">
      <c r="A1541" s="7" t="s">
        <v>1571</v>
      </c>
      <c r="B1541" s="8">
        <v>45353</v>
      </c>
      <c r="C1541" s="9" t="s">
        <v>11</v>
      </c>
      <c r="D1541" s="9" t="s">
        <v>34</v>
      </c>
      <c r="E1541" s="9" t="s">
        <v>18</v>
      </c>
      <c r="F1541" s="9">
        <v>226</v>
      </c>
      <c r="G1541" s="9">
        <v>511.59</v>
      </c>
      <c r="H1541" s="9" t="s">
        <v>14</v>
      </c>
      <c r="I1541" s="9">
        <v>1</v>
      </c>
      <c r="J1541" s="10">
        <v>285.58999999999997</v>
      </c>
      <c r="K1541" s="9" t="str">
        <f>TEXT(Sales_of_Jordan[[#This Row],[Sale_Date]],"mmm")</f>
        <v>Mar</v>
      </c>
    </row>
    <row r="1542" spans="1:11" x14ac:dyDescent="0.35">
      <c r="A1542" s="7" t="s">
        <v>1572</v>
      </c>
      <c r="B1542" s="8">
        <v>45910</v>
      </c>
      <c r="C1542" s="9" t="s">
        <v>11</v>
      </c>
      <c r="D1542" s="9" t="s">
        <v>36</v>
      </c>
      <c r="E1542" s="9" t="s">
        <v>13</v>
      </c>
      <c r="F1542" s="9">
        <v>229</v>
      </c>
      <c r="G1542" s="9">
        <v>136.85</v>
      </c>
      <c r="H1542" s="9" t="s">
        <v>14</v>
      </c>
      <c r="I1542" s="9">
        <v>5</v>
      </c>
      <c r="J1542" s="10">
        <v>-92.15</v>
      </c>
      <c r="K1542" s="9" t="str">
        <f>TEXT(Sales_of_Jordan[[#This Row],[Sale_Date]],"mmm")</f>
        <v>Sep</v>
      </c>
    </row>
    <row r="1543" spans="1:11" x14ac:dyDescent="0.35">
      <c r="A1543" s="7" t="s">
        <v>1573</v>
      </c>
      <c r="B1543" s="8">
        <v>45165</v>
      </c>
      <c r="C1543" s="9" t="s">
        <v>11</v>
      </c>
      <c r="D1543" s="9" t="s">
        <v>46</v>
      </c>
      <c r="E1543" s="9" t="s">
        <v>29</v>
      </c>
      <c r="F1543" s="9">
        <v>230</v>
      </c>
      <c r="G1543" s="9">
        <v>227.24</v>
      </c>
      <c r="H1543" s="9" t="s">
        <v>19</v>
      </c>
      <c r="I1543" s="9">
        <v>7</v>
      </c>
      <c r="J1543" s="10">
        <v>-2.75999999999999</v>
      </c>
      <c r="K1543" s="9" t="str">
        <f>TEXT(Sales_of_Jordan[[#This Row],[Sale_Date]],"mmm")</f>
        <v>Aug</v>
      </c>
    </row>
    <row r="1544" spans="1:11" x14ac:dyDescent="0.35">
      <c r="A1544" s="7" t="s">
        <v>1574</v>
      </c>
      <c r="B1544" s="8">
        <v>45563</v>
      </c>
      <c r="C1544" s="9" t="s">
        <v>31</v>
      </c>
      <c r="D1544" s="9" t="s">
        <v>53</v>
      </c>
      <c r="E1544" s="9" t="s">
        <v>13</v>
      </c>
      <c r="F1544" s="9">
        <v>209</v>
      </c>
      <c r="G1544" s="9">
        <v>112.24</v>
      </c>
      <c r="H1544" s="9" t="s">
        <v>14</v>
      </c>
      <c r="I1544" s="9">
        <v>8</v>
      </c>
      <c r="J1544" s="10">
        <v>-96.76</v>
      </c>
      <c r="K1544" s="9" t="str">
        <f>TEXT(Sales_of_Jordan[[#This Row],[Sale_Date]],"mmm")</f>
        <v>Sep</v>
      </c>
    </row>
    <row r="1545" spans="1:11" x14ac:dyDescent="0.35">
      <c r="A1545" s="7" t="s">
        <v>1575</v>
      </c>
      <c r="B1545" s="8">
        <v>45896</v>
      </c>
      <c r="C1545" s="9" t="s">
        <v>21</v>
      </c>
      <c r="D1545" s="9" t="s">
        <v>34</v>
      </c>
      <c r="E1545" s="9" t="s">
        <v>13</v>
      </c>
      <c r="F1545" s="9">
        <v>224</v>
      </c>
      <c r="G1545" s="9">
        <v>147.72</v>
      </c>
      <c r="H1545" s="9" t="s">
        <v>25</v>
      </c>
      <c r="I1545" s="9">
        <v>32</v>
      </c>
      <c r="J1545" s="10">
        <v>-76.28</v>
      </c>
      <c r="K1545" s="9" t="str">
        <f>TEXT(Sales_of_Jordan[[#This Row],[Sale_Date]],"mmm")</f>
        <v>Aug</v>
      </c>
    </row>
    <row r="1546" spans="1:11" x14ac:dyDescent="0.35">
      <c r="A1546" s="7" t="s">
        <v>1576</v>
      </c>
      <c r="B1546" s="8">
        <v>45580</v>
      </c>
      <c r="C1546" s="9" t="s">
        <v>31</v>
      </c>
      <c r="D1546" s="9" t="s">
        <v>34</v>
      </c>
      <c r="E1546" s="9" t="s">
        <v>29</v>
      </c>
      <c r="F1546" s="9">
        <v>209</v>
      </c>
      <c r="G1546" s="9">
        <v>206.27</v>
      </c>
      <c r="H1546" s="9" t="s">
        <v>32</v>
      </c>
      <c r="I1546" s="9">
        <v>32</v>
      </c>
      <c r="J1546" s="10">
        <v>-2.72999999999998</v>
      </c>
      <c r="K1546" s="9" t="str">
        <f>TEXT(Sales_of_Jordan[[#This Row],[Sale_Date]],"mmm")</f>
        <v>Oct</v>
      </c>
    </row>
    <row r="1547" spans="1:11" x14ac:dyDescent="0.35">
      <c r="A1547" s="7" t="s">
        <v>1577</v>
      </c>
      <c r="B1547" s="8">
        <v>45274</v>
      </c>
      <c r="C1547" s="9" t="s">
        <v>11</v>
      </c>
      <c r="D1547" s="9" t="s">
        <v>22</v>
      </c>
      <c r="E1547" s="9" t="s">
        <v>18</v>
      </c>
      <c r="F1547" s="9">
        <v>226</v>
      </c>
      <c r="G1547" s="9">
        <v>561.48</v>
      </c>
      <c r="H1547" s="9" t="s">
        <v>32</v>
      </c>
      <c r="I1547" s="9">
        <v>51</v>
      </c>
      <c r="J1547" s="10">
        <v>335.48</v>
      </c>
      <c r="K1547" s="9" t="str">
        <f>TEXT(Sales_of_Jordan[[#This Row],[Sale_Date]],"mmm")</f>
        <v>Dec</v>
      </c>
    </row>
    <row r="1548" spans="1:11" x14ac:dyDescent="0.35">
      <c r="A1548" s="7" t="s">
        <v>1578</v>
      </c>
      <c r="B1548" s="8">
        <v>45526</v>
      </c>
      <c r="C1548" s="9" t="s">
        <v>16</v>
      </c>
      <c r="D1548" s="9" t="s">
        <v>34</v>
      </c>
      <c r="E1548" s="9" t="s">
        <v>18</v>
      </c>
      <c r="F1548" s="9">
        <v>179</v>
      </c>
      <c r="G1548" s="9">
        <v>541.76</v>
      </c>
      <c r="H1548" s="9" t="s">
        <v>32</v>
      </c>
      <c r="I1548" s="9">
        <v>54</v>
      </c>
      <c r="J1548" s="10">
        <v>362.76</v>
      </c>
      <c r="K1548" s="9" t="str">
        <f>TEXT(Sales_of_Jordan[[#This Row],[Sale_Date]],"mmm")</f>
        <v>Aug</v>
      </c>
    </row>
    <row r="1549" spans="1:11" x14ac:dyDescent="0.35">
      <c r="A1549" s="7" t="s">
        <v>1579</v>
      </c>
      <c r="B1549" s="8">
        <v>45151</v>
      </c>
      <c r="C1549" s="9" t="s">
        <v>16</v>
      </c>
      <c r="D1549" s="9" t="s">
        <v>22</v>
      </c>
      <c r="E1549" s="9" t="s">
        <v>29</v>
      </c>
      <c r="F1549" s="9">
        <v>170</v>
      </c>
      <c r="G1549" s="9">
        <v>223.06</v>
      </c>
      <c r="H1549" s="9" t="s">
        <v>32</v>
      </c>
      <c r="I1549" s="9">
        <v>58</v>
      </c>
      <c r="J1549" s="10">
        <v>53.06</v>
      </c>
      <c r="K1549" s="9" t="str">
        <f>TEXT(Sales_of_Jordan[[#This Row],[Sale_Date]],"mmm")</f>
        <v>Aug</v>
      </c>
    </row>
    <row r="1550" spans="1:11" x14ac:dyDescent="0.35">
      <c r="A1550" s="7" t="s">
        <v>1580</v>
      </c>
      <c r="B1550" s="8">
        <v>45009</v>
      </c>
      <c r="C1550" s="9" t="s">
        <v>21</v>
      </c>
      <c r="D1550" s="9" t="s">
        <v>22</v>
      </c>
      <c r="E1550" s="9" t="s">
        <v>29</v>
      </c>
      <c r="F1550" s="9">
        <v>213</v>
      </c>
      <c r="G1550" s="9">
        <v>261.74</v>
      </c>
      <c r="H1550" s="9" t="s">
        <v>19</v>
      </c>
      <c r="I1550" s="9">
        <v>14</v>
      </c>
      <c r="J1550" s="10">
        <v>48.74</v>
      </c>
      <c r="K1550" s="9" t="str">
        <f>TEXT(Sales_of_Jordan[[#This Row],[Sale_Date]],"mmm")</f>
        <v>Mar</v>
      </c>
    </row>
    <row r="1551" spans="1:11" x14ac:dyDescent="0.35">
      <c r="A1551" s="7" t="s">
        <v>1581</v>
      </c>
      <c r="B1551" s="8">
        <v>45409</v>
      </c>
      <c r="C1551" s="9" t="s">
        <v>11</v>
      </c>
      <c r="D1551" s="9" t="s">
        <v>17</v>
      </c>
      <c r="E1551" s="9" t="s">
        <v>18</v>
      </c>
      <c r="F1551" s="9">
        <v>230</v>
      </c>
      <c r="G1551" s="9">
        <v>381.32</v>
      </c>
      <c r="H1551" s="9" t="s">
        <v>19</v>
      </c>
      <c r="I1551" s="9">
        <v>11</v>
      </c>
      <c r="J1551" s="10">
        <v>151.32</v>
      </c>
      <c r="K1551" s="9" t="str">
        <f>TEXT(Sales_of_Jordan[[#This Row],[Sale_Date]],"mmm")</f>
        <v>Apr</v>
      </c>
    </row>
    <row r="1552" spans="1:11" x14ac:dyDescent="0.35">
      <c r="A1552" s="7" t="s">
        <v>1582</v>
      </c>
      <c r="B1552" s="8">
        <v>45674</v>
      </c>
      <c r="C1552" s="9" t="s">
        <v>27</v>
      </c>
      <c r="D1552" s="9" t="s">
        <v>34</v>
      </c>
      <c r="E1552" s="9" t="s">
        <v>29</v>
      </c>
      <c r="F1552" s="9">
        <v>124</v>
      </c>
      <c r="G1552" s="9">
        <v>153.5</v>
      </c>
      <c r="H1552" s="9" t="s">
        <v>32</v>
      </c>
      <c r="I1552" s="9">
        <v>54</v>
      </c>
      <c r="J1552" s="10">
        <v>29.5</v>
      </c>
      <c r="K1552" s="9" t="str">
        <f>TEXT(Sales_of_Jordan[[#This Row],[Sale_Date]],"mmm")</f>
        <v>Jan</v>
      </c>
    </row>
    <row r="1553" spans="1:11" x14ac:dyDescent="0.35">
      <c r="A1553" s="7" t="s">
        <v>1583</v>
      </c>
      <c r="B1553" s="8">
        <v>45417</v>
      </c>
      <c r="C1553" s="9" t="s">
        <v>31</v>
      </c>
      <c r="D1553" s="9" t="s">
        <v>36</v>
      </c>
      <c r="E1553" s="9" t="s">
        <v>29</v>
      </c>
      <c r="F1553" s="9">
        <v>202</v>
      </c>
      <c r="G1553" s="9">
        <v>255.25</v>
      </c>
      <c r="H1553" s="9" t="s">
        <v>32</v>
      </c>
      <c r="I1553" s="9">
        <v>24</v>
      </c>
      <c r="J1553" s="10">
        <v>53.25</v>
      </c>
      <c r="K1553" s="9" t="str">
        <f>TEXT(Sales_of_Jordan[[#This Row],[Sale_Date]],"mmm")</f>
        <v>May</v>
      </c>
    </row>
    <row r="1554" spans="1:11" x14ac:dyDescent="0.35">
      <c r="A1554" s="7" t="s">
        <v>1584</v>
      </c>
      <c r="B1554" s="8">
        <v>45073</v>
      </c>
      <c r="C1554" s="9" t="s">
        <v>27</v>
      </c>
      <c r="D1554" s="9" t="s">
        <v>17</v>
      </c>
      <c r="E1554" s="9" t="s">
        <v>13</v>
      </c>
      <c r="F1554" s="9">
        <v>135</v>
      </c>
      <c r="G1554" s="9">
        <v>90.75</v>
      </c>
      <c r="H1554" s="9" t="s">
        <v>32</v>
      </c>
      <c r="I1554" s="9">
        <v>5</v>
      </c>
      <c r="J1554" s="10">
        <v>-44.25</v>
      </c>
      <c r="K1554" s="9" t="str">
        <f>TEXT(Sales_of_Jordan[[#This Row],[Sale_Date]],"mmm")</f>
        <v>May</v>
      </c>
    </row>
    <row r="1555" spans="1:11" x14ac:dyDescent="0.35">
      <c r="A1555" s="7" t="s">
        <v>1585</v>
      </c>
      <c r="B1555" s="8">
        <v>45443</v>
      </c>
      <c r="C1555" s="9" t="s">
        <v>16</v>
      </c>
      <c r="D1555" s="9" t="s">
        <v>46</v>
      </c>
      <c r="E1555" s="9" t="s">
        <v>13</v>
      </c>
      <c r="F1555" s="9">
        <v>188</v>
      </c>
      <c r="G1555" s="9">
        <v>111.89</v>
      </c>
      <c r="H1555" s="9" t="s">
        <v>14</v>
      </c>
      <c r="I1555" s="9">
        <v>1</v>
      </c>
      <c r="J1555" s="10">
        <v>-76.11</v>
      </c>
      <c r="K1555" s="9" t="str">
        <f>TEXT(Sales_of_Jordan[[#This Row],[Sale_Date]],"mmm")</f>
        <v>May</v>
      </c>
    </row>
    <row r="1556" spans="1:11" x14ac:dyDescent="0.35">
      <c r="A1556" s="7" t="s">
        <v>1586</v>
      </c>
      <c r="B1556" s="8">
        <v>45684</v>
      </c>
      <c r="C1556" s="9" t="s">
        <v>16</v>
      </c>
      <c r="D1556" s="9" t="s">
        <v>55</v>
      </c>
      <c r="E1556" s="9" t="s">
        <v>13</v>
      </c>
      <c r="F1556" s="9">
        <v>186</v>
      </c>
      <c r="G1556" s="9">
        <v>166.92</v>
      </c>
      <c r="H1556" s="9" t="s">
        <v>23</v>
      </c>
      <c r="I1556" s="9">
        <v>30</v>
      </c>
      <c r="J1556" s="10">
        <v>-19.079999999999998</v>
      </c>
      <c r="K1556" s="9" t="str">
        <f>TEXT(Sales_of_Jordan[[#This Row],[Sale_Date]],"mmm")</f>
        <v>Jan</v>
      </c>
    </row>
    <row r="1557" spans="1:11" x14ac:dyDescent="0.35">
      <c r="A1557" s="7" t="s">
        <v>1587</v>
      </c>
      <c r="B1557" s="8">
        <v>45404</v>
      </c>
      <c r="C1557" s="9" t="s">
        <v>16</v>
      </c>
      <c r="D1557" s="9" t="s">
        <v>22</v>
      </c>
      <c r="E1557" s="9" t="s">
        <v>18</v>
      </c>
      <c r="F1557" s="9">
        <v>177</v>
      </c>
      <c r="G1557" s="9">
        <v>418.78</v>
      </c>
      <c r="H1557" s="9" t="s">
        <v>23</v>
      </c>
      <c r="I1557" s="9">
        <v>18</v>
      </c>
      <c r="J1557" s="10">
        <v>241.77999999999901</v>
      </c>
      <c r="K1557" s="9" t="str">
        <f>TEXT(Sales_of_Jordan[[#This Row],[Sale_Date]],"mmm")</f>
        <v>Apr</v>
      </c>
    </row>
    <row r="1558" spans="1:11" x14ac:dyDescent="0.35">
      <c r="A1558" s="7" t="s">
        <v>1588</v>
      </c>
      <c r="B1558" s="8">
        <v>45292</v>
      </c>
      <c r="C1558" s="9" t="s">
        <v>21</v>
      </c>
      <c r="D1558" s="9" t="s">
        <v>46</v>
      </c>
      <c r="E1558" s="9" t="s">
        <v>13</v>
      </c>
      <c r="F1558" s="9">
        <v>213</v>
      </c>
      <c r="G1558" s="9">
        <v>155.80000000000001</v>
      </c>
      <c r="H1558" s="9" t="s">
        <v>25</v>
      </c>
      <c r="I1558" s="9">
        <v>11</v>
      </c>
      <c r="J1558" s="10">
        <v>-57.199999999999903</v>
      </c>
      <c r="K1558" s="9" t="str">
        <f>TEXT(Sales_of_Jordan[[#This Row],[Sale_Date]],"mmm")</f>
        <v>Jan</v>
      </c>
    </row>
    <row r="1559" spans="1:11" x14ac:dyDescent="0.35">
      <c r="A1559" s="7" t="s">
        <v>1589</v>
      </c>
      <c r="B1559" s="8">
        <v>45339</v>
      </c>
      <c r="C1559" s="9" t="s">
        <v>27</v>
      </c>
      <c r="D1559" s="9" t="s">
        <v>46</v>
      </c>
      <c r="E1559" s="9" t="s">
        <v>18</v>
      </c>
      <c r="F1559" s="9">
        <v>115</v>
      </c>
      <c r="G1559" s="9">
        <v>334.13</v>
      </c>
      <c r="H1559" s="9" t="s">
        <v>19</v>
      </c>
      <c r="I1559" s="9">
        <v>6</v>
      </c>
      <c r="J1559" s="10">
        <v>219.13</v>
      </c>
      <c r="K1559" s="9" t="str">
        <f>TEXT(Sales_of_Jordan[[#This Row],[Sale_Date]],"mmm")</f>
        <v>Feb</v>
      </c>
    </row>
    <row r="1560" spans="1:11" x14ac:dyDescent="0.35">
      <c r="A1560" s="7" t="s">
        <v>1590</v>
      </c>
      <c r="B1560" s="8">
        <v>45260</v>
      </c>
      <c r="C1560" s="9" t="s">
        <v>21</v>
      </c>
      <c r="D1560" s="9" t="s">
        <v>12</v>
      </c>
      <c r="E1560" s="9" t="s">
        <v>13</v>
      </c>
      <c r="F1560" s="9">
        <v>214</v>
      </c>
      <c r="G1560" s="9">
        <v>168.89</v>
      </c>
      <c r="H1560" s="9" t="s">
        <v>23</v>
      </c>
      <c r="I1560" s="9">
        <v>26</v>
      </c>
      <c r="J1560" s="10">
        <v>-45.11</v>
      </c>
      <c r="K1560" s="9" t="str">
        <f>TEXT(Sales_of_Jordan[[#This Row],[Sale_Date]],"mmm")</f>
        <v>Nov</v>
      </c>
    </row>
    <row r="1561" spans="1:11" x14ac:dyDescent="0.35">
      <c r="A1561" s="7" t="s">
        <v>1591</v>
      </c>
      <c r="B1561" s="8">
        <v>45407</v>
      </c>
      <c r="C1561" s="9" t="s">
        <v>31</v>
      </c>
      <c r="D1561" s="9" t="s">
        <v>22</v>
      </c>
      <c r="E1561" s="9" t="s">
        <v>29</v>
      </c>
      <c r="F1561" s="9">
        <v>206</v>
      </c>
      <c r="G1561" s="9">
        <v>274.38</v>
      </c>
      <c r="H1561" s="9" t="s">
        <v>23</v>
      </c>
      <c r="I1561" s="9">
        <v>14</v>
      </c>
      <c r="J1561" s="10">
        <v>68.38</v>
      </c>
      <c r="K1561" s="9" t="str">
        <f>TEXT(Sales_of_Jordan[[#This Row],[Sale_Date]],"mmm")</f>
        <v>Apr</v>
      </c>
    </row>
    <row r="1562" spans="1:11" x14ac:dyDescent="0.35">
      <c r="A1562" s="7" t="s">
        <v>1592</v>
      </c>
      <c r="B1562" s="8">
        <v>44978</v>
      </c>
      <c r="C1562" s="9" t="s">
        <v>31</v>
      </c>
      <c r="D1562" s="9" t="s">
        <v>22</v>
      </c>
      <c r="E1562" s="9" t="s">
        <v>18</v>
      </c>
      <c r="F1562" s="9">
        <v>203</v>
      </c>
      <c r="G1562" s="9">
        <v>592.11</v>
      </c>
      <c r="H1562" s="9" t="s">
        <v>19</v>
      </c>
      <c r="I1562" s="9">
        <v>12</v>
      </c>
      <c r="J1562" s="10">
        <v>389.11</v>
      </c>
      <c r="K1562" s="9" t="str">
        <f>TEXT(Sales_of_Jordan[[#This Row],[Sale_Date]],"mmm")</f>
        <v>Feb</v>
      </c>
    </row>
    <row r="1563" spans="1:11" x14ac:dyDescent="0.35">
      <c r="A1563" s="7" t="s">
        <v>1593</v>
      </c>
      <c r="B1563" s="8">
        <v>45815</v>
      </c>
      <c r="C1563" s="9" t="s">
        <v>27</v>
      </c>
      <c r="D1563" s="9" t="s">
        <v>17</v>
      </c>
      <c r="E1563" s="9" t="s">
        <v>29</v>
      </c>
      <c r="F1563" s="9">
        <v>129</v>
      </c>
      <c r="G1563" s="9">
        <v>147.79</v>
      </c>
      <c r="H1563" s="9" t="s">
        <v>32</v>
      </c>
      <c r="I1563" s="9">
        <v>52</v>
      </c>
      <c r="J1563" s="10">
        <v>18.7899999999999</v>
      </c>
      <c r="K1563" s="9" t="str">
        <f>TEXT(Sales_of_Jordan[[#This Row],[Sale_Date]],"mmm")</f>
        <v>Jun</v>
      </c>
    </row>
    <row r="1564" spans="1:11" x14ac:dyDescent="0.35">
      <c r="A1564" s="7" t="s">
        <v>1594</v>
      </c>
      <c r="B1564" s="8">
        <v>45137</v>
      </c>
      <c r="C1564" s="9" t="s">
        <v>11</v>
      </c>
      <c r="D1564" s="9" t="s">
        <v>17</v>
      </c>
      <c r="E1564" s="9" t="s">
        <v>18</v>
      </c>
      <c r="F1564" s="9">
        <v>226</v>
      </c>
      <c r="G1564" s="9">
        <v>292.91000000000003</v>
      </c>
      <c r="H1564" s="9" t="s">
        <v>14</v>
      </c>
      <c r="I1564" s="9">
        <v>4</v>
      </c>
      <c r="J1564" s="10">
        <v>66.91</v>
      </c>
      <c r="K1564" s="9" t="str">
        <f>TEXT(Sales_of_Jordan[[#This Row],[Sale_Date]],"mmm")</f>
        <v>Jul</v>
      </c>
    </row>
    <row r="1565" spans="1:11" x14ac:dyDescent="0.35">
      <c r="A1565" s="7" t="s">
        <v>1595</v>
      </c>
      <c r="B1565" s="8">
        <v>45153</v>
      </c>
      <c r="C1565" s="9" t="s">
        <v>21</v>
      </c>
      <c r="D1565" s="9" t="s">
        <v>36</v>
      </c>
      <c r="E1565" s="9" t="s">
        <v>29</v>
      </c>
      <c r="F1565" s="9">
        <v>223</v>
      </c>
      <c r="G1565" s="9">
        <v>243.43</v>
      </c>
      <c r="H1565" s="9" t="s">
        <v>23</v>
      </c>
      <c r="I1565" s="9">
        <v>37</v>
      </c>
      <c r="J1565" s="10">
        <v>20.43</v>
      </c>
      <c r="K1565" s="9" t="str">
        <f>TEXT(Sales_of_Jordan[[#This Row],[Sale_Date]],"mmm")</f>
        <v>Aug</v>
      </c>
    </row>
    <row r="1566" spans="1:11" x14ac:dyDescent="0.35">
      <c r="A1566" s="7" t="s">
        <v>1596</v>
      </c>
      <c r="B1566" s="8">
        <v>45709</v>
      </c>
      <c r="C1566" s="9" t="s">
        <v>11</v>
      </c>
      <c r="D1566" s="9" t="s">
        <v>39</v>
      </c>
      <c r="E1566" s="9" t="s">
        <v>29</v>
      </c>
      <c r="F1566" s="9">
        <v>227</v>
      </c>
      <c r="G1566" s="9">
        <v>221</v>
      </c>
      <c r="H1566" s="9" t="s">
        <v>23</v>
      </c>
      <c r="I1566" s="9">
        <v>21</v>
      </c>
      <c r="J1566" s="10">
        <v>-6</v>
      </c>
      <c r="K1566" s="9" t="str">
        <f>TEXT(Sales_of_Jordan[[#This Row],[Sale_Date]],"mmm")</f>
        <v>Feb</v>
      </c>
    </row>
    <row r="1567" spans="1:11" x14ac:dyDescent="0.35">
      <c r="A1567" s="7" t="s">
        <v>1597</v>
      </c>
      <c r="B1567" s="8">
        <v>45480</v>
      </c>
      <c r="C1567" s="9" t="s">
        <v>31</v>
      </c>
      <c r="D1567" s="9" t="s">
        <v>46</v>
      </c>
      <c r="E1567" s="9" t="s">
        <v>13</v>
      </c>
      <c r="F1567" s="9">
        <v>208</v>
      </c>
      <c r="G1567" s="9">
        <v>144.27000000000001</v>
      </c>
      <c r="H1567" s="9" t="s">
        <v>32</v>
      </c>
      <c r="I1567" s="9">
        <v>60</v>
      </c>
      <c r="J1567" s="10">
        <v>-63.729999999999897</v>
      </c>
      <c r="K1567" s="9" t="str">
        <f>TEXT(Sales_of_Jordan[[#This Row],[Sale_Date]],"mmm")</f>
        <v>Jul</v>
      </c>
    </row>
    <row r="1568" spans="1:11" x14ac:dyDescent="0.35">
      <c r="A1568" s="7" t="s">
        <v>1598</v>
      </c>
      <c r="B1568" s="8">
        <v>45136</v>
      </c>
      <c r="C1568" s="9" t="s">
        <v>21</v>
      </c>
      <c r="D1568" s="9" t="s">
        <v>17</v>
      </c>
      <c r="E1568" s="9" t="s">
        <v>29</v>
      </c>
      <c r="F1568" s="9">
        <v>220</v>
      </c>
      <c r="G1568" s="9">
        <v>286.22000000000003</v>
      </c>
      <c r="H1568" s="9" t="s">
        <v>19</v>
      </c>
      <c r="I1568" s="9">
        <v>14</v>
      </c>
      <c r="J1568" s="10">
        <v>66.22</v>
      </c>
      <c r="K1568" s="9" t="str">
        <f>TEXT(Sales_of_Jordan[[#This Row],[Sale_Date]],"mmm")</f>
        <v>Jul</v>
      </c>
    </row>
    <row r="1569" spans="1:11" x14ac:dyDescent="0.35">
      <c r="A1569" s="7" t="s">
        <v>1599</v>
      </c>
      <c r="B1569" s="8">
        <v>45718</v>
      </c>
      <c r="C1569" s="9" t="s">
        <v>11</v>
      </c>
      <c r="D1569" s="9" t="s">
        <v>53</v>
      </c>
      <c r="E1569" s="9" t="s">
        <v>18</v>
      </c>
      <c r="F1569" s="9">
        <v>226</v>
      </c>
      <c r="G1569" s="9">
        <v>460.05</v>
      </c>
      <c r="H1569" s="9" t="s">
        <v>19</v>
      </c>
      <c r="I1569" s="9">
        <v>6</v>
      </c>
      <c r="J1569" s="10">
        <v>234.05</v>
      </c>
      <c r="K1569" s="9" t="str">
        <f>TEXT(Sales_of_Jordan[[#This Row],[Sale_Date]],"mmm")</f>
        <v>Mar</v>
      </c>
    </row>
    <row r="1570" spans="1:11" x14ac:dyDescent="0.35">
      <c r="A1570" s="7" t="s">
        <v>1600</v>
      </c>
      <c r="B1570" s="8">
        <v>44951</v>
      </c>
      <c r="C1570" s="9" t="s">
        <v>31</v>
      </c>
      <c r="D1570" s="9" t="s">
        <v>22</v>
      </c>
      <c r="E1570" s="9" t="s">
        <v>18</v>
      </c>
      <c r="F1570" s="9">
        <v>203</v>
      </c>
      <c r="G1570" s="9">
        <v>251.01</v>
      </c>
      <c r="H1570" s="9" t="s">
        <v>14</v>
      </c>
      <c r="I1570" s="9">
        <v>3</v>
      </c>
      <c r="J1570" s="10">
        <v>48.009999999999899</v>
      </c>
      <c r="K1570" s="9" t="str">
        <f>TEXT(Sales_of_Jordan[[#This Row],[Sale_Date]],"mmm")</f>
        <v>Jan</v>
      </c>
    </row>
    <row r="1571" spans="1:11" x14ac:dyDescent="0.35">
      <c r="A1571" s="7" t="s">
        <v>1601</v>
      </c>
      <c r="B1571" s="8">
        <v>45607</v>
      </c>
      <c r="C1571" s="9" t="s">
        <v>27</v>
      </c>
      <c r="D1571" s="9" t="s">
        <v>36</v>
      </c>
      <c r="E1571" s="9" t="s">
        <v>18</v>
      </c>
      <c r="F1571" s="9">
        <v>127</v>
      </c>
      <c r="G1571" s="9">
        <v>183.4</v>
      </c>
      <c r="H1571" s="9" t="s">
        <v>32</v>
      </c>
      <c r="I1571" s="9">
        <v>17</v>
      </c>
      <c r="J1571" s="10">
        <v>56.4</v>
      </c>
      <c r="K1571" s="9" t="str">
        <f>TEXT(Sales_of_Jordan[[#This Row],[Sale_Date]],"mmm")</f>
        <v>Nov</v>
      </c>
    </row>
    <row r="1572" spans="1:11" x14ac:dyDescent="0.35">
      <c r="A1572" s="7" t="s">
        <v>1602</v>
      </c>
      <c r="B1572" s="8">
        <v>45381</v>
      </c>
      <c r="C1572" s="9" t="s">
        <v>16</v>
      </c>
      <c r="D1572" s="9" t="s">
        <v>17</v>
      </c>
      <c r="E1572" s="9" t="s">
        <v>13</v>
      </c>
      <c r="F1572" s="9">
        <v>189</v>
      </c>
      <c r="G1572" s="9">
        <v>154.13999999999999</v>
      </c>
      <c r="H1572" s="9" t="s">
        <v>25</v>
      </c>
      <c r="I1572" s="9">
        <v>33</v>
      </c>
      <c r="J1572" s="10">
        <v>-34.86</v>
      </c>
      <c r="K1572" s="9" t="str">
        <f>TEXT(Sales_of_Jordan[[#This Row],[Sale_Date]],"mmm")</f>
        <v>Mar</v>
      </c>
    </row>
    <row r="1573" spans="1:11" x14ac:dyDescent="0.35">
      <c r="A1573" s="7" t="s">
        <v>1603</v>
      </c>
      <c r="B1573" s="8">
        <v>45265</v>
      </c>
      <c r="C1573" s="9" t="s">
        <v>16</v>
      </c>
      <c r="D1573" s="9" t="s">
        <v>55</v>
      </c>
      <c r="E1573" s="9" t="s">
        <v>13</v>
      </c>
      <c r="F1573" s="9">
        <v>174</v>
      </c>
      <c r="G1573" s="9">
        <v>115.15</v>
      </c>
      <c r="H1573" s="9" t="s">
        <v>23</v>
      </c>
      <c r="I1573" s="9">
        <v>53</v>
      </c>
      <c r="J1573" s="10">
        <v>-58.849999999999902</v>
      </c>
      <c r="K1573" s="9" t="str">
        <f>TEXT(Sales_of_Jordan[[#This Row],[Sale_Date]],"mmm")</f>
        <v>Dec</v>
      </c>
    </row>
    <row r="1574" spans="1:11" x14ac:dyDescent="0.35">
      <c r="A1574" s="7" t="s">
        <v>1604</v>
      </c>
      <c r="B1574" s="8">
        <v>45203</v>
      </c>
      <c r="C1574" s="9" t="s">
        <v>21</v>
      </c>
      <c r="D1574" s="9" t="s">
        <v>34</v>
      </c>
      <c r="E1574" s="9" t="s">
        <v>13</v>
      </c>
      <c r="F1574" s="9">
        <v>220</v>
      </c>
      <c r="G1574" s="9">
        <v>162.74</v>
      </c>
      <c r="H1574" s="9" t="s">
        <v>32</v>
      </c>
      <c r="I1574" s="9">
        <v>11</v>
      </c>
      <c r="J1574" s="10">
        <v>-57.259999999999899</v>
      </c>
      <c r="K1574" s="9" t="str">
        <f>TEXT(Sales_of_Jordan[[#This Row],[Sale_Date]],"mmm")</f>
        <v>Oct</v>
      </c>
    </row>
    <row r="1575" spans="1:11" x14ac:dyDescent="0.35">
      <c r="A1575" s="7" t="s">
        <v>1605</v>
      </c>
      <c r="B1575" s="8">
        <v>45704</v>
      </c>
      <c r="C1575" s="9" t="s">
        <v>11</v>
      </c>
      <c r="D1575" s="9" t="s">
        <v>36</v>
      </c>
      <c r="E1575" s="9" t="s">
        <v>29</v>
      </c>
      <c r="F1575" s="9">
        <v>229</v>
      </c>
      <c r="G1575" s="9">
        <v>222.78</v>
      </c>
      <c r="H1575" s="9" t="s">
        <v>19</v>
      </c>
      <c r="I1575" s="9">
        <v>13</v>
      </c>
      <c r="J1575" s="10">
        <v>-6.21999999999999</v>
      </c>
      <c r="K1575" s="9" t="str">
        <f>TEXT(Sales_of_Jordan[[#This Row],[Sale_Date]],"mmm")</f>
        <v>Feb</v>
      </c>
    </row>
    <row r="1576" spans="1:11" x14ac:dyDescent="0.35">
      <c r="A1576" s="7" t="s">
        <v>1606</v>
      </c>
      <c r="B1576" s="8">
        <v>45275</v>
      </c>
      <c r="C1576" s="9" t="s">
        <v>16</v>
      </c>
      <c r="D1576" s="9" t="s">
        <v>34</v>
      </c>
      <c r="E1576" s="9" t="s">
        <v>29</v>
      </c>
      <c r="F1576" s="9">
        <v>174</v>
      </c>
      <c r="G1576" s="9">
        <v>226.2</v>
      </c>
      <c r="H1576" s="9" t="s">
        <v>23</v>
      </c>
      <c r="I1576" s="9">
        <v>46</v>
      </c>
      <c r="J1576" s="10">
        <v>52.199999999999903</v>
      </c>
      <c r="K1576" s="9" t="str">
        <f>TEXT(Sales_of_Jordan[[#This Row],[Sale_Date]],"mmm")</f>
        <v>Dec</v>
      </c>
    </row>
    <row r="1577" spans="1:11" x14ac:dyDescent="0.35">
      <c r="A1577" s="7" t="s">
        <v>1607</v>
      </c>
      <c r="B1577" s="8">
        <v>45255</v>
      </c>
      <c r="C1577" s="9" t="s">
        <v>11</v>
      </c>
      <c r="D1577" s="9" t="s">
        <v>39</v>
      </c>
      <c r="E1577" s="9" t="s">
        <v>13</v>
      </c>
      <c r="F1577" s="9">
        <v>230</v>
      </c>
      <c r="G1577" s="9">
        <v>164.6</v>
      </c>
      <c r="H1577" s="9" t="s">
        <v>32</v>
      </c>
      <c r="I1577" s="9">
        <v>31</v>
      </c>
      <c r="J1577" s="10">
        <v>-65.400000000000006</v>
      </c>
      <c r="K1577" s="9" t="str">
        <f>TEXT(Sales_of_Jordan[[#This Row],[Sale_Date]],"mmm")</f>
        <v>Nov</v>
      </c>
    </row>
    <row r="1578" spans="1:11" x14ac:dyDescent="0.35">
      <c r="A1578" s="7" t="s">
        <v>1608</v>
      </c>
      <c r="B1578" s="8">
        <v>45053</v>
      </c>
      <c r="C1578" s="9" t="s">
        <v>27</v>
      </c>
      <c r="D1578" s="9" t="s">
        <v>53</v>
      </c>
      <c r="E1578" s="9" t="s">
        <v>13</v>
      </c>
      <c r="F1578" s="9">
        <v>138</v>
      </c>
      <c r="G1578" s="9">
        <v>100.67</v>
      </c>
      <c r="H1578" s="9" t="s">
        <v>19</v>
      </c>
      <c r="I1578" s="9">
        <v>7</v>
      </c>
      <c r="J1578" s="10">
        <v>-37.33</v>
      </c>
      <c r="K1578" s="9" t="str">
        <f>TEXT(Sales_of_Jordan[[#This Row],[Sale_Date]],"mmm")</f>
        <v>May</v>
      </c>
    </row>
    <row r="1579" spans="1:11" x14ac:dyDescent="0.35">
      <c r="A1579" s="7" t="s">
        <v>1609</v>
      </c>
      <c r="B1579" s="8">
        <v>45505</v>
      </c>
      <c r="C1579" s="9" t="s">
        <v>16</v>
      </c>
      <c r="D1579" s="9" t="s">
        <v>55</v>
      </c>
      <c r="E1579" s="9" t="s">
        <v>18</v>
      </c>
      <c r="F1579" s="9">
        <v>170</v>
      </c>
      <c r="G1579" s="9">
        <v>299.88</v>
      </c>
      <c r="H1579" s="9" t="s">
        <v>32</v>
      </c>
      <c r="I1579" s="9">
        <v>18</v>
      </c>
      <c r="J1579" s="10">
        <v>129.88</v>
      </c>
      <c r="K1579" s="9" t="str">
        <f>TEXT(Sales_of_Jordan[[#This Row],[Sale_Date]],"mmm")</f>
        <v>Aug</v>
      </c>
    </row>
    <row r="1580" spans="1:11" x14ac:dyDescent="0.35">
      <c r="A1580" s="7" t="s">
        <v>1610</v>
      </c>
      <c r="B1580" s="8">
        <v>45104</v>
      </c>
      <c r="C1580" s="9" t="s">
        <v>16</v>
      </c>
      <c r="D1580" s="9" t="s">
        <v>39</v>
      </c>
      <c r="E1580" s="9" t="s">
        <v>29</v>
      </c>
      <c r="F1580" s="9">
        <v>175</v>
      </c>
      <c r="G1580" s="9">
        <v>259.14999999999998</v>
      </c>
      <c r="H1580" s="9" t="s">
        <v>19</v>
      </c>
      <c r="I1580" s="9">
        <v>3</v>
      </c>
      <c r="J1580" s="10">
        <v>84.149999999999906</v>
      </c>
      <c r="K1580" s="9" t="str">
        <f>TEXT(Sales_of_Jordan[[#This Row],[Sale_Date]],"mmm")</f>
        <v>Jun</v>
      </c>
    </row>
    <row r="1581" spans="1:11" x14ac:dyDescent="0.35">
      <c r="A1581" s="7" t="s">
        <v>1611</v>
      </c>
      <c r="B1581" s="8">
        <v>45861</v>
      </c>
      <c r="C1581" s="9" t="s">
        <v>27</v>
      </c>
      <c r="D1581" s="9" t="s">
        <v>17</v>
      </c>
      <c r="E1581" s="9" t="s">
        <v>18</v>
      </c>
      <c r="F1581" s="9">
        <v>112</v>
      </c>
      <c r="G1581" s="9">
        <v>308.25</v>
      </c>
      <c r="H1581" s="9" t="s">
        <v>19</v>
      </c>
      <c r="I1581" s="9">
        <v>4</v>
      </c>
      <c r="J1581" s="10">
        <v>196.25</v>
      </c>
      <c r="K1581" s="9" t="str">
        <f>TEXT(Sales_of_Jordan[[#This Row],[Sale_Date]],"mmm")</f>
        <v>Jul</v>
      </c>
    </row>
    <row r="1582" spans="1:11" x14ac:dyDescent="0.35">
      <c r="A1582" s="7" t="s">
        <v>1612</v>
      </c>
      <c r="B1582" s="8">
        <v>45350</v>
      </c>
      <c r="C1582" s="9" t="s">
        <v>16</v>
      </c>
      <c r="D1582" s="9" t="s">
        <v>17</v>
      </c>
      <c r="E1582" s="9" t="s">
        <v>18</v>
      </c>
      <c r="F1582" s="9">
        <v>186</v>
      </c>
      <c r="G1582" s="9">
        <v>320.7</v>
      </c>
      <c r="H1582" s="9" t="s">
        <v>14</v>
      </c>
      <c r="I1582" s="9">
        <v>2</v>
      </c>
      <c r="J1582" s="10">
        <v>134.69999999999999</v>
      </c>
      <c r="K1582" s="9" t="str">
        <f>TEXT(Sales_of_Jordan[[#This Row],[Sale_Date]],"mmm")</f>
        <v>Feb</v>
      </c>
    </row>
    <row r="1583" spans="1:11" x14ac:dyDescent="0.35">
      <c r="A1583" s="7" t="s">
        <v>1613</v>
      </c>
      <c r="B1583" s="8">
        <v>45462</v>
      </c>
      <c r="C1583" s="9" t="s">
        <v>21</v>
      </c>
      <c r="D1583" s="9" t="s">
        <v>53</v>
      </c>
      <c r="E1583" s="9" t="s">
        <v>29</v>
      </c>
      <c r="F1583" s="9">
        <v>212</v>
      </c>
      <c r="G1583" s="9">
        <v>237.23</v>
      </c>
      <c r="H1583" s="9" t="s">
        <v>14</v>
      </c>
      <c r="I1583" s="9">
        <v>8</v>
      </c>
      <c r="J1583" s="10">
        <v>25.229999999999901</v>
      </c>
      <c r="K1583" s="9" t="str">
        <f>TEXT(Sales_of_Jordan[[#This Row],[Sale_Date]],"mmm")</f>
        <v>Jun</v>
      </c>
    </row>
    <row r="1584" spans="1:11" x14ac:dyDescent="0.35">
      <c r="A1584" s="7" t="s">
        <v>1614</v>
      </c>
      <c r="B1584" s="8">
        <v>45860</v>
      </c>
      <c r="C1584" s="9" t="s">
        <v>31</v>
      </c>
      <c r="D1584" s="9" t="s">
        <v>39</v>
      </c>
      <c r="E1584" s="9" t="s">
        <v>13</v>
      </c>
      <c r="F1584" s="9">
        <v>202</v>
      </c>
      <c r="G1584" s="9">
        <v>159.27000000000001</v>
      </c>
      <c r="H1584" s="9" t="s">
        <v>19</v>
      </c>
      <c r="I1584" s="9">
        <v>3</v>
      </c>
      <c r="J1584" s="10">
        <v>-42.729999999999897</v>
      </c>
      <c r="K1584" s="9" t="str">
        <f>TEXT(Sales_of_Jordan[[#This Row],[Sale_Date]],"mmm")</f>
        <v>Jul</v>
      </c>
    </row>
    <row r="1585" spans="1:11" x14ac:dyDescent="0.35">
      <c r="A1585" s="7" t="s">
        <v>1615</v>
      </c>
      <c r="B1585" s="8">
        <v>45701</v>
      </c>
      <c r="C1585" s="9" t="s">
        <v>27</v>
      </c>
      <c r="D1585" s="9" t="s">
        <v>34</v>
      </c>
      <c r="E1585" s="9" t="s">
        <v>13</v>
      </c>
      <c r="F1585" s="9">
        <v>127</v>
      </c>
      <c r="G1585" s="9">
        <v>105.2</v>
      </c>
      <c r="H1585" s="9" t="s">
        <v>32</v>
      </c>
      <c r="I1585" s="9">
        <v>50</v>
      </c>
      <c r="J1585" s="10">
        <v>-21.799999999999901</v>
      </c>
      <c r="K1585" s="9" t="str">
        <f>TEXT(Sales_of_Jordan[[#This Row],[Sale_Date]],"mmm")</f>
        <v>Feb</v>
      </c>
    </row>
    <row r="1586" spans="1:11" x14ac:dyDescent="0.35">
      <c r="A1586" s="7" t="s">
        <v>1616</v>
      </c>
      <c r="B1586" s="8">
        <v>45680</v>
      </c>
      <c r="C1586" s="9" t="s">
        <v>21</v>
      </c>
      <c r="D1586" s="9" t="s">
        <v>53</v>
      </c>
      <c r="E1586" s="9" t="s">
        <v>13</v>
      </c>
      <c r="F1586" s="9">
        <v>215</v>
      </c>
      <c r="G1586" s="9">
        <v>109</v>
      </c>
      <c r="H1586" s="9" t="s">
        <v>32</v>
      </c>
      <c r="I1586" s="9">
        <v>28</v>
      </c>
      <c r="J1586" s="10">
        <v>-106</v>
      </c>
      <c r="K1586" s="9" t="str">
        <f>TEXT(Sales_of_Jordan[[#This Row],[Sale_Date]],"mmm")</f>
        <v>Jan</v>
      </c>
    </row>
    <row r="1587" spans="1:11" x14ac:dyDescent="0.35">
      <c r="A1587" s="7" t="s">
        <v>1617</v>
      </c>
      <c r="B1587" s="8">
        <v>45364</v>
      </c>
      <c r="C1587" s="9" t="s">
        <v>11</v>
      </c>
      <c r="D1587" s="9" t="s">
        <v>22</v>
      </c>
      <c r="E1587" s="9" t="s">
        <v>13</v>
      </c>
      <c r="F1587" s="9">
        <v>227</v>
      </c>
      <c r="G1587" s="9">
        <v>137.11000000000001</v>
      </c>
      <c r="H1587" s="9" t="s">
        <v>23</v>
      </c>
      <c r="I1587" s="9">
        <v>26</v>
      </c>
      <c r="J1587" s="10">
        <v>-89.889999999999901</v>
      </c>
      <c r="K1587" s="9" t="str">
        <f>TEXT(Sales_of_Jordan[[#This Row],[Sale_Date]],"mmm")</f>
        <v>Mar</v>
      </c>
    </row>
    <row r="1588" spans="1:11" x14ac:dyDescent="0.35">
      <c r="A1588" s="7" t="s">
        <v>1618</v>
      </c>
      <c r="B1588" s="8">
        <v>45724</v>
      </c>
      <c r="C1588" s="9" t="s">
        <v>21</v>
      </c>
      <c r="D1588" s="9" t="s">
        <v>39</v>
      </c>
      <c r="E1588" s="9" t="s">
        <v>18</v>
      </c>
      <c r="F1588" s="9">
        <v>222</v>
      </c>
      <c r="G1588" s="9">
        <v>612.16</v>
      </c>
      <c r="H1588" s="9" t="s">
        <v>23</v>
      </c>
      <c r="I1588" s="9">
        <v>39</v>
      </c>
      <c r="J1588" s="10">
        <v>390.159999999999</v>
      </c>
      <c r="K1588" s="9" t="str">
        <f>TEXT(Sales_of_Jordan[[#This Row],[Sale_Date]],"mmm")</f>
        <v>Mar</v>
      </c>
    </row>
    <row r="1589" spans="1:11" x14ac:dyDescent="0.35">
      <c r="A1589" s="7" t="s">
        <v>1619</v>
      </c>
      <c r="B1589" s="8">
        <v>45146</v>
      </c>
      <c r="C1589" s="9" t="s">
        <v>27</v>
      </c>
      <c r="D1589" s="9" t="s">
        <v>55</v>
      </c>
      <c r="E1589" s="9" t="s">
        <v>18</v>
      </c>
      <c r="F1589" s="9">
        <v>129</v>
      </c>
      <c r="G1589" s="9">
        <v>262.29000000000002</v>
      </c>
      <c r="H1589" s="9" t="s">
        <v>25</v>
      </c>
      <c r="I1589" s="9">
        <v>47</v>
      </c>
      <c r="J1589" s="10">
        <v>133.29</v>
      </c>
      <c r="K1589" s="9" t="str">
        <f>TEXT(Sales_of_Jordan[[#This Row],[Sale_Date]],"mmm")</f>
        <v>Aug</v>
      </c>
    </row>
    <row r="1590" spans="1:11" x14ac:dyDescent="0.35">
      <c r="A1590" s="7" t="s">
        <v>1620</v>
      </c>
      <c r="B1590" s="8">
        <v>45911</v>
      </c>
      <c r="C1590" s="9" t="s">
        <v>16</v>
      </c>
      <c r="D1590" s="9" t="s">
        <v>12</v>
      </c>
      <c r="E1590" s="9" t="s">
        <v>18</v>
      </c>
      <c r="F1590" s="9">
        <v>178</v>
      </c>
      <c r="G1590" s="9">
        <v>223.97</v>
      </c>
      <c r="H1590" s="9" t="s">
        <v>25</v>
      </c>
      <c r="I1590" s="9">
        <v>30</v>
      </c>
      <c r="J1590" s="10">
        <v>45.97</v>
      </c>
      <c r="K1590" s="9" t="str">
        <f>TEXT(Sales_of_Jordan[[#This Row],[Sale_Date]],"mmm")</f>
        <v>Sep</v>
      </c>
    </row>
    <row r="1591" spans="1:11" x14ac:dyDescent="0.35">
      <c r="A1591" s="7" t="s">
        <v>1621</v>
      </c>
      <c r="B1591" s="8">
        <v>45158</v>
      </c>
      <c r="C1591" s="9" t="s">
        <v>27</v>
      </c>
      <c r="D1591" s="9" t="s">
        <v>55</v>
      </c>
      <c r="E1591" s="9" t="s">
        <v>18</v>
      </c>
      <c r="F1591" s="9">
        <v>122</v>
      </c>
      <c r="G1591" s="9">
        <v>399.26</v>
      </c>
      <c r="H1591" s="9" t="s">
        <v>25</v>
      </c>
      <c r="I1591" s="9">
        <v>10</v>
      </c>
      <c r="J1591" s="10">
        <v>277.26</v>
      </c>
      <c r="K1591" s="9" t="str">
        <f>TEXT(Sales_of_Jordan[[#This Row],[Sale_Date]],"mmm")</f>
        <v>Aug</v>
      </c>
    </row>
    <row r="1592" spans="1:11" x14ac:dyDescent="0.35">
      <c r="A1592" s="7" t="s">
        <v>1622</v>
      </c>
      <c r="B1592" s="8">
        <v>45025</v>
      </c>
      <c r="C1592" s="9" t="s">
        <v>21</v>
      </c>
      <c r="D1592" s="9" t="s">
        <v>36</v>
      </c>
      <c r="E1592" s="9" t="s">
        <v>13</v>
      </c>
      <c r="F1592" s="9">
        <v>218</v>
      </c>
      <c r="G1592" s="9">
        <v>147.68</v>
      </c>
      <c r="H1592" s="9" t="s">
        <v>25</v>
      </c>
      <c r="I1592" s="9">
        <v>25</v>
      </c>
      <c r="J1592" s="10">
        <v>-70.319999999999993</v>
      </c>
      <c r="K1592" s="9" t="str">
        <f>TEXT(Sales_of_Jordan[[#This Row],[Sale_Date]],"mmm")</f>
        <v>Apr</v>
      </c>
    </row>
    <row r="1593" spans="1:11" x14ac:dyDescent="0.35">
      <c r="A1593" s="7" t="s">
        <v>1623</v>
      </c>
      <c r="B1593" s="8">
        <v>45358</v>
      </c>
      <c r="C1593" s="9" t="s">
        <v>16</v>
      </c>
      <c r="D1593" s="9" t="s">
        <v>17</v>
      </c>
      <c r="E1593" s="9" t="s">
        <v>18</v>
      </c>
      <c r="F1593" s="9">
        <v>176</v>
      </c>
      <c r="G1593" s="9">
        <v>485.87</v>
      </c>
      <c r="H1593" s="9" t="s">
        <v>25</v>
      </c>
      <c r="I1593" s="9">
        <v>17</v>
      </c>
      <c r="J1593" s="10">
        <v>309.87</v>
      </c>
      <c r="K1593" s="9" t="str">
        <f>TEXT(Sales_of_Jordan[[#This Row],[Sale_Date]],"mmm")</f>
        <v>Mar</v>
      </c>
    </row>
    <row r="1594" spans="1:11" x14ac:dyDescent="0.35">
      <c r="A1594" s="7" t="s">
        <v>1624</v>
      </c>
      <c r="B1594" s="8">
        <v>45351</v>
      </c>
      <c r="C1594" s="9" t="s">
        <v>21</v>
      </c>
      <c r="D1594" s="9" t="s">
        <v>17</v>
      </c>
      <c r="E1594" s="9" t="s">
        <v>13</v>
      </c>
      <c r="F1594" s="9">
        <v>222</v>
      </c>
      <c r="G1594" s="9">
        <v>145.02000000000001</v>
      </c>
      <c r="H1594" s="9" t="s">
        <v>25</v>
      </c>
      <c r="I1594" s="9">
        <v>19</v>
      </c>
      <c r="J1594" s="10">
        <v>-76.979999999999905</v>
      </c>
      <c r="K1594" s="9" t="str">
        <f>TEXT(Sales_of_Jordan[[#This Row],[Sale_Date]],"mmm")</f>
        <v>Feb</v>
      </c>
    </row>
    <row r="1595" spans="1:11" x14ac:dyDescent="0.35">
      <c r="A1595" s="7" t="s">
        <v>1625</v>
      </c>
      <c r="B1595" s="8">
        <v>45278</v>
      </c>
      <c r="C1595" s="9" t="s">
        <v>31</v>
      </c>
      <c r="D1595" s="9" t="s">
        <v>53</v>
      </c>
      <c r="E1595" s="9" t="s">
        <v>13</v>
      </c>
      <c r="F1595" s="9">
        <v>205</v>
      </c>
      <c r="G1595" s="9">
        <v>112.95</v>
      </c>
      <c r="H1595" s="9" t="s">
        <v>25</v>
      </c>
      <c r="I1595" s="9">
        <v>42</v>
      </c>
      <c r="J1595" s="10">
        <v>-92.05</v>
      </c>
      <c r="K1595" s="9" t="str">
        <f>TEXT(Sales_of_Jordan[[#This Row],[Sale_Date]],"mmm")</f>
        <v>Dec</v>
      </c>
    </row>
    <row r="1596" spans="1:11" x14ac:dyDescent="0.35">
      <c r="A1596" s="7" t="s">
        <v>1626</v>
      </c>
      <c r="B1596" s="8">
        <v>45396</v>
      </c>
      <c r="C1596" s="9" t="s">
        <v>21</v>
      </c>
      <c r="D1596" s="9" t="s">
        <v>34</v>
      </c>
      <c r="E1596" s="9" t="s">
        <v>18</v>
      </c>
      <c r="F1596" s="9">
        <v>223</v>
      </c>
      <c r="G1596" s="9">
        <v>389.57</v>
      </c>
      <c r="H1596" s="9" t="s">
        <v>19</v>
      </c>
      <c r="I1596" s="9">
        <v>7</v>
      </c>
      <c r="J1596" s="10">
        <v>166.57</v>
      </c>
      <c r="K1596" s="9" t="str">
        <f>TEXT(Sales_of_Jordan[[#This Row],[Sale_Date]],"mmm")</f>
        <v>Apr</v>
      </c>
    </row>
    <row r="1597" spans="1:11" x14ac:dyDescent="0.35">
      <c r="A1597" s="7" t="s">
        <v>1627</v>
      </c>
      <c r="B1597" s="8">
        <v>45219</v>
      </c>
      <c r="C1597" s="9" t="s">
        <v>31</v>
      </c>
      <c r="D1597" s="9" t="s">
        <v>17</v>
      </c>
      <c r="E1597" s="9" t="s">
        <v>18</v>
      </c>
      <c r="F1597" s="9">
        <v>200</v>
      </c>
      <c r="G1597" s="9">
        <v>580.74</v>
      </c>
      <c r="H1597" s="9" t="s">
        <v>19</v>
      </c>
      <c r="I1597" s="9">
        <v>14</v>
      </c>
      <c r="J1597" s="10">
        <v>380.74</v>
      </c>
      <c r="K1597" s="9" t="str">
        <f>TEXT(Sales_of_Jordan[[#This Row],[Sale_Date]],"mmm")</f>
        <v>Oct</v>
      </c>
    </row>
    <row r="1598" spans="1:11" x14ac:dyDescent="0.35">
      <c r="A1598" s="7" t="s">
        <v>1628</v>
      </c>
      <c r="B1598" s="8">
        <v>45372</v>
      </c>
      <c r="C1598" s="9" t="s">
        <v>21</v>
      </c>
      <c r="D1598" s="9" t="s">
        <v>55</v>
      </c>
      <c r="E1598" s="9" t="s">
        <v>13</v>
      </c>
      <c r="F1598" s="9">
        <v>217</v>
      </c>
      <c r="G1598" s="9">
        <v>149.75</v>
      </c>
      <c r="H1598" s="9" t="s">
        <v>19</v>
      </c>
      <c r="I1598" s="9">
        <v>14</v>
      </c>
      <c r="J1598" s="10">
        <v>-67.25</v>
      </c>
      <c r="K1598" s="9" t="str">
        <f>TEXT(Sales_of_Jordan[[#This Row],[Sale_Date]],"mmm")</f>
        <v>Mar</v>
      </c>
    </row>
    <row r="1599" spans="1:11" x14ac:dyDescent="0.35">
      <c r="A1599" s="7" t="s">
        <v>1629</v>
      </c>
      <c r="B1599" s="8">
        <v>45522</v>
      </c>
      <c r="C1599" s="9" t="s">
        <v>31</v>
      </c>
      <c r="D1599" s="9" t="s">
        <v>55</v>
      </c>
      <c r="E1599" s="9" t="s">
        <v>29</v>
      </c>
      <c r="F1599" s="9">
        <v>203</v>
      </c>
      <c r="G1599" s="9">
        <v>284.67</v>
      </c>
      <c r="H1599" s="9" t="s">
        <v>23</v>
      </c>
      <c r="I1599" s="9">
        <v>38</v>
      </c>
      <c r="J1599" s="10">
        <v>81.67</v>
      </c>
      <c r="K1599" s="9" t="str">
        <f>TEXT(Sales_of_Jordan[[#This Row],[Sale_Date]],"mmm")</f>
        <v>Aug</v>
      </c>
    </row>
    <row r="1600" spans="1:11" x14ac:dyDescent="0.35">
      <c r="A1600" s="7" t="s">
        <v>1630</v>
      </c>
      <c r="B1600" s="8">
        <v>45651</v>
      </c>
      <c r="C1600" s="9" t="s">
        <v>21</v>
      </c>
      <c r="D1600" s="9" t="s">
        <v>17</v>
      </c>
      <c r="E1600" s="9" t="s">
        <v>29</v>
      </c>
      <c r="F1600" s="9">
        <v>212</v>
      </c>
      <c r="G1600" s="9">
        <v>226.82</v>
      </c>
      <c r="H1600" s="9" t="s">
        <v>32</v>
      </c>
      <c r="I1600" s="9">
        <v>20</v>
      </c>
      <c r="J1600" s="10">
        <v>14.819999999999901</v>
      </c>
      <c r="K1600" s="9" t="str">
        <f>TEXT(Sales_of_Jordan[[#This Row],[Sale_Date]],"mmm")</f>
        <v>Dec</v>
      </c>
    </row>
    <row r="1601" spans="1:11" x14ac:dyDescent="0.35">
      <c r="A1601" s="7" t="s">
        <v>1631</v>
      </c>
      <c r="B1601" s="8">
        <v>45702</v>
      </c>
      <c r="C1601" s="9" t="s">
        <v>11</v>
      </c>
      <c r="D1601" s="9" t="s">
        <v>36</v>
      </c>
      <c r="E1601" s="9" t="s">
        <v>13</v>
      </c>
      <c r="F1601" s="9">
        <v>230</v>
      </c>
      <c r="G1601" s="9">
        <v>141.87</v>
      </c>
      <c r="H1601" s="9" t="s">
        <v>25</v>
      </c>
      <c r="I1601" s="9">
        <v>59</v>
      </c>
      <c r="J1601" s="10">
        <v>-88.13</v>
      </c>
      <c r="K1601" s="9" t="str">
        <f>TEXT(Sales_of_Jordan[[#This Row],[Sale_Date]],"mmm")</f>
        <v>Feb</v>
      </c>
    </row>
    <row r="1602" spans="1:11" x14ac:dyDescent="0.35">
      <c r="A1602" s="7" t="s">
        <v>1632</v>
      </c>
      <c r="B1602" s="8">
        <v>45017</v>
      </c>
      <c r="C1602" s="9" t="s">
        <v>21</v>
      </c>
      <c r="D1602" s="9" t="s">
        <v>22</v>
      </c>
      <c r="E1602" s="9" t="s">
        <v>29</v>
      </c>
      <c r="F1602" s="9">
        <v>218</v>
      </c>
      <c r="G1602" s="9">
        <v>228.12</v>
      </c>
      <c r="H1602" s="9" t="s">
        <v>32</v>
      </c>
      <c r="I1602" s="9">
        <v>37</v>
      </c>
      <c r="J1602" s="10">
        <v>10.119999999999999</v>
      </c>
      <c r="K1602" s="9" t="str">
        <f>TEXT(Sales_of_Jordan[[#This Row],[Sale_Date]],"mmm")</f>
        <v>Apr</v>
      </c>
    </row>
    <row r="1603" spans="1:11" x14ac:dyDescent="0.35">
      <c r="A1603" s="7" t="s">
        <v>1633</v>
      </c>
      <c r="B1603" s="8">
        <v>45504</v>
      </c>
      <c r="C1603" s="9" t="s">
        <v>16</v>
      </c>
      <c r="D1603" s="9" t="s">
        <v>46</v>
      </c>
      <c r="E1603" s="9" t="s">
        <v>13</v>
      </c>
      <c r="F1603" s="9">
        <v>182</v>
      </c>
      <c r="G1603" s="9">
        <v>153.12</v>
      </c>
      <c r="H1603" s="9" t="s">
        <v>25</v>
      </c>
      <c r="I1603" s="9">
        <v>5</v>
      </c>
      <c r="J1603" s="10">
        <v>-28.8799999999999</v>
      </c>
      <c r="K1603" s="9" t="str">
        <f>TEXT(Sales_of_Jordan[[#This Row],[Sale_Date]],"mmm")</f>
        <v>Jul</v>
      </c>
    </row>
    <row r="1604" spans="1:11" x14ac:dyDescent="0.35">
      <c r="A1604" s="7" t="s">
        <v>1634</v>
      </c>
      <c r="B1604" s="8">
        <v>45884</v>
      </c>
      <c r="C1604" s="9" t="s">
        <v>21</v>
      </c>
      <c r="D1604" s="9" t="s">
        <v>17</v>
      </c>
      <c r="E1604" s="9" t="s">
        <v>18</v>
      </c>
      <c r="F1604" s="9">
        <v>222</v>
      </c>
      <c r="G1604" s="9">
        <v>554.62</v>
      </c>
      <c r="H1604" s="9" t="s">
        <v>25</v>
      </c>
      <c r="I1604" s="9">
        <v>41</v>
      </c>
      <c r="J1604" s="10">
        <v>332.62</v>
      </c>
      <c r="K1604" s="9" t="str">
        <f>TEXT(Sales_of_Jordan[[#This Row],[Sale_Date]],"mmm")</f>
        <v>Aug</v>
      </c>
    </row>
    <row r="1605" spans="1:11" x14ac:dyDescent="0.35">
      <c r="A1605" s="7" t="s">
        <v>1635</v>
      </c>
      <c r="B1605" s="8">
        <v>45594</v>
      </c>
      <c r="C1605" s="9" t="s">
        <v>31</v>
      </c>
      <c r="D1605" s="9" t="s">
        <v>53</v>
      </c>
      <c r="E1605" s="9" t="s">
        <v>13</v>
      </c>
      <c r="F1605" s="9">
        <v>206</v>
      </c>
      <c r="G1605" s="9">
        <v>162.65</v>
      </c>
      <c r="H1605" s="9" t="s">
        <v>32</v>
      </c>
      <c r="I1605" s="9">
        <v>47</v>
      </c>
      <c r="J1605" s="10">
        <v>-43.349999999999902</v>
      </c>
      <c r="K1605" s="9" t="str">
        <f>TEXT(Sales_of_Jordan[[#This Row],[Sale_Date]],"mmm")</f>
        <v>Oct</v>
      </c>
    </row>
    <row r="1606" spans="1:11" x14ac:dyDescent="0.35">
      <c r="A1606" s="7" t="s">
        <v>1636</v>
      </c>
      <c r="B1606" s="8">
        <v>45923</v>
      </c>
      <c r="C1606" s="9" t="s">
        <v>27</v>
      </c>
      <c r="D1606" s="9" t="s">
        <v>39</v>
      </c>
      <c r="E1606" s="9" t="s">
        <v>18</v>
      </c>
      <c r="F1606" s="9">
        <v>118</v>
      </c>
      <c r="G1606" s="9">
        <v>232.64</v>
      </c>
      <c r="H1606" s="9" t="s">
        <v>14</v>
      </c>
      <c r="I1606" s="9">
        <v>3</v>
      </c>
      <c r="J1606" s="10">
        <v>114.63999999999901</v>
      </c>
      <c r="K1606" s="9" t="str">
        <f>TEXT(Sales_of_Jordan[[#This Row],[Sale_Date]],"mmm")</f>
        <v>Sep</v>
      </c>
    </row>
    <row r="1607" spans="1:11" x14ac:dyDescent="0.35">
      <c r="A1607" s="7" t="s">
        <v>1637</v>
      </c>
      <c r="B1607" s="8">
        <v>45577</v>
      </c>
      <c r="C1607" s="9" t="s">
        <v>27</v>
      </c>
      <c r="D1607" s="9" t="s">
        <v>55</v>
      </c>
      <c r="E1607" s="9" t="s">
        <v>29</v>
      </c>
      <c r="F1607" s="9">
        <v>121</v>
      </c>
      <c r="G1607" s="9">
        <v>130.94999999999999</v>
      </c>
      <c r="H1607" s="9" t="s">
        <v>25</v>
      </c>
      <c r="I1607" s="9">
        <v>15</v>
      </c>
      <c r="J1607" s="10">
        <v>9.9499999999999797</v>
      </c>
      <c r="K1607" s="9" t="str">
        <f>TEXT(Sales_of_Jordan[[#This Row],[Sale_Date]],"mmm")</f>
        <v>Oct</v>
      </c>
    </row>
    <row r="1608" spans="1:11" x14ac:dyDescent="0.35">
      <c r="A1608" s="7" t="s">
        <v>1638</v>
      </c>
      <c r="B1608" s="8">
        <v>45236</v>
      </c>
      <c r="C1608" s="9" t="s">
        <v>16</v>
      </c>
      <c r="D1608" s="9" t="s">
        <v>39</v>
      </c>
      <c r="E1608" s="9" t="s">
        <v>29</v>
      </c>
      <c r="F1608" s="9">
        <v>184</v>
      </c>
      <c r="G1608" s="9">
        <v>262.11</v>
      </c>
      <c r="H1608" s="9" t="s">
        <v>25</v>
      </c>
      <c r="I1608" s="9">
        <v>36</v>
      </c>
      <c r="J1608" s="10">
        <v>78.11</v>
      </c>
      <c r="K1608" s="9" t="str">
        <f>TEXT(Sales_of_Jordan[[#This Row],[Sale_Date]],"mmm")</f>
        <v>Nov</v>
      </c>
    </row>
    <row r="1609" spans="1:11" x14ac:dyDescent="0.35">
      <c r="A1609" s="7" t="s">
        <v>1639</v>
      </c>
      <c r="B1609" s="8">
        <v>45691</v>
      </c>
      <c r="C1609" s="9" t="s">
        <v>21</v>
      </c>
      <c r="D1609" s="9" t="s">
        <v>36</v>
      </c>
      <c r="E1609" s="9" t="s">
        <v>13</v>
      </c>
      <c r="F1609" s="9">
        <v>212</v>
      </c>
      <c r="G1609" s="9">
        <v>152</v>
      </c>
      <c r="H1609" s="9" t="s">
        <v>14</v>
      </c>
      <c r="I1609" s="9">
        <v>2</v>
      </c>
      <c r="J1609" s="10">
        <v>-60</v>
      </c>
      <c r="K1609" s="9" t="str">
        <f>TEXT(Sales_of_Jordan[[#This Row],[Sale_Date]],"mmm")</f>
        <v>Feb</v>
      </c>
    </row>
    <row r="1610" spans="1:11" x14ac:dyDescent="0.35">
      <c r="A1610" s="7" t="s">
        <v>1640</v>
      </c>
      <c r="B1610" s="8">
        <v>45013</v>
      </c>
      <c r="C1610" s="9" t="s">
        <v>21</v>
      </c>
      <c r="D1610" s="9" t="s">
        <v>12</v>
      </c>
      <c r="E1610" s="9" t="s">
        <v>18</v>
      </c>
      <c r="F1610" s="9">
        <v>224</v>
      </c>
      <c r="G1610" s="9">
        <v>395.36</v>
      </c>
      <c r="H1610" s="9" t="s">
        <v>25</v>
      </c>
      <c r="I1610" s="9">
        <v>47</v>
      </c>
      <c r="J1610" s="10">
        <v>171.36</v>
      </c>
      <c r="K1610" s="9" t="str">
        <f>TEXT(Sales_of_Jordan[[#This Row],[Sale_Date]],"mmm")</f>
        <v>Mar</v>
      </c>
    </row>
    <row r="1611" spans="1:11" x14ac:dyDescent="0.35">
      <c r="A1611" s="7" t="s">
        <v>1641</v>
      </c>
      <c r="B1611" s="8">
        <v>45915</v>
      </c>
      <c r="C1611" s="9" t="s">
        <v>21</v>
      </c>
      <c r="D1611" s="9" t="s">
        <v>36</v>
      </c>
      <c r="E1611" s="9" t="s">
        <v>18</v>
      </c>
      <c r="F1611" s="9">
        <v>224</v>
      </c>
      <c r="G1611" s="9">
        <v>723.4</v>
      </c>
      <c r="H1611" s="9" t="s">
        <v>25</v>
      </c>
      <c r="I1611" s="9">
        <v>10</v>
      </c>
      <c r="J1611" s="10">
        <v>499.4</v>
      </c>
      <c r="K1611" s="9" t="str">
        <f>TEXT(Sales_of_Jordan[[#This Row],[Sale_Date]],"mmm")</f>
        <v>Sep</v>
      </c>
    </row>
    <row r="1612" spans="1:11" x14ac:dyDescent="0.35">
      <c r="A1612" s="7" t="s">
        <v>1642</v>
      </c>
      <c r="B1612" s="8">
        <v>45498</v>
      </c>
      <c r="C1612" s="9" t="s">
        <v>16</v>
      </c>
      <c r="D1612" s="9" t="s">
        <v>53</v>
      </c>
      <c r="E1612" s="9" t="s">
        <v>13</v>
      </c>
      <c r="F1612" s="9">
        <v>178</v>
      </c>
      <c r="G1612" s="9">
        <v>89.91</v>
      </c>
      <c r="H1612" s="9" t="s">
        <v>32</v>
      </c>
      <c r="I1612" s="9">
        <v>34</v>
      </c>
      <c r="J1612" s="10">
        <v>-88.09</v>
      </c>
      <c r="K1612" s="9" t="str">
        <f>TEXT(Sales_of_Jordan[[#This Row],[Sale_Date]],"mmm")</f>
        <v>Jul</v>
      </c>
    </row>
    <row r="1613" spans="1:11" x14ac:dyDescent="0.35">
      <c r="A1613" s="7" t="s">
        <v>1643</v>
      </c>
      <c r="B1613" s="8">
        <v>45263</v>
      </c>
      <c r="C1613" s="9" t="s">
        <v>16</v>
      </c>
      <c r="D1613" s="9" t="s">
        <v>34</v>
      </c>
      <c r="E1613" s="9" t="s">
        <v>18</v>
      </c>
      <c r="F1613" s="9">
        <v>170</v>
      </c>
      <c r="G1613" s="9">
        <v>466.6</v>
      </c>
      <c r="H1613" s="9" t="s">
        <v>32</v>
      </c>
      <c r="I1613" s="9">
        <v>26</v>
      </c>
      <c r="J1613" s="10">
        <v>296.60000000000002</v>
      </c>
      <c r="K1613" s="9" t="str">
        <f>TEXT(Sales_of_Jordan[[#This Row],[Sale_Date]],"mmm")</f>
        <v>Dec</v>
      </c>
    </row>
    <row r="1614" spans="1:11" x14ac:dyDescent="0.35">
      <c r="A1614" s="7" t="s">
        <v>1644</v>
      </c>
      <c r="B1614" s="8">
        <v>45003</v>
      </c>
      <c r="C1614" s="9" t="s">
        <v>16</v>
      </c>
      <c r="D1614" s="9" t="s">
        <v>22</v>
      </c>
      <c r="E1614" s="9" t="s">
        <v>13</v>
      </c>
      <c r="F1614" s="9">
        <v>175</v>
      </c>
      <c r="G1614" s="9">
        <v>91.39</v>
      </c>
      <c r="H1614" s="9" t="s">
        <v>25</v>
      </c>
      <c r="I1614" s="9">
        <v>28</v>
      </c>
      <c r="J1614" s="10">
        <v>-83.61</v>
      </c>
      <c r="K1614" s="9" t="str">
        <f>TEXT(Sales_of_Jordan[[#This Row],[Sale_Date]],"mmm")</f>
        <v>Mar</v>
      </c>
    </row>
    <row r="1615" spans="1:11" x14ac:dyDescent="0.35">
      <c r="A1615" s="7" t="s">
        <v>1645</v>
      </c>
      <c r="B1615" s="8">
        <v>45235</v>
      </c>
      <c r="C1615" s="9" t="s">
        <v>21</v>
      </c>
      <c r="D1615" s="9" t="s">
        <v>39</v>
      </c>
      <c r="E1615" s="9" t="s">
        <v>18</v>
      </c>
      <c r="F1615" s="9">
        <v>221</v>
      </c>
      <c r="G1615" s="9">
        <v>763</v>
      </c>
      <c r="H1615" s="9" t="s">
        <v>32</v>
      </c>
      <c r="I1615" s="9">
        <v>37</v>
      </c>
      <c r="J1615" s="10">
        <v>542</v>
      </c>
      <c r="K1615" s="9" t="str">
        <f>TEXT(Sales_of_Jordan[[#This Row],[Sale_Date]],"mmm")</f>
        <v>Nov</v>
      </c>
    </row>
    <row r="1616" spans="1:11" x14ac:dyDescent="0.35">
      <c r="A1616" s="7" t="s">
        <v>1646</v>
      </c>
      <c r="B1616" s="8">
        <v>45809</v>
      </c>
      <c r="C1616" s="9" t="s">
        <v>31</v>
      </c>
      <c r="D1616" s="9" t="s">
        <v>46</v>
      </c>
      <c r="E1616" s="9" t="s">
        <v>13</v>
      </c>
      <c r="F1616" s="9">
        <v>204</v>
      </c>
      <c r="G1616" s="9">
        <v>142.55000000000001</v>
      </c>
      <c r="H1616" s="9" t="s">
        <v>32</v>
      </c>
      <c r="I1616" s="9">
        <v>58</v>
      </c>
      <c r="J1616" s="10">
        <v>-61.449999999999903</v>
      </c>
      <c r="K1616" s="9" t="str">
        <f>TEXT(Sales_of_Jordan[[#This Row],[Sale_Date]],"mmm")</f>
        <v>Jun</v>
      </c>
    </row>
    <row r="1617" spans="1:11" x14ac:dyDescent="0.35">
      <c r="A1617" s="7" t="s">
        <v>1647</v>
      </c>
      <c r="B1617" s="8">
        <v>45353</v>
      </c>
      <c r="C1617" s="9" t="s">
        <v>27</v>
      </c>
      <c r="D1617" s="9" t="s">
        <v>55</v>
      </c>
      <c r="E1617" s="9" t="s">
        <v>13</v>
      </c>
      <c r="F1617" s="9">
        <v>118</v>
      </c>
      <c r="G1617" s="9">
        <v>87.48</v>
      </c>
      <c r="H1617" s="9" t="s">
        <v>25</v>
      </c>
      <c r="I1617" s="9">
        <v>54</v>
      </c>
      <c r="J1617" s="10">
        <v>-30.5199999999999</v>
      </c>
      <c r="K1617" s="9" t="str">
        <f>TEXT(Sales_of_Jordan[[#This Row],[Sale_Date]],"mmm")</f>
        <v>Mar</v>
      </c>
    </row>
    <row r="1618" spans="1:11" x14ac:dyDescent="0.35">
      <c r="A1618" s="7" t="s">
        <v>1648</v>
      </c>
      <c r="B1618" s="8">
        <v>45789</v>
      </c>
      <c r="C1618" s="9" t="s">
        <v>21</v>
      </c>
      <c r="D1618" s="9" t="s">
        <v>46</v>
      </c>
      <c r="E1618" s="9" t="s">
        <v>29</v>
      </c>
      <c r="F1618" s="9">
        <v>219</v>
      </c>
      <c r="G1618" s="9">
        <v>319.52</v>
      </c>
      <c r="H1618" s="9" t="s">
        <v>25</v>
      </c>
      <c r="I1618" s="9">
        <v>14</v>
      </c>
      <c r="J1618" s="10">
        <v>100.519999999999</v>
      </c>
      <c r="K1618" s="9" t="str">
        <f>TEXT(Sales_of_Jordan[[#This Row],[Sale_Date]],"mmm")</f>
        <v>May</v>
      </c>
    </row>
    <row r="1619" spans="1:11" x14ac:dyDescent="0.35">
      <c r="A1619" s="7" t="s">
        <v>1649</v>
      </c>
      <c r="B1619" s="8">
        <v>45646</v>
      </c>
      <c r="C1619" s="9" t="s">
        <v>27</v>
      </c>
      <c r="D1619" s="9" t="s">
        <v>22</v>
      </c>
      <c r="E1619" s="9" t="s">
        <v>13</v>
      </c>
      <c r="F1619" s="9">
        <v>113</v>
      </c>
      <c r="G1619" s="9">
        <v>75.099999999999994</v>
      </c>
      <c r="H1619" s="9" t="s">
        <v>25</v>
      </c>
      <c r="I1619" s="9">
        <v>60</v>
      </c>
      <c r="J1619" s="10">
        <v>-37.9</v>
      </c>
      <c r="K1619" s="9" t="str">
        <f>TEXT(Sales_of_Jordan[[#This Row],[Sale_Date]],"mmm")</f>
        <v>Dec</v>
      </c>
    </row>
    <row r="1620" spans="1:11" x14ac:dyDescent="0.35">
      <c r="A1620" s="7" t="s">
        <v>1650</v>
      </c>
      <c r="B1620" s="8">
        <v>45171</v>
      </c>
      <c r="C1620" s="9" t="s">
        <v>16</v>
      </c>
      <c r="D1620" s="9" t="s">
        <v>12</v>
      </c>
      <c r="E1620" s="9" t="s">
        <v>13</v>
      </c>
      <c r="F1620" s="9">
        <v>176</v>
      </c>
      <c r="G1620" s="9">
        <v>103.22</v>
      </c>
      <c r="H1620" s="9" t="s">
        <v>32</v>
      </c>
      <c r="I1620" s="9">
        <v>21</v>
      </c>
      <c r="J1620" s="10">
        <v>-72.78</v>
      </c>
      <c r="K1620" s="9" t="str">
        <f>TEXT(Sales_of_Jordan[[#This Row],[Sale_Date]],"mmm")</f>
        <v>Sep</v>
      </c>
    </row>
    <row r="1621" spans="1:11" x14ac:dyDescent="0.35">
      <c r="A1621" s="7" t="s">
        <v>1651</v>
      </c>
      <c r="B1621" s="8">
        <v>45478</v>
      </c>
      <c r="C1621" s="9" t="s">
        <v>11</v>
      </c>
      <c r="D1621" s="9" t="s">
        <v>17</v>
      </c>
      <c r="E1621" s="9" t="s">
        <v>13</v>
      </c>
      <c r="F1621" s="9">
        <v>227</v>
      </c>
      <c r="G1621" s="9">
        <v>179.82</v>
      </c>
      <c r="H1621" s="9" t="s">
        <v>19</v>
      </c>
      <c r="I1621" s="9">
        <v>13</v>
      </c>
      <c r="J1621" s="10">
        <v>-47.18</v>
      </c>
      <c r="K1621" s="9" t="str">
        <f>TEXT(Sales_of_Jordan[[#This Row],[Sale_Date]],"mmm")</f>
        <v>Jul</v>
      </c>
    </row>
    <row r="1622" spans="1:11" x14ac:dyDescent="0.35">
      <c r="A1622" s="7" t="s">
        <v>1652</v>
      </c>
      <c r="B1622" s="8">
        <v>45312</v>
      </c>
      <c r="C1622" s="9" t="s">
        <v>21</v>
      </c>
      <c r="D1622" s="9" t="s">
        <v>46</v>
      </c>
      <c r="E1622" s="9" t="s">
        <v>18</v>
      </c>
      <c r="F1622" s="9">
        <v>211</v>
      </c>
      <c r="G1622" s="9">
        <v>519.38</v>
      </c>
      <c r="H1622" s="9" t="s">
        <v>23</v>
      </c>
      <c r="I1622" s="9">
        <v>49</v>
      </c>
      <c r="J1622" s="10">
        <v>308.38</v>
      </c>
      <c r="K1622" s="9" t="str">
        <f>TEXT(Sales_of_Jordan[[#This Row],[Sale_Date]],"mmm")</f>
        <v>Jan</v>
      </c>
    </row>
    <row r="1623" spans="1:11" x14ac:dyDescent="0.35">
      <c r="A1623" s="7" t="s">
        <v>1653</v>
      </c>
      <c r="B1623" s="8">
        <v>45679</v>
      </c>
      <c r="C1623" s="9" t="s">
        <v>31</v>
      </c>
      <c r="D1623" s="9" t="s">
        <v>17</v>
      </c>
      <c r="E1623" s="9" t="s">
        <v>29</v>
      </c>
      <c r="F1623" s="9">
        <v>201</v>
      </c>
      <c r="G1623" s="9">
        <v>192.14</v>
      </c>
      <c r="H1623" s="9" t="s">
        <v>23</v>
      </c>
      <c r="I1623" s="9">
        <v>51</v>
      </c>
      <c r="J1623" s="10">
        <v>-8.8600000000000101</v>
      </c>
      <c r="K1623" s="9" t="str">
        <f>TEXT(Sales_of_Jordan[[#This Row],[Sale_Date]],"mmm")</f>
        <v>Jan</v>
      </c>
    </row>
    <row r="1624" spans="1:11" x14ac:dyDescent="0.35">
      <c r="A1624" s="7" t="s">
        <v>1654</v>
      </c>
      <c r="B1624" s="8">
        <v>45120</v>
      </c>
      <c r="C1624" s="9" t="s">
        <v>16</v>
      </c>
      <c r="D1624" s="9" t="s">
        <v>34</v>
      </c>
      <c r="E1624" s="9" t="s">
        <v>29</v>
      </c>
      <c r="F1624" s="9">
        <v>185</v>
      </c>
      <c r="G1624" s="9">
        <v>261.88</v>
      </c>
      <c r="H1624" s="9" t="s">
        <v>14</v>
      </c>
      <c r="I1624" s="9">
        <v>10</v>
      </c>
      <c r="J1624" s="10">
        <v>76.88</v>
      </c>
      <c r="K1624" s="9" t="str">
        <f>TEXT(Sales_of_Jordan[[#This Row],[Sale_Date]],"mmm")</f>
        <v>Jul</v>
      </c>
    </row>
    <row r="1625" spans="1:11" x14ac:dyDescent="0.35">
      <c r="A1625" s="7" t="s">
        <v>1655</v>
      </c>
      <c r="B1625" s="8">
        <v>45540</v>
      </c>
      <c r="C1625" s="9" t="s">
        <v>11</v>
      </c>
      <c r="D1625" s="9" t="s">
        <v>12</v>
      </c>
      <c r="E1625" s="9" t="s">
        <v>29</v>
      </c>
      <c r="F1625" s="9">
        <v>229</v>
      </c>
      <c r="G1625" s="9">
        <v>298.97000000000003</v>
      </c>
      <c r="H1625" s="9" t="s">
        <v>14</v>
      </c>
      <c r="I1625" s="9">
        <v>3</v>
      </c>
      <c r="J1625" s="10">
        <v>69.97</v>
      </c>
      <c r="K1625" s="9" t="str">
        <f>TEXT(Sales_of_Jordan[[#This Row],[Sale_Date]],"mmm")</f>
        <v>Sep</v>
      </c>
    </row>
    <row r="1626" spans="1:11" x14ac:dyDescent="0.35">
      <c r="A1626" s="7" t="s">
        <v>1656</v>
      </c>
      <c r="B1626" s="8">
        <v>45916</v>
      </c>
      <c r="C1626" s="9" t="s">
        <v>11</v>
      </c>
      <c r="D1626" s="9" t="s">
        <v>39</v>
      </c>
      <c r="E1626" s="9" t="s">
        <v>13</v>
      </c>
      <c r="F1626" s="9">
        <v>225</v>
      </c>
      <c r="G1626" s="9">
        <v>145.55000000000001</v>
      </c>
      <c r="H1626" s="9" t="s">
        <v>19</v>
      </c>
      <c r="I1626" s="9">
        <v>2</v>
      </c>
      <c r="J1626" s="10">
        <v>-79.449999999999903</v>
      </c>
      <c r="K1626" s="9" t="str">
        <f>TEXT(Sales_of_Jordan[[#This Row],[Sale_Date]],"mmm")</f>
        <v>Sep</v>
      </c>
    </row>
    <row r="1627" spans="1:11" x14ac:dyDescent="0.35">
      <c r="A1627" s="7" t="s">
        <v>1657</v>
      </c>
      <c r="B1627" s="8">
        <v>45474</v>
      </c>
      <c r="C1627" s="9" t="s">
        <v>11</v>
      </c>
      <c r="D1627" s="9" t="s">
        <v>55</v>
      </c>
      <c r="E1627" s="9" t="s">
        <v>29</v>
      </c>
      <c r="F1627" s="9">
        <v>227</v>
      </c>
      <c r="G1627" s="9">
        <v>254.05</v>
      </c>
      <c r="H1627" s="9" t="s">
        <v>14</v>
      </c>
      <c r="I1627" s="9">
        <v>3</v>
      </c>
      <c r="J1627" s="10">
        <v>27.05</v>
      </c>
      <c r="K1627" s="9" t="str">
        <f>TEXT(Sales_of_Jordan[[#This Row],[Sale_Date]],"mmm")</f>
        <v>Jul</v>
      </c>
    </row>
    <row r="1628" spans="1:11" x14ac:dyDescent="0.35">
      <c r="A1628" s="7" t="s">
        <v>1658</v>
      </c>
      <c r="B1628" s="8">
        <v>45685</v>
      </c>
      <c r="C1628" s="9" t="s">
        <v>27</v>
      </c>
      <c r="D1628" s="9" t="s">
        <v>53</v>
      </c>
      <c r="E1628" s="9" t="s">
        <v>13</v>
      </c>
      <c r="F1628" s="9">
        <v>138</v>
      </c>
      <c r="G1628" s="9">
        <v>97.05</v>
      </c>
      <c r="H1628" s="9" t="s">
        <v>23</v>
      </c>
      <c r="I1628" s="9">
        <v>13</v>
      </c>
      <c r="J1628" s="10">
        <v>-40.950000000000003</v>
      </c>
      <c r="K1628" s="9" t="str">
        <f>TEXT(Sales_of_Jordan[[#This Row],[Sale_Date]],"mmm")</f>
        <v>Jan</v>
      </c>
    </row>
    <row r="1629" spans="1:11" x14ac:dyDescent="0.35">
      <c r="A1629" s="7" t="s">
        <v>1659</v>
      </c>
      <c r="B1629" s="8">
        <v>45118</v>
      </c>
      <c r="C1629" s="9" t="s">
        <v>27</v>
      </c>
      <c r="D1629" s="9" t="s">
        <v>53</v>
      </c>
      <c r="E1629" s="9" t="s">
        <v>13</v>
      </c>
      <c r="F1629" s="9">
        <v>137</v>
      </c>
      <c r="G1629" s="9">
        <v>77.63</v>
      </c>
      <c r="H1629" s="9" t="s">
        <v>19</v>
      </c>
      <c r="I1629" s="9">
        <v>10</v>
      </c>
      <c r="J1629" s="10">
        <v>-59.37</v>
      </c>
      <c r="K1629" s="9" t="str">
        <f>TEXT(Sales_of_Jordan[[#This Row],[Sale_Date]],"mmm")</f>
        <v>Jul</v>
      </c>
    </row>
    <row r="1630" spans="1:11" x14ac:dyDescent="0.35">
      <c r="A1630" s="7" t="s">
        <v>1660</v>
      </c>
      <c r="B1630" s="8">
        <v>45792</v>
      </c>
      <c r="C1630" s="9" t="s">
        <v>11</v>
      </c>
      <c r="D1630" s="9" t="s">
        <v>17</v>
      </c>
      <c r="E1630" s="9" t="s">
        <v>13</v>
      </c>
      <c r="F1630" s="9">
        <v>226</v>
      </c>
      <c r="G1630" s="9">
        <v>170.65</v>
      </c>
      <c r="H1630" s="9" t="s">
        <v>23</v>
      </c>
      <c r="I1630" s="9">
        <v>39</v>
      </c>
      <c r="J1630" s="10">
        <v>-55.349999999999902</v>
      </c>
      <c r="K1630" s="9" t="str">
        <f>TEXT(Sales_of_Jordan[[#This Row],[Sale_Date]],"mmm")</f>
        <v>May</v>
      </c>
    </row>
    <row r="1631" spans="1:11" x14ac:dyDescent="0.35">
      <c r="A1631" s="7" t="s">
        <v>1661</v>
      </c>
      <c r="B1631" s="8">
        <v>45010</v>
      </c>
      <c r="C1631" s="9" t="s">
        <v>27</v>
      </c>
      <c r="D1631" s="9" t="s">
        <v>39</v>
      </c>
      <c r="E1631" s="9" t="s">
        <v>18</v>
      </c>
      <c r="F1631" s="9">
        <v>132</v>
      </c>
      <c r="G1631" s="9">
        <v>368.58</v>
      </c>
      <c r="H1631" s="9" t="s">
        <v>32</v>
      </c>
      <c r="I1631" s="9">
        <v>13</v>
      </c>
      <c r="J1631" s="10">
        <v>236.57999999999899</v>
      </c>
      <c r="K1631" s="9" t="str">
        <f>TEXT(Sales_of_Jordan[[#This Row],[Sale_Date]],"mmm")</f>
        <v>Mar</v>
      </c>
    </row>
    <row r="1632" spans="1:11" x14ac:dyDescent="0.35">
      <c r="A1632" s="7" t="s">
        <v>1662</v>
      </c>
      <c r="B1632" s="8">
        <v>45410</v>
      </c>
      <c r="C1632" s="9" t="s">
        <v>21</v>
      </c>
      <c r="D1632" s="9" t="s">
        <v>22</v>
      </c>
      <c r="E1632" s="9" t="s">
        <v>13</v>
      </c>
      <c r="F1632" s="9">
        <v>218</v>
      </c>
      <c r="G1632" s="9">
        <v>169.39</v>
      </c>
      <c r="H1632" s="9" t="s">
        <v>23</v>
      </c>
      <c r="I1632" s="9">
        <v>59</v>
      </c>
      <c r="J1632" s="10">
        <v>-48.61</v>
      </c>
      <c r="K1632" s="9" t="str">
        <f>TEXT(Sales_of_Jordan[[#This Row],[Sale_Date]],"mmm")</f>
        <v>Apr</v>
      </c>
    </row>
    <row r="1633" spans="1:11" x14ac:dyDescent="0.35">
      <c r="A1633" s="7" t="s">
        <v>1663</v>
      </c>
      <c r="B1633" s="8">
        <v>45666</v>
      </c>
      <c r="C1633" s="9" t="s">
        <v>11</v>
      </c>
      <c r="D1633" s="9" t="s">
        <v>53</v>
      </c>
      <c r="E1633" s="9" t="s">
        <v>29</v>
      </c>
      <c r="F1633" s="9">
        <v>229</v>
      </c>
      <c r="G1633" s="9">
        <v>249.51</v>
      </c>
      <c r="H1633" s="9" t="s">
        <v>14</v>
      </c>
      <c r="I1633" s="9">
        <v>5</v>
      </c>
      <c r="J1633" s="10">
        <v>20.509999999999899</v>
      </c>
      <c r="K1633" s="9" t="str">
        <f>TEXT(Sales_of_Jordan[[#This Row],[Sale_Date]],"mmm")</f>
        <v>Jan</v>
      </c>
    </row>
    <row r="1634" spans="1:11" x14ac:dyDescent="0.35">
      <c r="A1634" s="7" t="s">
        <v>1664</v>
      </c>
      <c r="B1634" s="8">
        <v>45377</v>
      </c>
      <c r="C1634" s="9" t="s">
        <v>31</v>
      </c>
      <c r="D1634" s="9" t="s">
        <v>17</v>
      </c>
      <c r="E1634" s="9" t="s">
        <v>29</v>
      </c>
      <c r="F1634" s="9">
        <v>207</v>
      </c>
      <c r="G1634" s="9">
        <v>195.21</v>
      </c>
      <c r="H1634" s="9" t="s">
        <v>25</v>
      </c>
      <c r="I1634" s="9">
        <v>28</v>
      </c>
      <c r="J1634" s="10">
        <v>-11.7899999999999</v>
      </c>
      <c r="K1634" s="9" t="str">
        <f>TEXT(Sales_of_Jordan[[#This Row],[Sale_Date]],"mmm")</f>
        <v>Mar</v>
      </c>
    </row>
    <row r="1635" spans="1:11" x14ac:dyDescent="0.35">
      <c r="A1635" s="7" t="s">
        <v>1665</v>
      </c>
      <c r="B1635" s="8">
        <v>45465</v>
      </c>
      <c r="C1635" s="9" t="s">
        <v>27</v>
      </c>
      <c r="D1635" s="9" t="s">
        <v>36</v>
      </c>
      <c r="E1635" s="9" t="s">
        <v>13</v>
      </c>
      <c r="F1635" s="9">
        <v>139</v>
      </c>
      <c r="G1635" s="9">
        <v>103.36</v>
      </c>
      <c r="H1635" s="9" t="s">
        <v>32</v>
      </c>
      <c r="I1635" s="9">
        <v>39</v>
      </c>
      <c r="J1635" s="10">
        <v>-35.64</v>
      </c>
      <c r="K1635" s="9" t="str">
        <f>TEXT(Sales_of_Jordan[[#This Row],[Sale_Date]],"mmm")</f>
        <v>Jun</v>
      </c>
    </row>
    <row r="1636" spans="1:11" x14ac:dyDescent="0.35">
      <c r="A1636" s="7" t="s">
        <v>1666</v>
      </c>
      <c r="B1636" s="8">
        <v>45289</v>
      </c>
      <c r="C1636" s="9" t="s">
        <v>21</v>
      </c>
      <c r="D1636" s="9" t="s">
        <v>39</v>
      </c>
      <c r="E1636" s="9" t="s">
        <v>18</v>
      </c>
      <c r="F1636" s="9">
        <v>218</v>
      </c>
      <c r="G1636" s="9">
        <v>436.8</v>
      </c>
      <c r="H1636" s="9" t="s">
        <v>25</v>
      </c>
      <c r="I1636" s="9">
        <v>27</v>
      </c>
      <c r="J1636" s="10">
        <v>218.8</v>
      </c>
      <c r="K1636" s="9" t="str">
        <f>TEXT(Sales_of_Jordan[[#This Row],[Sale_Date]],"mmm")</f>
        <v>Dec</v>
      </c>
    </row>
    <row r="1637" spans="1:11" x14ac:dyDescent="0.35">
      <c r="A1637" s="7" t="s">
        <v>1667</v>
      </c>
      <c r="B1637" s="8">
        <v>45107</v>
      </c>
      <c r="C1637" s="9" t="s">
        <v>16</v>
      </c>
      <c r="D1637" s="9" t="s">
        <v>55</v>
      </c>
      <c r="E1637" s="9" t="s">
        <v>29</v>
      </c>
      <c r="F1637" s="9">
        <v>182</v>
      </c>
      <c r="G1637" s="9">
        <v>185.41</v>
      </c>
      <c r="H1637" s="9" t="s">
        <v>25</v>
      </c>
      <c r="I1637" s="9">
        <v>11</v>
      </c>
      <c r="J1637" s="10">
        <v>3.4099999999999899</v>
      </c>
      <c r="K1637" s="9" t="str">
        <f>TEXT(Sales_of_Jordan[[#This Row],[Sale_Date]],"mmm")</f>
        <v>Jun</v>
      </c>
    </row>
    <row r="1638" spans="1:11" x14ac:dyDescent="0.35">
      <c r="A1638" s="7" t="s">
        <v>1668</v>
      </c>
      <c r="B1638" s="8">
        <v>45876</v>
      </c>
      <c r="C1638" s="9" t="s">
        <v>21</v>
      </c>
      <c r="D1638" s="9" t="s">
        <v>53</v>
      </c>
      <c r="E1638" s="9" t="s">
        <v>13</v>
      </c>
      <c r="F1638" s="9">
        <v>222</v>
      </c>
      <c r="G1638" s="9">
        <v>131.12</v>
      </c>
      <c r="H1638" s="9" t="s">
        <v>14</v>
      </c>
      <c r="I1638" s="9">
        <v>2</v>
      </c>
      <c r="J1638" s="10">
        <v>-90.88</v>
      </c>
      <c r="K1638" s="9" t="str">
        <f>TEXT(Sales_of_Jordan[[#This Row],[Sale_Date]],"mmm")</f>
        <v>Aug</v>
      </c>
    </row>
    <row r="1639" spans="1:11" x14ac:dyDescent="0.35">
      <c r="A1639" s="7" t="s">
        <v>1669</v>
      </c>
      <c r="B1639" s="8">
        <v>45286</v>
      </c>
      <c r="C1639" s="9" t="s">
        <v>21</v>
      </c>
      <c r="D1639" s="9" t="s">
        <v>36</v>
      </c>
      <c r="E1639" s="9" t="s">
        <v>29</v>
      </c>
      <c r="F1639" s="9">
        <v>221</v>
      </c>
      <c r="G1639" s="9">
        <v>257.36</v>
      </c>
      <c r="H1639" s="9" t="s">
        <v>14</v>
      </c>
      <c r="I1639" s="9">
        <v>4</v>
      </c>
      <c r="J1639" s="10">
        <v>36.36</v>
      </c>
      <c r="K1639" s="9" t="str">
        <f>TEXT(Sales_of_Jordan[[#This Row],[Sale_Date]],"mmm")</f>
        <v>Dec</v>
      </c>
    </row>
    <row r="1640" spans="1:11" x14ac:dyDescent="0.35">
      <c r="A1640" s="7" t="s">
        <v>1670</v>
      </c>
      <c r="B1640" s="8">
        <v>45624</v>
      </c>
      <c r="C1640" s="9" t="s">
        <v>11</v>
      </c>
      <c r="D1640" s="9" t="s">
        <v>36</v>
      </c>
      <c r="E1640" s="9" t="s">
        <v>13</v>
      </c>
      <c r="F1640" s="9">
        <v>229</v>
      </c>
      <c r="G1640" s="9">
        <v>123.23</v>
      </c>
      <c r="H1640" s="9" t="s">
        <v>25</v>
      </c>
      <c r="I1640" s="9">
        <v>19</v>
      </c>
      <c r="J1640" s="10">
        <v>-105.77</v>
      </c>
      <c r="K1640" s="9" t="str">
        <f>TEXT(Sales_of_Jordan[[#This Row],[Sale_Date]],"mmm")</f>
        <v>Nov</v>
      </c>
    </row>
    <row r="1641" spans="1:11" x14ac:dyDescent="0.35">
      <c r="A1641" s="7" t="s">
        <v>1671</v>
      </c>
      <c r="B1641" s="8">
        <v>45273</v>
      </c>
      <c r="C1641" s="9" t="s">
        <v>21</v>
      </c>
      <c r="D1641" s="9" t="s">
        <v>36</v>
      </c>
      <c r="E1641" s="9" t="s">
        <v>29</v>
      </c>
      <c r="F1641" s="9">
        <v>223</v>
      </c>
      <c r="G1641" s="9">
        <v>240.08</v>
      </c>
      <c r="H1641" s="9" t="s">
        <v>19</v>
      </c>
      <c r="I1641" s="9">
        <v>9</v>
      </c>
      <c r="J1641" s="10">
        <v>17.079999999999998</v>
      </c>
      <c r="K1641" s="9" t="str">
        <f>TEXT(Sales_of_Jordan[[#This Row],[Sale_Date]],"mmm")</f>
        <v>Dec</v>
      </c>
    </row>
    <row r="1642" spans="1:11" x14ac:dyDescent="0.35">
      <c r="A1642" s="7" t="s">
        <v>1672</v>
      </c>
      <c r="B1642" s="8">
        <v>45824</v>
      </c>
      <c r="C1642" s="9" t="s">
        <v>21</v>
      </c>
      <c r="D1642" s="9" t="s">
        <v>22</v>
      </c>
      <c r="E1642" s="9" t="s">
        <v>29</v>
      </c>
      <c r="F1642" s="9">
        <v>218</v>
      </c>
      <c r="G1642" s="9">
        <v>237.71</v>
      </c>
      <c r="H1642" s="9" t="s">
        <v>32</v>
      </c>
      <c r="I1642" s="9">
        <v>31</v>
      </c>
      <c r="J1642" s="10">
        <v>19.71</v>
      </c>
      <c r="K1642" s="9" t="str">
        <f>TEXT(Sales_of_Jordan[[#This Row],[Sale_Date]],"mmm")</f>
        <v>Jun</v>
      </c>
    </row>
    <row r="1643" spans="1:11" x14ac:dyDescent="0.35">
      <c r="A1643" s="7" t="s">
        <v>1673</v>
      </c>
      <c r="B1643" s="8">
        <v>45142</v>
      </c>
      <c r="C1643" s="9" t="s">
        <v>11</v>
      </c>
      <c r="D1643" s="9" t="s">
        <v>46</v>
      </c>
      <c r="E1643" s="9" t="s">
        <v>29</v>
      </c>
      <c r="F1643" s="9">
        <v>229</v>
      </c>
      <c r="G1643" s="9">
        <v>253.27</v>
      </c>
      <c r="H1643" s="9" t="s">
        <v>19</v>
      </c>
      <c r="I1643" s="9">
        <v>12</v>
      </c>
      <c r="J1643" s="10">
        <v>24.27</v>
      </c>
      <c r="K1643" s="9" t="str">
        <f>TEXT(Sales_of_Jordan[[#This Row],[Sale_Date]],"mmm")</f>
        <v>Aug</v>
      </c>
    </row>
    <row r="1644" spans="1:11" x14ac:dyDescent="0.35">
      <c r="A1644" s="7" t="s">
        <v>1674</v>
      </c>
      <c r="B1644" s="8">
        <v>45426</v>
      </c>
      <c r="C1644" s="9" t="s">
        <v>16</v>
      </c>
      <c r="D1644" s="9" t="s">
        <v>46</v>
      </c>
      <c r="E1644" s="9" t="s">
        <v>13</v>
      </c>
      <c r="F1644" s="9">
        <v>189</v>
      </c>
      <c r="G1644" s="9">
        <v>169.42</v>
      </c>
      <c r="H1644" s="9" t="s">
        <v>32</v>
      </c>
      <c r="I1644" s="9">
        <v>40</v>
      </c>
      <c r="J1644" s="10">
        <v>-19.579999999999998</v>
      </c>
      <c r="K1644" s="9" t="str">
        <f>TEXT(Sales_of_Jordan[[#This Row],[Sale_Date]],"mmm")</f>
        <v>May</v>
      </c>
    </row>
    <row r="1645" spans="1:11" x14ac:dyDescent="0.35">
      <c r="A1645" s="7" t="s">
        <v>1675</v>
      </c>
      <c r="B1645" s="8">
        <v>45667</v>
      </c>
      <c r="C1645" s="9" t="s">
        <v>27</v>
      </c>
      <c r="D1645" s="9" t="s">
        <v>12</v>
      </c>
      <c r="E1645" s="9" t="s">
        <v>29</v>
      </c>
      <c r="F1645" s="9">
        <v>117</v>
      </c>
      <c r="G1645" s="9">
        <v>122.32</v>
      </c>
      <c r="H1645" s="9" t="s">
        <v>23</v>
      </c>
      <c r="I1645" s="9">
        <v>8</v>
      </c>
      <c r="J1645" s="10">
        <v>5.3199999999999896</v>
      </c>
      <c r="K1645" s="9" t="str">
        <f>TEXT(Sales_of_Jordan[[#This Row],[Sale_Date]],"mmm")</f>
        <v>Jan</v>
      </c>
    </row>
    <row r="1646" spans="1:11" x14ac:dyDescent="0.35">
      <c r="A1646" s="7" t="s">
        <v>1676</v>
      </c>
      <c r="B1646" s="8">
        <v>45309</v>
      </c>
      <c r="C1646" s="9" t="s">
        <v>27</v>
      </c>
      <c r="D1646" s="9" t="s">
        <v>17</v>
      </c>
      <c r="E1646" s="9" t="s">
        <v>13</v>
      </c>
      <c r="F1646" s="9">
        <v>113</v>
      </c>
      <c r="G1646" s="9">
        <v>93.8</v>
      </c>
      <c r="H1646" s="9" t="s">
        <v>19</v>
      </c>
      <c r="I1646" s="9">
        <v>3</v>
      </c>
      <c r="J1646" s="10">
        <v>-19.2</v>
      </c>
      <c r="K1646" s="9" t="str">
        <f>TEXT(Sales_of_Jordan[[#This Row],[Sale_Date]],"mmm")</f>
        <v>Jan</v>
      </c>
    </row>
    <row r="1647" spans="1:11" x14ac:dyDescent="0.35">
      <c r="A1647" s="7" t="s">
        <v>1677</v>
      </c>
      <c r="B1647" s="8">
        <v>45913</v>
      </c>
      <c r="C1647" s="9" t="s">
        <v>11</v>
      </c>
      <c r="D1647" s="9" t="s">
        <v>34</v>
      </c>
      <c r="E1647" s="9" t="s">
        <v>13</v>
      </c>
      <c r="F1647" s="9">
        <v>229</v>
      </c>
      <c r="G1647" s="9">
        <v>169.04</v>
      </c>
      <c r="H1647" s="9" t="s">
        <v>14</v>
      </c>
      <c r="I1647" s="9">
        <v>11</v>
      </c>
      <c r="J1647" s="10">
        <v>-59.96</v>
      </c>
      <c r="K1647" s="9" t="str">
        <f>TEXT(Sales_of_Jordan[[#This Row],[Sale_Date]],"mmm")</f>
        <v>Sep</v>
      </c>
    </row>
    <row r="1648" spans="1:11" x14ac:dyDescent="0.35">
      <c r="A1648" s="7" t="s">
        <v>1678</v>
      </c>
      <c r="B1648" s="8">
        <v>45515</v>
      </c>
      <c r="C1648" s="9" t="s">
        <v>27</v>
      </c>
      <c r="D1648" s="9" t="s">
        <v>55</v>
      </c>
      <c r="E1648" s="9" t="s">
        <v>29</v>
      </c>
      <c r="F1648" s="9">
        <v>120</v>
      </c>
      <c r="G1648" s="9">
        <v>146.69999999999999</v>
      </c>
      <c r="H1648" s="9" t="s">
        <v>23</v>
      </c>
      <c r="I1648" s="9">
        <v>48</v>
      </c>
      <c r="J1648" s="10">
        <v>26.6999999999999</v>
      </c>
      <c r="K1648" s="9" t="str">
        <f>TEXT(Sales_of_Jordan[[#This Row],[Sale_Date]],"mmm")</f>
        <v>Aug</v>
      </c>
    </row>
    <row r="1649" spans="1:11" x14ac:dyDescent="0.35">
      <c r="A1649" s="7" t="s">
        <v>1679</v>
      </c>
      <c r="B1649" s="8">
        <v>45065</v>
      </c>
      <c r="C1649" s="9" t="s">
        <v>16</v>
      </c>
      <c r="D1649" s="9" t="s">
        <v>36</v>
      </c>
      <c r="E1649" s="9" t="s">
        <v>18</v>
      </c>
      <c r="F1649" s="9">
        <v>184</v>
      </c>
      <c r="G1649" s="9">
        <v>242.49</v>
      </c>
      <c r="H1649" s="9" t="s">
        <v>19</v>
      </c>
      <c r="I1649" s="9">
        <v>4</v>
      </c>
      <c r="J1649" s="10">
        <v>58.49</v>
      </c>
      <c r="K1649" s="9" t="str">
        <f>TEXT(Sales_of_Jordan[[#This Row],[Sale_Date]],"mmm")</f>
        <v>May</v>
      </c>
    </row>
    <row r="1650" spans="1:11" x14ac:dyDescent="0.35">
      <c r="A1650" s="7" t="s">
        <v>1680</v>
      </c>
      <c r="B1650" s="8">
        <v>45246</v>
      </c>
      <c r="C1650" s="9" t="s">
        <v>21</v>
      </c>
      <c r="D1650" s="9" t="s">
        <v>46</v>
      </c>
      <c r="E1650" s="9" t="s">
        <v>29</v>
      </c>
      <c r="F1650" s="9">
        <v>216</v>
      </c>
      <c r="G1650" s="9">
        <v>231.78</v>
      </c>
      <c r="H1650" s="9" t="s">
        <v>14</v>
      </c>
      <c r="I1650" s="9">
        <v>3</v>
      </c>
      <c r="J1650" s="10">
        <v>15.78</v>
      </c>
      <c r="K1650" s="9" t="str">
        <f>TEXT(Sales_of_Jordan[[#This Row],[Sale_Date]],"mmm")</f>
        <v>Nov</v>
      </c>
    </row>
    <row r="1651" spans="1:11" x14ac:dyDescent="0.35">
      <c r="A1651" s="7" t="s">
        <v>1681</v>
      </c>
      <c r="B1651" s="8">
        <v>45251</v>
      </c>
      <c r="C1651" s="9" t="s">
        <v>21</v>
      </c>
      <c r="D1651" s="9" t="s">
        <v>46</v>
      </c>
      <c r="E1651" s="9" t="s">
        <v>18</v>
      </c>
      <c r="F1651" s="9">
        <v>220</v>
      </c>
      <c r="G1651" s="9">
        <v>390.09</v>
      </c>
      <c r="H1651" s="9" t="s">
        <v>23</v>
      </c>
      <c r="I1651" s="9">
        <v>6</v>
      </c>
      <c r="J1651" s="10">
        <v>170.08999999999901</v>
      </c>
      <c r="K1651" s="9" t="str">
        <f>TEXT(Sales_of_Jordan[[#This Row],[Sale_Date]],"mmm")</f>
        <v>Nov</v>
      </c>
    </row>
    <row r="1652" spans="1:11" x14ac:dyDescent="0.35">
      <c r="A1652" s="7" t="s">
        <v>1682</v>
      </c>
      <c r="B1652" s="8">
        <v>45495</v>
      </c>
      <c r="C1652" s="9" t="s">
        <v>31</v>
      </c>
      <c r="D1652" s="9" t="s">
        <v>53</v>
      </c>
      <c r="E1652" s="9" t="s">
        <v>29</v>
      </c>
      <c r="F1652" s="9">
        <v>207</v>
      </c>
      <c r="G1652" s="9">
        <v>278.29000000000002</v>
      </c>
      <c r="H1652" s="9" t="s">
        <v>23</v>
      </c>
      <c r="I1652" s="9">
        <v>5</v>
      </c>
      <c r="J1652" s="10">
        <v>71.290000000000006</v>
      </c>
      <c r="K1652" s="9" t="str">
        <f>TEXT(Sales_of_Jordan[[#This Row],[Sale_Date]],"mmm")</f>
        <v>Jul</v>
      </c>
    </row>
    <row r="1653" spans="1:11" x14ac:dyDescent="0.35">
      <c r="A1653" s="7" t="s">
        <v>1683</v>
      </c>
      <c r="B1653" s="8">
        <v>45398</v>
      </c>
      <c r="C1653" s="9" t="s">
        <v>31</v>
      </c>
      <c r="D1653" s="9" t="s">
        <v>34</v>
      </c>
      <c r="E1653" s="9" t="s">
        <v>29</v>
      </c>
      <c r="F1653" s="9">
        <v>202</v>
      </c>
      <c r="G1653" s="9">
        <v>189.41</v>
      </c>
      <c r="H1653" s="9" t="s">
        <v>19</v>
      </c>
      <c r="I1653" s="9">
        <v>5</v>
      </c>
      <c r="J1653" s="10">
        <v>-12.59</v>
      </c>
      <c r="K1653" s="9" t="str">
        <f>TEXT(Sales_of_Jordan[[#This Row],[Sale_Date]],"mmm")</f>
        <v>Apr</v>
      </c>
    </row>
    <row r="1654" spans="1:11" x14ac:dyDescent="0.35">
      <c r="A1654" s="7" t="s">
        <v>1684</v>
      </c>
      <c r="B1654" s="8">
        <v>45435</v>
      </c>
      <c r="C1654" s="9" t="s">
        <v>31</v>
      </c>
      <c r="D1654" s="9" t="s">
        <v>34</v>
      </c>
      <c r="E1654" s="9" t="s">
        <v>13</v>
      </c>
      <c r="F1654" s="9">
        <v>201</v>
      </c>
      <c r="G1654" s="9">
        <v>147.68</v>
      </c>
      <c r="H1654" s="9" t="s">
        <v>19</v>
      </c>
      <c r="I1654" s="9">
        <v>7</v>
      </c>
      <c r="J1654" s="10">
        <v>-53.319999999999901</v>
      </c>
      <c r="K1654" s="9" t="str">
        <f>TEXT(Sales_of_Jordan[[#This Row],[Sale_Date]],"mmm")</f>
        <v>May</v>
      </c>
    </row>
    <row r="1655" spans="1:11" x14ac:dyDescent="0.35">
      <c r="A1655" s="7" t="s">
        <v>1685</v>
      </c>
      <c r="B1655" s="8">
        <v>45533</v>
      </c>
      <c r="C1655" s="9" t="s">
        <v>16</v>
      </c>
      <c r="D1655" s="9" t="s">
        <v>55</v>
      </c>
      <c r="E1655" s="9" t="s">
        <v>13</v>
      </c>
      <c r="F1655" s="9">
        <v>189</v>
      </c>
      <c r="G1655" s="9">
        <v>144.79</v>
      </c>
      <c r="H1655" s="9" t="s">
        <v>14</v>
      </c>
      <c r="I1655" s="9">
        <v>2</v>
      </c>
      <c r="J1655" s="10">
        <v>-44.21</v>
      </c>
      <c r="K1655" s="9" t="str">
        <f>TEXT(Sales_of_Jordan[[#This Row],[Sale_Date]],"mmm")</f>
        <v>Aug</v>
      </c>
    </row>
    <row r="1656" spans="1:11" x14ac:dyDescent="0.35">
      <c r="A1656" s="7" t="s">
        <v>1686</v>
      </c>
      <c r="B1656" s="8">
        <v>45534</v>
      </c>
      <c r="C1656" s="9" t="s">
        <v>11</v>
      </c>
      <c r="D1656" s="9" t="s">
        <v>36</v>
      </c>
      <c r="E1656" s="9" t="s">
        <v>29</v>
      </c>
      <c r="F1656" s="9">
        <v>226</v>
      </c>
      <c r="G1656" s="9">
        <v>301.25</v>
      </c>
      <c r="H1656" s="9" t="s">
        <v>14</v>
      </c>
      <c r="I1656" s="9">
        <v>9</v>
      </c>
      <c r="J1656" s="10">
        <v>75.25</v>
      </c>
      <c r="K1656" s="9" t="str">
        <f>TEXT(Sales_of_Jordan[[#This Row],[Sale_Date]],"mmm")</f>
        <v>Aug</v>
      </c>
    </row>
    <row r="1657" spans="1:11" x14ac:dyDescent="0.35">
      <c r="A1657" s="7" t="s">
        <v>1687</v>
      </c>
      <c r="B1657" s="8">
        <v>45576</v>
      </c>
      <c r="C1657" s="9" t="s">
        <v>31</v>
      </c>
      <c r="D1657" s="9" t="s">
        <v>17</v>
      </c>
      <c r="E1657" s="9" t="s">
        <v>18</v>
      </c>
      <c r="F1657" s="9">
        <v>200</v>
      </c>
      <c r="G1657" s="9">
        <v>283.94</v>
      </c>
      <c r="H1657" s="9" t="s">
        <v>14</v>
      </c>
      <c r="I1657" s="9">
        <v>13</v>
      </c>
      <c r="J1657" s="10">
        <v>83.94</v>
      </c>
      <c r="K1657" s="9" t="str">
        <f>TEXT(Sales_of_Jordan[[#This Row],[Sale_Date]],"mmm")</f>
        <v>Oct</v>
      </c>
    </row>
    <row r="1658" spans="1:11" x14ac:dyDescent="0.35">
      <c r="A1658" s="7" t="s">
        <v>1688</v>
      </c>
      <c r="B1658" s="8">
        <v>45802</v>
      </c>
      <c r="C1658" s="9" t="s">
        <v>31</v>
      </c>
      <c r="D1658" s="9" t="s">
        <v>34</v>
      </c>
      <c r="E1658" s="9" t="s">
        <v>29</v>
      </c>
      <c r="F1658" s="9">
        <v>207</v>
      </c>
      <c r="G1658" s="9">
        <v>237.17</v>
      </c>
      <c r="H1658" s="9" t="s">
        <v>23</v>
      </c>
      <c r="I1658" s="9">
        <v>29</v>
      </c>
      <c r="J1658" s="10">
        <v>30.169999999999899</v>
      </c>
      <c r="K1658" s="9" t="str">
        <f>TEXT(Sales_of_Jordan[[#This Row],[Sale_Date]],"mmm")</f>
        <v>May</v>
      </c>
    </row>
    <row r="1659" spans="1:11" x14ac:dyDescent="0.35">
      <c r="A1659" s="7" t="s">
        <v>1689</v>
      </c>
      <c r="B1659" s="8">
        <v>45550</v>
      </c>
      <c r="C1659" s="9" t="s">
        <v>31</v>
      </c>
      <c r="D1659" s="9" t="s">
        <v>36</v>
      </c>
      <c r="E1659" s="9" t="s">
        <v>18</v>
      </c>
      <c r="F1659" s="9">
        <v>206</v>
      </c>
      <c r="G1659" s="9">
        <v>572.64</v>
      </c>
      <c r="H1659" s="9" t="s">
        <v>23</v>
      </c>
      <c r="I1659" s="9">
        <v>45</v>
      </c>
      <c r="J1659" s="10">
        <v>366.64</v>
      </c>
      <c r="K1659" s="9" t="str">
        <f>TEXT(Sales_of_Jordan[[#This Row],[Sale_Date]],"mmm")</f>
        <v>Sep</v>
      </c>
    </row>
    <row r="1660" spans="1:11" x14ac:dyDescent="0.35">
      <c r="A1660" s="7" t="s">
        <v>1690</v>
      </c>
      <c r="B1660" s="8">
        <v>45545</v>
      </c>
      <c r="C1660" s="9" t="s">
        <v>21</v>
      </c>
      <c r="D1660" s="9" t="s">
        <v>39</v>
      </c>
      <c r="E1660" s="9" t="s">
        <v>18</v>
      </c>
      <c r="F1660" s="9">
        <v>216</v>
      </c>
      <c r="G1660" s="9">
        <v>678.7</v>
      </c>
      <c r="H1660" s="9" t="s">
        <v>14</v>
      </c>
      <c r="I1660" s="9">
        <v>6</v>
      </c>
      <c r="J1660" s="10">
        <v>462.7</v>
      </c>
      <c r="K1660" s="9" t="str">
        <f>TEXT(Sales_of_Jordan[[#This Row],[Sale_Date]],"mmm")</f>
        <v>Sep</v>
      </c>
    </row>
    <row r="1661" spans="1:11" x14ac:dyDescent="0.35">
      <c r="A1661" s="7" t="s">
        <v>1691</v>
      </c>
      <c r="B1661" s="8">
        <v>44941</v>
      </c>
      <c r="C1661" s="9" t="s">
        <v>27</v>
      </c>
      <c r="D1661" s="9" t="s">
        <v>46</v>
      </c>
      <c r="E1661" s="9" t="s">
        <v>13</v>
      </c>
      <c r="F1661" s="9">
        <v>133</v>
      </c>
      <c r="G1661" s="9">
        <v>115.33</v>
      </c>
      <c r="H1661" s="9" t="s">
        <v>25</v>
      </c>
      <c r="I1661" s="9">
        <v>39</v>
      </c>
      <c r="J1661" s="10">
        <v>-17.670000000000002</v>
      </c>
      <c r="K1661" s="9" t="str">
        <f>TEXT(Sales_of_Jordan[[#This Row],[Sale_Date]],"mmm")</f>
        <v>Jan</v>
      </c>
    </row>
    <row r="1662" spans="1:11" x14ac:dyDescent="0.35">
      <c r="A1662" s="7" t="s">
        <v>1692</v>
      </c>
      <c r="B1662" s="8">
        <v>45139</v>
      </c>
      <c r="C1662" s="9" t="s">
        <v>31</v>
      </c>
      <c r="D1662" s="9" t="s">
        <v>22</v>
      </c>
      <c r="E1662" s="9" t="s">
        <v>29</v>
      </c>
      <c r="F1662" s="9">
        <v>202</v>
      </c>
      <c r="G1662" s="9">
        <v>275.58999999999997</v>
      </c>
      <c r="H1662" s="9" t="s">
        <v>19</v>
      </c>
      <c r="I1662" s="9">
        <v>1</v>
      </c>
      <c r="J1662" s="10">
        <v>73.589999999999904</v>
      </c>
      <c r="K1662" s="9" t="str">
        <f>TEXT(Sales_of_Jordan[[#This Row],[Sale_Date]],"mmm")</f>
        <v>Aug</v>
      </c>
    </row>
    <row r="1663" spans="1:11" x14ac:dyDescent="0.35">
      <c r="A1663" s="7" t="s">
        <v>1693</v>
      </c>
      <c r="B1663" s="8">
        <v>45711</v>
      </c>
      <c r="C1663" s="9" t="s">
        <v>27</v>
      </c>
      <c r="D1663" s="9" t="s">
        <v>36</v>
      </c>
      <c r="E1663" s="9" t="s">
        <v>13</v>
      </c>
      <c r="F1663" s="9">
        <v>128</v>
      </c>
      <c r="G1663" s="9">
        <v>108.63</v>
      </c>
      <c r="H1663" s="9" t="s">
        <v>19</v>
      </c>
      <c r="I1663" s="9">
        <v>6</v>
      </c>
      <c r="J1663" s="10">
        <v>-19.37</v>
      </c>
      <c r="K1663" s="9" t="str">
        <f>TEXT(Sales_of_Jordan[[#This Row],[Sale_Date]],"mmm")</f>
        <v>Feb</v>
      </c>
    </row>
    <row r="1664" spans="1:11" x14ac:dyDescent="0.35">
      <c r="A1664" s="7" t="s">
        <v>1694</v>
      </c>
      <c r="B1664" s="8">
        <v>45760</v>
      </c>
      <c r="C1664" s="9" t="s">
        <v>31</v>
      </c>
      <c r="D1664" s="9" t="s">
        <v>55</v>
      </c>
      <c r="E1664" s="9" t="s">
        <v>18</v>
      </c>
      <c r="F1664" s="9">
        <v>201</v>
      </c>
      <c r="G1664" s="9">
        <v>657.17</v>
      </c>
      <c r="H1664" s="9" t="s">
        <v>19</v>
      </c>
      <c r="I1664" s="9">
        <v>11</v>
      </c>
      <c r="J1664" s="10">
        <v>456.16999999999899</v>
      </c>
      <c r="K1664" s="9" t="str">
        <f>TEXT(Sales_of_Jordan[[#This Row],[Sale_Date]],"mmm")</f>
        <v>Apr</v>
      </c>
    </row>
    <row r="1665" spans="1:11" x14ac:dyDescent="0.35">
      <c r="A1665" s="7" t="s">
        <v>1695</v>
      </c>
      <c r="B1665" s="8">
        <v>45288</v>
      </c>
      <c r="C1665" s="9" t="s">
        <v>11</v>
      </c>
      <c r="D1665" s="9" t="s">
        <v>22</v>
      </c>
      <c r="E1665" s="9" t="s">
        <v>18</v>
      </c>
      <c r="F1665" s="9">
        <v>229</v>
      </c>
      <c r="G1665" s="9">
        <v>738.16</v>
      </c>
      <c r="H1665" s="9" t="s">
        <v>14</v>
      </c>
      <c r="I1665" s="9">
        <v>12</v>
      </c>
      <c r="J1665" s="10">
        <v>509.159999999999</v>
      </c>
      <c r="K1665" s="9" t="str">
        <f>TEXT(Sales_of_Jordan[[#This Row],[Sale_Date]],"mmm")</f>
        <v>Dec</v>
      </c>
    </row>
    <row r="1666" spans="1:11" x14ac:dyDescent="0.35">
      <c r="A1666" s="7" t="s">
        <v>1696</v>
      </c>
      <c r="B1666" s="8">
        <v>45143</v>
      </c>
      <c r="C1666" s="9" t="s">
        <v>31</v>
      </c>
      <c r="D1666" s="9" t="s">
        <v>22</v>
      </c>
      <c r="E1666" s="9" t="s">
        <v>29</v>
      </c>
      <c r="F1666" s="9">
        <v>204</v>
      </c>
      <c r="G1666" s="9">
        <v>257.95</v>
      </c>
      <c r="H1666" s="9" t="s">
        <v>19</v>
      </c>
      <c r="I1666" s="9">
        <v>3</v>
      </c>
      <c r="J1666" s="10">
        <v>53.949999999999903</v>
      </c>
      <c r="K1666" s="9" t="str">
        <f>TEXT(Sales_of_Jordan[[#This Row],[Sale_Date]],"mmm")</f>
        <v>Aug</v>
      </c>
    </row>
    <row r="1667" spans="1:11" x14ac:dyDescent="0.35">
      <c r="A1667" s="7" t="s">
        <v>1697</v>
      </c>
      <c r="B1667" s="8">
        <v>45798</v>
      </c>
      <c r="C1667" s="9" t="s">
        <v>27</v>
      </c>
      <c r="D1667" s="9" t="s">
        <v>12</v>
      </c>
      <c r="E1667" s="9" t="s">
        <v>29</v>
      </c>
      <c r="F1667" s="9">
        <v>119</v>
      </c>
      <c r="G1667" s="9">
        <v>136.9</v>
      </c>
      <c r="H1667" s="9" t="s">
        <v>23</v>
      </c>
      <c r="I1667" s="9">
        <v>5</v>
      </c>
      <c r="J1667" s="10">
        <v>17.899999999999999</v>
      </c>
      <c r="K1667" s="9" t="str">
        <f>TEXT(Sales_of_Jordan[[#This Row],[Sale_Date]],"mmm")</f>
        <v>May</v>
      </c>
    </row>
    <row r="1668" spans="1:11" x14ac:dyDescent="0.35">
      <c r="A1668" s="7" t="s">
        <v>1698</v>
      </c>
      <c r="B1668" s="8">
        <v>45182</v>
      </c>
      <c r="C1668" s="9" t="s">
        <v>31</v>
      </c>
      <c r="D1668" s="9" t="s">
        <v>34</v>
      </c>
      <c r="E1668" s="9" t="s">
        <v>13</v>
      </c>
      <c r="F1668" s="9">
        <v>200</v>
      </c>
      <c r="G1668" s="9">
        <v>125.63</v>
      </c>
      <c r="H1668" s="9" t="s">
        <v>14</v>
      </c>
      <c r="I1668" s="9">
        <v>7</v>
      </c>
      <c r="J1668" s="10">
        <v>-74.37</v>
      </c>
      <c r="K1668" s="9" t="str">
        <f>TEXT(Sales_of_Jordan[[#This Row],[Sale_Date]],"mmm")</f>
        <v>Sep</v>
      </c>
    </row>
    <row r="1669" spans="1:11" x14ac:dyDescent="0.35">
      <c r="A1669" s="7" t="s">
        <v>1699</v>
      </c>
      <c r="B1669" s="8">
        <v>45176</v>
      </c>
      <c r="C1669" s="9" t="s">
        <v>31</v>
      </c>
      <c r="D1669" s="9" t="s">
        <v>17</v>
      </c>
      <c r="E1669" s="9" t="s">
        <v>29</v>
      </c>
      <c r="F1669" s="9">
        <v>210</v>
      </c>
      <c r="G1669" s="9">
        <v>223.24</v>
      </c>
      <c r="H1669" s="9" t="s">
        <v>25</v>
      </c>
      <c r="I1669" s="9">
        <v>23</v>
      </c>
      <c r="J1669" s="10">
        <v>13.24</v>
      </c>
      <c r="K1669" s="9" t="str">
        <f>TEXT(Sales_of_Jordan[[#This Row],[Sale_Date]],"mmm")</f>
        <v>Sep</v>
      </c>
    </row>
    <row r="1670" spans="1:11" x14ac:dyDescent="0.35">
      <c r="A1670" s="7" t="s">
        <v>1700</v>
      </c>
      <c r="B1670" s="8">
        <v>45874</v>
      </c>
      <c r="C1670" s="9" t="s">
        <v>27</v>
      </c>
      <c r="D1670" s="9" t="s">
        <v>34</v>
      </c>
      <c r="E1670" s="9" t="s">
        <v>13</v>
      </c>
      <c r="F1670" s="9">
        <v>122</v>
      </c>
      <c r="G1670" s="9">
        <v>79.459999999999994</v>
      </c>
      <c r="H1670" s="9" t="s">
        <v>25</v>
      </c>
      <c r="I1670" s="9">
        <v>47</v>
      </c>
      <c r="J1670" s="10">
        <v>-42.54</v>
      </c>
      <c r="K1670" s="9" t="str">
        <f>TEXT(Sales_of_Jordan[[#This Row],[Sale_Date]],"mmm")</f>
        <v>Aug</v>
      </c>
    </row>
    <row r="1671" spans="1:11" x14ac:dyDescent="0.35">
      <c r="A1671" s="7" t="s">
        <v>1701</v>
      </c>
      <c r="B1671" s="8">
        <v>45734</v>
      </c>
      <c r="C1671" s="9" t="s">
        <v>21</v>
      </c>
      <c r="D1671" s="9" t="s">
        <v>55</v>
      </c>
      <c r="E1671" s="9" t="s">
        <v>13</v>
      </c>
      <c r="F1671" s="9">
        <v>216</v>
      </c>
      <c r="G1671" s="9">
        <v>120.6</v>
      </c>
      <c r="H1671" s="9" t="s">
        <v>23</v>
      </c>
      <c r="I1671" s="9">
        <v>42</v>
      </c>
      <c r="J1671" s="10">
        <v>-95.4</v>
      </c>
      <c r="K1671" s="9" t="str">
        <f>TEXT(Sales_of_Jordan[[#This Row],[Sale_Date]],"mmm")</f>
        <v>Mar</v>
      </c>
    </row>
    <row r="1672" spans="1:11" x14ac:dyDescent="0.35">
      <c r="A1672" s="7" t="s">
        <v>1702</v>
      </c>
      <c r="B1672" s="8">
        <v>45163</v>
      </c>
      <c r="C1672" s="9" t="s">
        <v>21</v>
      </c>
      <c r="D1672" s="9" t="s">
        <v>17</v>
      </c>
      <c r="E1672" s="9" t="s">
        <v>29</v>
      </c>
      <c r="F1672" s="9">
        <v>213</v>
      </c>
      <c r="G1672" s="9">
        <v>261.24</v>
      </c>
      <c r="H1672" s="9" t="s">
        <v>19</v>
      </c>
      <c r="I1672" s="9">
        <v>8</v>
      </c>
      <c r="J1672" s="10">
        <v>48.24</v>
      </c>
      <c r="K1672" s="9" t="str">
        <f>TEXT(Sales_of_Jordan[[#This Row],[Sale_Date]],"mmm")</f>
        <v>Aug</v>
      </c>
    </row>
    <row r="1673" spans="1:11" x14ac:dyDescent="0.35">
      <c r="A1673" s="7" t="s">
        <v>1703</v>
      </c>
      <c r="B1673" s="8">
        <v>45233</v>
      </c>
      <c r="C1673" s="9" t="s">
        <v>11</v>
      </c>
      <c r="D1673" s="9" t="s">
        <v>36</v>
      </c>
      <c r="E1673" s="9" t="s">
        <v>29</v>
      </c>
      <c r="F1673" s="9">
        <v>225</v>
      </c>
      <c r="G1673" s="9">
        <v>265.51</v>
      </c>
      <c r="H1673" s="9" t="s">
        <v>23</v>
      </c>
      <c r="I1673" s="9">
        <v>17</v>
      </c>
      <c r="J1673" s="10">
        <v>40.509999999999899</v>
      </c>
      <c r="K1673" s="9" t="str">
        <f>TEXT(Sales_of_Jordan[[#This Row],[Sale_Date]],"mmm")</f>
        <v>Nov</v>
      </c>
    </row>
    <row r="1674" spans="1:11" x14ac:dyDescent="0.35">
      <c r="A1674" s="7" t="s">
        <v>1704</v>
      </c>
      <c r="B1674" s="8">
        <v>45697</v>
      </c>
      <c r="C1674" s="9" t="s">
        <v>31</v>
      </c>
      <c r="D1674" s="9" t="s">
        <v>53</v>
      </c>
      <c r="E1674" s="9" t="s">
        <v>13</v>
      </c>
      <c r="F1674" s="9">
        <v>210</v>
      </c>
      <c r="G1674" s="9">
        <v>156.25</v>
      </c>
      <c r="H1674" s="9" t="s">
        <v>25</v>
      </c>
      <c r="I1674" s="9">
        <v>35</v>
      </c>
      <c r="J1674" s="10">
        <v>-53.75</v>
      </c>
      <c r="K1674" s="9" t="str">
        <f>TEXT(Sales_of_Jordan[[#This Row],[Sale_Date]],"mmm")</f>
        <v>Feb</v>
      </c>
    </row>
    <row r="1675" spans="1:11" x14ac:dyDescent="0.35">
      <c r="A1675" s="7" t="s">
        <v>1705</v>
      </c>
      <c r="B1675" s="8">
        <v>45156</v>
      </c>
      <c r="C1675" s="9" t="s">
        <v>11</v>
      </c>
      <c r="D1675" s="9" t="s">
        <v>36</v>
      </c>
      <c r="E1675" s="9" t="s">
        <v>18</v>
      </c>
      <c r="F1675" s="9">
        <v>226</v>
      </c>
      <c r="G1675" s="9">
        <v>613.87</v>
      </c>
      <c r="H1675" s="9" t="s">
        <v>14</v>
      </c>
      <c r="I1675" s="9">
        <v>5</v>
      </c>
      <c r="J1675" s="10">
        <v>387.87</v>
      </c>
      <c r="K1675" s="9" t="str">
        <f>TEXT(Sales_of_Jordan[[#This Row],[Sale_Date]],"mmm")</f>
        <v>Aug</v>
      </c>
    </row>
    <row r="1676" spans="1:11" x14ac:dyDescent="0.35">
      <c r="A1676" s="7" t="s">
        <v>1706</v>
      </c>
      <c r="B1676" s="8">
        <v>45844</v>
      </c>
      <c r="C1676" s="9" t="s">
        <v>16</v>
      </c>
      <c r="D1676" s="9" t="s">
        <v>17</v>
      </c>
      <c r="E1676" s="9" t="s">
        <v>29</v>
      </c>
      <c r="F1676" s="9">
        <v>177</v>
      </c>
      <c r="G1676" s="9">
        <v>233.83</v>
      </c>
      <c r="H1676" s="9" t="s">
        <v>25</v>
      </c>
      <c r="I1676" s="9">
        <v>53</v>
      </c>
      <c r="J1676" s="10">
        <v>56.83</v>
      </c>
      <c r="K1676" s="9" t="str">
        <f>TEXT(Sales_of_Jordan[[#This Row],[Sale_Date]],"mmm")</f>
        <v>Jul</v>
      </c>
    </row>
    <row r="1677" spans="1:11" x14ac:dyDescent="0.35">
      <c r="A1677" s="7" t="s">
        <v>1707</v>
      </c>
      <c r="B1677" s="8">
        <v>45068</v>
      </c>
      <c r="C1677" s="9" t="s">
        <v>27</v>
      </c>
      <c r="D1677" s="9" t="s">
        <v>36</v>
      </c>
      <c r="E1677" s="9" t="s">
        <v>13</v>
      </c>
      <c r="F1677" s="9">
        <v>129</v>
      </c>
      <c r="G1677" s="9">
        <v>98.32</v>
      </c>
      <c r="H1677" s="9" t="s">
        <v>32</v>
      </c>
      <c r="I1677" s="9">
        <v>59</v>
      </c>
      <c r="J1677" s="10">
        <v>-30.68</v>
      </c>
      <c r="K1677" s="9" t="str">
        <f>TEXT(Sales_of_Jordan[[#This Row],[Sale_Date]],"mmm")</f>
        <v>May</v>
      </c>
    </row>
    <row r="1678" spans="1:11" x14ac:dyDescent="0.35">
      <c r="A1678" s="7" t="s">
        <v>1708</v>
      </c>
      <c r="B1678" s="8">
        <v>45798</v>
      </c>
      <c r="C1678" s="9" t="s">
        <v>27</v>
      </c>
      <c r="D1678" s="9" t="s">
        <v>34</v>
      </c>
      <c r="E1678" s="9" t="s">
        <v>18</v>
      </c>
      <c r="F1678" s="9">
        <v>116</v>
      </c>
      <c r="G1678" s="9">
        <v>305.98</v>
      </c>
      <c r="H1678" s="9" t="s">
        <v>25</v>
      </c>
      <c r="I1678" s="9">
        <v>26</v>
      </c>
      <c r="J1678" s="10">
        <v>189.98</v>
      </c>
      <c r="K1678" s="9" t="str">
        <f>TEXT(Sales_of_Jordan[[#This Row],[Sale_Date]],"mmm")</f>
        <v>May</v>
      </c>
    </row>
    <row r="1679" spans="1:11" x14ac:dyDescent="0.35">
      <c r="A1679" s="7" t="s">
        <v>1709</v>
      </c>
      <c r="B1679" s="8">
        <v>45781</v>
      </c>
      <c r="C1679" s="9" t="s">
        <v>16</v>
      </c>
      <c r="D1679" s="9" t="s">
        <v>55</v>
      </c>
      <c r="E1679" s="9" t="s">
        <v>13</v>
      </c>
      <c r="F1679" s="9">
        <v>188</v>
      </c>
      <c r="G1679" s="9">
        <v>117.32</v>
      </c>
      <c r="H1679" s="9" t="s">
        <v>14</v>
      </c>
      <c r="I1679" s="9">
        <v>11</v>
      </c>
      <c r="J1679" s="10">
        <v>-70.680000000000007</v>
      </c>
      <c r="K1679" s="9" t="str">
        <f>TEXT(Sales_of_Jordan[[#This Row],[Sale_Date]],"mmm")</f>
        <v>May</v>
      </c>
    </row>
    <row r="1680" spans="1:11" x14ac:dyDescent="0.35">
      <c r="A1680" s="7" t="s">
        <v>1710</v>
      </c>
      <c r="B1680" s="8">
        <v>45840</v>
      </c>
      <c r="C1680" s="9" t="s">
        <v>27</v>
      </c>
      <c r="D1680" s="9" t="s">
        <v>55</v>
      </c>
      <c r="E1680" s="9" t="s">
        <v>18</v>
      </c>
      <c r="F1680" s="9">
        <v>133</v>
      </c>
      <c r="G1680" s="9">
        <v>319.41000000000003</v>
      </c>
      <c r="H1680" s="9" t="s">
        <v>23</v>
      </c>
      <c r="I1680" s="9">
        <v>46</v>
      </c>
      <c r="J1680" s="10">
        <v>186.41</v>
      </c>
      <c r="K1680" s="9" t="str">
        <f>TEXT(Sales_of_Jordan[[#This Row],[Sale_Date]],"mmm")</f>
        <v>Jul</v>
      </c>
    </row>
    <row r="1681" spans="1:11" x14ac:dyDescent="0.35">
      <c r="A1681" s="7" t="s">
        <v>1711</v>
      </c>
      <c r="B1681" s="8">
        <v>45590</v>
      </c>
      <c r="C1681" s="9" t="s">
        <v>31</v>
      </c>
      <c r="D1681" s="9" t="s">
        <v>39</v>
      </c>
      <c r="E1681" s="9" t="s">
        <v>18</v>
      </c>
      <c r="F1681" s="9">
        <v>209</v>
      </c>
      <c r="G1681" s="9">
        <v>407.79</v>
      </c>
      <c r="H1681" s="9" t="s">
        <v>32</v>
      </c>
      <c r="I1681" s="9">
        <v>40</v>
      </c>
      <c r="J1681" s="10">
        <v>198.79</v>
      </c>
      <c r="K1681" s="9" t="str">
        <f>TEXT(Sales_of_Jordan[[#This Row],[Sale_Date]],"mmm")</f>
        <v>Oct</v>
      </c>
    </row>
    <row r="1682" spans="1:11" x14ac:dyDescent="0.35">
      <c r="A1682" s="7" t="s">
        <v>1712</v>
      </c>
      <c r="B1682" s="8">
        <v>45436</v>
      </c>
      <c r="C1682" s="9" t="s">
        <v>21</v>
      </c>
      <c r="D1682" s="9" t="s">
        <v>34</v>
      </c>
      <c r="E1682" s="9" t="s">
        <v>13</v>
      </c>
      <c r="F1682" s="9">
        <v>214</v>
      </c>
      <c r="G1682" s="9">
        <v>111.75</v>
      </c>
      <c r="H1682" s="9" t="s">
        <v>19</v>
      </c>
      <c r="I1682" s="9">
        <v>13</v>
      </c>
      <c r="J1682" s="10">
        <v>-102.25</v>
      </c>
      <c r="K1682" s="9" t="str">
        <f>TEXT(Sales_of_Jordan[[#This Row],[Sale_Date]],"mmm")</f>
        <v>May</v>
      </c>
    </row>
    <row r="1683" spans="1:11" x14ac:dyDescent="0.35">
      <c r="A1683" s="7" t="s">
        <v>1713</v>
      </c>
      <c r="B1683" s="8">
        <v>45367</v>
      </c>
      <c r="C1683" s="9" t="s">
        <v>11</v>
      </c>
      <c r="D1683" s="9" t="s">
        <v>53</v>
      </c>
      <c r="E1683" s="9" t="s">
        <v>18</v>
      </c>
      <c r="F1683" s="9">
        <v>229</v>
      </c>
      <c r="G1683" s="9">
        <v>599.89</v>
      </c>
      <c r="H1683" s="9" t="s">
        <v>23</v>
      </c>
      <c r="I1683" s="9">
        <v>46</v>
      </c>
      <c r="J1683" s="10">
        <v>370.89</v>
      </c>
      <c r="K1683" s="9" t="str">
        <f>TEXT(Sales_of_Jordan[[#This Row],[Sale_Date]],"mmm")</f>
        <v>Mar</v>
      </c>
    </row>
    <row r="1684" spans="1:11" x14ac:dyDescent="0.35">
      <c r="A1684" s="7" t="s">
        <v>1714</v>
      </c>
      <c r="B1684" s="8">
        <v>45578</v>
      </c>
      <c r="C1684" s="9" t="s">
        <v>11</v>
      </c>
      <c r="D1684" s="9" t="s">
        <v>46</v>
      </c>
      <c r="E1684" s="9" t="s">
        <v>29</v>
      </c>
      <c r="F1684" s="9">
        <v>227</v>
      </c>
      <c r="G1684" s="9">
        <v>338.7</v>
      </c>
      <c r="H1684" s="9" t="s">
        <v>32</v>
      </c>
      <c r="I1684" s="9">
        <v>34</v>
      </c>
      <c r="J1684" s="10">
        <v>111.69999999999899</v>
      </c>
      <c r="K1684" s="9" t="str">
        <f>TEXT(Sales_of_Jordan[[#This Row],[Sale_Date]],"mmm")</f>
        <v>Oct</v>
      </c>
    </row>
    <row r="1685" spans="1:11" x14ac:dyDescent="0.35">
      <c r="A1685" s="7" t="s">
        <v>1715</v>
      </c>
      <c r="B1685" s="8">
        <v>45002</v>
      </c>
      <c r="C1685" s="9" t="s">
        <v>27</v>
      </c>
      <c r="D1685" s="9" t="s">
        <v>12</v>
      </c>
      <c r="E1685" s="9" t="s">
        <v>29</v>
      </c>
      <c r="F1685" s="9">
        <v>111</v>
      </c>
      <c r="G1685" s="9">
        <v>106.07</v>
      </c>
      <c r="H1685" s="9" t="s">
        <v>19</v>
      </c>
      <c r="I1685" s="9">
        <v>6</v>
      </c>
      <c r="J1685" s="10">
        <v>-4.93</v>
      </c>
      <c r="K1685" s="9" t="str">
        <f>TEXT(Sales_of_Jordan[[#This Row],[Sale_Date]],"mmm")</f>
        <v>Mar</v>
      </c>
    </row>
    <row r="1686" spans="1:11" x14ac:dyDescent="0.35">
      <c r="A1686" s="7" t="s">
        <v>1716</v>
      </c>
      <c r="B1686" s="8">
        <v>45500</v>
      </c>
      <c r="C1686" s="9" t="s">
        <v>11</v>
      </c>
      <c r="D1686" s="9" t="s">
        <v>39</v>
      </c>
      <c r="E1686" s="9" t="s">
        <v>18</v>
      </c>
      <c r="F1686" s="9">
        <v>227</v>
      </c>
      <c r="G1686" s="9">
        <v>539.79</v>
      </c>
      <c r="H1686" s="9" t="s">
        <v>25</v>
      </c>
      <c r="I1686" s="9">
        <v>18</v>
      </c>
      <c r="J1686" s="10">
        <v>312.789999999999</v>
      </c>
      <c r="K1686" s="9" t="str">
        <f>TEXT(Sales_of_Jordan[[#This Row],[Sale_Date]],"mmm")</f>
        <v>Jul</v>
      </c>
    </row>
    <row r="1687" spans="1:11" x14ac:dyDescent="0.35">
      <c r="A1687" s="7" t="s">
        <v>1717</v>
      </c>
      <c r="B1687" s="8">
        <v>45113</v>
      </c>
      <c r="C1687" s="9" t="s">
        <v>27</v>
      </c>
      <c r="D1687" s="9" t="s">
        <v>22</v>
      </c>
      <c r="E1687" s="9" t="s">
        <v>18</v>
      </c>
      <c r="F1687" s="9">
        <v>135</v>
      </c>
      <c r="G1687" s="9">
        <v>414.16</v>
      </c>
      <c r="H1687" s="9" t="s">
        <v>14</v>
      </c>
      <c r="I1687" s="9">
        <v>7</v>
      </c>
      <c r="J1687" s="10">
        <v>279.16000000000003</v>
      </c>
      <c r="K1687" s="9" t="str">
        <f>TEXT(Sales_of_Jordan[[#This Row],[Sale_Date]],"mmm")</f>
        <v>Jul</v>
      </c>
    </row>
    <row r="1688" spans="1:11" x14ac:dyDescent="0.35">
      <c r="A1688" s="7" t="s">
        <v>1718</v>
      </c>
      <c r="B1688" s="8">
        <v>45674</v>
      </c>
      <c r="C1688" s="9" t="s">
        <v>16</v>
      </c>
      <c r="D1688" s="9" t="s">
        <v>55</v>
      </c>
      <c r="E1688" s="9" t="s">
        <v>18</v>
      </c>
      <c r="F1688" s="9">
        <v>172</v>
      </c>
      <c r="G1688" s="9">
        <v>537.54999999999995</v>
      </c>
      <c r="H1688" s="9" t="s">
        <v>25</v>
      </c>
      <c r="I1688" s="9">
        <v>22</v>
      </c>
      <c r="J1688" s="10">
        <v>365.54999999999899</v>
      </c>
      <c r="K1688" s="9" t="str">
        <f>TEXT(Sales_of_Jordan[[#This Row],[Sale_Date]],"mmm")</f>
        <v>Jan</v>
      </c>
    </row>
    <row r="1689" spans="1:11" x14ac:dyDescent="0.35">
      <c r="A1689" s="7" t="s">
        <v>1719</v>
      </c>
      <c r="B1689" s="8">
        <v>45767</v>
      </c>
      <c r="C1689" s="9" t="s">
        <v>21</v>
      </c>
      <c r="D1689" s="9" t="s">
        <v>39</v>
      </c>
      <c r="E1689" s="9" t="s">
        <v>29</v>
      </c>
      <c r="F1689" s="9">
        <v>215</v>
      </c>
      <c r="G1689" s="9">
        <v>227.1</v>
      </c>
      <c r="H1689" s="9" t="s">
        <v>19</v>
      </c>
      <c r="I1689" s="9">
        <v>1</v>
      </c>
      <c r="J1689" s="10">
        <v>12.0999999999999</v>
      </c>
      <c r="K1689" s="9" t="str">
        <f>TEXT(Sales_of_Jordan[[#This Row],[Sale_Date]],"mmm")</f>
        <v>Apr</v>
      </c>
    </row>
    <row r="1690" spans="1:11" x14ac:dyDescent="0.35">
      <c r="A1690" s="7" t="s">
        <v>1720</v>
      </c>
      <c r="B1690" s="8">
        <v>45305</v>
      </c>
      <c r="C1690" s="9" t="s">
        <v>16</v>
      </c>
      <c r="D1690" s="9" t="s">
        <v>12</v>
      </c>
      <c r="E1690" s="9" t="s">
        <v>13</v>
      </c>
      <c r="F1690" s="9">
        <v>183</v>
      </c>
      <c r="G1690" s="9">
        <v>163.56</v>
      </c>
      <c r="H1690" s="9" t="s">
        <v>25</v>
      </c>
      <c r="I1690" s="9">
        <v>40</v>
      </c>
      <c r="J1690" s="10">
        <v>-19.439999999999898</v>
      </c>
      <c r="K1690" s="9" t="str">
        <f>TEXT(Sales_of_Jordan[[#This Row],[Sale_Date]],"mmm")</f>
        <v>Jan</v>
      </c>
    </row>
    <row r="1691" spans="1:11" x14ac:dyDescent="0.35">
      <c r="A1691" s="7" t="s">
        <v>1721</v>
      </c>
      <c r="B1691" s="8">
        <v>45817</v>
      </c>
      <c r="C1691" s="9" t="s">
        <v>31</v>
      </c>
      <c r="D1691" s="9" t="s">
        <v>22</v>
      </c>
      <c r="E1691" s="9" t="s">
        <v>18</v>
      </c>
      <c r="F1691" s="9">
        <v>206</v>
      </c>
      <c r="G1691" s="9">
        <v>482.29</v>
      </c>
      <c r="H1691" s="9" t="s">
        <v>19</v>
      </c>
      <c r="I1691" s="9">
        <v>9</v>
      </c>
      <c r="J1691" s="10">
        <v>276.29000000000002</v>
      </c>
      <c r="K1691" s="9" t="str">
        <f>TEXT(Sales_of_Jordan[[#This Row],[Sale_Date]],"mmm")</f>
        <v>Jun</v>
      </c>
    </row>
    <row r="1692" spans="1:11" x14ac:dyDescent="0.35">
      <c r="A1692" s="7" t="s">
        <v>1722</v>
      </c>
      <c r="B1692" s="8">
        <v>45801</v>
      </c>
      <c r="C1692" s="9" t="s">
        <v>16</v>
      </c>
      <c r="D1692" s="9" t="s">
        <v>22</v>
      </c>
      <c r="E1692" s="9" t="s">
        <v>13</v>
      </c>
      <c r="F1692" s="9">
        <v>184</v>
      </c>
      <c r="G1692" s="9">
        <v>162.02000000000001</v>
      </c>
      <c r="H1692" s="9" t="s">
        <v>14</v>
      </c>
      <c r="I1692" s="9">
        <v>11</v>
      </c>
      <c r="J1692" s="10">
        <v>-21.979999999999901</v>
      </c>
      <c r="K1692" s="9" t="str">
        <f>TEXT(Sales_of_Jordan[[#This Row],[Sale_Date]],"mmm")</f>
        <v>May</v>
      </c>
    </row>
    <row r="1693" spans="1:11" x14ac:dyDescent="0.35">
      <c r="A1693" s="7" t="s">
        <v>1723</v>
      </c>
      <c r="B1693" s="8">
        <v>45670</v>
      </c>
      <c r="C1693" s="9" t="s">
        <v>27</v>
      </c>
      <c r="D1693" s="9" t="s">
        <v>12</v>
      </c>
      <c r="E1693" s="9" t="s">
        <v>29</v>
      </c>
      <c r="F1693" s="9">
        <v>134</v>
      </c>
      <c r="G1693" s="9">
        <v>191.59</v>
      </c>
      <c r="H1693" s="9" t="s">
        <v>32</v>
      </c>
      <c r="I1693" s="9">
        <v>40</v>
      </c>
      <c r="J1693" s="10">
        <v>57.59</v>
      </c>
      <c r="K1693" s="9" t="str">
        <f>TEXT(Sales_of_Jordan[[#This Row],[Sale_Date]],"mmm")</f>
        <v>Jan</v>
      </c>
    </row>
    <row r="1694" spans="1:11" x14ac:dyDescent="0.35">
      <c r="A1694" s="7" t="s">
        <v>1724</v>
      </c>
      <c r="B1694" s="8">
        <v>45316</v>
      </c>
      <c r="C1694" s="9" t="s">
        <v>27</v>
      </c>
      <c r="D1694" s="9" t="s">
        <v>34</v>
      </c>
      <c r="E1694" s="9" t="s">
        <v>13</v>
      </c>
      <c r="F1694" s="9">
        <v>139</v>
      </c>
      <c r="G1694" s="9">
        <v>105.53</v>
      </c>
      <c r="H1694" s="9" t="s">
        <v>32</v>
      </c>
      <c r="I1694" s="9">
        <v>10</v>
      </c>
      <c r="J1694" s="10">
        <v>-33.47</v>
      </c>
      <c r="K1694" s="9" t="str">
        <f>TEXT(Sales_of_Jordan[[#This Row],[Sale_Date]],"mmm")</f>
        <v>Jan</v>
      </c>
    </row>
    <row r="1695" spans="1:11" x14ac:dyDescent="0.35">
      <c r="A1695" s="7" t="s">
        <v>1725</v>
      </c>
      <c r="B1695" s="8">
        <v>45350</v>
      </c>
      <c r="C1695" s="9" t="s">
        <v>31</v>
      </c>
      <c r="D1695" s="9" t="s">
        <v>46</v>
      </c>
      <c r="E1695" s="9" t="s">
        <v>13</v>
      </c>
      <c r="F1695" s="9">
        <v>210</v>
      </c>
      <c r="G1695" s="9">
        <v>117</v>
      </c>
      <c r="H1695" s="9" t="s">
        <v>25</v>
      </c>
      <c r="I1695" s="9">
        <v>24</v>
      </c>
      <c r="J1695" s="10">
        <v>-93</v>
      </c>
      <c r="K1695" s="9" t="str">
        <f>TEXT(Sales_of_Jordan[[#This Row],[Sale_Date]],"mmm")</f>
        <v>Feb</v>
      </c>
    </row>
    <row r="1696" spans="1:11" x14ac:dyDescent="0.35">
      <c r="A1696" s="7" t="s">
        <v>1726</v>
      </c>
      <c r="B1696" s="8">
        <v>45456</v>
      </c>
      <c r="C1696" s="9" t="s">
        <v>27</v>
      </c>
      <c r="D1696" s="9" t="s">
        <v>53</v>
      </c>
      <c r="E1696" s="9" t="s">
        <v>13</v>
      </c>
      <c r="F1696" s="9">
        <v>133</v>
      </c>
      <c r="G1696" s="9">
        <v>85.76</v>
      </c>
      <c r="H1696" s="9" t="s">
        <v>23</v>
      </c>
      <c r="I1696" s="9">
        <v>16</v>
      </c>
      <c r="J1696" s="10">
        <v>-47.239999999999903</v>
      </c>
      <c r="K1696" s="9" t="str">
        <f>TEXT(Sales_of_Jordan[[#This Row],[Sale_Date]],"mmm")</f>
        <v>Jun</v>
      </c>
    </row>
    <row r="1697" spans="1:11" x14ac:dyDescent="0.35">
      <c r="A1697" s="7" t="s">
        <v>1727</v>
      </c>
      <c r="B1697" s="8">
        <v>45727</v>
      </c>
      <c r="C1697" s="9" t="s">
        <v>11</v>
      </c>
      <c r="D1697" s="9" t="s">
        <v>17</v>
      </c>
      <c r="E1697" s="9" t="s">
        <v>18</v>
      </c>
      <c r="F1697" s="9">
        <v>229</v>
      </c>
      <c r="G1697" s="9">
        <v>357.47</v>
      </c>
      <c r="H1697" s="9" t="s">
        <v>23</v>
      </c>
      <c r="I1697" s="9">
        <v>25</v>
      </c>
      <c r="J1697" s="10">
        <v>128.47</v>
      </c>
      <c r="K1697" s="9" t="str">
        <f>TEXT(Sales_of_Jordan[[#This Row],[Sale_Date]],"mmm")</f>
        <v>Mar</v>
      </c>
    </row>
    <row r="1698" spans="1:11" x14ac:dyDescent="0.35">
      <c r="A1698" s="7" t="s">
        <v>1728</v>
      </c>
      <c r="B1698" s="8">
        <v>44945</v>
      </c>
      <c r="C1698" s="9" t="s">
        <v>16</v>
      </c>
      <c r="D1698" s="9" t="s">
        <v>12</v>
      </c>
      <c r="E1698" s="9" t="s">
        <v>18</v>
      </c>
      <c r="F1698" s="9">
        <v>186</v>
      </c>
      <c r="G1698" s="9">
        <v>344.39</v>
      </c>
      <c r="H1698" s="9" t="s">
        <v>14</v>
      </c>
      <c r="I1698" s="9">
        <v>2</v>
      </c>
      <c r="J1698" s="10">
        <v>158.38999999999999</v>
      </c>
      <c r="K1698" s="9" t="str">
        <f>TEXT(Sales_of_Jordan[[#This Row],[Sale_Date]],"mmm")</f>
        <v>Jan</v>
      </c>
    </row>
    <row r="1699" spans="1:11" x14ac:dyDescent="0.35">
      <c r="A1699" s="7" t="s">
        <v>1729</v>
      </c>
      <c r="B1699" s="8">
        <v>45059</v>
      </c>
      <c r="C1699" s="9" t="s">
        <v>27</v>
      </c>
      <c r="D1699" s="9" t="s">
        <v>53</v>
      </c>
      <c r="E1699" s="9" t="s">
        <v>18</v>
      </c>
      <c r="F1699" s="9">
        <v>126</v>
      </c>
      <c r="G1699" s="9">
        <v>193.74</v>
      </c>
      <c r="H1699" s="9" t="s">
        <v>25</v>
      </c>
      <c r="I1699" s="9">
        <v>10</v>
      </c>
      <c r="J1699" s="10">
        <v>67.739999999999995</v>
      </c>
      <c r="K1699" s="9" t="str">
        <f>TEXT(Sales_of_Jordan[[#This Row],[Sale_Date]],"mmm")</f>
        <v>May</v>
      </c>
    </row>
    <row r="1700" spans="1:11" x14ac:dyDescent="0.35">
      <c r="A1700" s="7" t="s">
        <v>1730</v>
      </c>
      <c r="B1700" s="8">
        <v>45409</v>
      </c>
      <c r="C1700" s="9" t="s">
        <v>11</v>
      </c>
      <c r="D1700" s="9" t="s">
        <v>36</v>
      </c>
      <c r="E1700" s="9" t="s">
        <v>13</v>
      </c>
      <c r="F1700" s="9">
        <v>228</v>
      </c>
      <c r="G1700" s="9">
        <v>132.09</v>
      </c>
      <c r="H1700" s="9" t="s">
        <v>14</v>
      </c>
      <c r="I1700" s="9">
        <v>12</v>
      </c>
      <c r="J1700" s="10">
        <v>-95.91</v>
      </c>
      <c r="K1700" s="9" t="str">
        <f>TEXT(Sales_of_Jordan[[#This Row],[Sale_Date]],"mmm")</f>
        <v>Apr</v>
      </c>
    </row>
    <row r="1701" spans="1:11" x14ac:dyDescent="0.35">
      <c r="A1701" s="7" t="s">
        <v>1731</v>
      </c>
      <c r="B1701" s="8">
        <v>45248</v>
      </c>
      <c r="C1701" s="9" t="s">
        <v>31</v>
      </c>
      <c r="D1701" s="9" t="s">
        <v>12</v>
      </c>
      <c r="E1701" s="9" t="s">
        <v>13</v>
      </c>
      <c r="F1701" s="9">
        <v>201</v>
      </c>
      <c r="G1701" s="9">
        <v>120.52</v>
      </c>
      <c r="H1701" s="9" t="s">
        <v>23</v>
      </c>
      <c r="I1701" s="9">
        <v>41</v>
      </c>
      <c r="J1701" s="10">
        <v>-80.48</v>
      </c>
      <c r="K1701" s="9" t="str">
        <f>TEXT(Sales_of_Jordan[[#This Row],[Sale_Date]],"mmm")</f>
        <v>Nov</v>
      </c>
    </row>
    <row r="1702" spans="1:11" x14ac:dyDescent="0.35">
      <c r="A1702" s="7" t="s">
        <v>1732</v>
      </c>
      <c r="B1702" s="8">
        <v>45385</v>
      </c>
      <c r="C1702" s="9" t="s">
        <v>11</v>
      </c>
      <c r="D1702" s="9" t="s">
        <v>53</v>
      </c>
      <c r="E1702" s="9" t="s">
        <v>29</v>
      </c>
      <c r="F1702" s="9">
        <v>229</v>
      </c>
      <c r="G1702" s="9">
        <v>283.44</v>
      </c>
      <c r="H1702" s="9" t="s">
        <v>19</v>
      </c>
      <c r="I1702" s="9">
        <v>11</v>
      </c>
      <c r="J1702" s="10">
        <v>54.44</v>
      </c>
      <c r="K1702" s="9" t="str">
        <f>TEXT(Sales_of_Jordan[[#This Row],[Sale_Date]],"mmm")</f>
        <v>Apr</v>
      </c>
    </row>
    <row r="1703" spans="1:11" x14ac:dyDescent="0.35">
      <c r="A1703" s="7" t="s">
        <v>1733</v>
      </c>
      <c r="B1703" s="8">
        <v>45231</v>
      </c>
      <c r="C1703" s="9" t="s">
        <v>27</v>
      </c>
      <c r="D1703" s="9" t="s">
        <v>34</v>
      </c>
      <c r="E1703" s="9" t="s">
        <v>13</v>
      </c>
      <c r="F1703" s="9">
        <v>137</v>
      </c>
      <c r="G1703" s="9">
        <v>89.78</v>
      </c>
      <c r="H1703" s="9" t="s">
        <v>23</v>
      </c>
      <c r="I1703" s="9">
        <v>59</v>
      </c>
      <c r="J1703" s="10">
        <v>-47.22</v>
      </c>
      <c r="K1703" s="9" t="str">
        <f>TEXT(Sales_of_Jordan[[#This Row],[Sale_Date]],"mmm")</f>
        <v>Nov</v>
      </c>
    </row>
    <row r="1704" spans="1:11" x14ac:dyDescent="0.35">
      <c r="A1704" s="7" t="s">
        <v>1734</v>
      </c>
      <c r="B1704" s="8">
        <v>45338</v>
      </c>
      <c r="C1704" s="9" t="s">
        <v>11</v>
      </c>
      <c r="D1704" s="9" t="s">
        <v>12</v>
      </c>
      <c r="E1704" s="9" t="s">
        <v>29</v>
      </c>
      <c r="F1704" s="9">
        <v>230</v>
      </c>
      <c r="G1704" s="9">
        <v>306.97000000000003</v>
      </c>
      <c r="H1704" s="9" t="s">
        <v>14</v>
      </c>
      <c r="I1704" s="9">
        <v>3</v>
      </c>
      <c r="J1704" s="10">
        <v>76.97</v>
      </c>
      <c r="K1704" s="9" t="str">
        <f>TEXT(Sales_of_Jordan[[#This Row],[Sale_Date]],"mmm")</f>
        <v>Feb</v>
      </c>
    </row>
    <row r="1705" spans="1:11" x14ac:dyDescent="0.35">
      <c r="A1705" s="7" t="s">
        <v>1735</v>
      </c>
      <c r="B1705" s="8">
        <v>45816</v>
      </c>
      <c r="C1705" s="9" t="s">
        <v>31</v>
      </c>
      <c r="D1705" s="9" t="s">
        <v>55</v>
      </c>
      <c r="E1705" s="9" t="s">
        <v>18</v>
      </c>
      <c r="F1705" s="9">
        <v>205</v>
      </c>
      <c r="G1705" s="9">
        <v>397.37</v>
      </c>
      <c r="H1705" s="9" t="s">
        <v>25</v>
      </c>
      <c r="I1705" s="9">
        <v>55</v>
      </c>
      <c r="J1705" s="10">
        <v>192.37</v>
      </c>
      <c r="K1705" s="9" t="str">
        <f>TEXT(Sales_of_Jordan[[#This Row],[Sale_Date]],"mmm")</f>
        <v>Jun</v>
      </c>
    </row>
    <row r="1706" spans="1:11" x14ac:dyDescent="0.35">
      <c r="A1706" s="7" t="s">
        <v>1736</v>
      </c>
      <c r="B1706" s="8">
        <v>45832</v>
      </c>
      <c r="C1706" s="9" t="s">
        <v>11</v>
      </c>
      <c r="D1706" s="9" t="s">
        <v>36</v>
      </c>
      <c r="E1706" s="9" t="s">
        <v>29</v>
      </c>
      <c r="F1706" s="9">
        <v>225</v>
      </c>
      <c r="G1706" s="9">
        <v>274.44</v>
      </c>
      <c r="H1706" s="9" t="s">
        <v>14</v>
      </c>
      <c r="I1706" s="9">
        <v>2</v>
      </c>
      <c r="J1706" s="10">
        <v>49.44</v>
      </c>
      <c r="K1706" s="9" t="str">
        <f>TEXT(Sales_of_Jordan[[#This Row],[Sale_Date]],"mmm")</f>
        <v>Jun</v>
      </c>
    </row>
    <row r="1707" spans="1:11" x14ac:dyDescent="0.35">
      <c r="A1707" s="7" t="s">
        <v>1737</v>
      </c>
      <c r="B1707" s="8">
        <v>45264</v>
      </c>
      <c r="C1707" s="9" t="s">
        <v>21</v>
      </c>
      <c r="D1707" s="9" t="s">
        <v>39</v>
      </c>
      <c r="E1707" s="9" t="s">
        <v>29</v>
      </c>
      <c r="F1707" s="9">
        <v>218</v>
      </c>
      <c r="G1707" s="9">
        <v>240.32</v>
      </c>
      <c r="H1707" s="9" t="s">
        <v>23</v>
      </c>
      <c r="I1707" s="9">
        <v>39</v>
      </c>
      <c r="J1707" s="10">
        <v>22.319999999999901</v>
      </c>
      <c r="K1707" s="9" t="str">
        <f>TEXT(Sales_of_Jordan[[#This Row],[Sale_Date]],"mmm")</f>
        <v>Dec</v>
      </c>
    </row>
    <row r="1708" spans="1:11" x14ac:dyDescent="0.35">
      <c r="A1708" s="7" t="s">
        <v>1738</v>
      </c>
      <c r="B1708" s="8">
        <v>45153</v>
      </c>
      <c r="C1708" s="9" t="s">
        <v>31</v>
      </c>
      <c r="D1708" s="9" t="s">
        <v>53</v>
      </c>
      <c r="E1708" s="9" t="s">
        <v>29</v>
      </c>
      <c r="F1708" s="9">
        <v>200</v>
      </c>
      <c r="G1708" s="9">
        <v>225.16</v>
      </c>
      <c r="H1708" s="9" t="s">
        <v>19</v>
      </c>
      <c r="I1708" s="9">
        <v>9</v>
      </c>
      <c r="J1708" s="10">
        <v>25.159999999999901</v>
      </c>
      <c r="K1708" s="9" t="str">
        <f>TEXT(Sales_of_Jordan[[#This Row],[Sale_Date]],"mmm")</f>
        <v>Aug</v>
      </c>
    </row>
    <row r="1709" spans="1:11" x14ac:dyDescent="0.35">
      <c r="A1709" s="7" t="s">
        <v>1739</v>
      </c>
      <c r="B1709" s="8">
        <v>45289</v>
      </c>
      <c r="C1709" s="9" t="s">
        <v>21</v>
      </c>
      <c r="D1709" s="9" t="s">
        <v>12</v>
      </c>
      <c r="E1709" s="9" t="s">
        <v>18</v>
      </c>
      <c r="F1709" s="9">
        <v>221</v>
      </c>
      <c r="G1709" s="9">
        <v>726.44</v>
      </c>
      <c r="H1709" s="9" t="s">
        <v>23</v>
      </c>
      <c r="I1709" s="9">
        <v>18</v>
      </c>
      <c r="J1709" s="10">
        <v>505.44</v>
      </c>
      <c r="K1709" s="9" t="str">
        <f>TEXT(Sales_of_Jordan[[#This Row],[Sale_Date]],"mmm")</f>
        <v>Dec</v>
      </c>
    </row>
    <row r="1710" spans="1:11" x14ac:dyDescent="0.35">
      <c r="A1710" s="7" t="s">
        <v>1740</v>
      </c>
      <c r="B1710" s="8">
        <v>45418</v>
      </c>
      <c r="C1710" s="9" t="s">
        <v>27</v>
      </c>
      <c r="D1710" s="9" t="s">
        <v>34</v>
      </c>
      <c r="E1710" s="9" t="s">
        <v>29</v>
      </c>
      <c r="F1710" s="9">
        <v>114</v>
      </c>
      <c r="G1710" s="9">
        <v>132.88</v>
      </c>
      <c r="H1710" s="9" t="s">
        <v>14</v>
      </c>
      <c r="I1710" s="9">
        <v>5</v>
      </c>
      <c r="J1710" s="10">
        <v>18.8799999999999</v>
      </c>
      <c r="K1710" s="9" t="str">
        <f>TEXT(Sales_of_Jordan[[#This Row],[Sale_Date]],"mmm")</f>
        <v>May</v>
      </c>
    </row>
    <row r="1711" spans="1:11" x14ac:dyDescent="0.35">
      <c r="A1711" s="7" t="s">
        <v>1741</v>
      </c>
      <c r="B1711" s="8">
        <v>45185</v>
      </c>
      <c r="C1711" s="9" t="s">
        <v>16</v>
      </c>
      <c r="D1711" s="9" t="s">
        <v>36</v>
      </c>
      <c r="E1711" s="9" t="s">
        <v>18</v>
      </c>
      <c r="F1711" s="9">
        <v>184</v>
      </c>
      <c r="G1711" s="9">
        <v>381.18</v>
      </c>
      <c r="H1711" s="9" t="s">
        <v>19</v>
      </c>
      <c r="I1711" s="9">
        <v>1</v>
      </c>
      <c r="J1711" s="10">
        <v>197.18</v>
      </c>
      <c r="K1711" s="9" t="str">
        <f>TEXT(Sales_of_Jordan[[#This Row],[Sale_Date]],"mmm")</f>
        <v>Sep</v>
      </c>
    </row>
    <row r="1712" spans="1:11" x14ac:dyDescent="0.35">
      <c r="A1712" s="7" t="s">
        <v>1742</v>
      </c>
      <c r="B1712" s="8">
        <v>45289</v>
      </c>
      <c r="C1712" s="9" t="s">
        <v>31</v>
      </c>
      <c r="D1712" s="9" t="s">
        <v>39</v>
      </c>
      <c r="E1712" s="9" t="s">
        <v>29</v>
      </c>
      <c r="F1712" s="9">
        <v>208</v>
      </c>
      <c r="G1712" s="9">
        <v>230.46</v>
      </c>
      <c r="H1712" s="9" t="s">
        <v>19</v>
      </c>
      <c r="I1712" s="9">
        <v>2</v>
      </c>
      <c r="J1712" s="10">
        <v>22.46</v>
      </c>
      <c r="K1712" s="9" t="str">
        <f>TEXT(Sales_of_Jordan[[#This Row],[Sale_Date]],"mmm")</f>
        <v>Dec</v>
      </c>
    </row>
    <row r="1713" spans="1:11" x14ac:dyDescent="0.35">
      <c r="A1713" s="7" t="s">
        <v>1743</v>
      </c>
      <c r="B1713" s="8">
        <v>45500</v>
      </c>
      <c r="C1713" s="9" t="s">
        <v>21</v>
      </c>
      <c r="D1713" s="9" t="s">
        <v>22</v>
      </c>
      <c r="E1713" s="9" t="s">
        <v>29</v>
      </c>
      <c r="F1713" s="9">
        <v>211</v>
      </c>
      <c r="G1713" s="9">
        <v>228.18</v>
      </c>
      <c r="H1713" s="9" t="s">
        <v>23</v>
      </c>
      <c r="I1713" s="9">
        <v>23</v>
      </c>
      <c r="J1713" s="10">
        <v>17.18</v>
      </c>
      <c r="K1713" s="9" t="str">
        <f>TEXT(Sales_of_Jordan[[#This Row],[Sale_Date]],"mmm")</f>
        <v>Jul</v>
      </c>
    </row>
    <row r="1714" spans="1:11" x14ac:dyDescent="0.35">
      <c r="A1714" s="7" t="s">
        <v>1744</v>
      </c>
      <c r="B1714" s="8">
        <v>45279</v>
      </c>
      <c r="C1714" s="9" t="s">
        <v>11</v>
      </c>
      <c r="D1714" s="9" t="s">
        <v>53</v>
      </c>
      <c r="E1714" s="9" t="s">
        <v>29</v>
      </c>
      <c r="F1714" s="9">
        <v>228</v>
      </c>
      <c r="G1714" s="9">
        <v>318.16000000000003</v>
      </c>
      <c r="H1714" s="9" t="s">
        <v>23</v>
      </c>
      <c r="I1714" s="9">
        <v>55</v>
      </c>
      <c r="J1714" s="10">
        <v>90.16</v>
      </c>
      <c r="K1714" s="9" t="str">
        <f>TEXT(Sales_of_Jordan[[#This Row],[Sale_Date]],"mmm")</f>
        <v>Dec</v>
      </c>
    </row>
    <row r="1715" spans="1:11" x14ac:dyDescent="0.35">
      <c r="A1715" s="7" t="s">
        <v>1745</v>
      </c>
      <c r="B1715" s="8">
        <v>45650</v>
      </c>
      <c r="C1715" s="9" t="s">
        <v>11</v>
      </c>
      <c r="D1715" s="9" t="s">
        <v>22</v>
      </c>
      <c r="E1715" s="9" t="s">
        <v>18</v>
      </c>
      <c r="F1715" s="9">
        <v>230</v>
      </c>
      <c r="G1715" s="9">
        <v>586.11</v>
      </c>
      <c r="H1715" s="9" t="s">
        <v>14</v>
      </c>
      <c r="I1715" s="9">
        <v>4</v>
      </c>
      <c r="J1715" s="10">
        <v>356.11</v>
      </c>
      <c r="K1715" s="9" t="str">
        <f>TEXT(Sales_of_Jordan[[#This Row],[Sale_Date]],"mmm")</f>
        <v>Dec</v>
      </c>
    </row>
    <row r="1716" spans="1:11" x14ac:dyDescent="0.35">
      <c r="A1716" s="7" t="s">
        <v>1746</v>
      </c>
      <c r="B1716" s="8">
        <v>45532</v>
      </c>
      <c r="C1716" s="9" t="s">
        <v>27</v>
      </c>
      <c r="D1716" s="9" t="s">
        <v>39</v>
      </c>
      <c r="E1716" s="9" t="s">
        <v>18</v>
      </c>
      <c r="F1716" s="9">
        <v>112</v>
      </c>
      <c r="G1716" s="9">
        <v>270.37</v>
      </c>
      <c r="H1716" s="9" t="s">
        <v>19</v>
      </c>
      <c r="I1716" s="9">
        <v>5</v>
      </c>
      <c r="J1716" s="10">
        <v>158.37</v>
      </c>
      <c r="K1716" s="9" t="str">
        <f>TEXT(Sales_of_Jordan[[#This Row],[Sale_Date]],"mmm")</f>
        <v>Aug</v>
      </c>
    </row>
    <row r="1717" spans="1:11" x14ac:dyDescent="0.35">
      <c r="A1717" s="7" t="s">
        <v>1747</v>
      </c>
      <c r="B1717" s="8">
        <v>45888</v>
      </c>
      <c r="C1717" s="9" t="s">
        <v>21</v>
      </c>
      <c r="D1717" s="9" t="s">
        <v>46</v>
      </c>
      <c r="E1717" s="9" t="s">
        <v>29</v>
      </c>
      <c r="F1717" s="9">
        <v>216</v>
      </c>
      <c r="G1717" s="9">
        <v>243.69</v>
      </c>
      <c r="H1717" s="9" t="s">
        <v>23</v>
      </c>
      <c r="I1717" s="9">
        <v>21</v>
      </c>
      <c r="J1717" s="10">
        <v>27.689999999999898</v>
      </c>
      <c r="K1717" s="9" t="str">
        <f>TEXT(Sales_of_Jordan[[#This Row],[Sale_Date]],"mmm")</f>
        <v>Aug</v>
      </c>
    </row>
    <row r="1718" spans="1:11" x14ac:dyDescent="0.35">
      <c r="A1718" s="7" t="s">
        <v>1748</v>
      </c>
      <c r="B1718" s="8">
        <v>45883</v>
      </c>
      <c r="C1718" s="9" t="s">
        <v>31</v>
      </c>
      <c r="D1718" s="9" t="s">
        <v>34</v>
      </c>
      <c r="E1718" s="9" t="s">
        <v>18</v>
      </c>
      <c r="F1718" s="9">
        <v>202</v>
      </c>
      <c r="G1718" s="9">
        <v>485.65</v>
      </c>
      <c r="H1718" s="9" t="s">
        <v>32</v>
      </c>
      <c r="I1718" s="9">
        <v>51</v>
      </c>
      <c r="J1718" s="10">
        <v>283.64999999999998</v>
      </c>
      <c r="K1718" s="9" t="str">
        <f>TEXT(Sales_of_Jordan[[#This Row],[Sale_Date]],"mmm")</f>
        <v>Aug</v>
      </c>
    </row>
    <row r="1719" spans="1:11" x14ac:dyDescent="0.35">
      <c r="A1719" s="7" t="s">
        <v>1749</v>
      </c>
      <c r="B1719" s="8">
        <v>45366</v>
      </c>
      <c r="C1719" s="9" t="s">
        <v>21</v>
      </c>
      <c r="D1719" s="9" t="s">
        <v>55</v>
      </c>
      <c r="E1719" s="9" t="s">
        <v>13</v>
      </c>
      <c r="F1719" s="9">
        <v>216</v>
      </c>
      <c r="G1719" s="9">
        <v>149.69</v>
      </c>
      <c r="H1719" s="9" t="s">
        <v>14</v>
      </c>
      <c r="I1719" s="9">
        <v>9</v>
      </c>
      <c r="J1719" s="10">
        <v>-66.31</v>
      </c>
      <c r="K1719" s="9" t="str">
        <f>TEXT(Sales_of_Jordan[[#This Row],[Sale_Date]],"mmm")</f>
        <v>Mar</v>
      </c>
    </row>
    <row r="1720" spans="1:11" x14ac:dyDescent="0.35">
      <c r="A1720" s="7" t="s">
        <v>1750</v>
      </c>
      <c r="B1720" s="8">
        <v>45824</v>
      </c>
      <c r="C1720" s="9" t="s">
        <v>27</v>
      </c>
      <c r="D1720" s="9" t="s">
        <v>36</v>
      </c>
      <c r="E1720" s="9" t="s">
        <v>18</v>
      </c>
      <c r="F1720" s="9">
        <v>117</v>
      </c>
      <c r="G1720" s="9">
        <v>146</v>
      </c>
      <c r="H1720" s="9" t="s">
        <v>32</v>
      </c>
      <c r="I1720" s="9">
        <v>31</v>
      </c>
      <c r="J1720" s="10">
        <v>29</v>
      </c>
      <c r="K1720" s="9" t="str">
        <f>TEXT(Sales_of_Jordan[[#This Row],[Sale_Date]],"mmm")</f>
        <v>Jun</v>
      </c>
    </row>
    <row r="1721" spans="1:11" x14ac:dyDescent="0.35">
      <c r="A1721" s="7" t="s">
        <v>1751</v>
      </c>
      <c r="B1721" s="8">
        <v>45262</v>
      </c>
      <c r="C1721" s="9" t="s">
        <v>11</v>
      </c>
      <c r="D1721" s="9" t="s">
        <v>17</v>
      </c>
      <c r="E1721" s="9" t="s">
        <v>18</v>
      </c>
      <c r="F1721" s="9">
        <v>229</v>
      </c>
      <c r="G1721" s="9">
        <v>568.87</v>
      </c>
      <c r="H1721" s="9" t="s">
        <v>32</v>
      </c>
      <c r="I1721" s="9">
        <v>33</v>
      </c>
      <c r="J1721" s="10">
        <v>339.87</v>
      </c>
      <c r="K1721" s="9" t="str">
        <f>TEXT(Sales_of_Jordan[[#This Row],[Sale_Date]],"mmm")</f>
        <v>Dec</v>
      </c>
    </row>
    <row r="1722" spans="1:11" x14ac:dyDescent="0.35">
      <c r="A1722" s="7" t="s">
        <v>1752</v>
      </c>
      <c r="B1722" s="8">
        <v>45165</v>
      </c>
      <c r="C1722" s="9" t="s">
        <v>31</v>
      </c>
      <c r="D1722" s="9" t="s">
        <v>17</v>
      </c>
      <c r="E1722" s="9" t="s">
        <v>13</v>
      </c>
      <c r="F1722" s="9">
        <v>209</v>
      </c>
      <c r="G1722" s="9">
        <v>152.22</v>
      </c>
      <c r="H1722" s="9" t="s">
        <v>14</v>
      </c>
      <c r="I1722" s="9">
        <v>14</v>
      </c>
      <c r="J1722" s="10">
        <v>-56.78</v>
      </c>
      <c r="K1722" s="9" t="str">
        <f>TEXT(Sales_of_Jordan[[#This Row],[Sale_Date]],"mmm")</f>
        <v>Aug</v>
      </c>
    </row>
    <row r="1723" spans="1:11" x14ac:dyDescent="0.35">
      <c r="A1723" s="7" t="s">
        <v>1753</v>
      </c>
      <c r="B1723" s="8">
        <v>45635</v>
      </c>
      <c r="C1723" s="9" t="s">
        <v>11</v>
      </c>
      <c r="D1723" s="9" t="s">
        <v>34</v>
      </c>
      <c r="E1723" s="9" t="s">
        <v>13</v>
      </c>
      <c r="F1723" s="9">
        <v>226</v>
      </c>
      <c r="G1723" s="9">
        <v>162.54</v>
      </c>
      <c r="H1723" s="9" t="s">
        <v>32</v>
      </c>
      <c r="I1723" s="9">
        <v>24</v>
      </c>
      <c r="J1723" s="10">
        <v>-63.46</v>
      </c>
      <c r="K1723" s="9" t="str">
        <f>TEXT(Sales_of_Jordan[[#This Row],[Sale_Date]],"mmm")</f>
        <v>Dec</v>
      </c>
    </row>
    <row r="1724" spans="1:11" x14ac:dyDescent="0.35">
      <c r="A1724" s="7" t="s">
        <v>1754</v>
      </c>
      <c r="B1724" s="8">
        <v>45011</v>
      </c>
      <c r="C1724" s="9" t="s">
        <v>16</v>
      </c>
      <c r="D1724" s="9" t="s">
        <v>46</v>
      </c>
      <c r="E1724" s="9" t="s">
        <v>13</v>
      </c>
      <c r="F1724" s="9">
        <v>188</v>
      </c>
      <c r="G1724" s="9">
        <v>139.30000000000001</v>
      </c>
      <c r="H1724" s="9" t="s">
        <v>25</v>
      </c>
      <c r="I1724" s="9">
        <v>25</v>
      </c>
      <c r="J1724" s="10">
        <v>-48.699999999999903</v>
      </c>
      <c r="K1724" s="9" t="str">
        <f>TEXT(Sales_of_Jordan[[#This Row],[Sale_Date]],"mmm")</f>
        <v>Mar</v>
      </c>
    </row>
    <row r="1725" spans="1:11" x14ac:dyDescent="0.35">
      <c r="A1725" s="7" t="s">
        <v>1755</v>
      </c>
      <c r="B1725" s="8">
        <v>45516</v>
      </c>
      <c r="C1725" s="9" t="s">
        <v>11</v>
      </c>
      <c r="D1725" s="9" t="s">
        <v>36</v>
      </c>
      <c r="E1725" s="9" t="s">
        <v>29</v>
      </c>
      <c r="F1725" s="9">
        <v>225</v>
      </c>
      <c r="G1725" s="9">
        <v>269.64999999999998</v>
      </c>
      <c r="H1725" s="9" t="s">
        <v>14</v>
      </c>
      <c r="I1725" s="9">
        <v>7</v>
      </c>
      <c r="J1725" s="10">
        <v>44.649999999999899</v>
      </c>
      <c r="K1725" s="9" t="str">
        <f>TEXT(Sales_of_Jordan[[#This Row],[Sale_Date]],"mmm")</f>
        <v>Aug</v>
      </c>
    </row>
    <row r="1726" spans="1:11" x14ac:dyDescent="0.35">
      <c r="A1726" s="7" t="s">
        <v>1756</v>
      </c>
      <c r="B1726" s="8">
        <v>45421</v>
      </c>
      <c r="C1726" s="9" t="s">
        <v>31</v>
      </c>
      <c r="D1726" s="9" t="s">
        <v>22</v>
      </c>
      <c r="E1726" s="9" t="s">
        <v>18</v>
      </c>
      <c r="F1726" s="9">
        <v>205</v>
      </c>
      <c r="G1726" s="9">
        <v>613.16</v>
      </c>
      <c r="H1726" s="9" t="s">
        <v>25</v>
      </c>
      <c r="I1726" s="9">
        <v>55</v>
      </c>
      <c r="J1726" s="10">
        <v>408.159999999999</v>
      </c>
      <c r="K1726" s="9" t="str">
        <f>TEXT(Sales_of_Jordan[[#This Row],[Sale_Date]],"mmm")</f>
        <v>May</v>
      </c>
    </row>
    <row r="1727" spans="1:11" x14ac:dyDescent="0.35">
      <c r="A1727" s="7" t="s">
        <v>1757</v>
      </c>
      <c r="B1727" s="8">
        <v>45035</v>
      </c>
      <c r="C1727" s="9" t="s">
        <v>16</v>
      </c>
      <c r="D1727" s="9" t="s">
        <v>53</v>
      </c>
      <c r="E1727" s="9" t="s">
        <v>29</v>
      </c>
      <c r="F1727" s="9">
        <v>177</v>
      </c>
      <c r="G1727" s="9">
        <v>187.12</v>
      </c>
      <c r="H1727" s="9" t="s">
        <v>32</v>
      </c>
      <c r="I1727" s="9">
        <v>50</v>
      </c>
      <c r="J1727" s="10">
        <v>10.119999999999999</v>
      </c>
      <c r="K1727" s="9" t="str">
        <f>TEXT(Sales_of_Jordan[[#This Row],[Sale_Date]],"mmm")</f>
        <v>Apr</v>
      </c>
    </row>
    <row r="1728" spans="1:11" x14ac:dyDescent="0.35">
      <c r="A1728" s="7" t="s">
        <v>1758</v>
      </c>
      <c r="B1728" s="8">
        <v>45856</v>
      </c>
      <c r="C1728" s="9" t="s">
        <v>16</v>
      </c>
      <c r="D1728" s="9" t="s">
        <v>12</v>
      </c>
      <c r="E1728" s="9" t="s">
        <v>18</v>
      </c>
      <c r="F1728" s="9">
        <v>181</v>
      </c>
      <c r="G1728" s="9">
        <v>449.83</v>
      </c>
      <c r="H1728" s="9" t="s">
        <v>23</v>
      </c>
      <c r="I1728" s="9">
        <v>8</v>
      </c>
      <c r="J1728" s="10">
        <v>268.83</v>
      </c>
      <c r="K1728" s="9" t="str">
        <f>TEXT(Sales_of_Jordan[[#This Row],[Sale_Date]],"mmm")</f>
        <v>Jul</v>
      </c>
    </row>
    <row r="1729" spans="1:11" x14ac:dyDescent="0.35">
      <c r="A1729" s="7" t="s">
        <v>1759</v>
      </c>
      <c r="B1729" s="8">
        <v>45723</v>
      </c>
      <c r="C1729" s="9" t="s">
        <v>21</v>
      </c>
      <c r="D1729" s="9" t="s">
        <v>12</v>
      </c>
      <c r="E1729" s="9" t="s">
        <v>29</v>
      </c>
      <c r="F1729" s="9">
        <v>223</v>
      </c>
      <c r="G1729" s="9">
        <v>212.72</v>
      </c>
      <c r="H1729" s="9" t="s">
        <v>19</v>
      </c>
      <c r="I1729" s="9">
        <v>2</v>
      </c>
      <c r="J1729" s="10">
        <v>-10.28</v>
      </c>
      <c r="K1729" s="9" t="str">
        <f>TEXT(Sales_of_Jordan[[#This Row],[Sale_Date]],"mmm")</f>
        <v>Mar</v>
      </c>
    </row>
    <row r="1730" spans="1:11" x14ac:dyDescent="0.35">
      <c r="A1730" s="7" t="s">
        <v>1760</v>
      </c>
      <c r="B1730" s="8">
        <v>45299</v>
      </c>
      <c r="C1730" s="9" t="s">
        <v>11</v>
      </c>
      <c r="D1730" s="9" t="s">
        <v>39</v>
      </c>
      <c r="E1730" s="9" t="s">
        <v>29</v>
      </c>
      <c r="F1730" s="9">
        <v>229</v>
      </c>
      <c r="G1730" s="9">
        <v>241.28</v>
      </c>
      <c r="H1730" s="9" t="s">
        <v>19</v>
      </c>
      <c r="I1730" s="9">
        <v>7</v>
      </c>
      <c r="J1730" s="10">
        <v>12.28</v>
      </c>
      <c r="K1730" s="9" t="str">
        <f>TEXT(Sales_of_Jordan[[#This Row],[Sale_Date]],"mmm")</f>
        <v>Jan</v>
      </c>
    </row>
    <row r="1731" spans="1:11" x14ac:dyDescent="0.35">
      <c r="A1731" s="7" t="s">
        <v>1761</v>
      </c>
      <c r="B1731" s="8">
        <v>45602</v>
      </c>
      <c r="C1731" s="9" t="s">
        <v>31</v>
      </c>
      <c r="D1731" s="9" t="s">
        <v>39</v>
      </c>
      <c r="E1731" s="9" t="s">
        <v>29</v>
      </c>
      <c r="F1731" s="9">
        <v>204</v>
      </c>
      <c r="G1731" s="9">
        <v>265.55</v>
      </c>
      <c r="H1731" s="9" t="s">
        <v>25</v>
      </c>
      <c r="I1731" s="9">
        <v>5</v>
      </c>
      <c r="J1731" s="10">
        <v>61.55</v>
      </c>
      <c r="K1731" s="9" t="str">
        <f>TEXT(Sales_of_Jordan[[#This Row],[Sale_Date]],"mmm")</f>
        <v>Nov</v>
      </c>
    </row>
    <row r="1732" spans="1:11" x14ac:dyDescent="0.35">
      <c r="A1732" s="7" t="s">
        <v>1762</v>
      </c>
      <c r="B1732" s="8">
        <v>45692</v>
      </c>
      <c r="C1732" s="9" t="s">
        <v>16</v>
      </c>
      <c r="D1732" s="9" t="s">
        <v>55</v>
      </c>
      <c r="E1732" s="9" t="s">
        <v>13</v>
      </c>
      <c r="F1732" s="9">
        <v>179</v>
      </c>
      <c r="G1732" s="9">
        <v>112.4</v>
      </c>
      <c r="H1732" s="9" t="s">
        <v>14</v>
      </c>
      <c r="I1732" s="9">
        <v>1</v>
      </c>
      <c r="J1732" s="10">
        <v>-66.599999999999994</v>
      </c>
      <c r="K1732" s="9" t="str">
        <f>TEXT(Sales_of_Jordan[[#This Row],[Sale_Date]],"mmm")</f>
        <v>Feb</v>
      </c>
    </row>
    <row r="1733" spans="1:11" x14ac:dyDescent="0.35">
      <c r="A1733" s="7" t="s">
        <v>1763</v>
      </c>
      <c r="B1733" s="8">
        <v>45654</v>
      </c>
      <c r="C1733" s="9" t="s">
        <v>16</v>
      </c>
      <c r="D1733" s="9" t="s">
        <v>22</v>
      </c>
      <c r="E1733" s="9" t="s">
        <v>18</v>
      </c>
      <c r="F1733" s="9">
        <v>188</v>
      </c>
      <c r="G1733" s="9">
        <v>376.52</v>
      </c>
      <c r="H1733" s="9" t="s">
        <v>14</v>
      </c>
      <c r="I1733" s="9">
        <v>3</v>
      </c>
      <c r="J1733" s="10">
        <v>188.51999999999899</v>
      </c>
      <c r="K1733" s="9" t="str">
        <f>TEXT(Sales_of_Jordan[[#This Row],[Sale_Date]],"mmm")</f>
        <v>Dec</v>
      </c>
    </row>
    <row r="1734" spans="1:11" x14ac:dyDescent="0.35">
      <c r="A1734" s="7" t="s">
        <v>1764</v>
      </c>
      <c r="B1734" s="8">
        <v>45735</v>
      </c>
      <c r="C1734" s="9" t="s">
        <v>27</v>
      </c>
      <c r="D1734" s="9" t="s">
        <v>39</v>
      </c>
      <c r="E1734" s="9" t="s">
        <v>13</v>
      </c>
      <c r="F1734" s="9">
        <v>140</v>
      </c>
      <c r="G1734" s="9">
        <v>86.81</v>
      </c>
      <c r="H1734" s="9" t="s">
        <v>19</v>
      </c>
      <c r="I1734" s="9">
        <v>14</v>
      </c>
      <c r="J1734" s="10">
        <v>-53.19</v>
      </c>
      <c r="K1734" s="9" t="str">
        <f>TEXT(Sales_of_Jordan[[#This Row],[Sale_Date]],"mmm")</f>
        <v>Mar</v>
      </c>
    </row>
    <row r="1735" spans="1:11" x14ac:dyDescent="0.35">
      <c r="A1735" s="7" t="s">
        <v>1765</v>
      </c>
      <c r="B1735" s="8">
        <v>45804</v>
      </c>
      <c r="C1735" s="9" t="s">
        <v>31</v>
      </c>
      <c r="D1735" s="9" t="s">
        <v>22</v>
      </c>
      <c r="E1735" s="9" t="s">
        <v>29</v>
      </c>
      <c r="F1735" s="9">
        <v>202</v>
      </c>
      <c r="G1735" s="9">
        <v>221.06</v>
      </c>
      <c r="H1735" s="9" t="s">
        <v>25</v>
      </c>
      <c r="I1735" s="9">
        <v>44</v>
      </c>
      <c r="J1735" s="10">
        <v>19.059999999999999</v>
      </c>
      <c r="K1735" s="9" t="str">
        <f>TEXT(Sales_of_Jordan[[#This Row],[Sale_Date]],"mmm")</f>
        <v>May</v>
      </c>
    </row>
    <row r="1736" spans="1:11" x14ac:dyDescent="0.35">
      <c r="A1736" s="7" t="s">
        <v>1766</v>
      </c>
      <c r="B1736" s="8">
        <v>44965</v>
      </c>
      <c r="C1736" s="9" t="s">
        <v>16</v>
      </c>
      <c r="D1736" s="9" t="s">
        <v>36</v>
      </c>
      <c r="E1736" s="9" t="s">
        <v>29</v>
      </c>
      <c r="F1736" s="9">
        <v>186</v>
      </c>
      <c r="G1736" s="9">
        <v>191.31</v>
      </c>
      <c r="H1736" s="9" t="s">
        <v>32</v>
      </c>
      <c r="I1736" s="9">
        <v>45</v>
      </c>
      <c r="J1736" s="10">
        <v>5.31</v>
      </c>
      <c r="K1736" s="9" t="str">
        <f>TEXT(Sales_of_Jordan[[#This Row],[Sale_Date]],"mmm")</f>
        <v>Feb</v>
      </c>
    </row>
    <row r="1737" spans="1:11" x14ac:dyDescent="0.35">
      <c r="A1737" s="7" t="s">
        <v>1767</v>
      </c>
      <c r="B1737" s="8">
        <v>45529</v>
      </c>
      <c r="C1737" s="9" t="s">
        <v>31</v>
      </c>
      <c r="D1737" s="9" t="s">
        <v>53</v>
      </c>
      <c r="E1737" s="9" t="s">
        <v>13</v>
      </c>
      <c r="F1737" s="9">
        <v>208</v>
      </c>
      <c r="G1737" s="9">
        <v>142.38999999999999</v>
      </c>
      <c r="H1737" s="9" t="s">
        <v>23</v>
      </c>
      <c r="I1737" s="9">
        <v>56</v>
      </c>
      <c r="J1737" s="10">
        <v>-65.61</v>
      </c>
      <c r="K1737" s="9" t="str">
        <f>TEXT(Sales_of_Jordan[[#This Row],[Sale_Date]],"mmm")</f>
        <v>Aug</v>
      </c>
    </row>
    <row r="1738" spans="1:11" x14ac:dyDescent="0.35">
      <c r="A1738" s="7" t="s">
        <v>1768</v>
      </c>
      <c r="B1738" s="8">
        <v>45554</v>
      </c>
      <c r="C1738" s="9" t="s">
        <v>11</v>
      </c>
      <c r="D1738" s="9" t="s">
        <v>17</v>
      </c>
      <c r="E1738" s="9" t="s">
        <v>18</v>
      </c>
      <c r="F1738" s="9">
        <v>227</v>
      </c>
      <c r="G1738" s="9">
        <v>709.32</v>
      </c>
      <c r="H1738" s="9" t="s">
        <v>23</v>
      </c>
      <c r="I1738" s="9">
        <v>31</v>
      </c>
      <c r="J1738" s="10">
        <v>482.32</v>
      </c>
      <c r="K1738" s="9" t="str">
        <f>TEXT(Sales_of_Jordan[[#This Row],[Sale_Date]],"mmm")</f>
        <v>Sep</v>
      </c>
    </row>
    <row r="1739" spans="1:11" x14ac:dyDescent="0.35">
      <c r="A1739" s="7" t="s">
        <v>1769</v>
      </c>
      <c r="B1739" s="8">
        <v>45036</v>
      </c>
      <c r="C1739" s="9" t="s">
        <v>16</v>
      </c>
      <c r="D1739" s="9" t="s">
        <v>39</v>
      </c>
      <c r="E1739" s="9" t="s">
        <v>18</v>
      </c>
      <c r="F1739" s="9">
        <v>189</v>
      </c>
      <c r="G1739" s="9">
        <v>470.59</v>
      </c>
      <c r="H1739" s="9" t="s">
        <v>32</v>
      </c>
      <c r="I1739" s="9">
        <v>60</v>
      </c>
      <c r="J1739" s="10">
        <v>281.58999999999997</v>
      </c>
      <c r="K1739" s="9" t="str">
        <f>TEXT(Sales_of_Jordan[[#This Row],[Sale_Date]],"mmm")</f>
        <v>Apr</v>
      </c>
    </row>
    <row r="1740" spans="1:11" x14ac:dyDescent="0.35">
      <c r="A1740" s="7" t="s">
        <v>1770</v>
      </c>
      <c r="B1740" s="8">
        <v>45770</v>
      </c>
      <c r="C1740" s="9" t="s">
        <v>11</v>
      </c>
      <c r="D1740" s="9" t="s">
        <v>46</v>
      </c>
      <c r="E1740" s="9" t="s">
        <v>18</v>
      </c>
      <c r="F1740" s="9">
        <v>226</v>
      </c>
      <c r="G1740" s="9">
        <v>740.22</v>
      </c>
      <c r="H1740" s="9" t="s">
        <v>23</v>
      </c>
      <c r="I1740" s="9">
        <v>46</v>
      </c>
      <c r="J1740" s="10">
        <v>514.22</v>
      </c>
      <c r="K1740" s="9" t="str">
        <f>TEXT(Sales_of_Jordan[[#This Row],[Sale_Date]],"mmm")</f>
        <v>Apr</v>
      </c>
    </row>
    <row r="1741" spans="1:11" x14ac:dyDescent="0.35">
      <c r="A1741" s="7" t="s">
        <v>1771</v>
      </c>
      <c r="B1741" s="8">
        <v>45092</v>
      </c>
      <c r="C1741" s="9" t="s">
        <v>27</v>
      </c>
      <c r="D1741" s="9" t="s">
        <v>39</v>
      </c>
      <c r="E1741" s="9" t="s">
        <v>18</v>
      </c>
      <c r="F1741" s="9">
        <v>137</v>
      </c>
      <c r="G1741" s="9">
        <v>435.8</v>
      </c>
      <c r="H1741" s="9" t="s">
        <v>25</v>
      </c>
      <c r="I1741" s="9">
        <v>5</v>
      </c>
      <c r="J1741" s="10">
        <v>298.8</v>
      </c>
      <c r="K1741" s="9" t="str">
        <f>TEXT(Sales_of_Jordan[[#This Row],[Sale_Date]],"mmm")</f>
        <v>Jun</v>
      </c>
    </row>
    <row r="1742" spans="1:11" x14ac:dyDescent="0.35">
      <c r="A1742" s="7" t="s">
        <v>1772</v>
      </c>
      <c r="B1742" s="8">
        <v>45093</v>
      </c>
      <c r="C1742" s="9" t="s">
        <v>16</v>
      </c>
      <c r="D1742" s="9" t="s">
        <v>53</v>
      </c>
      <c r="E1742" s="9" t="s">
        <v>13</v>
      </c>
      <c r="F1742" s="9">
        <v>183</v>
      </c>
      <c r="G1742" s="9">
        <v>92.54</v>
      </c>
      <c r="H1742" s="9" t="s">
        <v>19</v>
      </c>
      <c r="I1742" s="9">
        <v>6</v>
      </c>
      <c r="J1742" s="10">
        <v>-90.46</v>
      </c>
      <c r="K1742" s="9" t="str">
        <f>TEXT(Sales_of_Jordan[[#This Row],[Sale_Date]],"mmm")</f>
        <v>Jun</v>
      </c>
    </row>
    <row r="1743" spans="1:11" x14ac:dyDescent="0.35">
      <c r="A1743" s="7" t="s">
        <v>1773</v>
      </c>
      <c r="B1743" s="8">
        <v>45178</v>
      </c>
      <c r="C1743" s="9" t="s">
        <v>11</v>
      </c>
      <c r="D1743" s="9" t="s">
        <v>17</v>
      </c>
      <c r="E1743" s="9" t="s">
        <v>29</v>
      </c>
      <c r="F1743" s="9">
        <v>225</v>
      </c>
      <c r="G1743" s="9">
        <v>276.31</v>
      </c>
      <c r="H1743" s="9" t="s">
        <v>19</v>
      </c>
      <c r="I1743" s="9">
        <v>14</v>
      </c>
      <c r="J1743" s="10">
        <v>51.31</v>
      </c>
      <c r="K1743" s="9" t="str">
        <f>TEXT(Sales_of_Jordan[[#This Row],[Sale_Date]],"mmm")</f>
        <v>Sep</v>
      </c>
    </row>
    <row r="1744" spans="1:11" x14ac:dyDescent="0.35">
      <c r="A1744" s="7" t="s">
        <v>1774</v>
      </c>
      <c r="B1744" s="8">
        <v>45121</v>
      </c>
      <c r="C1744" s="9" t="s">
        <v>11</v>
      </c>
      <c r="D1744" s="9" t="s">
        <v>39</v>
      </c>
      <c r="E1744" s="9" t="s">
        <v>13</v>
      </c>
      <c r="F1744" s="9">
        <v>226</v>
      </c>
      <c r="G1744" s="9">
        <v>117.94</v>
      </c>
      <c r="H1744" s="9" t="s">
        <v>19</v>
      </c>
      <c r="I1744" s="9">
        <v>4</v>
      </c>
      <c r="J1744" s="10">
        <v>-108.06</v>
      </c>
      <c r="K1744" s="9" t="str">
        <f>TEXT(Sales_of_Jordan[[#This Row],[Sale_Date]],"mmm")</f>
        <v>Jul</v>
      </c>
    </row>
    <row r="1745" spans="1:11" x14ac:dyDescent="0.35">
      <c r="A1745" s="7" t="s">
        <v>1775</v>
      </c>
      <c r="B1745" s="8">
        <v>45626</v>
      </c>
      <c r="C1745" s="9" t="s">
        <v>27</v>
      </c>
      <c r="D1745" s="9" t="s">
        <v>53</v>
      </c>
      <c r="E1745" s="9" t="s">
        <v>13</v>
      </c>
      <c r="F1745" s="9">
        <v>138</v>
      </c>
      <c r="G1745" s="9">
        <v>77.599999999999994</v>
      </c>
      <c r="H1745" s="9" t="s">
        <v>19</v>
      </c>
      <c r="I1745" s="9">
        <v>3</v>
      </c>
      <c r="J1745" s="10">
        <v>-60.4</v>
      </c>
      <c r="K1745" s="9" t="str">
        <f>TEXT(Sales_of_Jordan[[#This Row],[Sale_Date]],"mmm")</f>
        <v>Nov</v>
      </c>
    </row>
    <row r="1746" spans="1:11" x14ac:dyDescent="0.35">
      <c r="A1746" s="7" t="s">
        <v>1776</v>
      </c>
      <c r="B1746" s="8">
        <v>45278</v>
      </c>
      <c r="C1746" s="9" t="s">
        <v>11</v>
      </c>
      <c r="D1746" s="9" t="s">
        <v>55</v>
      </c>
      <c r="E1746" s="9" t="s">
        <v>18</v>
      </c>
      <c r="F1746" s="9">
        <v>227</v>
      </c>
      <c r="G1746" s="9">
        <v>383.72</v>
      </c>
      <c r="H1746" s="9" t="s">
        <v>19</v>
      </c>
      <c r="I1746" s="9">
        <v>1</v>
      </c>
      <c r="J1746" s="10">
        <v>156.72</v>
      </c>
      <c r="K1746" s="9" t="str">
        <f>TEXT(Sales_of_Jordan[[#This Row],[Sale_Date]],"mmm")</f>
        <v>Dec</v>
      </c>
    </row>
    <row r="1747" spans="1:11" x14ac:dyDescent="0.35">
      <c r="A1747" s="7" t="s">
        <v>1777</v>
      </c>
      <c r="B1747" s="8">
        <v>45645</v>
      </c>
      <c r="C1747" s="9" t="s">
        <v>21</v>
      </c>
      <c r="D1747" s="9" t="s">
        <v>12</v>
      </c>
      <c r="E1747" s="9" t="s">
        <v>18</v>
      </c>
      <c r="F1747" s="9">
        <v>216</v>
      </c>
      <c r="G1747" s="9">
        <v>704.11</v>
      </c>
      <c r="H1747" s="9" t="s">
        <v>32</v>
      </c>
      <c r="I1747" s="9">
        <v>8</v>
      </c>
      <c r="J1747" s="10">
        <v>488.11</v>
      </c>
      <c r="K1747" s="9" t="str">
        <f>TEXT(Sales_of_Jordan[[#This Row],[Sale_Date]],"mmm")</f>
        <v>Dec</v>
      </c>
    </row>
    <row r="1748" spans="1:11" x14ac:dyDescent="0.35">
      <c r="A1748" s="7" t="s">
        <v>1778</v>
      </c>
      <c r="B1748" s="8">
        <v>45694</v>
      </c>
      <c r="C1748" s="9" t="s">
        <v>11</v>
      </c>
      <c r="D1748" s="9" t="s">
        <v>12</v>
      </c>
      <c r="E1748" s="9" t="s">
        <v>13</v>
      </c>
      <c r="F1748" s="9">
        <v>228</v>
      </c>
      <c r="G1748" s="9">
        <v>147.81</v>
      </c>
      <c r="H1748" s="9" t="s">
        <v>23</v>
      </c>
      <c r="I1748" s="9">
        <v>36</v>
      </c>
      <c r="J1748" s="10">
        <v>-80.19</v>
      </c>
      <c r="K1748" s="9" t="str">
        <f>TEXT(Sales_of_Jordan[[#This Row],[Sale_Date]],"mmm")</f>
        <v>Feb</v>
      </c>
    </row>
    <row r="1749" spans="1:11" x14ac:dyDescent="0.35">
      <c r="A1749" s="7" t="s">
        <v>1779</v>
      </c>
      <c r="B1749" s="8">
        <v>45838</v>
      </c>
      <c r="C1749" s="9" t="s">
        <v>31</v>
      </c>
      <c r="D1749" s="9" t="s">
        <v>39</v>
      </c>
      <c r="E1749" s="9" t="s">
        <v>13</v>
      </c>
      <c r="F1749" s="9">
        <v>200</v>
      </c>
      <c r="G1749" s="9">
        <v>173.88</v>
      </c>
      <c r="H1749" s="9" t="s">
        <v>19</v>
      </c>
      <c r="I1749" s="9">
        <v>9</v>
      </c>
      <c r="J1749" s="10">
        <v>-26.12</v>
      </c>
      <c r="K1749" s="9" t="str">
        <f>TEXT(Sales_of_Jordan[[#This Row],[Sale_Date]],"mmm")</f>
        <v>Jun</v>
      </c>
    </row>
    <row r="1750" spans="1:11" x14ac:dyDescent="0.35">
      <c r="A1750" s="7" t="s">
        <v>1780</v>
      </c>
      <c r="B1750" s="8">
        <v>45179</v>
      </c>
      <c r="C1750" s="9" t="s">
        <v>27</v>
      </c>
      <c r="D1750" s="9" t="s">
        <v>36</v>
      </c>
      <c r="E1750" s="9" t="s">
        <v>13</v>
      </c>
      <c r="F1750" s="9">
        <v>115</v>
      </c>
      <c r="G1750" s="9">
        <v>94.98</v>
      </c>
      <c r="H1750" s="9" t="s">
        <v>23</v>
      </c>
      <c r="I1750" s="9">
        <v>13</v>
      </c>
      <c r="J1750" s="10">
        <v>-20.0199999999999</v>
      </c>
      <c r="K1750" s="9" t="str">
        <f>TEXT(Sales_of_Jordan[[#This Row],[Sale_Date]],"mmm")</f>
        <v>Sep</v>
      </c>
    </row>
    <row r="1751" spans="1:11" x14ac:dyDescent="0.35">
      <c r="A1751" s="7" t="s">
        <v>1781</v>
      </c>
      <c r="B1751" s="8">
        <v>45396</v>
      </c>
      <c r="C1751" s="9" t="s">
        <v>27</v>
      </c>
      <c r="D1751" s="9" t="s">
        <v>34</v>
      </c>
      <c r="E1751" s="9" t="s">
        <v>18</v>
      </c>
      <c r="F1751" s="9">
        <v>139</v>
      </c>
      <c r="G1751" s="9">
        <v>375.14</v>
      </c>
      <c r="H1751" s="9" t="s">
        <v>32</v>
      </c>
      <c r="I1751" s="9">
        <v>7</v>
      </c>
      <c r="J1751" s="10">
        <v>236.14</v>
      </c>
      <c r="K1751" s="9" t="str">
        <f>TEXT(Sales_of_Jordan[[#This Row],[Sale_Date]],"mmm")</f>
        <v>Apr</v>
      </c>
    </row>
    <row r="1752" spans="1:11" x14ac:dyDescent="0.35">
      <c r="A1752" s="7" t="s">
        <v>1782</v>
      </c>
      <c r="B1752" s="8">
        <v>45858</v>
      </c>
      <c r="C1752" s="9" t="s">
        <v>11</v>
      </c>
      <c r="D1752" s="9" t="s">
        <v>39</v>
      </c>
      <c r="E1752" s="9" t="s">
        <v>29</v>
      </c>
      <c r="F1752" s="9">
        <v>229</v>
      </c>
      <c r="G1752" s="9">
        <v>321.68</v>
      </c>
      <c r="H1752" s="9" t="s">
        <v>32</v>
      </c>
      <c r="I1752" s="9">
        <v>17</v>
      </c>
      <c r="J1752" s="10">
        <v>92.68</v>
      </c>
      <c r="K1752" s="9" t="str">
        <f>TEXT(Sales_of_Jordan[[#This Row],[Sale_Date]],"mmm")</f>
        <v>Jul</v>
      </c>
    </row>
    <row r="1753" spans="1:11" x14ac:dyDescent="0.35">
      <c r="A1753" s="7" t="s">
        <v>1783</v>
      </c>
      <c r="B1753" s="8">
        <v>45341</v>
      </c>
      <c r="C1753" s="9" t="s">
        <v>11</v>
      </c>
      <c r="D1753" s="9" t="s">
        <v>22</v>
      </c>
      <c r="E1753" s="9" t="s">
        <v>18</v>
      </c>
      <c r="F1753" s="9">
        <v>226</v>
      </c>
      <c r="G1753" s="9">
        <v>297.32</v>
      </c>
      <c r="H1753" s="9" t="s">
        <v>19</v>
      </c>
      <c r="I1753" s="9">
        <v>7</v>
      </c>
      <c r="J1753" s="10">
        <v>71.319999999999993</v>
      </c>
      <c r="K1753" s="9" t="str">
        <f>TEXT(Sales_of_Jordan[[#This Row],[Sale_Date]],"mmm")</f>
        <v>Feb</v>
      </c>
    </row>
    <row r="1754" spans="1:11" x14ac:dyDescent="0.35">
      <c r="A1754" s="7" t="s">
        <v>1784</v>
      </c>
      <c r="B1754" s="8">
        <v>45808</v>
      </c>
      <c r="C1754" s="9" t="s">
        <v>31</v>
      </c>
      <c r="D1754" s="9" t="s">
        <v>55</v>
      </c>
      <c r="E1754" s="9" t="s">
        <v>18</v>
      </c>
      <c r="F1754" s="9">
        <v>206</v>
      </c>
      <c r="G1754" s="9">
        <v>395.02</v>
      </c>
      <c r="H1754" s="9" t="s">
        <v>32</v>
      </c>
      <c r="I1754" s="9">
        <v>55</v>
      </c>
      <c r="J1754" s="10">
        <v>189.01999999999899</v>
      </c>
      <c r="K1754" s="9" t="str">
        <f>TEXT(Sales_of_Jordan[[#This Row],[Sale_Date]],"mmm")</f>
        <v>May</v>
      </c>
    </row>
    <row r="1755" spans="1:11" x14ac:dyDescent="0.35">
      <c r="A1755" s="7" t="s">
        <v>1785</v>
      </c>
      <c r="B1755" s="8">
        <v>45096</v>
      </c>
      <c r="C1755" s="9" t="s">
        <v>16</v>
      </c>
      <c r="D1755" s="9" t="s">
        <v>39</v>
      </c>
      <c r="E1755" s="9" t="s">
        <v>13</v>
      </c>
      <c r="F1755" s="9">
        <v>181</v>
      </c>
      <c r="G1755" s="9">
        <v>130.29</v>
      </c>
      <c r="H1755" s="9" t="s">
        <v>23</v>
      </c>
      <c r="I1755" s="9">
        <v>38</v>
      </c>
      <c r="J1755" s="10">
        <v>-50.71</v>
      </c>
      <c r="K1755" s="9" t="str">
        <f>TEXT(Sales_of_Jordan[[#This Row],[Sale_Date]],"mmm")</f>
        <v>Jun</v>
      </c>
    </row>
    <row r="1756" spans="1:11" x14ac:dyDescent="0.35">
      <c r="A1756" s="7" t="s">
        <v>1786</v>
      </c>
      <c r="B1756" s="8">
        <v>45314</v>
      </c>
      <c r="C1756" s="9" t="s">
        <v>31</v>
      </c>
      <c r="D1756" s="9" t="s">
        <v>17</v>
      </c>
      <c r="E1756" s="9" t="s">
        <v>13</v>
      </c>
      <c r="F1756" s="9">
        <v>202</v>
      </c>
      <c r="G1756" s="9">
        <v>115.44</v>
      </c>
      <c r="H1756" s="9" t="s">
        <v>25</v>
      </c>
      <c r="I1756" s="9">
        <v>52</v>
      </c>
      <c r="J1756" s="10">
        <v>-86.56</v>
      </c>
      <c r="K1756" s="9" t="str">
        <f>TEXT(Sales_of_Jordan[[#This Row],[Sale_Date]],"mmm")</f>
        <v>Jan</v>
      </c>
    </row>
    <row r="1757" spans="1:11" x14ac:dyDescent="0.35">
      <c r="A1757" s="7" t="s">
        <v>1787</v>
      </c>
      <c r="B1757" s="8">
        <v>45428</v>
      </c>
      <c r="C1757" s="9" t="s">
        <v>11</v>
      </c>
      <c r="D1757" s="9" t="s">
        <v>17</v>
      </c>
      <c r="E1757" s="9" t="s">
        <v>13</v>
      </c>
      <c r="F1757" s="9">
        <v>230</v>
      </c>
      <c r="G1757" s="9">
        <v>133.81</v>
      </c>
      <c r="H1757" s="9" t="s">
        <v>23</v>
      </c>
      <c r="I1757" s="9">
        <v>41</v>
      </c>
      <c r="J1757" s="10">
        <v>-96.19</v>
      </c>
      <c r="K1757" s="9" t="str">
        <f>TEXT(Sales_of_Jordan[[#This Row],[Sale_Date]],"mmm")</f>
        <v>May</v>
      </c>
    </row>
    <row r="1758" spans="1:11" x14ac:dyDescent="0.35">
      <c r="A1758" s="7" t="s">
        <v>1788</v>
      </c>
      <c r="B1758" s="8">
        <v>45591</v>
      </c>
      <c r="C1758" s="9" t="s">
        <v>31</v>
      </c>
      <c r="D1758" s="9" t="s">
        <v>53</v>
      </c>
      <c r="E1758" s="9" t="s">
        <v>29</v>
      </c>
      <c r="F1758" s="9">
        <v>209</v>
      </c>
      <c r="G1758" s="9">
        <v>294.81</v>
      </c>
      <c r="H1758" s="9" t="s">
        <v>25</v>
      </c>
      <c r="I1758" s="9">
        <v>12</v>
      </c>
      <c r="J1758" s="10">
        <v>85.81</v>
      </c>
      <c r="K1758" s="9" t="str">
        <f>TEXT(Sales_of_Jordan[[#This Row],[Sale_Date]],"mmm")</f>
        <v>Oct</v>
      </c>
    </row>
    <row r="1759" spans="1:11" x14ac:dyDescent="0.35">
      <c r="A1759" s="7" t="s">
        <v>1789</v>
      </c>
      <c r="B1759" s="8">
        <v>45483</v>
      </c>
      <c r="C1759" s="9" t="s">
        <v>11</v>
      </c>
      <c r="D1759" s="9" t="s">
        <v>53</v>
      </c>
      <c r="E1759" s="9" t="s">
        <v>29</v>
      </c>
      <c r="F1759" s="9">
        <v>230</v>
      </c>
      <c r="G1759" s="9">
        <v>315.01</v>
      </c>
      <c r="H1759" s="9" t="s">
        <v>14</v>
      </c>
      <c r="I1759" s="9">
        <v>9</v>
      </c>
      <c r="J1759" s="10">
        <v>85.009999999999906</v>
      </c>
      <c r="K1759" s="9" t="str">
        <f>TEXT(Sales_of_Jordan[[#This Row],[Sale_Date]],"mmm")</f>
        <v>Jul</v>
      </c>
    </row>
    <row r="1760" spans="1:11" x14ac:dyDescent="0.35">
      <c r="A1760" s="7" t="s">
        <v>1790</v>
      </c>
      <c r="B1760" s="8">
        <v>45862</v>
      </c>
      <c r="C1760" s="9" t="s">
        <v>16</v>
      </c>
      <c r="D1760" s="9" t="s">
        <v>22</v>
      </c>
      <c r="E1760" s="9" t="s">
        <v>18</v>
      </c>
      <c r="F1760" s="9">
        <v>189</v>
      </c>
      <c r="G1760" s="9">
        <v>602.59</v>
      </c>
      <c r="H1760" s="9" t="s">
        <v>14</v>
      </c>
      <c r="I1760" s="9">
        <v>13</v>
      </c>
      <c r="J1760" s="10">
        <v>413.59</v>
      </c>
      <c r="K1760" s="9" t="str">
        <f>TEXT(Sales_of_Jordan[[#This Row],[Sale_Date]],"mmm")</f>
        <v>Jul</v>
      </c>
    </row>
    <row r="1761" spans="1:11" x14ac:dyDescent="0.35">
      <c r="A1761" s="7" t="s">
        <v>1791</v>
      </c>
      <c r="B1761" s="8">
        <v>45213</v>
      </c>
      <c r="C1761" s="9" t="s">
        <v>31</v>
      </c>
      <c r="D1761" s="9" t="s">
        <v>17</v>
      </c>
      <c r="E1761" s="9" t="s">
        <v>13</v>
      </c>
      <c r="F1761" s="9">
        <v>209</v>
      </c>
      <c r="G1761" s="9">
        <v>123.91</v>
      </c>
      <c r="H1761" s="9" t="s">
        <v>25</v>
      </c>
      <c r="I1761" s="9">
        <v>12</v>
      </c>
      <c r="J1761" s="10">
        <v>-85.09</v>
      </c>
      <c r="K1761" s="9" t="str">
        <f>TEXT(Sales_of_Jordan[[#This Row],[Sale_Date]],"mmm")</f>
        <v>Oct</v>
      </c>
    </row>
    <row r="1762" spans="1:11" x14ac:dyDescent="0.35">
      <c r="A1762" s="7" t="s">
        <v>1792</v>
      </c>
      <c r="B1762" s="8">
        <v>45503</v>
      </c>
      <c r="C1762" s="9" t="s">
        <v>31</v>
      </c>
      <c r="D1762" s="9" t="s">
        <v>36</v>
      </c>
      <c r="E1762" s="9" t="s">
        <v>29</v>
      </c>
      <c r="F1762" s="9">
        <v>200</v>
      </c>
      <c r="G1762" s="9">
        <v>221.13</v>
      </c>
      <c r="H1762" s="9" t="s">
        <v>32</v>
      </c>
      <c r="I1762" s="9">
        <v>11</v>
      </c>
      <c r="J1762" s="10">
        <v>21.1299999999999</v>
      </c>
      <c r="K1762" s="9" t="str">
        <f>TEXT(Sales_of_Jordan[[#This Row],[Sale_Date]],"mmm")</f>
        <v>Jul</v>
      </c>
    </row>
    <row r="1763" spans="1:11" x14ac:dyDescent="0.35">
      <c r="A1763" s="7" t="s">
        <v>1793</v>
      </c>
      <c r="B1763" s="8">
        <v>45600</v>
      </c>
      <c r="C1763" s="9" t="s">
        <v>21</v>
      </c>
      <c r="D1763" s="9" t="s">
        <v>17</v>
      </c>
      <c r="E1763" s="9" t="s">
        <v>29</v>
      </c>
      <c r="F1763" s="9">
        <v>212</v>
      </c>
      <c r="G1763" s="9">
        <v>254.39</v>
      </c>
      <c r="H1763" s="9" t="s">
        <v>14</v>
      </c>
      <c r="I1763" s="9">
        <v>14</v>
      </c>
      <c r="J1763" s="10">
        <v>42.389999999999901</v>
      </c>
      <c r="K1763" s="9" t="str">
        <f>TEXT(Sales_of_Jordan[[#This Row],[Sale_Date]],"mmm")</f>
        <v>Nov</v>
      </c>
    </row>
    <row r="1764" spans="1:11" x14ac:dyDescent="0.35">
      <c r="A1764" s="7" t="s">
        <v>1794</v>
      </c>
      <c r="B1764" s="8">
        <v>45868</v>
      </c>
      <c r="C1764" s="9" t="s">
        <v>21</v>
      </c>
      <c r="D1764" s="9" t="s">
        <v>46</v>
      </c>
      <c r="E1764" s="9" t="s">
        <v>29</v>
      </c>
      <c r="F1764" s="9">
        <v>214</v>
      </c>
      <c r="G1764" s="9">
        <v>318.36</v>
      </c>
      <c r="H1764" s="9" t="s">
        <v>19</v>
      </c>
      <c r="I1764" s="9">
        <v>5</v>
      </c>
      <c r="J1764" s="10">
        <v>104.36</v>
      </c>
      <c r="K1764" s="9" t="str">
        <f>TEXT(Sales_of_Jordan[[#This Row],[Sale_Date]],"mmm")</f>
        <v>Jul</v>
      </c>
    </row>
    <row r="1765" spans="1:11" x14ac:dyDescent="0.35">
      <c r="A1765" s="7" t="s">
        <v>1795</v>
      </c>
      <c r="B1765" s="8">
        <v>45748</v>
      </c>
      <c r="C1765" s="9" t="s">
        <v>21</v>
      </c>
      <c r="D1765" s="9" t="s">
        <v>34</v>
      </c>
      <c r="E1765" s="9" t="s">
        <v>29</v>
      </c>
      <c r="F1765" s="9">
        <v>223</v>
      </c>
      <c r="G1765" s="9">
        <v>301.73</v>
      </c>
      <c r="H1765" s="9" t="s">
        <v>19</v>
      </c>
      <c r="I1765" s="9">
        <v>14</v>
      </c>
      <c r="J1765" s="10">
        <v>78.73</v>
      </c>
      <c r="K1765" s="9" t="str">
        <f>TEXT(Sales_of_Jordan[[#This Row],[Sale_Date]],"mmm")</f>
        <v>Apr</v>
      </c>
    </row>
    <row r="1766" spans="1:11" x14ac:dyDescent="0.35">
      <c r="A1766" s="7" t="s">
        <v>1796</v>
      </c>
      <c r="B1766" s="8">
        <v>45618</v>
      </c>
      <c r="C1766" s="9" t="s">
        <v>27</v>
      </c>
      <c r="D1766" s="9" t="s">
        <v>39</v>
      </c>
      <c r="E1766" s="9" t="s">
        <v>29</v>
      </c>
      <c r="F1766" s="9">
        <v>127</v>
      </c>
      <c r="G1766" s="9">
        <v>114.73</v>
      </c>
      <c r="H1766" s="9" t="s">
        <v>23</v>
      </c>
      <c r="I1766" s="9">
        <v>35</v>
      </c>
      <c r="J1766" s="10">
        <v>-12.2699999999999</v>
      </c>
      <c r="K1766" s="9" t="str">
        <f>TEXT(Sales_of_Jordan[[#This Row],[Sale_Date]],"mmm")</f>
        <v>Nov</v>
      </c>
    </row>
    <row r="1767" spans="1:11" x14ac:dyDescent="0.35">
      <c r="A1767" s="7" t="s">
        <v>1797</v>
      </c>
      <c r="B1767" s="8">
        <v>45390</v>
      </c>
      <c r="C1767" s="9" t="s">
        <v>16</v>
      </c>
      <c r="D1767" s="9" t="s">
        <v>39</v>
      </c>
      <c r="E1767" s="9" t="s">
        <v>29</v>
      </c>
      <c r="F1767" s="9">
        <v>170</v>
      </c>
      <c r="G1767" s="9">
        <v>222.37</v>
      </c>
      <c r="H1767" s="9" t="s">
        <v>19</v>
      </c>
      <c r="I1767" s="9">
        <v>14</v>
      </c>
      <c r="J1767" s="10">
        <v>52.37</v>
      </c>
      <c r="K1767" s="9" t="str">
        <f>TEXT(Sales_of_Jordan[[#This Row],[Sale_Date]],"mmm")</f>
        <v>Apr</v>
      </c>
    </row>
    <row r="1768" spans="1:11" x14ac:dyDescent="0.35">
      <c r="A1768" s="7" t="s">
        <v>1798</v>
      </c>
      <c r="B1768" s="8">
        <v>45571</v>
      </c>
      <c r="C1768" s="9" t="s">
        <v>31</v>
      </c>
      <c r="D1768" s="9" t="s">
        <v>12</v>
      </c>
      <c r="E1768" s="9" t="s">
        <v>18</v>
      </c>
      <c r="F1768" s="9">
        <v>208</v>
      </c>
      <c r="G1768" s="9">
        <v>447.94</v>
      </c>
      <c r="H1768" s="9" t="s">
        <v>25</v>
      </c>
      <c r="I1768" s="9">
        <v>27</v>
      </c>
      <c r="J1768" s="10">
        <v>239.94</v>
      </c>
      <c r="K1768" s="9" t="str">
        <f>TEXT(Sales_of_Jordan[[#This Row],[Sale_Date]],"mmm")</f>
        <v>Oct</v>
      </c>
    </row>
    <row r="1769" spans="1:11" x14ac:dyDescent="0.35">
      <c r="A1769" s="7" t="s">
        <v>1799</v>
      </c>
      <c r="B1769" s="8">
        <v>44977</v>
      </c>
      <c r="C1769" s="9" t="s">
        <v>27</v>
      </c>
      <c r="D1769" s="9" t="s">
        <v>17</v>
      </c>
      <c r="E1769" s="9" t="s">
        <v>29</v>
      </c>
      <c r="F1769" s="9">
        <v>137</v>
      </c>
      <c r="G1769" s="9">
        <v>162.04</v>
      </c>
      <c r="H1769" s="9" t="s">
        <v>25</v>
      </c>
      <c r="I1769" s="9">
        <v>12</v>
      </c>
      <c r="J1769" s="10">
        <v>25.0399999999999</v>
      </c>
      <c r="K1769" s="9" t="str">
        <f>TEXT(Sales_of_Jordan[[#This Row],[Sale_Date]],"mmm")</f>
        <v>Feb</v>
      </c>
    </row>
    <row r="1770" spans="1:11" x14ac:dyDescent="0.35">
      <c r="A1770" s="7" t="s">
        <v>1800</v>
      </c>
      <c r="B1770" s="8">
        <v>45225</v>
      </c>
      <c r="C1770" s="9" t="s">
        <v>31</v>
      </c>
      <c r="D1770" s="9" t="s">
        <v>34</v>
      </c>
      <c r="E1770" s="9" t="s">
        <v>18</v>
      </c>
      <c r="F1770" s="9">
        <v>208</v>
      </c>
      <c r="G1770" s="9">
        <v>463.79</v>
      </c>
      <c r="H1770" s="9" t="s">
        <v>19</v>
      </c>
      <c r="I1770" s="9">
        <v>12</v>
      </c>
      <c r="J1770" s="10">
        <v>255.79</v>
      </c>
      <c r="K1770" s="9" t="str">
        <f>TEXT(Sales_of_Jordan[[#This Row],[Sale_Date]],"mmm")</f>
        <v>Oct</v>
      </c>
    </row>
    <row r="1771" spans="1:11" x14ac:dyDescent="0.35">
      <c r="A1771" s="7" t="s">
        <v>1801</v>
      </c>
      <c r="B1771" s="8">
        <v>45861</v>
      </c>
      <c r="C1771" s="9" t="s">
        <v>27</v>
      </c>
      <c r="D1771" s="9" t="s">
        <v>39</v>
      </c>
      <c r="E1771" s="9" t="s">
        <v>13</v>
      </c>
      <c r="F1771" s="9">
        <v>121</v>
      </c>
      <c r="G1771" s="9">
        <v>99.73</v>
      </c>
      <c r="H1771" s="9" t="s">
        <v>32</v>
      </c>
      <c r="I1771" s="9">
        <v>52</v>
      </c>
      <c r="J1771" s="10">
        <v>-21.2699999999999</v>
      </c>
      <c r="K1771" s="9" t="str">
        <f>TEXT(Sales_of_Jordan[[#This Row],[Sale_Date]],"mmm")</f>
        <v>Jul</v>
      </c>
    </row>
    <row r="1772" spans="1:11" x14ac:dyDescent="0.35">
      <c r="A1772" s="7" t="s">
        <v>1802</v>
      </c>
      <c r="B1772" s="8">
        <v>45520</v>
      </c>
      <c r="C1772" s="9" t="s">
        <v>27</v>
      </c>
      <c r="D1772" s="9" t="s">
        <v>17</v>
      </c>
      <c r="E1772" s="9" t="s">
        <v>29</v>
      </c>
      <c r="F1772" s="9">
        <v>138</v>
      </c>
      <c r="G1772" s="9">
        <v>201.38</v>
      </c>
      <c r="H1772" s="9" t="s">
        <v>14</v>
      </c>
      <c r="I1772" s="9">
        <v>14</v>
      </c>
      <c r="J1772" s="10">
        <v>63.379999999999903</v>
      </c>
      <c r="K1772" s="9" t="str">
        <f>TEXT(Sales_of_Jordan[[#This Row],[Sale_Date]],"mmm")</f>
        <v>Aug</v>
      </c>
    </row>
    <row r="1773" spans="1:11" x14ac:dyDescent="0.35">
      <c r="A1773" s="7" t="s">
        <v>1803</v>
      </c>
      <c r="B1773" s="8">
        <v>45194</v>
      </c>
      <c r="C1773" s="9" t="s">
        <v>16</v>
      </c>
      <c r="D1773" s="9" t="s">
        <v>39</v>
      </c>
      <c r="E1773" s="9" t="s">
        <v>18</v>
      </c>
      <c r="F1773" s="9">
        <v>182</v>
      </c>
      <c r="G1773" s="9">
        <v>583.41</v>
      </c>
      <c r="H1773" s="9" t="s">
        <v>32</v>
      </c>
      <c r="I1773" s="9">
        <v>29</v>
      </c>
      <c r="J1773" s="10">
        <v>401.409999999999</v>
      </c>
      <c r="K1773" s="9" t="str">
        <f>TEXT(Sales_of_Jordan[[#This Row],[Sale_Date]],"mmm")</f>
        <v>Sep</v>
      </c>
    </row>
    <row r="1774" spans="1:11" x14ac:dyDescent="0.35">
      <c r="A1774" s="7" t="s">
        <v>1804</v>
      </c>
      <c r="B1774" s="8">
        <v>45559</v>
      </c>
      <c r="C1774" s="9" t="s">
        <v>21</v>
      </c>
      <c r="D1774" s="9" t="s">
        <v>36</v>
      </c>
      <c r="E1774" s="9" t="s">
        <v>18</v>
      </c>
      <c r="F1774" s="9">
        <v>222</v>
      </c>
      <c r="G1774" s="9">
        <v>625.09</v>
      </c>
      <c r="H1774" s="9" t="s">
        <v>14</v>
      </c>
      <c r="I1774" s="9">
        <v>3</v>
      </c>
      <c r="J1774" s="10">
        <v>403.09</v>
      </c>
      <c r="K1774" s="9" t="str">
        <f>TEXT(Sales_of_Jordan[[#This Row],[Sale_Date]],"mmm")</f>
        <v>Sep</v>
      </c>
    </row>
    <row r="1775" spans="1:11" x14ac:dyDescent="0.35">
      <c r="A1775" s="7" t="s">
        <v>1805</v>
      </c>
      <c r="B1775" s="8">
        <v>45632</v>
      </c>
      <c r="C1775" s="9" t="s">
        <v>27</v>
      </c>
      <c r="D1775" s="9" t="s">
        <v>39</v>
      </c>
      <c r="E1775" s="9" t="s">
        <v>29</v>
      </c>
      <c r="F1775" s="9">
        <v>134</v>
      </c>
      <c r="G1775" s="9">
        <v>198.85</v>
      </c>
      <c r="H1775" s="9" t="s">
        <v>32</v>
      </c>
      <c r="I1775" s="9">
        <v>17</v>
      </c>
      <c r="J1775" s="10">
        <v>64.849999999999994</v>
      </c>
      <c r="K1775" s="9" t="str">
        <f>TEXT(Sales_of_Jordan[[#This Row],[Sale_Date]],"mmm")</f>
        <v>Dec</v>
      </c>
    </row>
    <row r="1776" spans="1:11" x14ac:dyDescent="0.35">
      <c r="A1776" s="7" t="s">
        <v>1806</v>
      </c>
      <c r="B1776" s="8">
        <v>45791</v>
      </c>
      <c r="C1776" s="9" t="s">
        <v>21</v>
      </c>
      <c r="D1776" s="9" t="s">
        <v>34</v>
      </c>
      <c r="E1776" s="9" t="s">
        <v>18</v>
      </c>
      <c r="F1776" s="9">
        <v>223</v>
      </c>
      <c r="G1776" s="9">
        <v>726.34</v>
      </c>
      <c r="H1776" s="9" t="s">
        <v>19</v>
      </c>
      <c r="I1776" s="9">
        <v>4</v>
      </c>
      <c r="J1776" s="10">
        <v>503.34</v>
      </c>
      <c r="K1776" s="9" t="str">
        <f>TEXT(Sales_of_Jordan[[#This Row],[Sale_Date]],"mmm")</f>
        <v>May</v>
      </c>
    </row>
    <row r="1777" spans="1:11" x14ac:dyDescent="0.35">
      <c r="A1777" s="7" t="s">
        <v>1807</v>
      </c>
      <c r="B1777" s="8">
        <v>45502</v>
      </c>
      <c r="C1777" s="9" t="s">
        <v>21</v>
      </c>
      <c r="D1777" s="9" t="s">
        <v>36</v>
      </c>
      <c r="E1777" s="9" t="s">
        <v>13</v>
      </c>
      <c r="F1777" s="9">
        <v>222</v>
      </c>
      <c r="G1777" s="9">
        <v>113.96</v>
      </c>
      <c r="H1777" s="9" t="s">
        <v>19</v>
      </c>
      <c r="I1777" s="9">
        <v>9</v>
      </c>
      <c r="J1777" s="10">
        <v>-108.04</v>
      </c>
      <c r="K1777" s="9" t="str">
        <f>TEXT(Sales_of_Jordan[[#This Row],[Sale_Date]],"mmm")</f>
        <v>Jul</v>
      </c>
    </row>
    <row r="1778" spans="1:11" x14ac:dyDescent="0.35">
      <c r="A1778" s="7" t="s">
        <v>1808</v>
      </c>
      <c r="B1778" s="8">
        <v>45453</v>
      </c>
      <c r="C1778" s="9" t="s">
        <v>21</v>
      </c>
      <c r="D1778" s="9" t="s">
        <v>17</v>
      </c>
      <c r="E1778" s="9" t="s">
        <v>29</v>
      </c>
      <c r="F1778" s="9">
        <v>220</v>
      </c>
      <c r="G1778" s="9">
        <v>297.08999999999997</v>
      </c>
      <c r="H1778" s="9" t="s">
        <v>23</v>
      </c>
      <c r="I1778" s="9">
        <v>50</v>
      </c>
      <c r="J1778" s="10">
        <v>77.089999999999904</v>
      </c>
      <c r="K1778" s="9" t="str">
        <f>TEXT(Sales_of_Jordan[[#This Row],[Sale_Date]],"mmm")</f>
        <v>Jun</v>
      </c>
    </row>
    <row r="1779" spans="1:11" x14ac:dyDescent="0.35">
      <c r="A1779" s="7" t="s">
        <v>1809</v>
      </c>
      <c r="B1779" s="8">
        <v>45923</v>
      </c>
      <c r="C1779" s="9" t="s">
        <v>31</v>
      </c>
      <c r="D1779" s="9" t="s">
        <v>34</v>
      </c>
      <c r="E1779" s="9" t="s">
        <v>13</v>
      </c>
      <c r="F1779" s="9">
        <v>201</v>
      </c>
      <c r="G1779" s="9">
        <v>152.04</v>
      </c>
      <c r="H1779" s="9" t="s">
        <v>23</v>
      </c>
      <c r="I1779" s="9">
        <v>37</v>
      </c>
      <c r="J1779" s="10">
        <v>-48.96</v>
      </c>
      <c r="K1779" s="9" t="str">
        <f>TEXT(Sales_of_Jordan[[#This Row],[Sale_Date]],"mmm")</f>
        <v>Sep</v>
      </c>
    </row>
    <row r="1780" spans="1:11" x14ac:dyDescent="0.35">
      <c r="A1780" s="7" t="s">
        <v>1810</v>
      </c>
      <c r="B1780" s="8">
        <v>45066</v>
      </c>
      <c r="C1780" s="9" t="s">
        <v>31</v>
      </c>
      <c r="D1780" s="9" t="s">
        <v>34</v>
      </c>
      <c r="E1780" s="9" t="s">
        <v>29</v>
      </c>
      <c r="F1780" s="9">
        <v>205</v>
      </c>
      <c r="G1780" s="9">
        <v>253.23</v>
      </c>
      <c r="H1780" s="9" t="s">
        <v>19</v>
      </c>
      <c r="I1780" s="9">
        <v>7</v>
      </c>
      <c r="J1780" s="10">
        <v>48.229999999999897</v>
      </c>
      <c r="K1780" s="9" t="str">
        <f>TEXT(Sales_of_Jordan[[#This Row],[Sale_Date]],"mmm")</f>
        <v>May</v>
      </c>
    </row>
    <row r="1781" spans="1:11" x14ac:dyDescent="0.35">
      <c r="A1781" s="7" t="s">
        <v>1811</v>
      </c>
      <c r="B1781" s="8">
        <v>45680</v>
      </c>
      <c r="C1781" s="9" t="s">
        <v>27</v>
      </c>
      <c r="D1781" s="9" t="s">
        <v>36</v>
      </c>
      <c r="E1781" s="9" t="s">
        <v>18</v>
      </c>
      <c r="F1781" s="9">
        <v>111</v>
      </c>
      <c r="G1781" s="9">
        <v>230.34</v>
      </c>
      <c r="H1781" s="9" t="s">
        <v>25</v>
      </c>
      <c r="I1781" s="9">
        <v>49</v>
      </c>
      <c r="J1781" s="10">
        <v>119.34</v>
      </c>
      <c r="K1781" s="9" t="str">
        <f>TEXT(Sales_of_Jordan[[#This Row],[Sale_Date]],"mmm")</f>
        <v>Jan</v>
      </c>
    </row>
    <row r="1782" spans="1:11" x14ac:dyDescent="0.35">
      <c r="A1782" s="7" t="s">
        <v>1812</v>
      </c>
      <c r="B1782" s="8">
        <v>44929</v>
      </c>
      <c r="C1782" s="9" t="s">
        <v>21</v>
      </c>
      <c r="D1782" s="9" t="s">
        <v>12</v>
      </c>
      <c r="E1782" s="9" t="s">
        <v>18</v>
      </c>
      <c r="F1782" s="9">
        <v>222</v>
      </c>
      <c r="G1782" s="9">
        <v>395.09</v>
      </c>
      <c r="H1782" s="9" t="s">
        <v>32</v>
      </c>
      <c r="I1782" s="9">
        <v>8</v>
      </c>
      <c r="J1782" s="10">
        <v>173.08999999999901</v>
      </c>
      <c r="K1782" s="9" t="str">
        <f>TEXT(Sales_of_Jordan[[#This Row],[Sale_Date]],"mmm")</f>
        <v>Jan</v>
      </c>
    </row>
    <row r="1783" spans="1:11" x14ac:dyDescent="0.35">
      <c r="A1783" s="7" t="s">
        <v>1813</v>
      </c>
      <c r="B1783" s="8">
        <v>45210</v>
      </c>
      <c r="C1783" s="9" t="s">
        <v>16</v>
      </c>
      <c r="D1783" s="9" t="s">
        <v>46</v>
      </c>
      <c r="E1783" s="9" t="s">
        <v>18</v>
      </c>
      <c r="F1783" s="9">
        <v>181</v>
      </c>
      <c r="G1783" s="9">
        <v>375.69</v>
      </c>
      <c r="H1783" s="9" t="s">
        <v>23</v>
      </c>
      <c r="I1783" s="9">
        <v>39</v>
      </c>
      <c r="J1783" s="10">
        <v>194.69</v>
      </c>
      <c r="K1783" s="9" t="str">
        <f>TEXT(Sales_of_Jordan[[#This Row],[Sale_Date]],"mmm")</f>
        <v>Oct</v>
      </c>
    </row>
    <row r="1784" spans="1:11" x14ac:dyDescent="0.35">
      <c r="A1784" s="7" t="s">
        <v>1814</v>
      </c>
      <c r="B1784" s="8">
        <v>45557</v>
      </c>
      <c r="C1784" s="9" t="s">
        <v>27</v>
      </c>
      <c r="D1784" s="9" t="s">
        <v>36</v>
      </c>
      <c r="E1784" s="9" t="s">
        <v>13</v>
      </c>
      <c r="F1784" s="9">
        <v>116</v>
      </c>
      <c r="G1784" s="9">
        <v>69.86</v>
      </c>
      <c r="H1784" s="9" t="s">
        <v>19</v>
      </c>
      <c r="I1784" s="9">
        <v>2</v>
      </c>
      <c r="J1784" s="10">
        <v>-46.14</v>
      </c>
      <c r="K1784" s="9" t="str">
        <f>TEXT(Sales_of_Jordan[[#This Row],[Sale_Date]],"mmm")</f>
        <v>Sep</v>
      </c>
    </row>
    <row r="1785" spans="1:11" x14ac:dyDescent="0.35">
      <c r="A1785" s="7" t="s">
        <v>1815</v>
      </c>
      <c r="B1785" s="8">
        <v>45783</v>
      </c>
      <c r="C1785" s="9" t="s">
        <v>16</v>
      </c>
      <c r="D1785" s="9" t="s">
        <v>53</v>
      </c>
      <c r="E1785" s="9" t="s">
        <v>29</v>
      </c>
      <c r="F1785" s="9">
        <v>181</v>
      </c>
      <c r="G1785" s="9">
        <v>222.6</v>
      </c>
      <c r="H1785" s="9" t="s">
        <v>25</v>
      </c>
      <c r="I1785" s="9">
        <v>52</v>
      </c>
      <c r="J1785" s="10">
        <v>41.599999999999902</v>
      </c>
      <c r="K1785" s="9" t="str">
        <f>TEXT(Sales_of_Jordan[[#This Row],[Sale_Date]],"mmm")</f>
        <v>May</v>
      </c>
    </row>
    <row r="1786" spans="1:11" x14ac:dyDescent="0.35">
      <c r="A1786" s="7" t="s">
        <v>1816</v>
      </c>
      <c r="B1786" s="8">
        <v>45422</v>
      </c>
      <c r="C1786" s="9" t="s">
        <v>11</v>
      </c>
      <c r="D1786" s="9" t="s">
        <v>53</v>
      </c>
      <c r="E1786" s="9" t="s">
        <v>29</v>
      </c>
      <c r="F1786" s="9">
        <v>228</v>
      </c>
      <c r="G1786" s="9">
        <v>220.03</v>
      </c>
      <c r="H1786" s="9" t="s">
        <v>23</v>
      </c>
      <c r="I1786" s="9">
        <v>32</v>
      </c>
      <c r="J1786" s="10">
        <v>-7.96999999999999</v>
      </c>
      <c r="K1786" s="9" t="str">
        <f>TEXT(Sales_of_Jordan[[#This Row],[Sale_Date]],"mmm")</f>
        <v>May</v>
      </c>
    </row>
    <row r="1787" spans="1:11" x14ac:dyDescent="0.35">
      <c r="A1787" s="7" t="s">
        <v>1817</v>
      </c>
      <c r="B1787" s="8">
        <v>45227</v>
      </c>
      <c r="C1787" s="9" t="s">
        <v>31</v>
      </c>
      <c r="D1787" s="9" t="s">
        <v>17</v>
      </c>
      <c r="E1787" s="9" t="s">
        <v>13</v>
      </c>
      <c r="F1787" s="9">
        <v>206</v>
      </c>
      <c r="G1787" s="9">
        <v>162.75</v>
      </c>
      <c r="H1787" s="9" t="s">
        <v>23</v>
      </c>
      <c r="I1787" s="9">
        <v>52</v>
      </c>
      <c r="J1787" s="10">
        <v>-43.25</v>
      </c>
      <c r="K1787" s="9" t="str">
        <f>TEXT(Sales_of_Jordan[[#This Row],[Sale_Date]],"mmm")</f>
        <v>Oct</v>
      </c>
    </row>
    <row r="1788" spans="1:11" x14ac:dyDescent="0.35">
      <c r="A1788" s="7" t="s">
        <v>1818</v>
      </c>
      <c r="B1788" s="8">
        <v>45319</v>
      </c>
      <c r="C1788" s="9" t="s">
        <v>31</v>
      </c>
      <c r="D1788" s="9" t="s">
        <v>34</v>
      </c>
      <c r="E1788" s="9" t="s">
        <v>13</v>
      </c>
      <c r="F1788" s="9">
        <v>206</v>
      </c>
      <c r="G1788" s="9">
        <v>133.93</v>
      </c>
      <c r="H1788" s="9" t="s">
        <v>14</v>
      </c>
      <c r="I1788" s="9">
        <v>12</v>
      </c>
      <c r="J1788" s="10">
        <v>-72.069999999999993</v>
      </c>
      <c r="K1788" s="9" t="str">
        <f>TEXT(Sales_of_Jordan[[#This Row],[Sale_Date]],"mmm")</f>
        <v>Jan</v>
      </c>
    </row>
    <row r="1789" spans="1:11" x14ac:dyDescent="0.35">
      <c r="A1789" s="7" t="s">
        <v>1819</v>
      </c>
      <c r="B1789" s="8">
        <v>45248</v>
      </c>
      <c r="C1789" s="9" t="s">
        <v>27</v>
      </c>
      <c r="D1789" s="9" t="s">
        <v>39</v>
      </c>
      <c r="E1789" s="9" t="s">
        <v>13</v>
      </c>
      <c r="F1789" s="9">
        <v>114</v>
      </c>
      <c r="G1789" s="9">
        <v>95.55</v>
      </c>
      <c r="H1789" s="9" t="s">
        <v>23</v>
      </c>
      <c r="I1789" s="9">
        <v>31</v>
      </c>
      <c r="J1789" s="10">
        <v>-18.45</v>
      </c>
      <c r="K1789" s="9" t="str">
        <f>TEXT(Sales_of_Jordan[[#This Row],[Sale_Date]],"mmm")</f>
        <v>Nov</v>
      </c>
    </row>
    <row r="1790" spans="1:11" x14ac:dyDescent="0.35">
      <c r="A1790" s="7" t="s">
        <v>1820</v>
      </c>
      <c r="B1790" s="8">
        <v>45679</v>
      </c>
      <c r="C1790" s="9" t="s">
        <v>16</v>
      </c>
      <c r="D1790" s="9" t="s">
        <v>46</v>
      </c>
      <c r="E1790" s="9" t="s">
        <v>18</v>
      </c>
      <c r="F1790" s="9">
        <v>180</v>
      </c>
      <c r="G1790" s="9">
        <v>343.93</v>
      </c>
      <c r="H1790" s="9" t="s">
        <v>14</v>
      </c>
      <c r="I1790" s="9">
        <v>6</v>
      </c>
      <c r="J1790" s="10">
        <v>163.93</v>
      </c>
      <c r="K1790" s="9" t="str">
        <f>TEXT(Sales_of_Jordan[[#This Row],[Sale_Date]],"mmm")</f>
        <v>Jan</v>
      </c>
    </row>
    <row r="1791" spans="1:11" x14ac:dyDescent="0.35">
      <c r="A1791" s="7" t="s">
        <v>1821</v>
      </c>
      <c r="B1791" s="8">
        <v>45920</v>
      </c>
      <c r="C1791" s="9" t="s">
        <v>11</v>
      </c>
      <c r="D1791" s="9" t="s">
        <v>17</v>
      </c>
      <c r="E1791" s="9" t="s">
        <v>13</v>
      </c>
      <c r="F1791" s="9">
        <v>230</v>
      </c>
      <c r="G1791" s="9">
        <v>150.4</v>
      </c>
      <c r="H1791" s="9" t="s">
        <v>23</v>
      </c>
      <c r="I1791" s="9">
        <v>10</v>
      </c>
      <c r="J1791" s="10">
        <v>-79.599999999999994</v>
      </c>
      <c r="K1791" s="9" t="str">
        <f>TEXT(Sales_of_Jordan[[#This Row],[Sale_Date]],"mmm")</f>
        <v>Sep</v>
      </c>
    </row>
    <row r="1792" spans="1:11" x14ac:dyDescent="0.35">
      <c r="A1792" s="7" t="s">
        <v>1822</v>
      </c>
      <c r="B1792" s="8">
        <v>45570</v>
      </c>
      <c r="C1792" s="9" t="s">
        <v>21</v>
      </c>
      <c r="D1792" s="9" t="s">
        <v>12</v>
      </c>
      <c r="E1792" s="9" t="s">
        <v>29</v>
      </c>
      <c r="F1792" s="9">
        <v>210</v>
      </c>
      <c r="G1792" s="9">
        <v>266.08</v>
      </c>
      <c r="H1792" s="9" t="s">
        <v>32</v>
      </c>
      <c r="I1792" s="9">
        <v>38</v>
      </c>
      <c r="J1792" s="10">
        <v>56.079999999999899</v>
      </c>
      <c r="K1792" s="9" t="str">
        <f>TEXT(Sales_of_Jordan[[#This Row],[Sale_Date]],"mmm")</f>
        <v>Oct</v>
      </c>
    </row>
    <row r="1793" spans="1:11" x14ac:dyDescent="0.35">
      <c r="A1793" s="7" t="s">
        <v>1823</v>
      </c>
      <c r="B1793" s="8">
        <v>45839</v>
      </c>
      <c r="C1793" s="9" t="s">
        <v>27</v>
      </c>
      <c r="D1793" s="9" t="s">
        <v>12</v>
      </c>
      <c r="E1793" s="9" t="s">
        <v>18</v>
      </c>
      <c r="F1793" s="9">
        <v>113</v>
      </c>
      <c r="G1793" s="9">
        <v>391.5</v>
      </c>
      <c r="H1793" s="9" t="s">
        <v>14</v>
      </c>
      <c r="I1793" s="9">
        <v>1</v>
      </c>
      <c r="J1793" s="10">
        <v>278.5</v>
      </c>
      <c r="K1793" s="9" t="str">
        <f>TEXT(Sales_of_Jordan[[#This Row],[Sale_Date]],"mmm")</f>
        <v>Jul</v>
      </c>
    </row>
    <row r="1794" spans="1:11" x14ac:dyDescent="0.35">
      <c r="A1794" s="7" t="s">
        <v>1824</v>
      </c>
      <c r="B1794" s="8">
        <v>45492</v>
      </c>
      <c r="C1794" s="9" t="s">
        <v>11</v>
      </c>
      <c r="D1794" s="9" t="s">
        <v>55</v>
      </c>
      <c r="E1794" s="9" t="s">
        <v>29</v>
      </c>
      <c r="F1794" s="9">
        <v>228</v>
      </c>
      <c r="G1794" s="9">
        <v>312.01</v>
      </c>
      <c r="H1794" s="9" t="s">
        <v>23</v>
      </c>
      <c r="I1794" s="9">
        <v>41</v>
      </c>
      <c r="J1794" s="10">
        <v>84.009999999999906</v>
      </c>
      <c r="K1794" s="9" t="str">
        <f>TEXT(Sales_of_Jordan[[#This Row],[Sale_Date]],"mmm")</f>
        <v>Jul</v>
      </c>
    </row>
    <row r="1795" spans="1:11" x14ac:dyDescent="0.35">
      <c r="A1795" s="7" t="s">
        <v>1825</v>
      </c>
      <c r="B1795" s="8">
        <v>45360</v>
      </c>
      <c r="C1795" s="9" t="s">
        <v>16</v>
      </c>
      <c r="D1795" s="9" t="s">
        <v>22</v>
      </c>
      <c r="E1795" s="9" t="s">
        <v>18</v>
      </c>
      <c r="F1795" s="9">
        <v>189</v>
      </c>
      <c r="G1795" s="9">
        <v>398.62</v>
      </c>
      <c r="H1795" s="9" t="s">
        <v>19</v>
      </c>
      <c r="I1795" s="9">
        <v>6</v>
      </c>
      <c r="J1795" s="10">
        <v>209.62</v>
      </c>
      <c r="K1795" s="9" t="str">
        <f>TEXT(Sales_of_Jordan[[#This Row],[Sale_Date]],"mmm")</f>
        <v>Mar</v>
      </c>
    </row>
    <row r="1796" spans="1:11" x14ac:dyDescent="0.35">
      <c r="A1796" s="7" t="s">
        <v>1826</v>
      </c>
      <c r="B1796" s="8">
        <v>45621</v>
      </c>
      <c r="C1796" s="9" t="s">
        <v>27</v>
      </c>
      <c r="D1796" s="9" t="s">
        <v>39</v>
      </c>
      <c r="E1796" s="9" t="s">
        <v>18</v>
      </c>
      <c r="F1796" s="9">
        <v>114</v>
      </c>
      <c r="G1796" s="9">
        <v>218.29</v>
      </c>
      <c r="H1796" s="9" t="s">
        <v>23</v>
      </c>
      <c r="I1796" s="9">
        <v>40</v>
      </c>
      <c r="J1796" s="10">
        <v>104.289999999999</v>
      </c>
      <c r="K1796" s="9" t="str">
        <f>TEXT(Sales_of_Jordan[[#This Row],[Sale_Date]],"mmm")</f>
        <v>Nov</v>
      </c>
    </row>
    <row r="1797" spans="1:11" x14ac:dyDescent="0.35">
      <c r="A1797" s="7" t="s">
        <v>1827</v>
      </c>
      <c r="B1797" s="8">
        <v>45569</v>
      </c>
      <c r="C1797" s="9" t="s">
        <v>21</v>
      </c>
      <c r="D1797" s="9" t="s">
        <v>17</v>
      </c>
      <c r="E1797" s="9" t="s">
        <v>29</v>
      </c>
      <c r="F1797" s="9">
        <v>224</v>
      </c>
      <c r="G1797" s="9">
        <v>302.26</v>
      </c>
      <c r="H1797" s="9" t="s">
        <v>25</v>
      </c>
      <c r="I1797" s="9">
        <v>53</v>
      </c>
      <c r="J1797" s="10">
        <v>78.259999999999906</v>
      </c>
      <c r="K1797" s="9" t="str">
        <f>TEXT(Sales_of_Jordan[[#This Row],[Sale_Date]],"mmm")</f>
        <v>Oct</v>
      </c>
    </row>
    <row r="1798" spans="1:11" x14ac:dyDescent="0.35">
      <c r="A1798" s="7" t="s">
        <v>1828</v>
      </c>
      <c r="B1798" s="8">
        <v>45711</v>
      </c>
      <c r="C1798" s="9" t="s">
        <v>27</v>
      </c>
      <c r="D1798" s="9" t="s">
        <v>53</v>
      </c>
      <c r="E1798" s="9" t="s">
        <v>18</v>
      </c>
      <c r="F1798" s="9">
        <v>124</v>
      </c>
      <c r="G1798" s="9">
        <v>263.70999999999998</v>
      </c>
      <c r="H1798" s="9" t="s">
        <v>32</v>
      </c>
      <c r="I1798" s="9">
        <v>32</v>
      </c>
      <c r="J1798" s="10">
        <v>139.70999999999901</v>
      </c>
      <c r="K1798" s="9" t="str">
        <f>TEXT(Sales_of_Jordan[[#This Row],[Sale_Date]],"mmm")</f>
        <v>Feb</v>
      </c>
    </row>
    <row r="1799" spans="1:11" x14ac:dyDescent="0.35">
      <c r="A1799" s="7" t="s">
        <v>1829</v>
      </c>
      <c r="B1799" s="8">
        <v>45833</v>
      </c>
      <c r="C1799" s="9" t="s">
        <v>21</v>
      </c>
      <c r="D1799" s="9" t="s">
        <v>55</v>
      </c>
      <c r="E1799" s="9" t="s">
        <v>18</v>
      </c>
      <c r="F1799" s="9">
        <v>211</v>
      </c>
      <c r="G1799" s="9">
        <v>295.87</v>
      </c>
      <c r="H1799" s="9" t="s">
        <v>14</v>
      </c>
      <c r="I1799" s="9">
        <v>1</v>
      </c>
      <c r="J1799" s="10">
        <v>84.87</v>
      </c>
      <c r="K1799" s="9" t="str">
        <f>TEXT(Sales_of_Jordan[[#This Row],[Sale_Date]],"mmm")</f>
        <v>Jun</v>
      </c>
    </row>
    <row r="1800" spans="1:11" x14ac:dyDescent="0.35">
      <c r="A1800" s="7" t="s">
        <v>1830</v>
      </c>
      <c r="B1800" s="8">
        <v>45182</v>
      </c>
      <c r="C1800" s="9" t="s">
        <v>16</v>
      </c>
      <c r="D1800" s="9" t="s">
        <v>34</v>
      </c>
      <c r="E1800" s="9" t="s">
        <v>18</v>
      </c>
      <c r="F1800" s="9">
        <v>181</v>
      </c>
      <c r="G1800" s="9">
        <v>371.01</v>
      </c>
      <c r="H1800" s="9" t="s">
        <v>25</v>
      </c>
      <c r="I1800" s="9">
        <v>43</v>
      </c>
      <c r="J1800" s="10">
        <v>190.01</v>
      </c>
      <c r="K1800" s="9" t="str">
        <f>TEXT(Sales_of_Jordan[[#This Row],[Sale_Date]],"mmm")</f>
        <v>Sep</v>
      </c>
    </row>
    <row r="1801" spans="1:11" x14ac:dyDescent="0.35">
      <c r="A1801" s="7" t="s">
        <v>1831</v>
      </c>
      <c r="B1801" s="8">
        <v>45784</v>
      </c>
      <c r="C1801" s="9" t="s">
        <v>11</v>
      </c>
      <c r="D1801" s="9" t="s">
        <v>36</v>
      </c>
      <c r="E1801" s="9" t="s">
        <v>18</v>
      </c>
      <c r="F1801" s="9">
        <v>225</v>
      </c>
      <c r="G1801" s="9">
        <v>404.4</v>
      </c>
      <c r="H1801" s="9" t="s">
        <v>32</v>
      </c>
      <c r="I1801" s="9">
        <v>18</v>
      </c>
      <c r="J1801" s="10">
        <v>179.39999999999901</v>
      </c>
      <c r="K1801" s="9" t="str">
        <f>TEXT(Sales_of_Jordan[[#This Row],[Sale_Date]],"mmm")</f>
        <v>May</v>
      </c>
    </row>
    <row r="1802" spans="1:11" x14ac:dyDescent="0.35">
      <c r="A1802" s="7" t="s">
        <v>1832</v>
      </c>
      <c r="B1802" s="8">
        <v>44985</v>
      </c>
      <c r="C1802" s="9" t="s">
        <v>16</v>
      </c>
      <c r="D1802" s="9" t="s">
        <v>53</v>
      </c>
      <c r="E1802" s="9" t="s">
        <v>18</v>
      </c>
      <c r="F1802" s="9">
        <v>171</v>
      </c>
      <c r="G1802" s="9">
        <v>512.29</v>
      </c>
      <c r="H1802" s="9" t="s">
        <v>19</v>
      </c>
      <c r="I1802" s="9">
        <v>2</v>
      </c>
      <c r="J1802" s="10">
        <v>341.289999999999</v>
      </c>
      <c r="K1802" s="9" t="str">
        <f>TEXT(Sales_of_Jordan[[#This Row],[Sale_Date]],"mmm")</f>
        <v>Feb</v>
      </c>
    </row>
    <row r="1803" spans="1:11" x14ac:dyDescent="0.35">
      <c r="A1803" s="7" t="s">
        <v>1833</v>
      </c>
      <c r="B1803" s="8">
        <v>45584</v>
      </c>
      <c r="C1803" s="9" t="s">
        <v>11</v>
      </c>
      <c r="D1803" s="9" t="s">
        <v>12</v>
      </c>
      <c r="E1803" s="9" t="s">
        <v>18</v>
      </c>
      <c r="F1803" s="9">
        <v>225</v>
      </c>
      <c r="G1803" s="9">
        <v>379.77</v>
      </c>
      <c r="H1803" s="9" t="s">
        <v>19</v>
      </c>
      <c r="I1803" s="9">
        <v>2</v>
      </c>
      <c r="J1803" s="10">
        <v>154.76999999999899</v>
      </c>
      <c r="K1803" s="9" t="str">
        <f>TEXT(Sales_of_Jordan[[#This Row],[Sale_Date]],"mmm")</f>
        <v>Oct</v>
      </c>
    </row>
    <row r="1804" spans="1:11" x14ac:dyDescent="0.35">
      <c r="A1804" s="7" t="s">
        <v>1834</v>
      </c>
      <c r="B1804" s="8">
        <v>45850</v>
      </c>
      <c r="C1804" s="9" t="s">
        <v>21</v>
      </c>
      <c r="D1804" s="9" t="s">
        <v>53</v>
      </c>
      <c r="E1804" s="9" t="s">
        <v>18</v>
      </c>
      <c r="F1804" s="9">
        <v>212</v>
      </c>
      <c r="G1804" s="9">
        <v>698.27</v>
      </c>
      <c r="H1804" s="9" t="s">
        <v>25</v>
      </c>
      <c r="I1804" s="9">
        <v>16</v>
      </c>
      <c r="J1804" s="10">
        <v>486.27</v>
      </c>
      <c r="K1804" s="9" t="str">
        <f>TEXT(Sales_of_Jordan[[#This Row],[Sale_Date]],"mmm")</f>
        <v>Jul</v>
      </c>
    </row>
    <row r="1805" spans="1:11" x14ac:dyDescent="0.35">
      <c r="A1805" s="7" t="s">
        <v>1835</v>
      </c>
      <c r="B1805" s="8">
        <v>45856</v>
      </c>
      <c r="C1805" s="9" t="s">
        <v>21</v>
      </c>
      <c r="D1805" s="9" t="s">
        <v>39</v>
      </c>
      <c r="E1805" s="9" t="s">
        <v>13</v>
      </c>
      <c r="F1805" s="9">
        <v>217</v>
      </c>
      <c r="G1805" s="9">
        <v>175.93</v>
      </c>
      <c r="H1805" s="9" t="s">
        <v>32</v>
      </c>
      <c r="I1805" s="9">
        <v>6</v>
      </c>
      <c r="J1805" s="10">
        <v>-41.069999999999901</v>
      </c>
      <c r="K1805" s="9" t="str">
        <f>TEXT(Sales_of_Jordan[[#This Row],[Sale_Date]],"mmm")</f>
        <v>Jul</v>
      </c>
    </row>
    <row r="1806" spans="1:11" x14ac:dyDescent="0.35">
      <c r="A1806" s="7" t="s">
        <v>1836</v>
      </c>
      <c r="B1806" s="8">
        <v>45545</v>
      </c>
      <c r="C1806" s="9" t="s">
        <v>16</v>
      </c>
      <c r="D1806" s="9" t="s">
        <v>55</v>
      </c>
      <c r="E1806" s="9" t="s">
        <v>18</v>
      </c>
      <c r="F1806" s="9">
        <v>171</v>
      </c>
      <c r="G1806" s="9">
        <v>521.04999999999995</v>
      </c>
      <c r="H1806" s="9" t="s">
        <v>32</v>
      </c>
      <c r="I1806" s="9">
        <v>37</v>
      </c>
      <c r="J1806" s="10">
        <v>350.04999999999899</v>
      </c>
      <c r="K1806" s="9" t="str">
        <f>TEXT(Sales_of_Jordan[[#This Row],[Sale_Date]],"mmm")</f>
        <v>Sep</v>
      </c>
    </row>
    <row r="1807" spans="1:11" x14ac:dyDescent="0.35">
      <c r="A1807" s="7" t="s">
        <v>1837</v>
      </c>
      <c r="B1807" s="8">
        <v>45440</v>
      </c>
      <c r="C1807" s="9" t="s">
        <v>21</v>
      </c>
      <c r="D1807" s="9" t="s">
        <v>53</v>
      </c>
      <c r="E1807" s="9" t="s">
        <v>29</v>
      </c>
      <c r="F1807" s="9">
        <v>213</v>
      </c>
      <c r="G1807" s="9">
        <v>282.01</v>
      </c>
      <c r="H1807" s="9" t="s">
        <v>14</v>
      </c>
      <c r="I1807" s="9">
        <v>3</v>
      </c>
      <c r="J1807" s="10">
        <v>69.009999999999906</v>
      </c>
      <c r="K1807" s="9" t="str">
        <f>TEXT(Sales_of_Jordan[[#This Row],[Sale_Date]],"mmm")</f>
        <v>May</v>
      </c>
    </row>
    <row r="1808" spans="1:11" x14ac:dyDescent="0.35">
      <c r="A1808" s="7" t="s">
        <v>1838</v>
      </c>
      <c r="B1808" s="8">
        <v>45626</v>
      </c>
      <c r="C1808" s="9" t="s">
        <v>27</v>
      </c>
      <c r="D1808" s="9" t="s">
        <v>17</v>
      </c>
      <c r="E1808" s="9" t="s">
        <v>29</v>
      </c>
      <c r="F1808" s="9">
        <v>113</v>
      </c>
      <c r="G1808" s="9">
        <v>112.62</v>
      </c>
      <c r="H1808" s="9" t="s">
        <v>25</v>
      </c>
      <c r="I1808" s="9">
        <v>60</v>
      </c>
      <c r="J1808" s="10">
        <v>-0.37999999999999501</v>
      </c>
      <c r="K1808" s="9" t="str">
        <f>TEXT(Sales_of_Jordan[[#This Row],[Sale_Date]],"mmm")</f>
        <v>Nov</v>
      </c>
    </row>
    <row r="1809" spans="1:11" x14ac:dyDescent="0.35">
      <c r="A1809" s="7" t="s">
        <v>1839</v>
      </c>
      <c r="B1809" s="8">
        <v>45372</v>
      </c>
      <c r="C1809" s="9" t="s">
        <v>31</v>
      </c>
      <c r="D1809" s="9" t="s">
        <v>17</v>
      </c>
      <c r="E1809" s="9" t="s">
        <v>13</v>
      </c>
      <c r="F1809" s="9">
        <v>202</v>
      </c>
      <c r="G1809" s="9">
        <v>106.71</v>
      </c>
      <c r="H1809" s="9" t="s">
        <v>32</v>
      </c>
      <c r="I1809" s="9">
        <v>14</v>
      </c>
      <c r="J1809" s="10">
        <v>-95.29</v>
      </c>
      <c r="K1809" s="9" t="str">
        <f>TEXT(Sales_of_Jordan[[#This Row],[Sale_Date]],"mmm")</f>
        <v>Mar</v>
      </c>
    </row>
    <row r="1810" spans="1:11" x14ac:dyDescent="0.35">
      <c r="A1810" s="7" t="s">
        <v>1840</v>
      </c>
      <c r="B1810" s="8">
        <v>44978</v>
      </c>
      <c r="C1810" s="9" t="s">
        <v>16</v>
      </c>
      <c r="D1810" s="9" t="s">
        <v>36</v>
      </c>
      <c r="E1810" s="9" t="s">
        <v>18</v>
      </c>
      <c r="F1810" s="9">
        <v>181</v>
      </c>
      <c r="G1810" s="9">
        <v>236.47</v>
      </c>
      <c r="H1810" s="9" t="s">
        <v>32</v>
      </c>
      <c r="I1810" s="9">
        <v>12</v>
      </c>
      <c r="J1810" s="10">
        <v>55.47</v>
      </c>
      <c r="K1810" s="9" t="str">
        <f>TEXT(Sales_of_Jordan[[#This Row],[Sale_Date]],"mmm")</f>
        <v>Feb</v>
      </c>
    </row>
    <row r="1811" spans="1:11" x14ac:dyDescent="0.35">
      <c r="A1811" s="7" t="s">
        <v>1841</v>
      </c>
      <c r="B1811" s="8">
        <v>45147</v>
      </c>
      <c r="C1811" s="9" t="s">
        <v>31</v>
      </c>
      <c r="D1811" s="9" t="s">
        <v>46</v>
      </c>
      <c r="E1811" s="9" t="s">
        <v>29</v>
      </c>
      <c r="F1811" s="9">
        <v>210</v>
      </c>
      <c r="G1811" s="9">
        <v>212.07</v>
      </c>
      <c r="H1811" s="9" t="s">
        <v>23</v>
      </c>
      <c r="I1811" s="9">
        <v>41</v>
      </c>
      <c r="J1811" s="10">
        <v>2.0699999999999901</v>
      </c>
      <c r="K1811" s="9" t="str">
        <f>TEXT(Sales_of_Jordan[[#This Row],[Sale_Date]],"mmm")</f>
        <v>Aug</v>
      </c>
    </row>
    <row r="1812" spans="1:11" x14ac:dyDescent="0.35">
      <c r="A1812" s="7" t="s">
        <v>1842</v>
      </c>
      <c r="B1812" s="8">
        <v>45444</v>
      </c>
      <c r="C1812" s="9" t="s">
        <v>27</v>
      </c>
      <c r="D1812" s="9" t="s">
        <v>55</v>
      </c>
      <c r="E1812" s="9" t="s">
        <v>29</v>
      </c>
      <c r="F1812" s="9">
        <v>119</v>
      </c>
      <c r="G1812" s="9">
        <v>123.22</v>
      </c>
      <c r="H1812" s="9" t="s">
        <v>25</v>
      </c>
      <c r="I1812" s="9">
        <v>40</v>
      </c>
      <c r="J1812" s="10">
        <v>4.21999999999999</v>
      </c>
      <c r="K1812" s="9" t="str">
        <f>TEXT(Sales_of_Jordan[[#This Row],[Sale_Date]],"mmm")</f>
        <v>Jun</v>
      </c>
    </row>
    <row r="1813" spans="1:11" x14ac:dyDescent="0.35">
      <c r="A1813" s="7" t="s">
        <v>1843</v>
      </c>
      <c r="B1813" s="8">
        <v>45737</v>
      </c>
      <c r="C1813" s="9" t="s">
        <v>27</v>
      </c>
      <c r="D1813" s="9" t="s">
        <v>36</v>
      </c>
      <c r="E1813" s="9" t="s">
        <v>18</v>
      </c>
      <c r="F1813" s="9">
        <v>113</v>
      </c>
      <c r="G1813" s="9">
        <v>281.16000000000003</v>
      </c>
      <c r="H1813" s="9" t="s">
        <v>25</v>
      </c>
      <c r="I1813" s="9">
        <v>59</v>
      </c>
      <c r="J1813" s="10">
        <v>168.16</v>
      </c>
      <c r="K1813" s="9" t="str">
        <f>TEXT(Sales_of_Jordan[[#This Row],[Sale_Date]],"mmm")</f>
        <v>Mar</v>
      </c>
    </row>
    <row r="1814" spans="1:11" x14ac:dyDescent="0.35">
      <c r="A1814" s="7" t="s">
        <v>1844</v>
      </c>
      <c r="B1814" s="8">
        <v>45505</v>
      </c>
      <c r="C1814" s="9" t="s">
        <v>16</v>
      </c>
      <c r="D1814" s="9" t="s">
        <v>17</v>
      </c>
      <c r="E1814" s="9" t="s">
        <v>29</v>
      </c>
      <c r="F1814" s="9">
        <v>175</v>
      </c>
      <c r="G1814" s="9">
        <v>164</v>
      </c>
      <c r="H1814" s="9" t="s">
        <v>14</v>
      </c>
      <c r="I1814" s="9">
        <v>1</v>
      </c>
      <c r="J1814" s="10">
        <v>-11</v>
      </c>
      <c r="K1814" s="9" t="str">
        <f>TEXT(Sales_of_Jordan[[#This Row],[Sale_Date]],"mmm")</f>
        <v>Aug</v>
      </c>
    </row>
    <row r="1815" spans="1:11" x14ac:dyDescent="0.35">
      <c r="A1815" s="7" t="s">
        <v>1845</v>
      </c>
      <c r="B1815" s="8">
        <v>45920</v>
      </c>
      <c r="C1815" s="9" t="s">
        <v>27</v>
      </c>
      <c r="D1815" s="9" t="s">
        <v>39</v>
      </c>
      <c r="E1815" s="9" t="s">
        <v>29</v>
      </c>
      <c r="F1815" s="9">
        <v>124</v>
      </c>
      <c r="G1815" s="9">
        <v>135.86000000000001</v>
      </c>
      <c r="H1815" s="9" t="s">
        <v>19</v>
      </c>
      <c r="I1815" s="9">
        <v>4</v>
      </c>
      <c r="J1815" s="10">
        <v>11.86</v>
      </c>
      <c r="K1815" s="9" t="str">
        <f>TEXT(Sales_of_Jordan[[#This Row],[Sale_Date]],"mmm")</f>
        <v>Sep</v>
      </c>
    </row>
    <row r="1816" spans="1:11" x14ac:dyDescent="0.35">
      <c r="A1816" s="7" t="s">
        <v>1846</v>
      </c>
      <c r="B1816" s="8">
        <v>45754</v>
      </c>
      <c r="C1816" s="9" t="s">
        <v>11</v>
      </c>
      <c r="D1816" s="9" t="s">
        <v>12</v>
      </c>
      <c r="E1816" s="9" t="s">
        <v>13</v>
      </c>
      <c r="F1816" s="9">
        <v>227</v>
      </c>
      <c r="G1816" s="9">
        <v>179.8</v>
      </c>
      <c r="H1816" s="9" t="s">
        <v>19</v>
      </c>
      <c r="I1816" s="9">
        <v>8</v>
      </c>
      <c r="J1816" s="10">
        <v>-47.199999999999903</v>
      </c>
      <c r="K1816" s="9" t="str">
        <f>TEXT(Sales_of_Jordan[[#This Row],[Sale_Date]],"mmm")</f>
        <v>Apr</v>
      </c>
    </row>
    <row r="1817" spans="1:11" x14ac:dyDescent="0.35">
      <c r="A1817" s="7" t="s">
        <v>1847</v>
      </c>
      <c r="B1817" s="8">
        <v>45234</v>
      </c>
      <c r="C1817" s="9" t="s">
        <v>21</v>
      </c>
      <c r="D1817" s="9" t="s">
        <v>46</v>
      </c>
      <c r="E1817" s="9" t="s">
        <v>13</v>
      </c>
      <c r="F1817" s="9">
        <v>219</v>
      </c>
      <c r="G1817" s="9">
        <v>181.28</v>
      </c>
      <c r="H1817" s="9" t="s">
        <v>19</v>
      </c>
      <c r="I1817" s="9">
        <v>3</v>
      </c>
      <c r="J1817" s="10">
        <v>-37.72</v>
      </c>
      <c r="K1817" s="9" t="str">
        <f>TEXT(Sales_of_Jordan[[#This Row],[Sale_Date]],"mmm")</f>
        <v>Nov</v>
      </c>
    </row>
    <row r="1818" spans="1:11" x14ac:dyDescent="0.35">
      <c r="A1818" s="7" t="s">
        <v>1848</v>
      </c>
      <c r="B1818" s="8">
        <v>45527</v>
      </c>
      <c r="C1818" s="9" t="s">
        <v>27</v>
      </c>
      <c r="D1818" s="9" t="s">
        <v>53</v>
      </c>
      <c r="E1818" s="9" t="s">
        <v>29</v>
      </c>
      <c r="F1818" s="9">
        <v>111</v>
      </c>
      <c r="G1818" s="9">
        <v>139.37</v>
      </c>
      <c r="H1818" s="9" t="s">
        <v>19</v>
      </c>
      <c r="I1818" s="9">
        <v>8</v>
      </c>
      <c r="J1818" s="10">
        <v>28.37</v>
      </c>
      <c r="K1818" s="9" t="str">
        <f>TEXT(Sales_of_Jordan[[#This Row],[Sale_Date]],"mmm")</f>
        <v>Aug</v>
      </c>
    </row>
    <row r="1819" spans="1:11" x14ac:dyDescent="0.35">
      <c r="A1819" s="7" t="s">
        <v>1849</v>
      </c>
      <c r="B1819" s="8">
        <v>45075</v>
      </c>
      <c r="C1819" s="9" t="s">
        <v>16</v>
      </c>
      <c r="D1819" s="9" t="s">
        <v>22</v>
      </c>
      <c r="E1819" s="9" t="s">
        <v>29</v>
      </c>
      <c r="F1819" s="9">
        <v>189</v>
      </c>
      <c r="G1819" s="9">
        <v>235.87</v>
      </c>
      <c r="H1819" s="9" t="s">
        <v>14</v>
      </c>
      <c r="I1819" s="9">
        <v>13</v>
      </c>
      <c r="J1819" s="10">
        <v>46.87</v>
      </c>
      <c r="K1819" s="9" t="str">
        <f>TEXT(Sales_of_Jordan[[#This Row],[Sale_Date]],"mmm")</f>
        <v>May</v>
      </c>
    </row>
    <row r="1820" spans="1:11" x14ac:dyDescent="0.35">
      <c r="A1820" s="7" t="s">
        <v>1850</v>
      </c>
      <c r="B1820" s="8">
        <v>45101</v>
      </c>
      <c r="C1820" s="9" t="s">
        <v>27</v>
      </c>
      <c r="D1820" s="9" t="s">
        <v>12</v>
      </c>
      <c r="E1820" s="9" t="s">
        <v>13</v>
      </c>
      <c r="F1820" s="9">
        <v>116</v>
      </c>
      <c r="G1820" s="9">
        <v>100.57</v>
      </c>
      <c r="H1820" s="9" t="s">
        <v>14</v>
      </c>
      <c r="I1820" s="9">
        <v>12</v>
      </c>
      <c r="J1820" s="10">
        <v>-15.43</v>
      </c>
      <c r="K1820" s="9" t="str">
        <f>TEXT(Sales_of_Jordan[[#This Row],[Sale_Date]],"mmm")</f>
        <v>Jun</v>
      </c>
    </row>
    <row r="1821" spans="1:11" x14ac:dyDescent="0.35">
      <c r="A1821" s="7" t="s">
        <v>1851</v>
      </c>
      <c r="B1821" s="8">
        <v>45778</v>
      </c>
      <c r="C1821" s="9" t="s">
        <v>27</v>
      </c>
      <c r="D1821" s="9" t="s">
        <v>55</v>
      </c>
      <c r="E1821" s="9" t="s">
        <v>13</v>
      </c>
      <c r="F1821" s="9">
        <v>129</v>
      </c>
      <c r="G1821" s="9">
        <v>64.52</v>
      </c>
      <c r="H1821" s="9" t="s">
        <v>14</v>
      </c>
      <c r="I1821" s="9">
        <v>7</v>
      </c>
      <c r="J1821" s="10">
        <v>-64.48</v>
      </c>
      <c r="K1821" s="9" t="str">
        <f>TEXT(Sales_of_Jordan[[#This Row],[Sale_Date]],"mmm")</f>
        <v>May</v>
      </c>
    </row>
    <row r="1822" spans="1:11" x14ac:dyDescent="0.35">
      <c r="A1822" s="7" t="s">
        <v>1852</v>
      </c>
      <c r="B1822" s="8">
        <v>45662</v>
      </c>
      <c r="C1822" s="9" t="s">
        <v>11</v>
      </c>
      <c r="D1822" s="9" t="s">
        <v>17</v>
      </c>
      <c r="E1822" s="9" t="s">
        <v>18</v>
      </c>
      <c r="F1822" s="9">
        <v>226</v>
      </c>
      <c r="G1822" s="9">
        <v>304.83</v>
      </c>
      <c r="H1822" s="9" t="s">
        <v>25</v>
      </c>
      <c r="I1822" s="9">
        <v>39</v>
      </c>
      <c r="J1822" s="10">
        <v>78.829999999999899</v>
      </c>
      <c r="K1822" s="9" t="str">
        <f>TEXT(Sales_of_Jordan[[#This Row],[Sale_Date]],"mmm")</f>
        <v>Jan</v>
      </c>
    </row>
    <row r="1823" spans="1:11" x14ac:dyDescent="0.35">
      <c r="A1823" s="7" t="s">
        <v>1853</v>
      </c>
      <c r="B1823" s="8">
        <v>45028</v>
      </c>
      <c r="C1823" s="9" t="s">
        <v>11</v>
      </c>
      <c r="D1823" s="9" t="s">
        <v>17</v>
      </c>
      <c r="E1823" s="9" t="s">
        <v>29</v>
      </c>
      <c r="F1823" s="9">
        <v>230</v>
      </c>
      <c r="G1823" s="9">
        <v>279.63</v>
      </c>
      <c r="H1823" s="9" t="s">
        <v>32</v>
      </c>
      <c r="I1823" s="9">
        <v>42</v>
      </c>
      <c r="J1823" s="10">
        <v>49.629999999999903</v>
      </c>
      <c r="K1823" s="9" t="str">
        <f>TEXT(Sales_of_Jordan[[#This Row],[Sale_Date]],"mmm")</f>
        <v>Apr</v>
      </c>
    </row>
    <row r="1824" spans="1:11" x14ac:dyDescent="0.35">
      <c r="A1824" s="7" t="s">
        <v>1854</v>
      </c>
      <c r="B1824" s="8">
        <v>45199</v>
      </c>
      <c r="C1824" s="9" t="s">
        <v>16</v>
      </c>
      <c r="D1824" s="9" t="s">
        <v>55</v>
      </c>
      <c r="E1824" s="9" t="s">
        <v>13</v>
      </c>
      <c r="F1824" s="9">
        <v>174</v>
      </c>
      <c r="G1824" s="9">
        <v>97.31</v>
      </c>
      <c r="H1824" s="9" t="s">
        <v>23</v>
      </c>
      <c r="I1824" s="9">
        <v>31</v>
      </c>
      <c r="J1824" s="10">
        <v>-76.69</v>
      </c>
      <c r="K1824" s="9" t="str">
        <f>TEXT(Sales_of_Jordan[[#This Row],[Sale_Date]],"mmm")</f>
        <v>Sep</v>
      </c>
    </row>
    <row r="1825" spans="1:11" x14ac:dyDescent="0.35">
      <c r="A1825" s="7" t="s">
        <v>1855</v>
      </c>
      <c r="B1825" s="8">
        <v>45066</v>
      </c>
      <c r="C1825" s="9" t="s">
        <v>16</v>
      </c>
      <c r="D1825" s="9" t="s">
        <v>55</v>
      </c>
      <c r="E1825" s="9" t="s">
        <v>18</v>
      </c>
      <c r="F1825" s="9">
        <v>186</v>
      </c>
      <c r="G1825" s="9">
        <v>445.4</v>
      </c>
      <c r="H1825" s="9" t="s">
        <v>32</v>
      </c>
      <c r="I1825" s="9">
        <v>14</v>
      </c>
      <c r="J1825" s="10">
        <v>259.39999999999998</v>
      </c>
      <c r="K1825" s="9" t="str">
        <f>TEXT(Sales_of_Jordan[[#This Row],[Sale_Date]],"mmm")</f>
        <v>May</v>
      </c>
    </row>
    <row r="1826" spans="1:11" x14ac:dyDescent="0.35">
      <c r="A1826" s="7" t="s">
        <v>1856</v>
      </c>
      <c r="B1826" s="8">
        <v>45221</v>
      </c>
      <c r="C1826" s="9" t="s">
        <v>21</v>
      </c>
      <c r="D1826" s="9" t="s">
        <v>17</v>
      </c>
      <c r="E1826" s="9" t="s">
        <v>13</v>
      </c>
      <c r="F1826" s="9">
        <v>213</v>
      </c>
      <c r="G1826" s="9">
        <v>174.9</v>
      </c>
      <c r="H1826" s="9" t="s">
        <v>14</v>
      </c>
      <c r="I1826" s="9">
        <v>13</v>
      </c>
      <c r="J1826" s="10">
        <v>-38.099999999999902</v>
      </c>
      <c r="K1826" s="9" t="str">
        <f>TEXT(Sales_of_Jordan[[#This Row],[Sale_Date]],"mmm")</f>
        <v>Oct</v>
      </c>
    </row>
    <row r="1827" spans="1:11" x14ac:dyDescent="0.35">
      <c r="A1827" s="7" t="s">
        <v>1857</v>
      </c>
      <c r="B1827" s="8">
        <v>44967</v>
      </c>
      <c r="C1827" s="9" t="s">
        <v>27</v>
      </c>
      <c r="D1827" s="9" t="s">
        <v>55</v>
      </c>
      <c r="E1827" s="9" t="s">
        <v>13</v>
      </c>
      <c r="F1827" s="9">
        <v>118</v>
      </c>
      <c r="G1827" s="9">
        <v>82.55</v>
      </c>
      <c r="H1827" s="9" t="s">
        <v>32</v>
      </c>
      <c r="I1827" s="9">
        <v>31</v>
      </c>
      <c r="J1827" s="10">
        <v>-35.450000000000003</v>
      </c>
      <c r="K1827" s="9" t="str">
        <f>TEXT(Sales_of_Jordan[[#This Row],[Sale_Date]],"mmm")</f>
        <v>Feb</v>
      </c>
    </row>
    <row r="1828" spans="1:11" x14ac:dyDescent="0.35">
      <c r="A1828" s="7" t="s">
        <v>1858</v>
      </c>
      <c r="B1828" s="8">
        <v>45507</v>
      </c>
      <c r="C1828" s="9" t="s">
        <v>16</v>
      </c>
      <c r="D1828" s="9" t="s">
        <v>34</v>
      </c>
      <c r="E1828" s="9" t="s">
        <v>13</v>
      </c>
      <c r="F1828" s="9">
        <v>190</v>
      </c>
      <c r="G1828" s="9">
        <v>100.68</v>
      </c>
      <c r="H1828" s="9" t="s">
        <v>14</v>
      </c>
      <c r="I1828" s="9">
        <v>5</v>
      </c>
      <c r="J1828" s="10">
        <v>-89.32</v>
      </c>
      <c r="K1828" s="9" t="str">
        <f>TEXT(Sales_of_Jordan[[#This Row],[Sale_Date]],"mmm")</f>
        <v>Aug</v>
      </c>
    </row>
    <row r="1829" spans="1:11" x14ac:dyDescent="0.35">
      <c r="A1829" s="7" t="s">
        <v>1859</v>
      </c>
      <c r="B1829" s="8">
        <v>45750</v>
      </c>
      <c r="C1829" s="9" t="s">
        <v>31</v>
      </c>
      <c r="D1829" s="9" t="s">
        <v>34</v>
      </c>
      <c r="E1829" s="9" t="s">
        <v>29</v>
      </c>
      <c r="F1829" s="9">
        <v>202</v>
      </c>
      <c r="G1829" s="9">
        <v>212.02</v>
      </c>
      <c r="H1829" s="9" t="s">
        <v>32</v>
      </c>
      <c r="I1829" s="9">
        <v>25</v>
      </c>
      <c r="J1829" s="10">
        <v>10.02</v>
      </c>
      <c r="K1829" s="9" t="str">
        <f>TEXT(Sales_of_Jordan[[#This Row],[Sale_Date]],"mmm")</f>
        <v>Apr</v>
      </c>
    </row>
    <row r="1830" spans="1:11" x14ac:dyDescent="0.35">
      <c r="A1830" s="7" t="s">
        <v>1860</v>
      </c>
      <c r="B1830" s="8">
        <v>45044</v>
      </c>
      <c r="C1830" s="9" t="s">
        <v>27</v>
      </c>
      <c r="D1830" s="9" t="s">
        <v>46</v>
      </c>
      <c r="E1830" s="9" t="s">
        <v>29</v>
      </c>
      <c r="F1830" s="9">
        <v>130</v>
      </c>
      <c r="G1830" s="9">
        <v>194.39</v>
      </c>
      <c r="H1830" s="9" t="s">
        <v>32</v>
      </c>
      <c r="I1830" s="9">
        <v>29</v>
      </c>
      <c r="J1830" s="10">
        <v>64.389999999999901</v>
      </c>
      <c r="K1830" s="9" t="str">
        <f>TEXT(Sales_of_Jordan[[#This Row],[Sale_Date]],"mmm")</f>
        <v>Apr</v>
      </c>
    </row>
    <row r="1831" spans="1:11" x14ac:dyDescent="0.35">
      <c r="A1831" s="7" t="s">
        <v>1861</v>
      </c>
      <c r="B1831" s="8">
        <v>45843</v>
      </c>
      <c r="C1831" s="9" t="s">
        <v>31</v>
      </c>
      <c r="D1831" s="9" t="s">
        <v>36</v>
      </c>
      <c r="E1831" s="9" t="s">
        <v>18</v>
      </c>
      <c r="F1831" s="9">
        <v>208</v>
      </c>
      <c r="G1831" s="9">
        <v>521.94000000000005</v>
      </c>
      <c r="H1831" s="9" t="s">
        <v>32</v>
      </c>
      <c r="I1831" s="9">
        <v>51</v>
      </c>
      <c r="J1831" s="10">
        <v>313.94</v>
      </c>
      <c r="K1831" s="9" t="str">
        <f>TEXT(Sales_of_Jordan[[#This Row],[Sale_Date]],"mmm")</f>
        <v>Jul</v>
      </c>
    </row>
    <row r="1832" spans="1:11" x14ac:dyDescent="0.35">
      <c r="A1832" s="7" t="s">
        <v>1862</v>
      </c>
      <c r="B1832" s="8">
        <v>45631</v>
      </c>
      <c r="C1832" s="9" t="s">
        <v>11</v>
      </c>
      <c r="D1832" s="9" t="s">
        <v>39</v>
      </c>
      <c r="E1832" s="9" t="s">
        <v>18</v>
      </c>
      <c r="F1832" s="9">
        <v>225</v>
      </c>
      <c r="G1832" s="9">
        <v>687.46</v>
      </c>
      <c r="H1832" s="9" t="s">
        <v>23</v>
      </c>
      <c r="I1832" s="9">
        <v>42</v>
      </c>
      <c r="J1832" s="10">
        <v>462.46</v>
      </c>
      <c r="K1832" s="9" t="str">
        <f>TEXT(Sales_of_Jordan[[#This Row],[Sale_Date]],"mmm")</f>
        <v>Dec</v>
      </c>
    </row>
    <row r="1833" spans="1:11" x14ac:dyDescent="0.35">
      <c r="A1833" s="7" t="s">
        <v>1863</v>
      </c>
      <c r="B1833" s="8">
        <v>44987</v>
      </c>
      <c r="C1833" s="9" t="s">
        <v>31</v>
      </c>
      <c r="D1833" s="9" t="s">
        <v>36</v>
      </c>
      <c r="E1833" s="9" t="s">
        <v>18</v>
      </c>
      <c r="F1833" s="9">
        <v>206</v>
      </c>
      <c r="G1833" s="9">
        <v>407.6</v>
      </c>
      <c r="H1833" s="9" t="s">
        <v>14</v>
      </c>
      <c r="I1833" s="9">
        <v>13</v>
      </c>
      <c r="J1833" s="10">
        <v>201.6</v>
      </c>
      <c r="K1833" s="9" t="str">
        <f>TEXT(Sales_of_Jordan[[#This Row],[Sale_Date]],"mmm")</f>
        <v>Mar</v>
      </c>
    </row>
    <row r="1834" spans="1:11" x14ac:dyDescent="0.35">
      <c r="A1834" s="7" t="s">
        <v>1864</v>
      </c>
      <c r="B1834" s="8">
        <v>45492</v>
      </c>
      <c r="C1834" s="9" t="s">
        <v>21</v>
      </c>
      <c r="D1834" s="9" t="s">
        <v>12</v>
      </c>
      <c r="E1834" s="9" t="s">
        <v>18</v>
      </c>
      <c r="F1834" s="9">
        <v>213</v>
      </c>
      <c r="G1834" s="9">
        <v>655.6</v>
      </c>
      <c r="H1834" s="9" t="s">
        <v>25</v>
      </c>
      <c r="I1834" s="9">
        <v>47</v>
      </c>
      <c r="J1834" s="10">
        <v>442.6</v>
      </c>
      <c r="K1834" s="9" t="str">
        <f>TEXT(Sales_of_Jordan[[#This Row],[Sale_Date]],"mmm")</f>
        <v>Jul</v>
      </c>
    </row>
    <row r="1835" spans="1:11" x14ac:dyDescent="0.35">
      <c r="A1835" s="7" t="s">
        <v>1865</v>
      </c>
      <c r="B1835" s="8">
        <v>45026</v>
      </c>
      <c r="C1835" s="9" t="s">
        <v>31</v>
      </c>
      <c r="D1835" s="9" t="s">
        <v>39</v>
      </c>
      <c r="E1835" s="9" t="s">
        <v>13</v>
      </c>
      <c r="F1835" s="9">
        <v>207</v>
      </c>
      <c r="G1835" s="9">
        <v>128.24</v>
      </c>
      <c r="H1835" s="9" t="s">
        <v>14</v>
      </c>
      <c r="I1835" s="9">
        <v>8</v>
      </c>
      <c r="J1835" s="10">
        <v>-78.759999999999906</v>
      </c>
      <c r="K1835" s="9" t="str">
        <f>TEXT(Sales_of_Jordan[[#This Row],[Sale_Date]],"mmm")</f>
        <v>Apr</v>
      </c>
    </row>
    <row r="1836" spans="1:11" x14ac:dyDescent="0.35">
      <c r="A1836" s="7" t="s">
        <v>1866</v>
      </c>
      <c r="B1836" s="8">
        <v>45368</v>
      </c>
      <c r="C1836" s="9" t="s">
        <v>16</v>
      </c>
      <c r="D1836" s="9" t="s">
        <v>53</v>
      </c>
      <c r="E1836" s="9" t="s">
        <v>29</v>
      </c>
      <c r="F1836" s="9">
        <v>174</v>
      </c>
      <c r="G1836" s="9">
        <v>157.29</v>
      </c>
      <c r="H1836" s="9" t="s">
        <v>14</v>
      </c>
      <c r="I1836" s="9">
        <v>2</v>
      </c>
      <c r="J1836" s="10">
        <v>-16.71</v>
      </c>
      <c r="K1836" s="9" t="str">
        <f>TEXT(Sales_of_Jordan[[#This Row],[Sale_Date]],"mmm")</f>
        <v>Mar</v>
      </c>
    </row>
    <row r="1837" spans="1:11" x14ac:dyDescent="0.35">
      <c r="A1837" s="7" t="s">
        <v>1867</v>
      </c>
      <c r="B1837" s="8">
        <v>45334</v>
      </c>
      <c r="C1837" s="9" t="s">
        <v>11</v>
      </c>
      <c r="D1837" s="9" t="s">
        <v>46</v>
      </c>
      <c r="E1837" s="9" t="s">
        <v>18</v>
      </c>
      <c r="F1837" s="9">
        <v>228</v>
      </c>
      <c r="G1837" s="9">
        <v>684.22</v>
      </c>
      <c r="H1837" s="9" t="s">
        <v>19</v>
      </c>
      <c r="I1837" s="9">
        <v>8</v>
      </c>
      <c r="J1837" s="10">
        <v>456.22</v>
      </c>
      <c r="K1837" s="9" t="str">
        <f>TEXT(Sales_of_Jordan[[#This Row],[Sale_Date]],"mmm")</f>
        <v>Feb</v>
      </c>
    </row>
    <row r="1838" spans="1:11" x14ac:dyDescent="0.35">
      <c r="A1838" s="7" t="s">
        <v>1868</v>
      </c>
      <c r="B1838" s="8">
        <v>45212</v>
      </c>
      <c r="C1838" s="9" t="s">
        <v>21</v>
      </c>
      <c r="D1838" s="9" t="s">
        <v>46</v>
      </c>
      <c r="E1838" s="9" t="s">
        <v>18</v>
      </c>
      <c r="F1838" s="9">
        <v>220</v>
      </c>
      <c r="G1838" s="9">
        <v>625.75</v>
      </c>
      <c r="H1838" s="9" t="s">
        <v>19</v>
      </c>
      <c r="I1838" s="9">
        <v>1</v>
      </c>
      <c r="J1838" s="10">
        <v>405.75</v>
      </c>
      <c r="K1838" s="9" t="str">
        <f>TEXT(Sales_of_Jordan[[#This Row],[Sale_Date]],"mmm")</f>
        <v>Oct</v>
      </c>
    </row>
    <row r="1839" spans="1:11" x14ac:dyDescent="0.35">
      <c r="A1839" s="7" t="s">
        <v>1869</v>
      </c>
      <c r="B1839" s="8">
        <v>45505</v>
      </c>
      <c r="C1839" s="9" t="s">
        <v>21</v>
      </c>
      <c r="D1839" s="9" t="s">
        <v>39</v>
      </c>
      <c r="E1839" s="9" t="s">
        <v>29</v>
      </c>
      <c r="F1839" s="9">
        <v>222</v>
      </c>
      <c r="G1839" s="9">
        <v>246.41</v>
      </c>
      <c r="H1839" s="9" t="s">
        <v>23</v>
      </c>
      <c r="I1839" s="9">
        <v>48</v>
      </c>
      <c r="J1839" s="10">
        <v>24.409999999999901</v>
      </c>
      <c r="K1839" s="9" t="str">
        <f>TEXT(Sales_of_Jordan[[#This Row],[Sale_Date]],"mmm")</f>
        <v>Aug</v>
      </c>
    </row>
    <row r="1840" spans="1:11" x14ac:dyDescent="0.35">
      <c r="A1840" s="7" t="s">
        <v>1870</v>
      </c>
      <c r="B1840" s="8">
        <v>45767</v>
      </c>
      <c r="C1840" s="9" t="s">
        <v>31</v>
      </c>
      <c r="D1840" s="9" t="s">
        <v>34</v>
      </c>
      <c r="E1840" s="9" t="s">
        <v>18</v>
      </c>
      <c r="F1840" s="9">
        <v>204</v>
      </c>
      <c r="G1840" s="9">
        <v>570.04999999999995</v>
      </c>
      <c r="H1840" s="9" t="s">
        <v>25</v>
      </c>
      <c r="I1840" s="9">
        <v>29</v>
      </c>
      <c r="J1840" s="10">
        <v>366.04999999999899</v>
      </c>
      <c r="K1840" s="9" t="str">
        <f>TEXT(Sales_of_Jordan[[#This Row],[Sale_Date]],"mmm")</f>
        <v>Apr</v>
      </c>
    </row>
    <row r="1841" spans="1:11" x14ac:dyDescent="0.35">
      <c r="A1841" s="7" t="s">
        <v>1871</v>
      </c>
      <c r="B1841" s="8">
        <v>45895</v>
      </c>
      <c r="C1841" s="9" t="s">
        <v>27</v>
      </c>
      <c r="D1841" s="9" t="s">
        <v>46</v>
      </c>
      <c r="E1841" s="9" t="s">
        <v>18</v>
      </c>
      <c r="F1841" s="9">
        <v>138</v>
      </c>
      <c r="G1841" s="9">
        <v>254.44</v>
      </c>
      <c r="H1841" s="9" t="s">
        <v>32</v>
      </c>
      <c r="I1841" s="9">
        <v>7</v>
      </c>
      <c r="J1841" s="10">
        <v>116.44</v>
      </c>
      <c r="K1841" s="9" t="str">
        <f>TEXT(Sales_of_Jordan[[#This Row],[Sale_Date]],"mmm")</f>
        <v>Aug</v>
      </c>
    </row>
    <row r="1842" spans="1:11" x14ac:dyDescent="0.35">
      <c r="A1842" s="7" t="s">
        <v>1872</v>
      </c>
      <c r="B1842" s="8">
        <v>45169</v>
      </c>
      <c r="C1842" s="9" t="s">
        <v>31</v>
      </c>
      <c r="D1842" s="9" t="s">
        <v>17</v>
      </c>
      <c r="E1842" s="9" t="s">
        <v>29</v>
      </c>
      <c r="F1842" s="9">
        <v>200</v>
      </c>
      <c r="G1842" s="9">
        <v>278.62</v>
      </c>
      <c r="H1842" s="9" t="s">
        <v>25</v>
      </c>
      <c r="I1842" s="9">
        <v>51</v>
      </c>
      <c r="J1842" s="10">
        <v>78.62</v>
      </c>
      <c r="K1842" s="9" t="str">
        <f>TEXT(Sales_of_Jordan[[#This Row],[Sale_Date]],"mmm")</f>
        <v>Aug</v>
      </c>
    </row>
    <row r="1843" spans="1:11" x14ac:dyDescent="0.35">
      <c r="A1843" s="7" t="s">
        <v>1873</v>
      </c>
      <c r="B1843" s="8">
        <v>44960</v>
      </c>
      <c r="C1843" s="9" t="s">
        <v>31</v>
      </c>
      <c r="D1843" s="9" t="s">
        <v>46</v>
      </c>
      <c r="E1843" s="9" t="s">
        <v>13</v>
      </c>
      <c r="F1843" s="9">
        <v>205</v>
      </c>
      <c r="G1843" s="9">
        <v>146.72</v>
      </c>
      <c r="H1843" s="9" t="s">
        <v>25</v>
      </c>
      <c r="I1843" s="9">
        <v>23</v>
      </c>
      <c r="J1843" s="10">
        <v>-58.28</v>
      </c>
      <c r="K1843" s="9" t="str">
        <f>TEXT(Sales_of_Jordan[[#This Row],[Sale_Date]],"mmm")</f>
        <v>Feb</v>
      </c>
    </row>
    <row r="1844" spans="1:11" x14ac:dyDescent="0.35">
      <c r="A1844" s="7" t="s">
        <v>1874</v>
      </c>
      <c r="B1844" s="8">
        <v>45801</v>
      </c>
      <c r="C1844" s="9" t="s">
        <v>16</v>
      </c>
      <c r="D1844" s="9" t="s">
        <v>34</v>
      </c>
      <c r="E1844" s="9" t="s">
        <v>18</v>
      </c>
      <c r="F1844" s="9">
        <v>185</v>
      </c>
      <c r="G1844" s="9">
        <v>585.32000000000005</v>
      </c>
      <c r="H1844" s="9" t="s">
        <v>19</v>
      </c>
      <c r="I1844" s="9">
        <v>13</v>
      </c>
      <c r="J1844" s="10">
        <v>400.32</v>
      </c>
      <c r="K1844" s="9" t="str">
        <f>TEXT(Sales_of_Jordan[[#This Row],[Sale_Date]],"mmm")</f>
        <v>May</v>
      </c>
    </row>
    <row r="1845" spans="1:11" x14ac:dyDescent="0.35">
      <c r="A1845" s="7" t="s">
        <v>1875</v>
      </c>
      <c r="B1845" s="8">
        <v>45153</v>
      </c>
      <c r="C1845" s="9" t="s">
        <v>16</v>
      </c>
      <c r="D1845" s="9" t="s">
        <v>34</v>
      </c>
      <c r="E1845" s="9" t="s">
        <v>18</v>
      </c>
      <c r="F1845" s="9">
        <v>178</v>
      </c>
      <c r="G1845" s="9">
        <v>552.34</v>
      </c>
      <c r="H1845" s="9" t="s">
        <v>25</v>
      </c>
      <c r="I1845" s="9">
        <v>9</v>
      </c>
      <c r="J1845" s="10">
        <v>374.34</v>
      </c>
      <c r="K1845" s="9" t="str">
        <f>TEXT(Sales_of_Jordan[[#This Row],[Sale_Date]],"mmm")</f>
        <v>Aug</v>
      </c>
    </row>
    <row r="1846" spans="1:11" x14ac:dyDescent="0.35">
      <c r="A1846" s="7" t="s">
        <v>1876</v>
      </c>
      <c r="B1846" s="8">
        <v>45159</v>
      </c>
      <c r="C1846" s="9" t="s">
        <v>11</v>
      </c>
      <c r="D1846" s="9" t="s">
        <v>53</v>
      </c>
      <c r="E1846" s="9" t="s">
        <v>18</v>
      </c>
      <c r="F1846" s="9">
        <v>230</v>
      </c>
      <c r="G1846" s="9">
        <v>556.84</v>
      </c>
      <c r="H1846" s="9" t="s">
        <v>14</v>
      </c>
      <c r="I1846" s="9">
        <v>3</v>
      </c>
      <c r="J1846" s="10">
        <v>326.83999999999997</v>
      </c>
      <c r="K1846" s="9" t="str">
        <f>TEXT(Sales_of_Jordan[[#This Row],[Sale_Date]],"mmm")</f>
        <v>Aug</v>
      </c>
    </row>
    <row r="1847" spans="1:11" x14ac:dyDescent="0.35">
      <c r="A1847" s="7" t="s">
        <v>1877</v>
      </c>
      <c r="B1847" s="8">
        <v>45780</v>
      </c>
      <c r="C1847" s="9" t="s">
        <v>31</v>
      </c>
      <c r="D1847" s="9" t="s">
        <v>46</v>
      </c>
      <c r="E1847" s="9" t="s">
        <v>13</v>
      </c>
      <c r="F1847" s="9">
        <v>202</v>
      </c>
      <c r="G1847" s="9">
        <v>111.88</v>
      </c>
      <c r="H1847" s="9" t="s">
        <v>32</v>
      </c>
      <c r="I1847" s="9">
        <v>57</v>
      </c>
      <c r="J1847" s="10">
        <v>-90.12</v>
      </c>
      <c r="K1847" s="9" t="str">
        <f>TEXT(Sales_of_Jordan[[#This Row],[Sale_Date]],"mmm")</f>
        <v>May</v>
      </c>
    </row>
    <row r="1848" spans="1:11" x14ac:dyDescent="0.35">
      <c r="A1848" s="7" t="s">
        <v>1878</v>
      </c>
      <c r="B1848" s="8">
        <v>45339</v>
      </c>
      <c r="C1848" s="9" t="s">
        <v>16</v>
      </c>
      <c r="D1848" s="9" t="s">
        <v>36</v>
      </c>
      <c r="E1848" s="9" t="s">
        <v>13</v>
      </c>
      <c r="F1848" s="9">
        <v>171</v>
      </c>
      <c r="G1848" s="9">
        <v>137.12</v>
      </c>
      <c r="H1848" s="9" t="s">
        <v>25</v>
      </c>
      <c r="I1848" s="9">
        <v>36</v>
      </c>
      <c r="J1848" s="10">
        <v>-33.879999999999903</v>
      </c>
      <c r="K1848" s="9" t="str">
        <f>TEXT(Sales_of_Jordan[[#This Row],[Sale_Date]],"mmm")</f>
        <v>Feb</v>
      </c>
    </row>
    <row r="1849" spans="1:11" x14ac:dyDescent="0.35">
      <c r="A1849" s="7" t="s">
        <v>1879</v>
      </c>
      <c r="B1849" s="8">
        <v>45583</v>
      </c>
      <c r="C1849" s="9" t="s">
        <v>31</v>
      </c>
      <c r="D1849" s="9" t="s">
        <v>36</v>
      </c>
      <c r="E1849" s="9" t="s">
        <v>29</v>
      </c>
      <c r="F1849" s="9">
        <v>210</v>
      </c>
      <c r="G1849" s="9">
        <v>215.22</v>
      </c>
      <c r="H1849" s="9" t="s">
        <v>14</v>
      </c>
      <c r="I1849" s="9">
        <v>7</v>
      </c>
      <c r="J1849" s="10">
        <v>5.21999999999999</v>
      </c>
      <c r="K1849" s="9" t="str">
        <f>TEXT(Sales_of_Jordan[[#This Row],[Sale_Date]],"mmm")</f>
        <v>Oct</v>
      </c>
    </row>
    <row r="1850" spans="1:11" x14ac:dyDescent="0.35">
      <c r="A1850" s="7" t="s">
        <v>1880</v>
      </c>
      <c r="B1850" s="8">
        <v>45158</v>
      </c>
      <c r="C1850" s="9" t="s">
        <v>11</v>
      </c>
      <c r="D1850" s="9" t="s">
        <v>46</v>
      </c>
      <c r="E1850" s="9" t="s">
        <v>13</v>
      </c>
      <c r="F1850" s="9">
        <v>227</v>
      </c>
      <c r="G1850" s="9">
        <v>117.41</v>
      </c>
      <c r="H1850" s="9" t="s">
        <v>19</v>
      </c>
      <c r="I1850" s="9">
        <v>12</v>
      </c>
      <c r="J1850" s="10">
        <v>-109.59</v>
      </c>
      <c r="K1850" s="9" t="str">
        <f>TEXT(Sales_of_Jordan[[#This Row],[Sale_Date]],"mmm")</f>
        <v>Aug</v>
      </c>
    </row>
    <row r="1851" spans="1:11" x14ac:dyDescent="0.35">
      <c r="A1851" s="7" t="s">
        <v>1881</v>
      </c>
      <c r="B1851" s="8">
        <v>45322</v>
      </c>
      <c r="C1851" s="9" t="s">
        <v>16</v>
      </c>
      <c r="D1851" s="9" t="s">
        <v>17</v>
      </c>
      <c r="E1851" s="9" t="s">
        <v>29</v>
      </c>
      <c r="F1851" s="9">
        <v>174</v>
      </c>
      <c r="G1851" s="9">
        <v>201.17</v>
      </c>
      <c r="H1851" s="9" t="s">
        <v>25</v>
      </c>
      <c r="I1851" s="9">
        <v>49</v>
      </c>
      <c r="J1851" s="10">
        <v>27.169999999999899</v>
      </c>
      <c r="K1851" s="9" t="str">
        <f>TEXT(Sales_of_Jordan[[#This Row],[Sale_Date]],"mmm")</f>
        <v>Jan</v>
      </c>
    </row>
    <row r="1852" spans="1:11" x14ac:dyDescent="0.35">
      <c r="A1852" s="7" t="s">
        <v>1882</v>
      </c>
      <c r="B1852" s="8">
        <v>45177</v>
      </c>
      <c r="C1852" s="9" t="s">
        <v>31</v>
      </c>
      <c r="D1852" s="9" t="s">
        <v>22</v>
      </c>
      <c r="E1852" s="9" t="s">
        <v>13</v>
      </c>
      <c r="F1852" s="9">
        <v>207</v>
      </c>
      <c r="G1852" s="9">
        <v>170.54</v>
      </c>
      <c r="H1852" s="9" t="s">
        <v>25</v>
      </c>
      <c r="I1852" s="9">
        <v>17</v>
      </c>
      <c r="J1852" s="10">
        <v>-36.46</v>
      </c>
      <c r="K1852" s="9" t="str">
        <f>TEXT(Sales_of_Jordan[[#This Row],[Sale_Date]],"mmm")</f>
        <v>Sep</v>
      </c>
    </row>
    <row r="1853" spans="1:11" x14ac:dyDescent="0.35">
      <c r="A1853" s="7" t="s">
        <v>1883</v>
      </c>
      <c r="B1853" s="8">
        <v>45897</v>
      </c>
      <c r="C1853" s="9" t="s">
        <v>16</v>
      </c>
      <c r="D1853" s="9" t="s">
        <v>22</v>
      </c>
      <c r="E1853" s="9" t="s">
        <v>18</v>
      </c>
      <c r="F1853" s="9">
        <v>179</v>
      </c>
      <c r="G1853" s="9">
        <v>413.67</v>
      </c>
      <c r="H1853" s="9" t="s">
        <v>14</v>
      </c>
      <c r="I1853" s="9">
        <v>8</v>
      </c>
      <c r="J1853" s="10">
        <v>234.67</v>
      </c>
      <c r="K1853" s="9" t="str">
        <f>TEXT(Sales_of_Jordan[[#This Row],[Sale_Date]],"mmm")</f>
        <v>Aug</v>
      </c>
    </row>
    <row r="1854" spans="1:11" x14ac:dyDescent="0.35">
      <c r="A1854" s="7" t="s">
        <v>1884</v>
      </c>
      <c r="B1854" s="8">
        <v>45918</v>
      </c>
      <c r="C1854" s="9" t="s">
        <v>21</v>
      </c>
      <c r="D1854" s="9" t="s">
        <v>34</v>
      </c>
      <c r="E1854" s="9" t="s">
        <v>29</v>
      </c>
      <c r="F1854" s="9">
        <v>212</v>
      </c>
      <c r="G1854" s="9">
        <v>207.1</v>
      </c>
      <c r="H1854" s="9" t="s">
        <v>23</v>
      </c>
      <c r="I1854" s="9">
        <v>25</v>
      </c>
      <c r="J1854" s="10">
        <v>-4.9000000000000004</v>
      </c>
      <c r="K1854" s="9" t="str">
        <f>TEXT(Sales_of_Jordan[[#This Row],[Sale_Date]],"mmm")</f>
        <v>Sep</v>
      </c>
    </row>
    <row r="1855" spans="1:11" x14ac:dyDescent="0.35">
      <c r="A1855" s="7" t="s">
        <v>1885</v>
      </c>
      <c r="B1855" s="8">
        <v>45695</v>
      </c>
      <c r="C1855" s="9" t="s">
        <v>27</v>
      </c>
      <c r="D1855" s="9" t="s">
        <v>34</v>
      </c>
      <c r="E1855" s="9" t="s">
        <v>13</v>
      </c>
      <c r="F1855" s="9">
        <v>136</v>
      </c>
      <c r="G1855" s="9">
        <v>105.47</v>
      </c>
      <c r="H1855" s="9" t="s">
        <v>14</v>
      </c>
      <c r="I1855" s="9">
        <v>3</v>
      </c>
      <c r="J1855" s="10">
        <v>-30.53</v>
      </c>
      <c r="K1855" s="9" t="str">
        <f>TEXT(Sales_of_Jordan[[#This Row],[Sale_Date]],"mmm")</f>
        <v>Feb</v>
      </c>
    </row>
    <row r="1856" spans="1:11" x14ac:dyDescent="0.35">
      <c r="A1856" s="7" t="s">
        <v>1886</v>
      </c>
      <c r="B1856" s="8">
        <v>44997</v>
      </c>
      <c r="C1856" s="9" t="s">
        <v>27</v>
      </c>
      <c r="D1856" s="9" t="s">
        <v>46</v>
      </c>
      <c r="E1856" s="9" t="s">
        <v>13</v>
      </c>
      <c r="F1856" s="9">
        <v>140</v>
      </c>
      <c r="G1856" s="9">
        <v>117.01</v>
      </c>
      <c r="H1856" s="9" t="s">
        <v>23</v>
      </c>
      <c r="I1856" s="9">
        <v>45</v>
      </c>
      <c r="J1856" s="10">
        <v>-22.989999999999899</v>
      </c>
      <c r="K1856" s="9" t="str">
        <f>TEXT(Sales_of_Jordan[[#This Row],[Sale_Date]],"mmm")</f>
        <v>Mar</v>
      </c>
    </row>
    <row r="1857" spans="1:11" x14ac:dyDescent="0.35">
      <c r="A1857" s="7" t="s">
        <v>1887</v>
      </c>
      <c r="B1857" s="8">
        <v>45465</v>
      </c>
      <c r="C1857" s="9" t="s">
        <v>31</v>
      </c>
      <c r="D1857" s="9" t="s">
        <v>53</v>
      </c>
      <c r="E1857" s="9" t="s">
        <v>18</v>
      </c>
      <c r="F1857" s="9">
        <v>200</v>
      </c>
      <c r="G1857" s="9">
        <v>684.13</v>
      </c>
      <c r="H1857" s="9" t="s">
        <v>14</v>
      </c>
      <c r="I1857" s="9">
        <v>4</v>
      </c>
      <c r="J1857" s="10">
        <v>484.13</v>
      </c>
      <c r="K1857" s="9" t="str">
        <f>TEXT(Sales_of_Jordan[[#This Row],[Sale_Date]],"mmm")</f>
        <v>Jun</v>
      </c>
    </row>
    <row r="1858" spans="1:11" x14ac:dyDescent="0.35">
      <c r="A1858" s="7" t="s">
        <v>1888</v>
      </c>
      <c r="B1858" s="8">
        <v>45155</v>
      </c>
      <c r="C1858" s="9" t="s">
        <v>11</v>
      </c>
      <c r="D1858" s="9" t="s">
        <v>53</v>
      </c>
      <c r="E1858" s="9" t="s">
        <v>13</v>
      </c>
      <c r="F1858" s="9">
        <v>230</v>
      </c>
      <c r="G1858" s="9">
        <v>136.53</v>
      </c>
      <c r="H1858" s="9" t="s">
        <v>25</v>
      </c>
      <c r="I1858" s="9">
        <v>7</v>
      </c>
      <c r="J1858" s="10">
        <v>-93.47</v>
      </c>
      <c r="K1858" s="9" t="str">
        <f>TEXT(Sales_of_Jordan[[#This Row],[Sale_Date]],"mmm")</f>
        <v>Aug</v>
      </c>
    </row>
    <row r="1859" spans="1:11" x14ac:dyDescent="0.35">
      <c r="A1859" s="7" t="s">
        <v>1889</v>
      </c>
      <c r="B1859" s="8">
        <v>45856</v>
      </c>
      <c r="C1859" s="9" t="s">
        <v>16</v>
      </c>
      <c r="D1859" s="9" t="s">
        <v>46</v>
      </c>
      <c r="E1859" s="9" t="s">
        <v>29</v>
      </c>
      <c r="F1859" s="9">
        <v>182</v>
      </c>
      <c r="G1859" s="9">
        <v>172.74</v>
      </c>
      <c r="H1859" s="9" t="s">
        <v>14</v>
      </c>
      <c r="I1859" s="9">
        <v>1</v>
      </c>
      <c r="J1859" s="10">
        <v>-9.2599999999999891</v>
      </c>
      <c r="K1859" s="9" t="str">
        <f>TEXT(Sales_of_Jordan[[#This Row],[Sale_Date]],"mmm")</f>
        <v>Jul</v>
      </c>
    </row>
    <row r="1860" spans="1:11" x14ac:dyDescent="0.35">
      <c r="A1860" s="7" t="s">
        <v>1890</v>
      </c>
      <c r="B1860" s="8">
        <v>44976</v>
      </c>
      <c r="C1860" s="9" t="s">
        <v>27</v>
      </c>
      <c r="D1860" s="9" t="s">
        <v>36</v>
      </c>
      <c r="E1860" s="9" t="s">
        <v>29</v>
      </c>
      <c r="F1860" s="9">
        <v>128</v>
      </c>
      <c r="G1860" s="9">
        <v>123.87</v>
      </c>
      <c r="H1860" s="9" t="s">
        <v>19</v>
      </c>
      <c r="I1860" s="9">
        <v>4</v>
      </c>
      <c r="J1860" s="10">
        <v>-4.1299999999999901</v>
      </c>
      <c r="K1860" s="9" t="str">
        <f>TEXT(Sales_of_Jordan[[#This Row],[Sale_Date]],"mmm")</f>
        <v>Feb</v>
      </c>
    </row>
    <row r="1861" spans="1:11" x14ac:dyDescent="0.35">
      <c r="A1861" s="7" t="s">
        <v>1891</v>
      </c>
      <c r="B1861" s="8">
        <v>45769</v>
      </c>
      <c r="C1861" s="9" t="s">
        <v>31</v>
      </c>
      <c r="D1861" s="9" t="s">
        <v>46</v>
      </c>
      <c r="E1861" s="9" t="s">
        <v>13</v>
      </c>
      <c r="F1861" s="9">
        <v>208</v>
      </c>
      <c r="G1861" s="9">
        <v>132.13999999999999</v>
      </c>
      <c r="H1861" s="9" t="s">
        <v>14</v>
      </c>
      <c r="I1861" s="9">
        <v>8</v>
      </c>
      <c r="J1861" s="10">
        <v>-75.86</v>
      </c>
      <c r="K1861" s="9" t="str">
        <f>TEXT(Sales_of_Jordan[[#This Row],[Sale_Date]],"mmm")</f>
        <v>Apr</v>
      </c>
    </row>
    <row r="1862" spans="1:11" x14ac:dyDescent="0.35">
      <c r="A1862" s="7" t="s">
        <v>1892</v>
      </c>
      <c r="B1862" s="8">
        <v>45460</v>
      </c>
      <c r="C1862" s="9" t="s">
        <v>21</v>
      </c>
      <c r="D1862" s="9" t="s">
        <v>22</v>
      </c>
      <c r="E1862" s="9" t="s">
        <v>29</v>
      </c>
      <c r="F1862" s="9">
        <v>217</v>
      </c>
      <c r="G1862" s="9">
        <v>309.32</v>
      </c>
      <c r="H1862" s="9" t="s">
        <v>19</v>
      </c>
      <c r="I1862" s="9">
        <v>5</v>
      </c>
      <c r="J1862" s="10">
        <v>92.32</v>
      </c>
      <c r="K1862" s="9" t="str">
        <f>TEXT(Sales_of_Jordan[[#This Row],[Sale_Date]],"mmm")</f>
        <v>Jun</v>
      </c>
    </row>
    <row r="1863" spans="1:11" x14ac:dyDescent="0.35">
      <c r="A1863" s="7" t="s">
        <v>1893</v>
      </c>
      <c r="B1863" s="8">
        <v>45620</v>
      </c>
      <c r="C1863" s="9" t="s">
        <v>16</v>
      </c>
      <c r="D1863" s="9" t="s">
        <v>46</v>
      </c>
      <c r="E1863" s="9" t="s">
        <v>13</v>
      </c>
      <c r="F1863" s="9">
        <v>189</v>
      </c>
      <c r="G1863" s="9">
        <v>167.37</v>
      </c>
      <c r="H1863" s="9" t="s">
        <v>32</v>
      </c>
      <c r="I1863" s="9">
        <v>53</v>
      </c>
      <c r="J1863" s="10">
        <v>-21.6299999999999</v>
      </c>
      <c r="K1863" s="9" t="str">
        <f>TEXT(Sales_of_Jordan[[#This Row],[Sale_Date]],"mmm")</f>
        <v>Nov</v>
      </c>
    </row>
    <row r="1864" spans="1:11" x14ac:dyDescent="0.35">
      <c r="A1864" s="7" t="s">
        <v>1894</v>
      </c>
      <c r="B1864" s="8">
        <v>44942</v>
      </c>
      <c r="C1864" s="9" t="s">
        <v>16</v>
      </c>
      <c r="D1864" s="9" t="s">
        <v>12</v>
      </c>
      <c r="E1864" s="9" t="s">
        <v>13</v>
      </c>
      <c r="F1864" s="9">
        <v>172</v>
      </c>
      <c r="G1864" s="9">
        <v>118.9</v>
      </c>
      <c r="H1864" s="9" t="s">
        <v>32</v>
      </c>
      <c r="I1864" s="9">
        <v>20</v>
      </c>
      <c r="J1864" s="10">
        <v>-53.099999999999902</v>
      </c>
      <c r="K1864" s="9" t="str">
        <f>TEXT(Sales_of_Jordan[[#This Row],[Sale_Date]],"mmm")</f>
        <v>Jan</v>
      </c>
    </row>
    <row r="1865" spans="1:11" x14ac:dyDescent="0.35">
      <c r="A1865" s="7" t="s">
        <v>1895</v>
      </c>
      <c r="B1865" s="8">
        <v>45122</v>
      </c>
      <c r="C1865" s="9" t="s">
        <v>27</v>
      </c>
      <c r="D1865" s="9" t="s">
        <v>39</v>
      </c>
      <c r="E1865" s="9" t="s">
        <v>13</v>
      </c>
      <c r="F1865" s="9">
        <v>134</v>
      </c>
      <c r="G1865" s="9">
        <v>78.75</v>
      </c>
      <c r="H1865" s="9" t="s">
        <v>14</v>
      </c>
      <c r="I1865" s="9">
        <v>13</v>
      </c>
      <c r="J1865" s="10">
        <v>-55.25</v>
      </c>
      <c r="K1865" s="9" t="str">
        <f>TEXT(Sales_of_Jordan[[#This Row],[Sale_Date]],"mmm")</f>
        <v>Jul</v>
      </c>
    </row>
    <row r="1866" spans="1:11" x14ac:dyDescent="0.35">
      <c r="A1866" s="7" t="s">
        <v>1896</v>
      </c>
      <c r="B1866" s="8">
        <v>45761</v>
      </c>
      <c r="C1866" s="9" t="s">
        <v>31</v>
      </c>
      <c r="D1866" s="9" t="s">
        <v>55</v>
      </c>
      <c r="E1866" s="9" t="s">
        <v>18</v>
      </c>
      <c r="F1866" s="9">
        <v>203</v>
      </c>
      <c r="G1866" s="9">
        <v>427.68</v>
      </c>
      <c r="H1866" s="9" t="s">
        <v>19</v>
      </c>
      <c r="I1866" s="9">
        <v>10</v>
      </c>
      <c r="J1866" s="10">
        <v>224.68</v>
      </c>
      <c r="K1866" s="9" t="str">
        <f>TEXT(Sales_of_Jordan[[#This Row],[Sale_Date]],"mmm")</f>
        <v>Apr</v>
      </c>
    </row>
    <row r="1867" spans="1:11" x14ac:dyDescent="0.35">
      <c r="A1867" s="7" t="s">
        <v>1897</v>
      </c>
      <c r="B1867" s="8">
        <v>45795</v>
      </c>
      <c r="C1867" s="9" t="s">
        <v>31</v>
      </c>
      <c r="D1867" s="9" t="s">
        <v>36</v>
      </c>
      <c r="E1867" s="9" t="s">
        <v>18</v>
      </c>
      <c r="F1867" s="9">
        <v>207</v>
      </c>
      <c r="G1867" s="9">
        <v>417.08</v>
      </c>
      <c r="H1867" s="9" t="s">
        <v>19</v>
      </c>
      <c r="I1867" s="9">
        <v>8</v>
      </c>
      <c r="J1867" s="10">
        <v>210.07999999999899</v>
      </c>
      <c r="K1867" s="9" t="str">
        <f>TEXT(Sales_of_Jordan[[#This Row],[Sale_Date]],"mmm")</f>
        <v>May</v>
      </c>
    </row>
    <row r="1868" spans="1:11" x14ac:dyDescent="0.35">
      <c r="A1868" s="7" t="s">
        <v>1898</v>
      </c>
      <c r="B1868" s="8">
        <v>45197</v>
      </c>
      <c r="C1868" s="9" t="s">
        <v>21</v>
      </c>
      <c r="D1868" s="9" t="s">
        <v>39</v>
      </c>
      <c r="E1868" s="9" t="s">
        <v>18</v>
      </c>
      <c r="F1868" s="9">
        <v>225</v>
      </c>
      <c r="G1868" s="9">
        <v>484.24</v>
      </c>
      <c r="H1868" s="9" t="s">
        <v>32</v>
      </c>
      <c r="I1868" s="9">
        <v>17</v>
      </c>
      <c r="J1868" s="10">
        <v>259.24</v>
      </c>
      <c r="K1868" s="9" t="str">
        <f>TEXT(Sales_of_Jordan[[#This Row],[Sale_Date]],"mmm")</f>
        <v>Sep</v>
      </c>
    </row>
    <row r="1869" spans="1:11" x14ac:dyDescent="0.35">
      <c r="A1869" s="7" t="s">
        <v>1899</v>
      </c>
      <c r="B1869" s="8">
        <v>45625</v>
      </c>
      <c r="C1869" s="9" t="s">
        <v>16</v>
      </c>
      <c r="D1869" s="9" t="s">
        <v>12</v>
      </c>
      <c r="E1869" s="9" t="s">
        <v>13</v>
      </c>
      <c r="F1869" s="9">
        <v>173</v>
      </c>
      <c r="G1869" s="9">
        <v>146.66</v>
      </c>
      <c r="H1869" s="9" t="s">
        <v>23</v>
      </c>
      <c r="I1869" s="9">
        <v>45</v>
      </c>
      <c r="J1869" s="10">
        <v>-26.34</v>
      </c>
      <c r="K1869" s="9" t="str">
        <f>TEXT(Sales_of_Jordan[[#This Row],[Sale_Date]],"mmm")</f>
        <v>Nov</v>
      </c>
    </row>
    <row r="1870" spans="1:11" x14ac:dyDescent="0.35">
      <c r="A1870" s="7" t="s">
        <v>1900</v>
      </c>
      <c r="B1870" s="8">
        <v>44991</v>
      </c>
      <c r="C1870" s="9" t="s">
        <v>27</v>
      </c>
      <c r="D1870" s="9" t="s">
        <v>17</v>
      </c>
      <c r="E1870" s="9" t="s">
        <v>18</v>
      </c>
      <c r="F1870" s="9">
        <v>138</v>
      </c>
      <c r="G1870" s="9">
        <v>356.98</v>
      </c>
      <c r="H1870" s="9" t="s">
        <v>14</v>
      </c>
      <c r="I1870" s="9">
        <v>4</v>
      </c>
      <c r="J1870" s="10">
        <v>218.98</v>
      </c>
      <c r="K1870" s="9" t="str">
        <f>TEXT(Sales_of_Jordan[[#This Row],[Sale_Date]],"mmm")</f>
        <v>Mar</v>
      </c>
    </row>
    <row r="1871" spans="1:11" x14ac:dyDescent="0.35">
      <c r="A1871" s="7" t="s">
        <v>1901</v>
      </c>
      <c r="B1871" s="8">
        <v>45380</v>
      </c>
      <c r="C1871" s="9" t="s">
        <v>31</v>
      </c>
      <c r="D1871" s="9" t="s">
        <v>55</v>
      </c>
      <c r="E1871" s="9" t="s">
        <v>18</v>
      </c>
      <c r="F1871" s="9">
        <v>207</v>
      </c>
      <c r="G1871" s="9">
        <v>490.67</v>
      </c>
      <c r="H1871" s="9" t="s">
        <v>25</v>
      </c>
      <c r="I1871" s="9">
        <v>24</v>
      </c>
      <c r="J1871" s="10">
        <v>283.67</v>
      </c>
      <c r="K1871" s="9" t="str">
        <f>TEXT(Sales_of_Jordan[[#This Row],[Sale_Date]],"mmm")</f>
        <v>Mar</v>
      </c>
    </row>
    <row r="1872" spans="1:11" x14ac:dyDescent="0.35">
      <c r="A1872" s="7" t="s">
        <v>1902</v>
      </c>
      <c r="B1872" s="8">
        <v>45349</v>
      </c>
      <c r="C1872" s="9" t="s">
        <v>27</v>
      </c>
      <c r="D1872" s="9" t="s">
        <v>17</v>
      </c>
      <c r="E1872" s="9" t="s">
        <v>13</v>
      </c>
      <c r="F1872" s="9">
        <v>133</v>
      </c>
      <c r="G1872" s="9">
        <v>118.95</v>
      </c>
      <c r="H1872" s="9" t="s">
        <v>19</v>
      </c>
      <c r="I1872" s="9">
        <v>12</v>
      </c>
      <c r="J1872" s="10">
        <v>-14.049999999999899</v>
      </c>
      <c r="K1872" s="9" t="str">
        <f>TEXT(Sales_of_Jordan[[#This Row],[Sale_Date]],"mmm")</f>
        <v>Feb</v>
      </c>
    </row>
    <row r="1873" spans="1:11" x14ac:dyDescent="0.35">
      <c r="A1873" s="7" t="s">
        <v>1903</v>
      </c>
      <c r="B1873" s="8">
        <v>45838</v>
      </c>
      <c r="C1873" s="9" t="s">
        <v>11</v>
      </c>
      <c r="D1873" s="9" t="s">
        <v>34</v>
      </c>
      <c r="E1873" s="9" t="s">
        <v>18</v>
      </c>
      <c r="F1873" s="9">
        <v>226</v>
      </c>
      <c r="G1873" s="9">
        <v>407.62</v>
      </c>
      <c r="H1873" s="9" t="s">
        <v>23</v>
      </c>
      <c r="I1873" s="9">
        <v>44</v>
      </c>
      <c r="J1873" s="10">
        <v>181.62</v>
      </c>
      <c r="K1873" s="9" t="str">
        <f>TEXT(Sales_of_Jordan[[#This Row],[Sale_Date]],"mmm")</f>
        <v>Jun</v>
      </c>
    </row>
    <row r="1874" spans="1:11" x14ac:dyDescent="0.35">
      <c r="A1874" s="7" t="s">
        <v>1904</v>
      </c>
      <c r="B1874" s="8">
        <v>45520</v>
      </c>
      <c r="C1874" s="9" t="s">
        <v>27</v>
      </c>
      <c r="D1874" s="9" t="s">
        <v>55</v>
      </c>
      <c r="E1874" s="9" t="s">
        <v>18</v>
      </c>
      <c r="F1874" s="9">
        <v>124</v>
      </c>
      <c r="G1874" s="9">
        <v>268.05</v>
      </c>
      <c r="H1874" s="9" t="s">
        <v>25</v>
      </c>
      <c r="I1874" s="9">
        <v>32</v>
      </c>
      <c r="J1874" s="10">
        <v>144.05000000000001</v>
      </c>
      <c r="K1874" s="9" t="str">
        <f>TEXT(Sales_of_Jordan[[#This Row],[Sale_Date]],"mmm")</f>
        <v>Aug</v>
      </c>
    </row>
    <row r="1875" spans="1:11" x14ac:dyDescent="0.35">
      <c r="A1875" s="7" t="s">
        <v>1905</v>
      </c>
      <c r="B1875" s="8">
        <v>45465</v>
      </c>
      <c r="C1875" s="9" t="s">
        <v>21</v>
      </c>
      <c r="D1875" s="9" t="s">
        <v>22</v>
      </c>
      <c r="E1875" s="9" t="s">
        <v>13</v>
      </c>
      <c r="F1875" s="9">
        <v>221</v>
      </c>
      <c r="G1875" s="9">
        <v>122.3</v>
      </c>
      <c r="H1875" s="9" t="s">
        <v>25</v>
      </c>
      <c r="I1875" s="9">
        <v>36</v>
      </c>
      <c r="J1875" s="10">
        <v>-98.7</v>
      </c>
      <c r="K1875" s="9" t="str">
        <f>TEXT(Sales_of_Jordan[[#This Row],[Sale_Date]],"mmm")</f>
        <v>Jun</v>
      </c>
    </row>
    <row r="1876" spans="1:11" x14ac:dyDescent="0.35">
      <c r="A1876" s="7" t="s">
        <v>1906</v>
      </c>
      <c r="B1876" s="8">
        <v>45371</v>
      </c>
      <c r="C1876" s="9" t="s">
        <v>21</v>
      </c>
      <c r="D1876" s="9" t="s">
        <v>17</v>
      </c>
      <c r="E1876" s="9" t="s">
        <v>13</v>
      </c>
      <c r="F1876" s="9">
        <v>210</v>
      </c>
      <c r="G1876" s="9">
        <v>170.51</v>
      </c>
      <c r="H1876" s="9" t="s">
        <v>32</v>
      </c>
      <c r="I1876" s="9">
        <v>42</v>
      </c>
      <c r="J1876" s="10">
        <v>-39.49</v>
      </c>
      <c r="K1876" s="9" t="str">
        <f>TEXT(Sales_of_Jordan[[#This Row],[Sale_Date]],"mmm")</f>
        <v>Mar</v>
      </c>
    </row>
    <row r="1877" spans="1:11" x14ac:dyDescent="0.35">
      <c r="A1877" s="7" t="s">
        <v>1907</v>
      </c>
      <c r="B1877" s="8">
        <v>45501</v>
      </c>
      <c r="C1877" s="9" t="s">
        <v>11</v>
      </c>
      <c r="D1877" s="9" t="s">
        <v>46</v>
      </c>
      <c r="E1877" s="9" t="s">
        <v>18</v>
      </c>
      <c r="F1877" s="9">
        <v>229</v>
      </c>
      <c r="G1877" s="9">
        <v>282.17</v>
      </c>
      <c r="H1877" s="9" t="s">
        <v>19</v>
      </c>
      <c r="I1877" s="9">
        <v>4</v>
      </c>
      <c r="J1877" s="10">
        <v>53.17</v>
      </c>
      <c r="K1877" s="9" t="str">
        <f>TEXT(Sales_of_Jordan[[#This Row],[Sale_Date]],"mmm")</f>
        <v>Jul</v>
      </c>
    </row>
    <row r="1878" spans="1:11" x14ac:dyDescent="0.35">
      <c r="A1878" s="7" t="s">
        <v>1908</v>
      </c>
      <c r="B1878" s="8">
        <v>45879</v>
      </c>
      <c r="C1878" s="9" t="s">
        <v>11</v>
      </c>
      <c r="D1878" s="9" t="s">
        <v>53</v>
      </c>
      <c r="E1878" s="9" t="s">
        <v>29</v>
      </c>
      <c r="F1878" s="9">
        <v>227</v>
      </c>
      <c r="G1878" s="9">
        <v>243.01</v>
      </c>
      <c r="H1878" s="9" t="s">
        <v>19</v>
      </c>
      <c r="I1878" s="9">
        <v>10</v>
      </c>
      <c r="J1878" s="10">
        <v>16.009999999999899</v>
      </c>
      <c r="K1878" s="9" t="str">
        <f>TEXT(Sales_of_Jordan[[#This Row],[Sale_Date]],"mmm")</f>
        <v>Aug</v>
      </c>
    </row>
    <row r="1879" spans="1:11" x14ac:dyDescent="0.35">
      <c r="A1879" s="7" t="s">
        <v>1909</v>
      </c>
      <c r="B1879" s="8">
        <v>44974</v>
      </c>
      <c r="C1879" s="9" t="s">
        <v>11</v>
      </c>
      <c r="D1879" s="9" t="s">
        <v>55</v>
      </c>
      <c r="E1879" s="9" t="s">
        <v>18</v>
      </c>
      <c r="F1879" s="9">
        <v>225</v>
      </c>
      <c r="G1879" s="9">
        <v>566.44000000000005</v>
      </c>
      <c r="H1879" s="9" t="s">
        <v>23</v>
      </c>
      <c r="I1879" s="9">
        <v>37</v>
      </c>
      <c r="J1879" s="10">
        <v>341.44</v>
      </c>
      <c r="K1879" s="9" t="str">
        <f>TEXT(Sales_of_Jordan[[#This Row],[Sale_Date]],"mmm")</f>
        <v>Feb</v>
      </c>
    </row>
    <row r="1880" spans="1:11" x14ac:dyDescent="0.35">
      <c r="A1880" s="7" t="s">
        <v>1910</v>
      </c>
      <c r="B1880" s="8">
        <v>45382</v>
      </c>
      <c r="C1880" s="9" t="s">
        <v>16</v>
      </c>
      <c r="D1880" s="9" t="s">
        <v>53</v>
      </c>
      <c r="E1880" s="9" t="s">
        <v>18</v>
      </c>
      <c r="F1880" s="9">
        <v>176</v>
      </c>
      <c r="G1880" s="9">
        <v>362.55</v>
      </c>
      <c r="H1880" s="9" t="s">
        <v>25</v>
      </c>
      <c r="I1880" s="9">
        <v>19</v>
      </c>
      <c r="J1880" s="10">
        <v>186.55</v>
      </c>
      <c r="K1880" s="9" t="str">
        <f>TEXT(Sales_of_Jordan[[#This Row],[Sale_Date]],"mmm")</f>
        <v>Mar</v>
      </c>
    </row>
    <row r="1881" spans="1:11" x14ac:dyDescent="0.35">
      <c r="A1881" s="7" t="s">
        <v>1911</v>
      </c>
      <c r="B1881" s="8">
        <v>45817</v>
      </c>
      <c r="C1881" s="9" t="s">
        <v>16</v>
      </c>
      <c r="D1881" s="9" t="s">
        <v>46</v>
      </c>
      <c r="E1881" s="9" t="s">
        <v>13</v>
      </c>
      <c r="F1881" s="9">
        <v>186</v>
      </c>
      <c r="G1881" s="9">
        <v>131.13</v>
      </c>
      <c r="H1881" s="9" t="s">
        <v>25</v>
      </c>
      <c r="I1881" s="9">
        <v>7</v>
      </c>
      <c r="J1881" s="10">
        <v>-54.87</v>
      </c>
      <c r="K1881" s="9" t="str">
        <f>TEXT(Sales_of_Jordan[[#This Row],[Sale_Date]],"mmm")</f>
        <v>Jun</v>
      </c>
    </row>
    <row r="1882" spans="1:11" x14ac:dyDescent="0.35">
      <c r="A1882" s="7" t="s">
        <v>1912</v>
      </c>
      <c r="B1882" s="8">
        <v>45794</v>
      </c>
      <c r="C1882" s="9" t="s">
        <v>27</v>
      </c>
      <c r="D1882" s="9" t="s">
        <v>12</v>
      </c>
      <c r="E1882" s="9" t="s">
        <v>29</v>
      </c>
      <c r="F1882" s="9">
        <v>110</v>
      </c>
      <c r="G1882" s="9">
        <v>117.51</v>
      </c>
      <c r="H1882" s="9" t="s">
        <v>14</v>
      </c>
      <c r="I1882" s="9">
        <v>4</v>
      </c>
      <c r="J1882" s="10">
        <v>7.51</v>
      </c>
      <c r="K1882" s="9" t="str">
        <f>TEXT(Sales_of_Jordan[[#This Row],[Sale_Date]],"mmm")</f>
        <v>May</v>
      </c>
    </row>
    <row r="1883" spans="1:11" x14ac:dyDescent="0.35">
      <c r="A1883" s="7" t="s">
        <v>1913</v>
      </c>
      <c r="B1883" s="8">
        <v>45504</v>
      </c>
      <c r="C1883" s="9" t="s">
        <v>11</v>
      </c>
      <c r="D1883" s="9" t="s">
        <v>36</v>
      </c>
      <c r="E1883" s="9" t="s">
        <v>13</v>
      </c>
      <c r="F1883" s="9">
        <v>229</v>
      </c>
      <c r="G1883" s="9">
        <v>127.97</v>
      </c>
      <c r="H1883" s="9" t="s">
        <v>25</v>
      </c>
      <c r="I1883" s="9">
        <v>40</v>
      </c>
      <c r="J1883" s="10">
        <v>-101.03</v>
      </c>
      <c r="K1883" s="9" t="str">
        <f>TEXT(Sales_of_Jordan[[#This Row],[Sale_Date]],"mmm")</f>
        <v>Jul</v>
      </c>
    </row>
    <row r="1884" spans="1:11" x14ac:dyDescent="0.35">
      <c r="A1884" s="7" t="s">
        <v>1914</v>
      </c>
      <c r="B1884" s="8">
        <v>45774</v>
      </c>
      <c r="C1884" s="9" t="s">
        <v>16</v>
      </c>
      <c r="D1884" s="9" t="s">
        <v>53</v>
      </c>
      <c r="E1884" s="9" t="s">
        <v>29</v>
      </c>
      <c r="F1884" s="9">
        <v>185</v>
      </c>
      <c r="G1884" s="9">
        <v>259.06</v>
      </c>
      <c r="H1884" s="9" t="s">
        <v>23</v>
      </c>
      <c r="I1884" s="9">
        <v>53</v>
      </c>
      <c r="J1884" s="10">
        <v>74.06</v>
      </c>
      <c r="K1884" s="9" t="str">
        <f>TEXT(Sales_of_Jordan[[#This Row],[Sale_Date]],"mmm")</f>
        <v>Apr</v>
      </c>
    </row>
    <row r="1885" spans="1:11" x14ac:dyDescent="0.35">
      <c r="A1885" s="7" t="s">
        <v>1915</v>
      </c>
      <c r="B1885" s="8">
        <v>45785</v>
      </c>
      <c r="C1885" s="9" t="s">
        <v>16</v>
      </c>
      <c r="D1885" s="9" t="s">
        <v>34</v>
      </c>
      <c r="E1885" s="9" t="s">
        <v>18</v>
      </c>
      <c r="F1885" s="9">
        <v>182</v>
      </c>
      <c r="G1885" s="9">
        <v>443.85</v>
      </c>
      <c r="H1885" s="9" t="s">
        <v>25</v>
      </c>
      <c r="I1885" s="9">
        <v>16</v>
      </c>
      <c r="J1885" s="10">
        <v>261.85000000000002</v>
      </c>
      <c r="K1885" s="9" t="str">
        <f>TEXT(Sales_of_Jordan[[#This Row],[Sale_Date]],"mmm")</f>
        <v>May</v>
      </c>
    </row>
    <row r="1886" spans="1:11" x14ac:dyDescent="0.35">
      <c r="A1886" s="7" t="s">
        <v>1916</v>
      </c>
      <c r="B1886" s="8">
        <v>45576</v>
      </c>
      <c r="C1886" s="9" t="s">
        <v>31</v>
      </c>
      <c r="D1886" s="9" t="s">
        <v>55</v>
      </c>
      <c r="E1886" s="9" t="s">
        <v>13</v>
      </c>
      <c r="F1886" s="9">
        <v>209</v>
      </c>
      <c r="G1886" s="9">
        <v>106.46</v>
      </c>
      <c r="H1886" s="9" t="s">
        <v>25</v>
      </c>
      <c r="I1886" s="9">
        <v>17</v>
      </c>
      <c r="J1886" s="10">
        <v>-102.54</v>
      </c>
      <c r="K1886" s="9" t="str">
        <f>TEXT(Sales_of_Jordan[[#This Row],[Sale_Date]],"mmm")</f>
        <v>Oct</v>
      </c>
    </row>
    <row r="1887" spans="1:11" x14ac:dyDescent="0.35">
      <c r="A1887" s="7" t="s">
        <v>1917</v>
      </c>
      <c r="B1887" s="8">
        <v>45200</v>
      </c>
      <c r="C1887" s="9" t="s">
        <v>21</v>
      </c>
      <c r="D1887" s="9" t="s">
        <v>39</v>
      </c>
      <c r="E1887" s="9" t="s">
        <v>13</v>
      </c>
      <c r="F1887" s="9">
        <v>224</v>
      </c>
      <c r="G1887" s="9">
        <v>122.69</v>
      </c>
      <c r="H1887" s="9" t="s">
        <v>32</v>
      </c>
      <c r="I1887" s="9">
        <v>12</v>
      </c>
      <c r="J1887" s="10">
        <v>-101.31</v>
      </c>
      <c r="K1887" s="9" t="str">
        <f>TEXT(Sales_of_Jordan[[#This Row],[Sale_Date]],"mmm")</f>
        <v>Oct</v>
      </c>
    </row>
    <row r="1888" spans="1:11" x14ac:dyDescent="0.35">
      <c r="A1888" s="7" t="s">
        <v>1918</v>
      </c>
      <c r="B1888" s="8">
        <v>45277</v>
      </c>
      <c r="C1888" s="9" t="s">
        <v>16</v>
      </c>
      <c r="D1888" s="9" t="s">
        <v>22</v>
      </c>
      <c r="E1888" s="9" t="s">
        <v>13</v>
      </c>
      <c r="F1888" s="9">
        <v>177</v>
      </c>
      <c r="G1888" s="9">
        <v>109.51</v>
      </c>
      <c r="H1888" s="9" t="s">
        <v>14</v>
      </c>
      <c r="I1888" s="9">
        <v>3</v>
      </c>
      <c r="J1888" s="10">
        <v>-67.489999999999995</v>
      </c>
      <c r="K1888" s="9" t="str">
        <f>TEXT(Sales_of_Jordan[[#This Row],[Sale_Date]],"mmm")</f>
        <v>Dec</v>
      </c>
    </row>
    <row r="1889" spans="1:11" x14ac:dyDescent="0.35">
      <c r="A1889" s="7" t="s">
        <v>1919</v>
      </c>
      <c r="B1889" s="8">
        <v>45570</v>
      </c>
      <c r="C1889" s="9" t="s">
        <v>21</v>
      </c>
      <c r="D1889" s="9" t="s">
        <v>46</v>
      </c>
      <c r="E1889" s="9" t="s">
        <v>29</v>
      </c>
      <c r="F1889" s="9">
        <v>224</v>
      </c>
      <c r="G1889" s="9">
        <v>302.70999999999998</v>
      </c>
      <c r="H1889" s="9" t="s">
        <v>14</v>
      </c>
      <c r="I1889" s="9">
        <v>1</v>
      </c>
      <c r="J1889" s="10">
        <v>78.709999999999894</v>
      </c>
      <c r="K1889" s="9" t="str">
        <f>TEXT(Sales_of_Jordan[[#This Row],[Sale_Date]],"mmm")</f>
        <v>Oct</v>
      </c>
    </row>
    <row r="1890" spans="1:11" x14ac:dyDescent="0.35">
      <c r="A1890" s="7" t="s">
        <v>1920</v>
      </c>
      <c r="B1890" s="8">
        <v>45238</v>
      </c>
      <c r="C1890" s="9" t="s">
        <v>31</v>
      </c>
      <c r="D1890" s="9" t="s">
        <v>17</v>
      </c>
      <c r="E1890" s="9" t="s">
        <v>29</v>
      </c>
      <c r="F1890" s="9">
        <v>208</v>
      </c>
      <c r="G1890" s="9">
        <v>231.37</v>
      </c>
      <c r="H1890" s="9" t="s">
        <v>19</v>
      </c>
      <c r="I1890" s="9">
        <v>10</v>
      </c>
      <c r="J1890" s="10">
        <v>23.37</v>
      </c>
      <c r="K1890" s="9" t="str">
        <f>TEXT(Sales_of_Jordan[[#This Row],[Sale_Date]],"mmm")</f>
        <v>Nov</v>
      </c>
    </row>
    <row r="1891" spans="1:11" x14ac:dyDescent="0.35">
      <c r="A1891" s="7" t="s">
        <v>1921</v>
      </c>
      <c r="B1891" s="8">
        <v>45484</v>
      </c>
      <c r="C1891" s="9" t="s">
        <v>31</v>
      </c>
      <c r="D1891" s="9" t="s">
        <v>39</v>
      </c>
      <c r="E1891" s="9" t="s">
        <v>29</v>
      </c>
      <c r="F1891" s="9">
        <v>202</v>
      </c>
      <c r="G1891" s="9">
        <v>205.21</v>
      </c>
      <c r="H1891" s="9" t="s">
        <v>25</v>
      </c>
      <c r="I1891" s="9">
        <v>20</v>
      </c>
      <c r="J1891" s="10">
        <v>3.21</v>
      </c>
      <c r="K1891" s="9" t="str">
        <f>TEXT(Sales_of_Jordan[[#This Row],[Sale_Date]],"mmm")</f>
        <v>Jul</v>
      </c>
    </row>
    <row r="1892" spans="1:11" x14ac:dyDescent="0.35">
      <c r="A1892" s="7" t="s">
        <v>1922</v>
      </c>
      <c r="B1892" s="8">
        <v>45317</v>
      </c>
      <c r="C1892" s="9" t="s">
        <v>16</v>
      </c>
      <c r="D1892" s="9" t="s">
        <v>46</v>
      </c>
      <c r="E1892" s="9" t="s">
        <v>18</v>
      </c>
      <c r="F1892" s="9">
        <v>176</v>
      </c>
      <c r="G1892" s="9">
        <v>509.85</v>
      </c>
      <c r="H1892" s="9" t="s">
        <v>32</v>
      </c>
      <c r="I1892" s="9">
        <v>27</v>
      </c>
      <c r="J1892" s="10">
        <v>333.85</v>
      </c>
      <c r="K1892" s="9" t="str">
        <f>TEXT(Sales_of_Jordan[[#This Row],[Sale_Date]],"mmm")</f>
        <v>Jan</v>
      </c>
    </row>
    <row r="1893" spans="1:11" x14ac:dyDescent="0.35">
      <c r="A1893" s="7" t="s">
        <v>1923</v>
      </c>
      <c r="B1893" s="8">
        <v>45471</v>
      </c>
      <c r="C1893" s="9" t="s">
        <v>27</v>
      </c>
      <c r="D1893" s="9" t="s">
        <v>39</v>
      </c>
      <c r="E1893" s="9" t="s">
        <v>18</v>
      </c>
      <c r="F1893" s="9">
        <v>125</v>
      </c>
      <c r="G1893" s="9">
        <v>246.84</v>
      </c>
      <c r="H1893" s="9" t="s">
        <v>32</v>
      </c>
      <c r="I1893" s="9">
        <v>15</v>
      </c>
      <c r="J1893" s="10">
        <v>121.84</v>
      </c>
      <c r="K1893" s="9" t="str">
        <f>TEXT(Sales_of_Jordan[[#This Row],[Sale_Date]],"mmm")</f>
        <v>Jun</v>
      </c>
    </row>
    <row r="1894" spans="1:11" x14ac:dyDescent="0.35">
      <c r="A1894" s="7" t="s">
        <v>1924</v>
      </c>
      <c r="B1894" s="8">
        <v>45541</v>
      </c>
      <c r="C1894" s="9" t="s">
        <v>21</v>
      </c>
      <c r="D1894" s="9" t="s">
        <v>55</v>
      </c>
      <c r="E1894" s="9" t="s">
        <v>29</v>
      </c>
      <c r="F1894" s="9">
        <v>218</v>
      </c>
      <c r="G1894" s="9">
        <v>291.39</v>
      </c>
      <c r="H1894" s="9" t="s">
        <v>19</v>
      </c>
      <c r="I1894" s="9">
        <v>6</v>
      </c>
      <c r="J1894" s="10">
        <v>73.389999999999901</v>
      </c>
      <c r="K1894" s="9" t="str">
        <f>TEXT(Sales_of_Jordan[[#This Row],[Sale_Date]],"mmm")</f>
        <v>Sep</v>
      </c>
    </row>
    <row r="1895" spans="1:11" x14ac:dyDescent="0.35">
      <c r="A1895" s="7" t="s">
        <v>1925</v>
      </c>
      <c r="B1895" s="8">
        <v>45423</v>
      </c>
      <c r="C1895" s="9" t="s">
        <v>16</v>
      </c>
      <c r="D1895" s="9" t="s">
        <v>39</v>
      </c>
      <c r="E1895" s="9" t="s">
        <v>13</v>
      </c>
      <c r="F1895" s="9">
        <v>181</v>
      </c>
      <c r="G1895" s="9">
        <v>98.68</v>
      </c>
      <c r="H1895" s="9" t="s">
        <v>25</v>
      </c>
      <c r="I1895" s="9">
        <v>53</v>
      </c>
      <c r="J1895" s="10">
        <v>-82.32</v>
      </c>
      <c r="K1895" s="9" t="str">
        <f>TEXT(Sales_of_Jordan[[#This Row],[Sale_Date]],"mmm")</f>
        <v>May</v>
      </c>
    </row>
    <row r="1896" spans="1:11" x14ac:dyDescent="0.35">
      <c r="A1896" s="7" t="s">
        <v>1926</v>
      </c>
      <c r="B1896" s="8">
        <v>45316</v>
      </c>
      <c r="C1896" s="9" t="s">
        <v>11</v>
      </c>
      <c r="D1896" s="9" t="s">
        <v>55</v>
      </c>
      <c r="E1896" s="9" t="s">
        <v>18</v>
      </c>
      <c r="F1896" s="9">
        <v>229</v>
      </c>
      <c r="G1896" s="9">
        <v>623.77</v>
      </c>
      <c r="H1896" s="9" t="s">
        <v>32</v>
      </c>
      <c r="I1896" s="9">
        <v>29</v>
      </c>
      <c r="J1896" s="10">
        <v>394.77</v>
      </c>
      <c r="K1896" s="9" t="str">
        <f>TEXT(Sales_of_Jordan[[#This Row],[Sale_Date]],"mmm")</f>
        <v>Jan</v>
      </c>
    </row>
    <row r="1897" spans="1:11" x14ac:dyDescent="0.35">
      <c r="A1897" s="7" t="s">
        <v>1927</v>
      </c>
      <c r="B1897" s="8">
        <v>45421</v>
      </c>
      <c r="C1897" s="9" t="s">
        <v>21</v>
      </c>
      <c r="D1897" s="9" t="s">
        <v>12</v>
      </c>
      <c r="E1897" s="9" t="s">
        <v>29</v>
      </c>
      <c r="F1897" s="9">
        <v>223</v>
      </c>
      <c r="G1897" s="9">
        <v>268.52999999999997</v>
      </c>
      <c r="H1897" s="9" t="s">
        <v>32</v>
      </c>
      <c r="I1897" s="9">
        <v>6</v>
      </c>
      <c r="J1897" s="10">
        <v>45.529999999999902</v>
      </c>
      <c r="K1897" s="9" t="str">
        <f>TEXT(Sales_of_Jordan[[#This Row],[Sale_Date]],"mmm")</f>
        <v>May</v>
      </c>
    </row>
    <row r="1898" spans="1:11" x14ac:dyDescent="0.35">
      <c r="A1898" s="7" t="s">
        <v>1928</v>
      </c>
      <c r="B1898" s="8">
        <v>45875</v>
      </c>
      <c r="C1898" s="9" t="s">
        <v>21</v>
      </c>
      <c r="D1898" s="9" t="s">
        <v>12</v>
      </c>
      <c r="E1898" s="9" t="s">
        <v>13</v>
      </c>
      <c r="F1898" s="9">
        <v>218</v>
      </c>
      <c r="G1898" s="9">
        <v>147.15</v>
      </c>
      <c r="H1898" s="9" t="s">
        <v>14</v>
      </c>
      <c r="I1898" s="9">
        <v>12</v>
      </c>
      <c r="J1898" s="10">
        <v>-70.849999999999994</v>
      </c>
      <c r="K1898" s="9" t="str">
        <f>TEXT(Sales_of_Jordan[[#This Row],[Sale_Date]],"mmm")</f>
        <v>Aug</v>
      </c>
    </row>
    <row r="1899" spans="1:11" x14ac:dyDescent="0.35">
      <c r="A1899" s="7" t="s">
        <v>1929</v>
      </c>
      <c r="B1899" s="8">
        <v>44945</v>
      </c>
      <c r="C1899" s="9" t="s">
        <v>16</v>
      </c>
      <c r="D1899" s="9" t="s">
        <v>53</v>
      </c>
      <c r="E1899" s="9" t="s">
        <v>13</v>
      </c>
      <c r="F1899" s="9">
        <v>178</v>
      </c>
      <c r="G1899" s="9">
        <v>133.13</v>
      </c>
      <c r="H1899" s="9" t="s">
        <v>23</v>
      </c>
      <c r="I1899" s="9">
        <v>15</v>
      </c>
      <c r="J1899" s="10">
        <v>-44.87</v>
      </c>
      <c r="K1899" s="9" t="str">
        <f>TEXT(Sales_of_Jordan[[#This Row],[Sale_Date]],"mmm")</f>
        <v>Jan</v>
      </c>
    </row>
    <row r="1900" spans="1:11" x14ac:dyDescent="0.35">
      <c r="A1900" s="7" t="s">
        <v>1930</v>
      </c>
      <c r="B1900" s="8">
        <v>45902</v>
      </c>
      <c r="C1900" s="9" t="s">
        <v>16</v>
      </c>
      <c r="D1900" s="9" t="s">
        <v>22</v>
      </c>
      <c r="E1900" s="9" t="s">
        <v>13</v>
      </c>
      <c r="F1900" s="9">
        <v>187</v>
      </c>
      <c r="G1900" s="9">
        <v>146.69999999999999</v>
      </c>
      <c r="H1900" s="9" t="s">
        <v>19</v>
      </c>
      <c r="I1900" s="9">
        <v>10</v>
      </c>
      <c r="J1900" s="10">
        <v>-40.299999999999997</v>
      </c>
      <c r="K1900" s="9" t="str">
        <f>TEXT(Sales_of_Jordan[[#This Row],[Sale_Date]],"mmm")</f>
        <v>Sep</v>
      </c>
    </row>
    <row r="1901" spans="1:11" x14ac:dyDescent="0.35">
      <c r="A1901" s="7" t="s">
        <v>1931</v>
      </c>
      <c r="B1901" s="8">
        <v>44934</v>
      </c>
      <c r="C1901" s="9" t="s">
        <v>27</v>
      </c>
      <c r="D1901" s="9" t="s">
        <v>12</v>
      </c>
      <c r="E1901" s="9" t="s">
        <v>29</v>
      </c>
      <c r="F1901" s="9">
        <v>132</v>
      </c>
      <c r="G1901" s="9">
        <v>192.5</v>
      </c>
      <c r="H1901" s="9" t="s">
        <v>19</v>
      </c>
      <c r="I1901" s="9">
        <v>14</v>
      </c>
      <c r="J1901" s="10">
        <v>60.5</v>
      </c>
      <c r="K1901" s="9" t="str">
        <f>TEXT(Sales_of_Jordan[[#This Row],[Sale_Date]],"mmm")</f>
        <v>Jan</v>
      </c>
    </row>
    <row r="1902" spans="1:11" x14ac:dyDescent="0.35">
      <c r="A1902" s="7" t="s">
        <v>1932</v>
      </c>
      <c r="B1902" s="8">
        <v>45739</v>
      </c>
      <c r="C1902" s="9" t="s">
        <v>11</v>
      </c>
      <c r="D1902" s="9" t="s">
        <v>12</v>
      </c>
      <c r="E1902" s="9" t="s">
        <v>13</v>
      </c>
      <c r="F1902" s="9">
        <v>226</v>
      </c>
      <c r="G1902" s="9">
        <v>121.81</v>
      </c>
      <c r="H1902" s="9" t="s">
        <v>19</v>
      </c>
      <c r="I1902" s="9">
        <v>3</v>
      </c>
      <c r="J1902" s="10">
        <v>-104.19</v>
      </c>
      <c r="K1902" s="9" t="str">
        <f>TEXT(Sales_of_Jordan[[#This Row],[Sale_Date]],"mmm")</f>
        <v>Mar</v>
      </c>
    </row>
    <row r="1903" spans="1:11" x14ac:dyDescent="0.35">
      <c r="A1903" s="7" t="s">
        <v>1933</v>
      </c>
      <c r="B1903" s="8">
        <v>45582</v>
      </c>
      <c r="C1903" s="9" t="s">
        <v>11</v>
      </c>
      <c r="D1903" s="9" t="s">
        <v>53</v>
      </c>
      <c r="E1903" s="9" t="s">
        <v>13</v>
      </c>
      <c r="F1903" s="9">
        <v>230</v>
      </c>
      <c r="G1903" s="9">
        <v>183.91</v>
      </c>
      <c r="H1903" s="9" t="s">
        <v>25</v>
      </c>
      <c r="I1903" s="9">
        <v>54</v>
      </c>
      <c r="J1903" s="10">
        <v>-46.09</v>
      </c>
      <c r="K1903" s="9" t="str">
        <f>TEXT(Sales_of_Jordan[[#This Row],[Sale_Date]],"mmm")</f>
        <v>Oct</v>
      </c>
    </row>
    <row r="1904" spans="1:11" x14ac:dyDescent="0.35">
      <c r="A1904" s="7" t="s">
        <v>1934</v>
      </c>
      <c r="B1904" s="8">
        <v>45240</v>
      </c>
      <c r="C1904" s="9" t="s">
        <v>11</v>
      </c>
      <c r="D1904" s="9" t="s">
        <v>39</v>
      </c>
      <c r="E1904" s="9" t="s">
        <v>18</v>
      </c>
      <c r="F1904" s="9">
        <v>226</v>
      </c>
      <c r="G1904" s="9">
        <v>516.55999999999995</v>
      </c>
      <c r="H1904" s="9" t="s">
        <v>14</v>
      </c>
      <c r="I1904" s="9">
        <v>13</v>
      </c>
      <c r="J1904" s="10">
        <v>290.55999999999898</v>
      </c>
      <c r="K1904" s="9" t="str">
        <f>TEXT(Sales_of_Jordan[[#This Row],[Sale_Date]],"mmm")</f>
        <v>Nov</v>
      </c>
    </row>
    <row r="1905" spans="1:11" x14ac:dyDescent="0.35">
      <c r="A1905" s="7" t="s">
        <v>1935</v>
      </c>
      <c r="B1905" s="8">
        <v>45714</v>
      </c>
      <c r="C1905" s="9" t="s">
        <v>16</v>
      </c>
      <c r="D1905" s="9" t="s">
        <v>12</v>
      </c>
      <c r="E1905" s="9" t="s">
        <v>13</v>
      </c>
      <c r="F1905" s="9">
        <v>185</v>
      </c>
      <c r="G1905" s="9">
        <v>125.6</v>
      </c>
      <c r="H1905" s="9" t="s">
        <v>25</v>
      </c>
      <c r="I1905" s="9">
        <v>32</v>
      </c>
      <c r="J1905" s="10">
        <v>-59.4</v>
      </c>
      <c r="K1905" s="9" t="str">
        <f>TEXT(Sales_of_Jordan[[#This Row],[Sale_Date]],"mmm")</f>
        <v>Feb</v>
      </c>
    </row>
    <row r="1906" spans="1:11" x14ac:dyDescent="0.35">
      <c r="A1906" s="7" t="s">
        <v>1936</v>
      </c>
      <c r="B1906" s="8">
        <v>44928</v>
      </c>
      <c r="C1906" s="9" t="s">
        <v>27</v>
      </c>
      <c r="D1906" s="9" t="s">
        <v>17</v>
      </c>
      <c r="E1906" s="9" t="s">
        <v>18</v>
      </c>
      <c r="F1906" s="9">
        <v>134</v>
      </c>
      <c r="G1906" s="9">
        <v>382.77</v>
      </c>
      <c r="H1906" s="9" t="s">
        <v>23</v>
      </c>
      <c r="I1906" s="9">
        <v>12</v>
      </c>
      <c r="J1906" s="10">
        <v>248.76999999999899</v>
      </c>
      <c r="K1906" s="9" t="str">
        <f>TEXT(Sales_of_Jordan[[#This Row],[Sale_Date]],"mmm")</f>
        <v>Jan</v>
      </c>
    </row>
    <row r="1907" spans="1:11" x14ac:dyDescent="0.35">
      <c r="A1907" s="7" t="s">
        <v>1937</v>
      </c>
      <c r="B1907" s="8">
        <v>45815</v>
      </c>
      <c r="C1907" s="9" t="s">
        <v>31</v>
      </c>
      <c r="D1907" s="9" t="s">
        <v>22</v>
      </c>
      <c r="E1907" s="9" t="s">
        <v>18</v>
      </c>
      <c r="F1907" s="9">
        <v>210</v>
      </c>
      <c r="G1907" s="9">
        <v>383.9</v>
      </c>
      <c r="H1907" s="9" t="s">
        <v>25</v>
      </c>
      <c r="I1907" s="9">
        <v>44</v>
      </c>
      <c r="J1907" s="10">
        <v>173.89999999999901</v>
      </c>
      <c r="K1907" s="9" t="str">
        <f>TEXT(Sales_of_Jordan[[#This Row],[Sale_Date]],"mmm")</f>
        <v>Jun</v>
      </c>
    </row>
    <row r="1908" spans="1:11" x14ac:dyDescent="0.35">
      <c r="A1908" s="7" t="s">
        <v>1938</v>
      </c>
      <c r="B1908" s="8">
        <v>45789</v>
      </c>
      <c r="C1908" s="9" t="s">
        <v>16</v>
      </c>
      <c r="D1908" s="9" t="s">
        <v>12</v>
      </c>
      <c r="E1908" s="9" t="s">
        <v>13</v>
      </c>
      <c r="F1908" s="9">
        <v>174</v>
      </c>
      <c r="G1908" s="9">
        <v>106.02</v>
      </c>
      <c r="H1908" s="9" t="s">
        <v>23</v>
      </c>
      <c r="I1908" s="9">
        <v>49</v>
      </c>
      <c r="J1908" s="10">
        <v>-67.98</v>
      </c>
      <c r="K1908" s="9" t="str">
        <f>TEXT(Sales_of_Jordan[[#This Row],[Sale_Date]],"mmm")</f>
        <v>May</v>
      </c>
    </row>
    <row r="1909" spans="1:11" x14ac:dyDescent="0.35">
      <c r="A1909" s="7" t="s">
        <v>1939</v>
      </c>
      <c r="B1909" s="8">
        <v>45078</v>
      </c>
      <c r="C1909" s="9" t="s">
        <v>16</v>
      </c>
      <c r="D1909" s="9" t="s">
        <v>55</v>
      </c>
      <c r="E1909" s="9" t="s">
        <v>29</v>
      </c>
      <c r="F1909" s="9">
        <v>180</v>
      </c>
      <c r="G1909" s="9">
        <v>252.06</v>
      </c>
      <c r="H1909" s="9" t="s">
        <v>25</v>
      </c>
      <c r="I1909" s="9">
        <v>22</v>
      </c>
      <c r="J1909" s="10">
        <v>72.06</v>
      </c>
      <c r="K1909" s="9" t="str">
        <f>TEXT(Sales_of_Jordan[[#This Row],[Sale_Date]],"mmm")</f>
        <v>Jun</v>
      </c>
    </row>
    <row r="1910" spans="1:11" x14ac:dyDescent="0.35">
      <c r="A1910" s="7" t="s">
        <v>1940</v>
      </c>
      <c r="B1910" s="8">
        <v>45669</v>
      </c>
      <c r="C1910" s="9" t="s">
        <v>16</v>
      </c>
      <c r="D1910" s="9" t="s">
        <v>39</v>
      </c>
      <c r="E1910" s="9" t="s">
        <v>18</v>
      </c>
      <c r="F1910" s="9">
        <v>173</v>
      </c>
      <c r="G1910" s="9">
        <v>315.8</v>
      </c>
      <c r="H1910" s="9" t="s">
        <v>14</v>
      </c>
      <c r="I1910" s="9">
        <v>12</v>
      </c>
      <c r="J1910" s="10">
        <v>142.80000000000001</v>
      </c>
      <c r="K1910" s="9" t="str">
        <f>TEXT(Sales_of_Jordan[[#This Row],[Sale_Date]],"mmm")</f>
        <v>Jan</v>
      </c>
    </row>
    <row r="1911" spans="1:11" x14ac:dyDescent="0.35">
      <c r="A1911" s="7" t="s">
        <v>1941</v>
      </c>
      <c r="B1911" s="8">
        <v>45178</v>
      </c>
      <c r="C1911" s="9" t="s">
        <v>21</v>
      </c>
      <c r="D1911" s="9" t="s">
        <v>17</v>
      </c>
      <c r="E1911" s="9" t="s">
        <v>13</v>
      </c>
      <c r="F1911" s="9">
        <v>218</v>
      </c>
      <c r="G1911" s="9">
        <v>151.97</v>
      </c>
      <c r="H1911" s="9" t="s">
        <v>19</v>
      </c>
      <c r="I1911" s="9">
        <v>4</v>
      </c>
      <c r="J1911" s="10">
        <v>-66.03</v>
      </c>
      <c r="K1911" s="9" t="str">
        <f>TEXT(Sales_of_Jordan[[#This Row],[Sale_Date]],"mmm")</f>
        <v>Sep</v>
      </c>
    </row>
    <row r="1912" spans="1:11" x14ac:dyDescent="0.35">
      <c r="A1912" s="7" t="s">
        <v>1942</v>
      </c>
      <c r="B1912" s="8">
        <v>45611</v>
      </c>
      <c r="C1912" s="9" t="s">
        <v>31</v>
      </c>
      <c r="D1912" s="9" t="s">
        <v>46</v>
      </c>
      <c r="E1912" s="9" t="s">
        <v>18</v>
      </c>
      <c r="F1912" s="9">
        <v>207</v>
      </c>
      <c r="G1912" s="9">
        <v>429.68</v>
      </c>
      <c r="H1912" s="9" t="s">
        <v>32</v>
      </c>
      <c r="I1912" s="9">
        <v>8</v>
      </c>
      <c r="J1912" s="10">
        <v>222.68</v>
      </c>
      <c r="K1912" s="9" t="str">
        <f>TEXT(Sales_of_Jordan[[#This Row],[Sale_Date]],"mmm")</f>
        <v>Nov</v>
      </c>
    </row>
    <row r="1913" spans="1:11" x14ac:dyDescent="0.35">
      <c r="A1913" s="7" t="s">
        <v>1943</v>
      </c>
      <c r="B1913" s="8">
        <v>45739</v>
      </c>
      <c r="C1913" s="9" t="s">
        <v>31</v>
      </c>
      <c r="D1913" s="9" t="s">
        <v>36</v>
      </c>
      <c r="E1913" s="9" t="s">
        <v>18</v>
      </c>
      <c r="F1913" s="9">
        <v>206</v>
      </c>
      <c r="G1913" s="9">
        <v>629.79</v>
      </c>
      <c r="H1913" s="9" t="s">
        <v>32</v>
      </c>
      <c r="I1913" s="9">
        <v>10</v>
      </c>
      <c r="J1913" s="10">
        <v>423.789999999999</v>
      </c>
      <c r="K1913" s="9" t="str">
        <f>TEXT(Sales_of_Jordan[[#This Row],[Sale_Date]],"mmm")</f>
        <v>Mar</v>
      </c>
    </row>
    <row r="1914" spans="1:11" x14ac:dyDescent="0.35">
      <c r="A1914" s="7" t="s">
        <v>1944</v>
      </c>
      <c r="B1914" s="8">
        <v>45895</v>
      </c>
      <c r="C1914" s="9" t="s">
        <v>21</v>
      </c>
      <c r="D1914" s="9" t="s">
        <v>36</v>
      </c>
      <c r="E1914" s="9" t="s">
        <v>18</v>
      </c>
      <c r="F1914" s="9">
        <v>218</v>
      </c>
      <c r="G1914" s="9">
        <v>278.89999999999998</v>
      </c>
      <c r="H1914" s="9" t="s">
        <v>19</v>
      </c>
      <c r="I1914" s="9">
        <v>10</v>
      </c>
      <c r="J1914" s="10">
        <v>60.899999999999899</v>
      </c>
      <c r="K1914" s="9" t="str">
        <f>TEXT(Sales_of_Jordan[[#This Row],[Sale_Date]],"mmm")</f>
        <v>Aug</v>
      </c>
    </row>
    <row r="1915" spans="1:11" x14ac:dyDescent="0.35">
      <c r="A1915" s="7" t="s">
        <v>1945</v>
      </c>
      <c r="B1915" s="8">
        <v>45146</v>
      </c>
      <c r="C1915" s="9" t="s">
        <v>27</v>
      </c>
      <c r="D1915" s="9" t="s">
        <v>22</v>
      </c>
      <c r="E1915" s="9" t="s">
        <v>13</v>
      </c>
      <c r="F1915" s="9">
        <v>126</v>
      </c>
      <c r="G1915" s="9">
        <v>104.99</v>
      </c>
      <c r="H1915" s="9" t="s">
        <v>14</v>
      </c>
      <c r="I1915" s="9">
        <v>6</v>
      </c>
      <c r="J1915" s="10">
        <v>-21.01</v>
      </c>
      <c r="K1915" s="9" t="str">
        <f>TEXT(Sales_of_Jordan[[#This Row],[Sale_Date]],"mmm")</f>
        <v>Aug</v>
      </c>
    </row>
    <row r="1916" spans="1:11" x14ac:dyDescent="0.35">
      <c r="A1916" s="7" t="s">
        <v>1946</v>
      </c>
      <c r="B1916" s="8">
        <v>45572</v>
      </c>
      <c r="C1916" s="9" t="s">
        <v>11</v>
      </c>
      <c r="D1916" s="9" t="s">
        <v>46</v>
      </c>
      <c r="E1916" s="9" t="s">
        <v>18</v>
      </c>
      <c r="F1916" s="9">
        <v>229</v>
      </c>
      <c r="G1916" s="9">
        <v>306.79000000000002</v>
      </c>
      <c r="H1916" s="9" t="s">
        <v>19</v>
      </c>
      <c r="I1916" s="9">
        <v>14</v>
      </c>
      <c r="J1916" s="10">
        <v>77.790000000000006</v>
      </c>
      <c r="K1916" s="9" t="str">
        <f>TEXT(Sales_of_Jordan[[#This Row],[Sale_Date]],"mmm")</f>
        <v>Oct</v>
      </c>
    </row>
    <row r="1917" spans="1:11" x14ac:dyDescent="0.35">
      <c r="A1917" s="7" t="s">
        <v>1947</v>
      </c>
      <c r="B1917" s="8">
        <v>45116</v>
      </c>
      <c r="C1917" s="9" t="s">
        <v>27</v>
      </c>
      <c r="D1917" s="9" t="s">
        <v>22</v>
      </c>
      <c r="E1917" s="9" t="s">
        <v>13</v>
      </c>
      <c r="F1917" s="9">
        <v>114</v>
      </c>
      <c r="G1917" s="9">
        <v>98.22</v>
      </c>
      <c r="H1917" s="9" t="s">
        <v>14</v>
      </c>
      <c r="I1917" s="9">
        <v>4</v>
      </c>
      <c r="J1917" s="10">
        <v>-15.78</v>
      </c>
      <c r="K1917" s="9" t="str">
        <f>TEXT(Sales_of_Jordan[[#This Row],[Sale_Date]],"mmm")</f>
        <v>Jul</v>
      </c>
    </row>
    <row r="1918" spans="1:11" x14ac:dyDescent="0.35">
      <c r="A1918" s="7" t="s">
        <v>1948</v>
      </c>
      <c r="B1918" s="8">
        <v>45042</v>
      </c>
      <c r="C1918" s="9" t="s">
        <v>11</v>
      </c>
      <c r="D1918" s="9" t="s">
        <v>12</v>
      </c>
      <c r="E1918" s="9" t="s">
        <v>18</v>
      </c>
      <c r="F1918" s="9">
        <v>230</v>
      </c>
      <c r="G1918" s="9">
        <v>531.30999999999995</v>
      </c>
      <c r="H1918" s="9" t="s">
        <v>25</v>
      </c>
      <c r="I1918" s="9">
        <v>12</v>
      </c>
      <c r="J1918" s="10">
        <v>301.30999999999898</v>
      </c>
      <c r="K1918" s="9" t="str">
        <f>TEXT(Sales_of_Jordan[[#This Row],[Sale_Date]],"mmm")</f>
        <v>Apr</v>
      </c>
    </row>
    <row r="1919" spans="1:11" x14ac:dyDescent="0.35">
      <c r="A1919" s="7" t="s">
        <v>1949</v>
      </c>
      <c r="B1919" s="8">
        <v>44984</v>
      </c>
      <c r="C1919" s="9" t="s">
        <v>31</v>
      </c>
      <c r="D1919" s="9" t="s">
        <v>12</v>
      </c>
      <c r="E1919" s="9" t="s">
        <v>29</v>
      </c>
      <c r="F1919" s="9">
        <v>206</v>
      </c>
      <c r="G1919" s="9">
        <v>290.72000000000003</v>
      </c>
      <c r="H1919" s="9" t="s">
        <v>32</v>
      </c>
      <c r="I1919" s="9">
        <v>29</v>
      </c>
      <c r="J1919" s="10">
        <v>84.72</v>
      </c>
      <c r="K1919" s="9" t="str">
        <f>TEXT(Sales_of_Jordan[[#This Row],[Sale_Date]],"mmm")</f>
        <v>Feb</v>
      </c>
    </row>
    <row r="1920" spans="1:11" x14ac:dyDescent="0.35">
      <c r="A1920" s="7" t="s">
        <v>1950</v>
      </c>
      <c r="B1920" s="8">
        <v>45563</v>
      </c>
      <c r="C1920" s="9" t="s">
        <v>16</v>
      </c>
      <c r="D1920" s="9" t="s">
        <v>46</v>
      </c>
      <c r="E1920" s="9" t="s">
        <v>13</v>
      </c>
      <c r="F1920" s="9">
        <v>188</v>
      </c>
      <c r="G1920" s="9">
        <v>135.63999999999999</v>
      </c>
      <c r="H1920" s="9" t="s">
        <v>25</v>
      </c>
      <c r="I1920" s="9">
        <v>56</v>
      </c>
      <c r="J1920" s="10">
        <v>-52.36</v>
      </c>
      <c r="K1920" s="9" t="str">
        <f>TEXT(Sales_of_Jordan[[#This Row],[Sale_Date]],"mmm")</f>
        <v>Sep</v>
      </c>
    </row>
    <row r="1921" spans="1:11" x14ac:dyDescent="0.35">
      <c r="A1921" s="7" t="s">
        <v>1951</v>
      </c>
      <c r="B1921" s="8">
        <v>45041</v>
      </c>
      <c r="C1921" s="9" t="s">
        <v>31</v>
      </c>
      <c r="D1921" s="9" t="s">
        <v>22</v>
      </c>
      <c r="E1921" s="9" t="s">
        <v>13</v>
      </c>
      <c r="F1921" s="9">
        <v>207</v>
      </c>
      <c r="G1921" s="9">
        <v>181.93</v>
      </c>
      <c r="H1921" s="9" t="s">
        <v>14</v>
      </c>
      <c r="I1921" s="9">
        <v>12</v>
      </c>
      <c r="J1921" s="10">
        <v>-25.069999999999901</v>
      </c>
      <c r="K1921" s="9" t="str">
        <f>TEXT(Sales_of_Jordan[[#This Row],[Sale_Date]],"mmm")</f>
        <v>Apr</v>
      </c>
    </row>
    <row r="1922" spans="1:11" x14ac:dyDescent="0.35">
      <c r="A1922" s="7" t="s">
        <v>1952</v>
      </c>
      <c r="B1922" s="8">
        <v>45748</v>
      </c>
      <c r="C1922" s="9" t="s">
        <v>21</v>
      </c>
      <c r="D1922" s="9" t="s">
        <v>39</v>
      </c>
      <c r="E1922" s="9" t="s">
        <v>18</v>
      </c>
      <c r="F1922" s="9">
        <v>214</v>
      </c>
      <c r="G1922" s="9">
        <v>282.82</v>
      </c>
      <c r="H1922" s="9" t="s">
        <v>23</v>
      </c>
      <c r="I1922" s="9">
        <v>11</v>
      </c>
      <c r="J1922" s="10">
        <v>68.819999999999993</v>
      </c>
      <c r="K1922" s="9" t="str">
        <f>TEXT(Sales_of_Jordan[[#This Row],[Sale_Date]],"mmm")</f>
        <v>Apr</v>
      </c>
    </row>
    <row r="1923" spans="1:11" x14ac:dyDescent="0.35">
      <c r="A1923" s="7" t="s">
        <v>1953</v>
      </c>
      <c r="B1923" s="8">
        <v>45346</v>
      </c>
      <c r="C1923" s="9" t="s">
        <v>27</v>
      </c>
      <c r="D1923" s="9" t="s">
        <v>55</v>
      </c>
      <c r="E1923" s="9" t="s">
        <v>18</v>
      </c>
      <c r="F1923" s="9">
        <v>130</v>
      </c>
      <c r="G1923" s="9">
        <v>377.13</v>
      </c>
      <c r="H1923" s="9" t="s">
        <v>32</v>
      </c>
      <c r="I1923" s="9">
        <v>20</v>
      </c>
      <c r="J1923" s="10">
        <v>247.13</v>
      </c>
      <c r="K1923" s="9" t="str">
        <f>TEXT(Sales_of_Jordan[[#This Row],[Sale_Date]],"mmm")</f>
        <v>Feb</v>
      </c>
    </row>
    <row r="1924" spans="1:11" x14ac:dyDescent="0.35">
      <c r="A1924" s="7" t="s">
        <v>1954</v>
      </c>
      <c r="B1924" s="8">
        <v>44985</v>
      </c>
      <c r="C1924" s="9" t="s">
        <v>11</v>
      </c>
      <c r="D1924" s="9" t="s">
        <v>22</v>
      </c>
      <c r="E1924" s="9" t="s">
        <v>13</v>
      </c>
      <c r="F1924" s="9">
        <v>230</v>
      </c>
      <c r="G1924" s="9">
        <v>173.67</v>
      </c>
      <c r="H1924" s="9" t="s">
        <v>25</v>
      </c>
      <c r="I1924" s="9">
        <v>29</v>
      </c>
      <c r="J1924" s="10">
        <v>-56.33</v>
      </c>
      <c r="K1924" s="9" t="str">
        <f>TEXT(Sales_of_Jordan[[#This Row],[Sale_Date]],"mmm")</f>
        <v>Feb</v>
      </c>
    </row>
    <row r="1925" spans="1:11" x14ac:dyDescent="0.35">
      <c r="A1925" s="7" t="s">
        <v>1955</v>
      </c>
      <c r="B1925" s="8">
        <v>45885</v>
      </c>
      <c r="C1925" s="9" t="s">
        <v>31</v>
      </c>
      <c r="D1925" s="9" t="s">
        <v>17</v>
      </c>
      <c r="E1925" s="9" t="s">
        <v>18</v>
      </c>
      <c r="F1925" s="9">
        <v>202</v>
      </c>
      <c r="G1925" s="9">
        <v>336.12</v>
      </c>
      <c r="H1925" s="9" t="s">
        <v>14</v>
      </c>
      <c r="I1925" s="9">
        <v>3</v>
      </c>
      <c r="J1925" s="10">
        <v>134.12</v>
      </c>
      <c r="K1925" s="9" t="str">
        <f>TEXT(Sales_of_Jordan[[#This Row],[Sale_Date]],"mmm")</f>
        <v>Aug</v>
      </c>
    </row>
    <row r="1926" spans="1:11" x14ac:dyDescent="0.35">
      <c r="A1926" s="7" t="s">
        <v>1956</v>
      </c>
      <c r="B1926" s="8">
        <v>45394</v>
      </c>
      <c r="C1926" s="9" t="s">
        <v>16</v>
      </c>
      <c r="D1926" s="9" t="s">
        <v>34</v>
      </c>
      <c r="E1926" s="9" t="s">
        <v>13</v>
      </c>
      <c r="F1926" s="9">
        <v>184</v>
      </c>
      <c r="G1926" s="9">
        <v>124.66</v>
      </c>
      <c r="H1926" s="9" t="s">
        <v>14</v>
      </c>
      <c r="I1926" s="9">
        <v>2</v>
      </c>
      <c r="J1926" s="10">
        <v>-59.34</v>
      </c>
      <c r="K1926" s="9" t="str">
        <f>TEXT(Sales_of_Jordan[[#This Row],[Sale_Date]],"mmm")</f>
        <v>Apr</v>
      </c>
    </row>
    <row r="1927" spans="1:11" x14ac:dyDescent="0.35">
      <c r="A1927" s="7" t="s">
        <v>1957</v>
      </c>
      <c r="B1927" s="8">
        <v>45463</v>
      </c>
      <c r="C1927" s="9" t="s">
        <v>31</v>
      </c>
      <c r="D1927" s="9" t="s">
        <v>53</v>
      </c>
      <c r="E1927" s="9" t="s">
        <v>13</v>
      </c>
      <c r="F1927" s="9">
        <v>208</v>
      </c>
      <c r="G1927" s="9">
        <v>120.7</v>
      </c>
      <c r="H1927" s="9" t="s">
        <v>23</v>
      </c>
      <c r="I1927" s="9">
        <v>33</v>
      </c>
      <c r="J1927" s="10">
        <v>-87.3</v>
      </c>
      <c r="K1927" s="9" t="str">
        <f>TEXT(Sales_of_Jordan[[#This Row],[Sale_Date]],"mmm")</f>
        <v>Jun</v>
      </c>
    </row>
    <row r="1928" spans="1:11" x14ac:dyDescent="0.35">
      <c r="A1928" s="7" t="s">
        <v>1958</v>
      </c>
      <c r="B1928" s="8">
        <v>45460</v>
      </c>
      <c r="C1928" s="9" t="s">
        <v>11</v>
      </c>
      <c r="D1928" s="9" t="s">
        <v>34</v>
      </c>
      <c r="E1928" s="9" t="s">
        <v>13</v>
      </c>
      <c r="F1928" s="9">
        <v>225</v>
      </c>
      <c r="G1928" s="9">
        <v>186.23</v>
      </c>
      <c r="H1928" s="9" t="s">
        <v>25</v>
      </c>
      <c r="I1928" s="9">
        <v>18</v>
      </c>
      <c r="J1928" s="10">
        <v>-38.770000000000003</v>
      </c>
      <c r="K1928" s="9" t="str">
        <f>TEXT(Sales_of_Jordan[[#This Row],[Sale_Date]],"mmm")</f>
        <v>Jun</v>
      </c>
    </row>
    <row r="1929" spans="1:11" x14ac:dyDescent="0.35">
      <c r="A1929" s="7" t="s">
        <v>1959</v>
      </c>
      <c r="B1929" s="8">
        <v>45173</v>
      </c>
      <c r="C1929" s="9" t="s">
        <v>11</v>
      </c>
      <c r="D1929" s="9" t="s">
        <v>34</v>
      </c>
      <c r="E1929" s="9" t="s">
        <v>18</v>
      </c>
      <c r="F1929" s="9">
        <v>226</v>
      </c>
      <c r="G1929" s="9">
        <v>737.98</v>
      </c>
      <c r="H1929" s="9" t="s">
        <v>32</v>
      </c>
      <c r="I1929" s="9">
        <v>20</v>
      </c>
      <c r="J1929" s="10">
        <v>511.98</v>
      </c>
      <c r="K1929" s="9" t="str">
        <f>TEXT(Sales_of_Jordan[[#This Row],[Sale_Date]],"mmm")</f>
        <v>Sep</v>
      </c>
    </row>
    <row r="1930" spans="1:11" x14ac:dyDescent="0.35">
      <c r="A1930" s="7" t="s">
        <v>1960</v>
      </c>
      <c r="B1930" s="8">
        <v>45541</v>
      </c>
      <c r="C1930" s="9" t="s">
        <v>16</v>
      </c>
      <c r="D1930" s="9" t="s">
        <v>34</v>
      </c>
      <c r="E1930" s="9" t="s">
        <v>29</v>
      </c>
      <c r="F1930" s="9">
        <v>179</v>
      </c>
      <c r="G1930" s="9">
        <v>224.72</v>
      </c>
      <c r="H1930" s="9" t="s">
        <v>23</v>
      </c>
      <c r="I1930" s="9">
        <v>47</v>
      </c>
      <c r="J1930" s="10">
        <v>45.72</v>
      </c>
      <c r="K1930" s="9" t="str">
        <f>TEXT(Sales_of_Jordan[[#This Row],[Sale_Date]],"mmm")</f>
        <v>Sep</v>
      </c>
    </row>
    <row r="1931" spans="1:11" x14ac:dyDescent="0.35">
      <c r="A1931" s="7" t="s">
        <v>1961</v>
      </c>
      <c r="B1931" s="8">
        <v>45243</v>
      </c>
      <c r="C1931" s="9" t="s">
        <v>16</v>
      </c>
      <c r="D1931" s="9" t="s">
        <v>34</v>
      </c>
      <c r="E1931" s="9" t="s">
        <v>13</v>
      </c>
      <c r="F1931" s="9">
        <v>184</v>
      </c>
      <c r="G1931" s="9">
        <v>136.47999999999999</v>
      </c>
      <c r="H1931" s="9" t="s">
        <v>23</v>
      </c>
      <c r="I1931" s="9">
        <v>24</v>
      </c>
      <c r="J1931" s="10">
        <v>-47.52</v>
      </c>
      <c r="K1931" s="9" t="str">
        <f>TEXT(Sales_of_Jordan[[#This Row],[Sale_Date]],"mmm")</f>
        <v>Nov</v>
      </c>
    </row>
    <row r="1932" spans="1:11" x14ac:dyDescent="0.35">
      <c r="A1932" s="7" t="s">
        <v>1962</v>
      </c>
      <c r="B1932" s="8">
        <v>45188</v>
      </c>
      <c r="C1932" s="9" t="s">
        <v>16</v>
      </c>
      <c r="D1932" s="9" t="s">
        <v>39</v>
      </c>
      <c r="E1932" s="9" t="s">
        <v>18</v>
      </c>
      <c r="F1932" s="9">
        <v>183</v>
      </c>
      <c r="G1932" s="9">
        <v>291.42</v>
      </c>
      <c r="H1932" s="9" t="s">
        <v>19</v>
      </c>
      <c r="I1932" s="9">
        <v>6</v>
      </c>
      <c r="J1932" s="10">
        <v>108.42</v>
      </c>
      <c r="K1932" s="9" t="str">
        <f>TEXT(Sales_of_Jordan[[#This Row],[Sale_Date]],"mmm")</f>
        <v>Sep</v>
      </c>
    </row>
    <row r="1933" spans="1:11" x14ac:dyDescent="0.35">
      <c r="A1933" s="7" t="s">
        <v>1963</v>
      </c>
      <c r="B1933" s="8">
        <v>45550</v>
      </c>
      <c r="C1933" s="9" t="s">
        <v>11</v>
      </c>
      <c r="D1933" s="9" t="s">
        <v>12</v>
      </c>
      <c r="E1933" s="9" t="s">
        <v>18</v>
      </c>
      <c r="F1933" s="9">
        <v>226</v>
      </c>
      <c r="G1933" s="9">
        <v>739</v>
      </c>
      <c r="H1933" s="9" t="s">
        <v>19</v>
      </c>
      <c r="I1933" s="9">
        <v>11</v>
      </c>
      <c r="J1933" s="10">
        <v>513</v>
      </c>
      <c r="K1933" s="9" t="str">
        <f>TEXT(Sales_of_Jordan[[#This Row],[Sale_Date]],"mmm")</f>
        <v>Sep</v>
      </c>
    </row>
    <row r="1934" spans="1:11" x14ac:dyDescent="0.35">
      <c r="A1934" s="7" t="s">
        <v>1964</v>
      </c>
      <c r="B1934" s="8">
        <v>45512</v>
      </c>
      <c r="C1934" s="9" t="s">
        <v>11</v>
      </c>
      <c r="D1934" s="9" t="s">
        <v>12</v>
      </c>
      <c r="E1934" s="9" t="s">
        <v>13</v>
      </c>
      <c r="F1934" s="9">
        <v>230</v>
      </c>
      <c r="G1934" s="9">
        <v>173.53</v>
      </c>
      <c r="H1934" s="9" t="s">
        <v>14</v>
      </c>
      <c r="I1934" s="9">
        <v>8</v>
      </c>
      <c r="J1934" s="10">
        <v>-56.47</v>
      </c>
      <c r="K1934" s="9" t="str">
        <f>TEXT(Sales_of_Jordan[[#This Row],[Sale_Date]],"mmm")</f>
        <v>Aug</v>
      </c>
    </row>
    <row r="1935" spans="1:11" x14ac:dyDescent="0.35">
      <c r="A1935" s="7" t="s">
        <v>1965</v>
      </c>
      <c r="B1935" s="8">
        <v>45448</v>
      </c>
      <c r="C1935" s="9" t="s">
        <v>11</v>
      </c>
      <c r="D1935" s="9" t="s">
        <v>53</v>
      </c>
      <c r="E1935" s="9" t="s">
        <v>18</v>
      </c>
      <c r="F1935" s="9">
        <v>227</v>
      </c>
      <c r="G1935" s="9">
        <v>450.8</v>
      </c>
      <c r="H1935" s="9" t="s">
        <v>14</v>
      </c>
      <c r="I1935" s="9">
        <v>12</v>
      </c>
      <c r="J1935" s="10">
        <v>223.8</v>
      </c>
      <c r="K1935" s="9" t="str">
        <f>TEXT(Sales_of_Jordan[[#This Row],[Sale_Date]],"mmm")</f>
        <v>Jun</v>
      </c>
    </row>
    <row r="1936" spans="1:11" x14ac:dyDescent="0.35">
      <c r="A1936" s="7" t="s">
        <v>1966</v>
      </c>
      <c r="B1936" s="8">
        <v>45340</v>
      </c>
      <c r="C1936" s="9" t="s">
        <v>27</v>
      </c>
      <c r="D1936" s="9" t="s">
        <v>46</v>
      </c>
      <c r="E1936" s="9" t="s">
        <v>29</v>
      </c>
      <c r="F1936" s="9">
        <v>129</v>
      </c>
      <c r="G1936" s="9">
        <v>155.6</v>
      </c>
      <c r="H1936" s="9" t="s">
        <v>23</v>
      </c>
      <c r="I1936" s="9">
        <v>10</v>
      </c>
      <c r="J1936" s="10">
        <v>26.599999999999898</v>
      </c>
      <c r="K1936" s="9" t="str">
        <f>TEXT(Sales_of_Jordan[[#This Row],[Sale_Date]],"mmm")</f>
        <v>Feb</v>
      </c>
    </row>
    <row r="1937" spans="1:11" x14ac:dyDescent="0.35">
      <c r="A1937" s="7" t="s">
        <v>1967</v>
      </c>
      <c r="B1937" s="8">
        <v>45249</v>
      </c>
      <c r="C1937" s="9" t="s">
        <v>11</v>
      </c>
      <c r="D1937" s="9" t="s">
        <v>34</v>
      </c>
      <c r="E1937" s="9" t="s">
        <v>13</v>
      </c>
      <c r="F1937" s="9">
        <v>228</v>
      </c>
      <c r="G1937" s="9">
        <v>136.69999999999999</v>
      </c>
      <c r="H1937" s="9" t="s">
        <v>23</v>
      </c>
      <c r="I1937" s="9">
        <v>30</v>
      </c>
      <c r="J1937" s="10">
        <v>-91.3</v>
      </c>
      <c r="K1937" s="9" t="str">
        <f>TEXT(Sales_of_Jordan[[#This Row],[Sale_Date]],"mmm")</f>
        <v>Nov</v>
      </c>
    </row>
    <row r="1938" spans="1:11" x14ac:dyDescent="0.35">
      <c r="A1938" s="7" t="s">
        <v>1968</v>
      </c>
      <c r="B1938" s="8">
        <v>45523</v>
      </c>
      <c r="C1938" s="9" t="s">
        <v>21</v>
      </c>
      <c r="D1938" s="9" t="s">
        <v>12</v>
      </c>
      <c r="E1938" s="9" t="s">
        <v>13</v>
      </c>
      <c r="F1938" s="9">
        <v>220</v>
      </c>
      <c r="G1938" s="9">
        <v>127.99</v>
      </c>
      <c r="H1938" s="9" t="s">
        <v>23</v>
      </c>
      <c r="I1938" s="9">
        <v>11</v>
      </c>
      <c r="J1938" s="10">
        <v>-92.01</v>
      </c>
      <c r="K1938" s="9" t="str">
        <f>TEXT(Sales_of_Jordan[[#This Row],[Sale_Date]],"mmm")</f>
        <v>Aug</v>
      </c>
    </row>
    <row r="1939" spans="1:11" x14ac:dyDescent="0.35">
      <c r="A1939" s="7" t="s">
        <v>1969</v>
      </c>
      <c r="B1939" s="8">
        <v>45782</v>
      </c>
      <c r="C1939" s="9" t="s">
        <v>31</v>
      </c>
      <c r="D1939" s="9" t="s">
        <v>55</v>
      </c>
      <c r="E1939" s="9" t="s">
        <v>18</v>
      </c>
      <c r="F1939" s="9">
        <v>208</v>
      </c>
      <c r="G1939" s="9">
        <v>548.04</v>
      </c>
      <c r="H1939" s="9" t="s">
        <v>32</v>
      </c>
      <c r="I1939" s="9">
        <v>43</v>
      </c>
      <c r="J1939" s="10">
        <v>340.039999999999</v>
      </c>
      <c r="K1939" s="9" t="str">
        <f>TEXT(Sales_of_Jordan[[#This Row],[Sale_Date]],"mmm")</f>
        <v>May</v>
      </c>
    </row>
    <row r="1940" spans="1:11" x14ac:dyDescent="0.35">
      <c r="A1940" s="7" t="s">
        <v>1970</v>
      </c>
      <c r="B1940" s="8">
        <v>45143</v>
      </c>
      <c r="C1940" s="9" t="s">
        <v>16</v>
      </c>
      <c r="D1940" s="9" t="s">
        <v>17</v>
      </c>
      <c r="E1940" s="9" t="s">
        <v>13</v>
      </c>
      <c r="F1940" s="9">
        <v>190</v>
      </c>
      <c r="G1940" s="9">
        <v>128.36000000000001</v>
      </c>
      <c r="H1940" s="9" t="s">
        <v>19</v>
      </c>
      <c r="I1940" s="9">
        <v>11</v>
      </c>
      <c r="J1940" s="10">
        <v>-61.639999999999901</v>
      </c>
      <c r="K1940" s="9" t="str">
        <f>TEXT(Sales_of_Jordan[[#This Row],[Sale_Date]],"mmm")</f>
        <v>Aug</v>
      </c>
    </row>
    <row r="1941" spans="1:11" x14ac:dyDescent="0.35">
      <c r="A1941" s="7" t="s">
        <v>1971</v>
      </c>
      <c r="B1941" s="8">
        <v>45569</v>
      </c>
      <c r="C1941" s="9" t="s">
        <v>16</v>
      </c>
      <c r="D1941" s="9" t="s">
        <v>12</v>
      </c>
      <c r="E1941" s="9" t="s">
        <v>29</v>
      </c>
      <c r="F1941" s="9">
        <v>174</v>
      </c>
      <c r="G1941" s="9">
        <v>253.76</v>
      </c>
      <c r="H1941" s="9" t="s">
        <v>14</v>
      </c>
      <c r="I1941" s="9">
        <v>1</v>
      </c>
      <c r="J1941" s="10">
        <v>79.759999999999906</v>
      </c>
      <c r="K1941" s="9" t="str">
        <f>TEXT(Sales_of_Jordan[[#This Row],[Sale_Date]],"mmm")</f>
        <v>Oct</v>
      </c>
    </row>
    <row r="1942" spans="1:11" x14ac:dyDescent="0.35">
      <c r="A1942" s="7" t="s">
        <v>1972</v>
      </c>
      <c r="B1942" s="8">
        <v>45327</v>
      </c>
      <c r="C1942" s="9" t="s">
        <v>31</v>
      </c>
      <c r="D1942" s="9" t="s">
        <v>53</v>
      </c>
      <c r="E1942" s="9" t="s">
        <v>18</v>
      </c>
      <c r="F1942" s="9">
        <v>210</v>
      </c>
      <c r="G1942" s="9">
        <v>260.33</v>
      </c>
      <c r="H1942" s="9" t="s">
        <v>32</v>
      </c>
      <c r="I1942" s="9">
        <v>29</v>
      </c>
      <c r="J1942" s="10">
        <v>50.329999999999899</v>
      </c>
      <c r="K1942" s="9" t="str">
        <f>TEXT(Sales_of_Jordan[[#This Row],[Sale_Date]],"mmm")</f>
        <v>Feb</v>
      </c>
    </row>
    <row r="1943" spans="1:11" x14ac:dyDescent="0.35">
      <c r="A1943" s="7" t="s">
        <v>1973</v>
      </c>
      <c r="B1943" s="8">
        <v>45351</v>
      </c>
      <c r="C1943" s="9" t="s">
        <v>27</v>
      </c>
      <c r="D1943" s="9" t="s">
        <v>46</v>
      </c>
      <c r="E1943" s="9" t="s">
        <v>13</v>
      </c>
      <c r="F1943" s="9">
        <v>113</v>
      </c>
      <c r="G1943" s="9">
        <v>58.13</v>
      </c>
      <c r="H1943" s="9" t="s">
        <v>14</v>
      </c>
      <c r="I1943" s="9">
        <v>12</v>
      </c>
      <c r="J1943" s="10">
        <v>-54.87</v>
      </c>
      <c r="K1943" s="9" t="str">
        <f>TEXT(Sales_of_Jordan[[#This Row],[Sale_Date]],"mmm")</f>
        <v>Feb</v>
      </c>
    </row>
    <row r="1944" spans="1:11" x14ac:dyDescent="0.35">
      <c r="A1944" s="7" t="s">
        <v>1974</v>
      </c>
      <c r="B1944" s="8">
        <v>45284</v>
      </c>
      <c r="C1944" s="9" t="s">
        <v>31</v>
      </c>
      <c r="D1944" s="9" t="s">
        <v>39</v>
      </c>
      <c r="E1944" s="9" t="s">
        <v>13</v>
      </c>
      <c r="F1944" s="9">
        <v>205</v>
      </c>
      <c r="G1944" s="9">
        <v>107.46</v>
      </c>
      <c r="H1944" s="9" t="s">
        <v>32</v>
      </c>
      <c r="I1944" s="9">
        <v>11</v>
      </c>
      <c r="J1944" s="10">
        <v>-97.54</v>
      </c>
      <c r="K1944" s="9" t="str">
        <f>TEXT(Sales_of_Jordan[[#This Row],[Sale_Date]],"mmm")</f>
        <v>Dec</v>
      </c>
    </row>
    <row r="1945" spans="1:11" x14ac:dyDescent="0.35">
      <c r="A1945" s="7" t="s">
        <v>1975</v>
      </c>
      <c r="B1945" s="8">
        <v>45055</v>
      </c>
      <c r="C1945" s="9" t="s">
        <v>16</v>
      </c>
      <c r="D1945" s="9" t="s">
        <v>39</v>
      </c>
      <c r="E1945" s="9" t="s">
        <v>13</v>
      </c>
      <c r="F1945" s="9">
        <v>184</v>
      </c>
      <c r="G1945" s="9">
        <v>141.41</v>
      </c>
      <c r="H1945" s="9" t="s">
        <v>25</v>
      </c>
      <c r="I1945" s="9">
        <v>50</v>
      </c>
      <c r="J1945" s="10">
        <v>-42.59</v>
      </c>
      <c r="K1945" s="9" t="str">
        <f>TEXT(Sales_of_Jordan[[#This Row],[Sale_Date]],"mmm")</f>
        <v>May</v>
      </c>
    </row>
    <row r="1946" spans="1:11" x14ac:dyDescent="0.35">
      <c r="A1946" s="7" t="s">
        <v>1976</v>
      </c>
      <c r="B1946" s="8">
        <v>45305</v>
      </c>
      <c r="C1946" s="9" t="s">
        <v>31</v>
      </c>
      <c r="D1946" s="9" t="s">
        <v>53</v>
      </c>
      <c r="E1946" s="9" t="s">
        <v>18</v>
      </c>
      <c r="F1946" s="9">
        <v>204</v>
      </c>
      <c r="G1946" s="9">
        <v>575.16</v>
      </c>
      <c r="H1946" s="9" t="s">
        <v>14</v>
      </c>
      <c r="I1946" s="9">
        <v>6</v>
      </c>
      <c r="J1946" s="10">
        <v>371.159999999999</v>
      </c>
      <c r="K1946" s="9" t="str">
        <f>TEXT(Sales_of_Jordan[[#This Row],[Sale_Date]],"mmm")</f>
        <v>Jan</v>
      </c>
    </row>
    <row r="1947" spans="1:11" x14ac:dyDescent="0.35">
      <c r="A1947" s="7" t="s">
        <v>1977</v>
      </c>
      <c r="B1947" s="8">
        <v>45301</v>
      </c>
      <c r="C1947" s="9" t="s">
        <v>21</v>
      </c>
      <c r="D1947" s="9" t="s">
        <v>22</v>
      </c>
      <c r="E1947" s="9" t="s">
        <v>29</v>
      </c>
      <c r="F1947" s="9">
        <v>225</v>
      </c>
      <c r="G1947" s="9">
        <v>289.39999999999998</v>
      </c>
      <c r="H1947" s="9" t="s">
        <v>25</v>
      </c>
      <c r="I1947" s="9">
        <v>17</v>
      </c>
      <c r="J1947" s="10">
        <v>64.399999999999906</v>
      </c>
      <c r="K1947" s="9" t="str">
        <f>TEXT(Sales_of_Jordan[[#This Row],[Sale_Date]],"mmm")</f>
        <v>Jan</v>
      </c>
    </row>
    <row r="1948" spans="1:11" x14ac:dyDescent="0.35">
      <c r="A1948" s="7" t="s">
        <v>1978</v>
      </c>
      <c r="B1948" s="8">
        <v>45342</v>
      </c>
      <c r="C1948" s="9" t="s">
        <v>16</v>
      </c>
      <c r="D1948" s="9" t="s">
        <v>46</v>
      </c>
      <c r="E1948" s="9" t="s">
        <v>29</v>
      </c>
      <c r="F1948" s="9">
        <v>187</v>
      </c>
      <c r="G1948" s="9">
        <v>238.29</v>
      </c>
      <c r="H1948" s="9" t="s">
        <v>23</v>
      </c>
      <c r="I1948" s="9">
        <v>5</v>
      </c>
      <c r="J1948" s="10">
        <v>51.2899999999999</v>
      </c>
      <c r="K1948" s="9" t="str">
        <f>TEXT(Sales_of_Jordan[[#This Row],[Sale_Date]],"mmm")</f>
        <v>Feb</v>
      </c>
    </row>
    <row r="1949" spans="1:11" x14ac:dyDescent="0.35">
      <c r="A1949" s="7" t="s">
        <v>1979</v>
      </c>
      <c r="B1949" s="8">
        <v>45194</v>
      </c>
      <c r="C1949" s="9" t="s">
        <v>21</v>
      </c>
      <c r="D1949" s="9" t="s">
        <v>55</v>
      </c>
      <c r="E1949" s="9" t="s">
        <v>18</v>
      </c>
      <c r="F1949" s="9">
        <v>222</v>
      </c>
      <c r="G1949" s="9">
        <v>395.4</v>
      </c>
      <c r="H1949" s="9" t="s">
        <v>19</v>
      </c>
      <c r="I1949" s="9">
        <v>7</v>
      </c>
      <c r="J1949" s="10">
        <v>173.39999999999901</v>
      </c>
      <c r="K1949" s="9" t="str">
        <f>TEXT(Sales_of_Jordan[[#This Row],[Sale_Date]],"mmm")</f>
        <v>Sep</v>
      </c>
    </row>
    <row r="1950" spans="1:11" x14ac:dyDescent="0.35">
      <c r="A1950" s="7" t="s">
        <v>1980</v>
      </c>
      <c r="B1950" s="8">
        <v>44995</v>
      </c>
      <c r="C1950" s="9" t="s">
        <v>27</v>
      </c>
      <c r="D1950" s="9" t="s">
        <v>36</v>
      </c>
      <c r="E1950" s="9" t="s">
        <v>29</v>
      </c>
      <c r="F1950" s="9">
        <v>126</v>
      </c>
      <c r="G1950" s="9">
        <v>178.99</v>
      </c>
      <c r="H1950" s="9" t="s">
        <v>14</v>
      </c>
      <c r="I1950" s="9">
        <v>12</v>
      </c>
      <c r="J1950" s="10">
        <v>52.99</v>
      </c>
      <c r="K1950" s="9" t="str">
        <f>TEXT(Sales_of_Jordan[[#This Row],[Sale_Date]],"mmm")</f>
        <v>Mar</v>
      </c>
    </row>
    <row r="1951" spans="1:11" x14ac:dyDescent="0.35">
      <c r="A1951" s="7" t="s">
        <v>1981</v>
      </c>
      <c r="B1951" s="8">
        <v>45895</v>
      </c>
      <c r="C1951" s="9" t="s">
        <v>11</v>
      </c>
      <c r="D1951" s="9" t="s">
        <v>36</v>
      </c>
      <c r="E1951" s="9" t="s">
        <v>18</v>
      </c>
      <c r="F1951" s="9">
        <v>228</v>
      </c>
      <c r="G1951" s="9">
        <v>321.17</v>
      </c>
      <c r="H1951" s="9" t="s">
        <v>14</v>
      </c>
      <c r="I1951" s="9">
        <v>7</v>
      </c>
      <c r="J1951" s="10">
        <v>93.17</v>
      </c>
      <c r="K1951" s="9" t="str">
        <f>TEXT(Sales_of_Jordan[[#This Row],[Sale_Date]],"mmm")</f>
        <v>Aug</v>
      </c>
    </row>
    <row r="1952" spans="1:11" x14ac:dyDescent="0.35">
      <c r="A1952" s="7" t="s">
        <v>1982</v>
      </c>
      <c r="B1952" s="8">
        <v>45767</v>
      </c>
      <c r="C1952" s="9" t="s">
        <v>27</v>
      </c>
      <c r="D1952" s="9" t="s">
        <v>36</v>
      </c>
      <c r="E1952" s="9" t="s">
        <v>18</v>
      </c>
      <c r="F1952" s="9">
        <v>124</v>
      </c>
      <c r="G1952" s="9">
        <v>351.72</v>
      </c>
      <c r="H1952" s="9" t="s">
        <v>25</v>
      </c>
      <c r="I1952" s="9">
        <v>55</v>
      </c>
      <c r="J1952" s="10">
        <v>227.72</v>
      </c>
      <c r="K1952" s="9" t="str">
        <f>TEXT(Sales_of_Jordan[[#This Row],[Sale_Date]],"mmm")</f>
        <v>Apr</v>
      </c>
    </row>
    <row r="1953" spans="1:11" x14ac:dyDescent="0.35">
      <c r="A1953" s="7" t="s">
        <v>1983</v>
      </c>
      <c r="B1953" s="8">
        <v>45228</v>
      </c>
      <c r="C1953" s="9" t="s">
        <v>21</v>
      </c>
      <c r="D1953" s="9" t="s">
        <v>22</v>
      </c>
      <c r="E1953" s="9" t="s">
        <v>29</v>
      </c>
      <c r="F1953" s="9">
        <v>215</v>
      </c>
      <c r="G1953" s="9">
        <v>193.84</v>
      </c>
      <c r="H1953" s="9" t="s">
        <v>19</v>
      </c>
      <c r="I1953" s="9">
        <v>10</v>
      </c>
      <c r="J1953" s="10">
        <v>-21.159999999999901</v>
      </c>
      <c r="K1953" s="9" t="str">
        <f>TEXT(Sales_of_Jordan[[#This Row],[Sale_Date]],"mmm")</f>
        <v>Oct</v>
      </c>
    </row>
    <row r="1954" spans="1:11" x14ac:dyDescent="0.35">
      <c r="A1954" s="7" t="s">
        <v>1984</v>
      </c>
      <c r="B1954" s="8">
        <v>44993</v>
      </c>
      <c r="C1954" s="9" t="s">
        <v>16</v>
      </c>
      <c r="D1954" s="9" t="s">
        <v>34</v>
      </c>
      <c r="E1954" s="9" t="s">
        <v>18</v>
      </c>
      <c r="F1954" s="9">
        <v>172</v>
      </c>
      <c r="G1954" s="9">
        <v>417.51</v>
      </c>
      <c r="H1954" s="9" t="s">
        <v>32</v>
      </c>
      <c r="I1954" s="9">
        <v>52</v>
      </c>
      <c r="J1954" s="10">
        <v>245.51</v>
      </c>
      <c r="K1954" s="9" t="str">
        <f>TEXT(Sales_of_Jordan[[#This Row],[Sale_Date]],"mmm")</f>
        <v>Mar</v>
      </c>
    </row>
    <row r="1955" spans="1:11" x14ac:dyDescent="0.35">
      <c r="A1955" s="7" t="s">
        <v>1985</v>
      </c>
      <c r="B1955" s="8">
        <v>45819</v>
      </c>
      <c r="C1955" s="9" t="s">
        <v>11</v>
      </c>
      <c r="D1955" s="9" t="s">
        <v>39</v>
      </c>
      <c r="E1955" s="9" t="s">
        <v>13</v>
      </c>
      <c r="F1955" s="9">
        <v>226</v>
      </c>
      <c r="G1955" s="9">
        <v>115.81</v>
      </c>
      <c r="H1955" s="9" t="s">
        <v>23</v>
      </c>
      <c r="I1955" s="9">
        <v>59</v>
      </c>
      <c r="J1955" s="10">
        <v>-110.19</v>
      </c>
      <c r="K1955" s="9" t="str">
        <f>TEXT(Sales_of_Jordan[[#This Row],[Sale_Date]],"mmm")</f>
        <v>Jun</v>
      </c>
    </row>
    <row r="1956" spans="1:11" x14ac:dyDescent="0.35">
      <c r="A1956" s="7" t="s">
        <v>1986</v>
      </c>
      <c r="B1956" s="8">
        <v>45068</v>
      </c>
      <c r="C1956" s="9" t="s">
        <v>27</v>
      </c>
      <c r="D1956" s="9" t="s">
        <v>36</v>
      </c>
      <c r="E1956" s="9" t="s">
        <v>13</v>
      </c>
      <c r="F1956" s="9">
        <v>132</v>
      </c>
      <c r="G1956" s="9">
        <v>103.63</v>
      </c>
      <c r="H1956" s="9" t="s">
        <v>32</v>
      </c>
      <c r="I1956" s="9">
        <v>29</v>
      </c>
      <c r="J1956" s="10">
        <v>-28.37</v>
      </c>
      <c r="K1956" s="9" t="str">
        <f>TEXT(Sales_of_Jordan[[#This Row],[Sale_Date]],"mmm")</f>
        <v>May</v>
      </c>
    </row>
    <row r="1957" spans="1:11" x14ac:dyDescent="0.35">
      <c r="A1957" s="7" t="s">
        <v>1987</v>
      </c>
      <c r="B1957" s="8">
        <v>45013</v>
      </c>
      <c r="C1957" s="9" t="s">
        <v>16</v>
      </c>
      <c r="D1957" s="9" t="s">
        <v>34</v>
      </c>
      <c r="E1957" s="9" t="s">
        <v>18</v>
      </c>
      <c r="F1957" s="9">
        <v>188</v>
      </c>
      <c r="G1957" s="9">
        <v>379.43</v>
      </c>
      <c r="H1957" s="9" t="s">
        <v>32</v>
      </c>
      <c r="I1957" s="9">
        <v>46</v>
      </c>
      <c r="J1957" s="10">
        <v>191.43</v>
      </c>
      <c r="K1957" s="9" t="str">
        <f>TEXT(Sales_of_Jordan[[#This Row],[Sale_Date]],"mmm")</f>
        <v>Mar</v>
      </c>
    </row>
    <row r="1958" spans="1:11" x14ac:dyDescent="0.35">
      <c r="A1958" s="7" t="s">
        <v>1988</v>
      </c>
      <c r="B1958" s="8">
        <v>45728</v>
      </c>
      <c r="C1958" s="9" t="s">
        <v>21</v>
      </c>
      <c r="D1958" s="9" t="s">
        <v>39</v>
      </c>
      <c r="E1958" s="9" t="s">
        <v>18</v>
      </c>
      <c r="F1958" s="9">
        <v>218</v>
      </c>
      <c r="G1958" s="9">
        <v>319.18</v>
      </c>
      <c r="H1958" s="9" t="s">
        <v>25</v>
      </c>
      <c r="I1958" s="9">
        <v>27</v>
      </c>
      <c r="J1958" s="10">
        <v>101.18</v>
      </c>
      <c r="K1958" s="9" t="str">
        <f>TEXT(Sales_of_Jordan[[#This Row],[Sale_Date]],"mmm")</f>
        <v>Mar</v>
      </c>
    </row>
    <row r="1959" spans="1:11" x14ac:dyDescent="0.35">
      <c r="A1959" s="7" t="s">
        <v>1989</v>
      </c>
      <c r="B1959" s="8">
        <v>45504</v>
      </c>
      <c r="C1959" s="9" t="s">
        <v>16</v>
      </c>
      <c r="D1959" s="9" t="s">
        <v>12</v>
      </c>
      <c r="E1959" s="9" t="s">
        <v>18</v>
      </c>
      <c r="F1959" s="9">
        <v>180</v>
      </c>
      <c r="G1959" s="9">
        <v>619.28</v>
      </c>
      <c r="H1959" s="9" t="s">
        <v>14</v>
      </c>
      <c r="I1959" s="9">
        <v>8</v>
      </c>
      <c r="J1959" s="10">
        <v>439.28</v>
      </c>
      <c r="K1959" s="9" t="str">
        <f>TEXT(Sales_of_Jordan[[#This Row],[Sale_Date]],"mmm")</f>
        <v>Jul</v>
      </c>
    </row>
    <row r="1960" spans="1:11" x14ac:dyDescent="0.35">
      <c r="A1960" s="7" t="s">
        <v>1990</v>
      </c>
      <c r="B1960" s="8">
        <v>45906</v>
      </c>
      <c r="C1960" s="9" t="s">
        <v>21</v>
      </c>
      <c r="D1960" s="9" t="s">
        <v>36</v>
      </c>
      <c r="E1960" s="9" t="s">
        <v>29</v>
      </c>
      <c r="F1960" s="9">
        <v>222</v>
      </c>
      <c r="G1960" s="9">
        <v>254.33</v>
      </c>
      <c r="H1960" s="9" t="s">
        <v>19</v>
      </c>
      <c r="I1960" s="9">
        <v>4</v>
      </c>
      <c r="J1960" s="10">
        <v>32.33</v>
      </c>
      <c r="K1960" s="9" t="str">
        <f>TEXT(Sales_of_Jordan[[#This Row],[Sale_Date]],"mmm")</f>
        <v>Sep</v>
      </c>
    </row>
    <row r="1961" spans="1:11" x14ac:dyDescent="0.35">
      <c r="A1961" s="7" t="s">
        <v>1991</v>
      </c>
      <c r="B1961" s="8">
        <v>45530</v>
      </c>
      <c r="C1961" s="9" t="s">
        <v>31</v>
      </c>
      <c r="D1961" s="9" t="s">
        <v>36</v>
      </c>
      <c r="E1961" s="9" t="s">
        <v>18</v>
      </c>
      <c r="F1961" s="9">
        <v>200</v>
      </c>
      <c r="G1961" s="9">
        <v>684.62</v>
      </c>
      <c r="H1961" s="9" t="s">
        <v>14</v>
      </c>
      <c r="I1961" s="9">
        <v>4</v>
      </c>
      <c r="J1961" s="10">
        <v>484.62</v>
      </c>
      <c r="K1961" s="9" t="str">
        <f>TEXT(Sales_of_Jordan[[#This Row],[Sale_Date]],"mmm")</f>
        <v>Aug</v>
      </c>
    </row>
    <row r="1962" spans="1:11" x14ac:dyDescent="0.35">
      <c r="A1962" s="7" t="s">
        <v>1992</v>
      </c>
      <c r="B1962" s="8">
        <v>45794</v>
      </c>
      <c r="C1962" s="9" t="s">
        <v>31</v>
      </c>
      <c r="D1962" s="9" t="s">
        <v>12</v>
      </c>
      <c r="E1962" s="9" t="s">
        <v>18</v>
      </c>
      <c r="F1962" s="9">
        <v>202</v>
      </c>
      <c r="G1962" s="9">
        <v>523.71</v>
      </c>
      <c r="H1962" s="9" t="s">
        <v>25</v>
      </c>
      <c r="I1962" s="9">
        <v>39</v>
      </c>
      <c r="J1962" s="10">
        <v>321.70999999999998</v>
      </c>
      <c r="K1962" s="9" t="str">
        <f>TEXT(Sales_of_Jordan[[#This Row],[Sale_Date]],"mmm")</f>
        <v>May</v>
      </c>
    </row>
    <row r="1963" spans="1:11" x14ac:dyDescent="0.35">
      <c r="A1963" s="7" t="s">
        <v>1993</v>
      </c>
      <c r="B1963" s="8">
        <v>45359</v>
      </c>
      <c r="C1963" s="9" t="s">
        <v>16</v>
      </c>
      <c r="D1963" s="9" t="s">
        <v>22</v>
      </c>
      <c r="E1963" s="9" t="s">
        <v>18</v>
      </c>
      <c r="F1963" s="9">
        <v>176</v>
      </c>
      <c r="G1963" s="9">
        <v>462.52</v>
      </c>
      <c r="H1963" s="9" t="s">
        <v>32</v>
      </c>
      <c r="I1963" s="9">
        <v>9</v>
      </c>
      <c r="J1963" s="10">
        <v>286.52</v>
      </c>
      <c r="K1963" s="9" t="str">
        <f>TEXT(Sales_of_Jordan[[#This Row],[Sale_Date]],"mmm")</f>
        <v>Mar</v>
      </c>
    </row>
    <row r="1964" spans="1:11" x14ac:dyDescent="0.35">
      <c r="A1964" s="7" t="s">
        <v>1994</v>
      </c>
      <c r="B1964" s="8">
        <v>44995</v>
      </c>
      <c r="C1964" s="9" t="s">
        <v>16</v>
      </c>
      <c r="D1964" s="9" t="s">
        <v>17</v>
      </c>
      <c r="E1964" s="9" t="s">
        <v>29</v>
      </c>
      <c r="F1964" s="9">
        <v>181</v>
      </c>
      <c r="G1964" s="9">
        <v>261.37</v>
      </c>
      <c r="H1964" s="9" t="s">
        <v>23</v>
      </c>
      <c r="I1964" s="9">
        <v>48</v>
      </c>
      <c r="J1964" s="10">
        <v>80.37</v>
      </c>
      <c r="K1964" s="9" t="str">
        <f>TEXT(Sales_of_Jordan[[#This Row],[Sale_Date]],"mmm")</f>
        <v>Mar</v>
      </c>
    </row>
    <row r="1965" spans="1:11" x14ac:dyDescent="0.35">
      <c r="A1965" s="7" t="s">
        <v>1995</v>
      </c>
      <c r="B1965" s="8">
        <v>45530</v>
      </c>
      <c r="C1965" s="9" t="s">
        <v>21</v>
      </c>
      <c r="D1965" s="9" t="s">
        <v>39</v>
      </c>
      <c r="E1965" s="9" t="s">
        <v>13</v>
      </c>
      <c r="F1965" s="9">
        <v>213</v>
      </c>
      <c r="G1965" s="9">
        <v>107.62</v>
      </c>
      <c r="H1965" s="9" t="s">
        <v>23</v>
      </c>
      <c r="I1965" s="9">
        <v>23</v>
      </c>
      <c r="J1965" s="10">
        <v>-105.38</v>
      </c>
      <c r="K1965" s="9" t="str">
        <f>TEXT(Sales_of_Jordan[[#This Row],[Sale_Date]],"mmm")</f>
        <v>Aug</v>
      </c>
    </row>
    <row r="1966" spans="1:11" x14ac:dyDescent="0.35">
      <c r="A1966" s="7" t="s">
        <v>1996</v>
      </c>
      <c r="B1966" s="8">
        <v>45332</v>
      </c>
      <c r="C1966" s="9" t="s">
        <v>11</v>
      </c>
      <c r="D1966" s="9" t="s">
        <v>34</v>
      </c>
      <c r="E1966" s="9" t="s">
        <v>18</v>
      </c>
      <c r="F1966" s="9">
        <v>228</v>
      </c>
      <c r="G1966" s="9">
        <v>605.16</v>
      </c>
      <c r="H1966" s="9" t="s">
        <v>25</v>
      </c>
      <c r="I1966" s="9">
        <v>23</v>
      </c>
      <c r="J1966" s="10">
        <v>377.159999999999</v>
      </c>
      <c r="K1966" s="9" t="str">
        <f>TEXT(Sales_of_Jordan[[#This Row],[Sale_Date]],"mmm")</f>
        <v>Feb</v>
      </c>
    </row>
    <row r="1967" spans="1:11" x14ac:dyDescent="0.35">
      <c r="A1967" s="7" t="s">
        <v>1997</v>
      </c>
      <c r="B1967" s="8">
        <v>45406</v>
      </c>
      <c r="C1967" s="9" t="s">
        <v>16</v>
      </c>
      <c r="D1967" s="9" t="s">
        <v>36</v>
      </c>
      <c r="E1967" s="9" t="s">
        <v>13</v>
      </c>
      <c r="F1967" s="9">
        <v>172</v>
      </c>
      <c r="G1967" s="9">
        <v>112.26</v>
      </c>
      <c r="H1967" s="9" t="s">
        <v>25</v>
      </c>
      <c r="I1967" s="9">
        <v>20</v>
      </c>
      <c r="J1967" s="10">
        <v>-59.739999999999903</v>
      </c>
      <c r="K1967" s="9" t="str">
        <f>TEXT(Sales_of_Jordan[[#This Row],[Sale_Date]],"mmm")</f>
        <v>Apr</v>
      </c>
    </row>
    <row r="1968" spans="1:11" x14ac:dyDescent="0.35">
      <c r="A1968" s="7" t="s">
        <v>1998</v>
      </c>
      <c r="B1968" s="8">
        <v>45425</v>
      </c>
      <c r="C1968" s="9" t="s">
        <v>27</v>
      </c>
      <c r="D1968" s="9" t="s">
        <v>22</v>
      </c>
      <c r="E1968" s="9" t="s">
        <v>13</v>
      </c>
      <c r="F1968" s="9">
        <v>120</v>
      </c>
      <c r="G1968" s="9">
        <v>89.58</v>
      </c>
      <c r="H1968" s="9" t="s">
        <v>25</v>
      </c>
      <c r="I1968" s="9">
        <v>59</v>
      </c>
      <c r="J1968" s="10">
        <v>-30.42</v>
      </c>
      <c r="K1968" s="9" t="str">
        <f>TEXT(Sales_of_Jordan[[#This Row],[Sale_Date]],"mmm")</f>
        <v>May</v>
      </c>
    </row>
    <row r="1969" spans="1:11" x14ac:dyDescent="0.35">
      <c r="A1969" s="7" t="s">
        <v>1999</v>
      </c>
      <c r="B1969" s="8">
        <v>45088</v>
      </c>
      <c r="C1969" s="9" t="s">
        <v>16</v>
      </c>
      <c r="D1969" s="9" t="s">
        <v>55</v>
      </c>
      <c r="E1969" s="9" t="s">
        <v>29</v>
      </c>
      <c r="F1969" s="9">
        <v>189</v>
      </c>
      <c r="G1969" s="9">
        <v>242.57</v>
      </c>
      <c r="H1969" s="9" t="s">
        <v>32</v>
      </c>
      <c r="I1969" s="9">
        <v>7</v>
      </c>
      <c r="J1969" s="10">
        <v>53.569999999999901</v>
      </c>
      <c r="K1969" s="9" t="str">
        <f>TEXT(Sales_of_Jordan[[#This Row],[Sale_Date]],"mmm")</f>
        <v>Jun</v>
      </c>
    </row>
    <row r="1970" spans="1:11" x14ac:dyDescent="0.35">
      <c r="A1970" s="7" t="s">
        <v>2000</v>
      </c>
      <c r="B1970" s="8">
        <v>45618</v>
      </c>
      <c r="C1970" s="9" t="s">
        <v>21</v>
      </c>
      <c r="D1970" s="9" t="s">
        <v>36</v>
      </c>
      <c r="E1970" s="9" t="s">
        <v>13</v>
      </c>
      <c r="F1970" s="9">
        <v>225</v>
      </c>
      <c r="G1970" s="9">
        <v>159.54</v>
      </c>
      <c r="H1970" s="9" t="s">
        <v>14</v>
      </c>
      <c r="I1970" s="9">
        <v>12</v>
      </c>
      <c r="J1970" s="10">
        <v>-65.459999999999994</v>
      </c>
      <c r="K1970" s="9" t="str">
        <f>TEXT(Sales_of_Jordan[[#This Row],[Sale_Date]],"mmm")</f>
        <v>Nov</v>
      </c>
    </row>
    <row r="1971" spans="1:11" x14ac:dyDescent="0.35">
      <c r="A1971" s="7" t="s">
        <v>2001</v>
      </c>
      <c r="B1971" s="8">
        <v>45463</v>
      </c>
      <c r="C1971" s="9" t="s">
        <v>16</v>
      </c>
      <c r="D1971" s="9" t="s">
        <v>22</v>
      </c>
      <c r="E1971" s="9" t="s">
        <v>18</v>
      </c>
      <c r="F1971" s="9">
        <v>178</v>
      </c>
      <c r="G1971" s="9">
        <v>413.57</v>
      </c>
      <c r="H1971" s="9" t="s">
        <v>25</v>
      </c>
      <c r="I1971" s="9">
        <v>58</v>
      </c>
      <c r="J1971" s="10">
        <v>235.57</v>
      </c>
      <c r="K1971" s="9" t="str">
        <f>TEXT(Sales_of_Jordan[[#This Row],[Sale_Date]],"mmm")</f>
        <v>Jun</v>
      </c>
    </row>
    <row r="1972" spans="1:11" x14ac:dyDescent="0.35">
      <c r="A1972" s="7" t="s">
        <v>2002</v>
      </c>
      <c r="B1972" s="8">
        <v>45348</v>
      </c>
      <c r="C1972" s="9" t="s">
        <v>21</v>
      </c>
      <c r="D1972" s="9" t="s">
        <v>12</v>
      </c>
      <c r="E1972" s="9" t="s">
        <v>13</v>
      </c>
      <c r="F1972" s="9">
        <v>215</v>
      </c>
      <c r="G1972" s="9">
        <v>119.64</v>
      </c>
      <c r="H1972" s="9" t="s">
        <v>19</v>
      </c>
      <c r="I1972" s="9">
        <v>10</v>
      </c>
      <c r="J1972" s="10">
        <v>-95.36</v>
      </c>
      <c r="K1972" s="9" t="str">
        <f>TEXT(Sales_of_Jordan[[#This Row],[Sale_Date]],"mmm")</f>
        <v>Feb</v>
      </c>
    </row>
    <row r="1973" spans="1:11" x14ac:dyDescent="0.35">
      <c r="A1973" s="7" t="s">
        <v>2003</v>
      </c>
      <c r="B1973" s="8">
        <v>45237</v>
      </c>
      <c r="C1973" s="9" t="s">
        <v>21</v>
      </c>
      <c r="D1973" s="9" t="s">
        <v>17</v>
      </c>
      <c r="E1973" s="9" t="s">
        <v>29</v>
      </c>
      <c r="F1973" s="9">
        <v>212</v>
      </c>
      <c r="G1973" s="9">
        <v>286.20999999999998</v>
      </c>
      <c r="H1973" s="9" t="s">
        <v>14</v>
      </c>
      <c r="I1973" s="9">
        <v>14</v>
      </c>
      <c r="J1973" s="10">
        <v>74.209999999999894</v>
      </c>
      <c r="K1973" s="9" t="str">
        <f>TEXT(Sales_of_Jordan[[#This Row],[Sale_Date]],"mmm")</f>
        <v>Nov</v>
      </c>
    </row>
    <row r="1974" spans="1:11" x14ac:dyDescent="0.35">
      <c r="A1974" s="7" t="s">
        <v>2004</v>
      </c>
      <c r="B1974" s="8">
        <v>45545</v>
      </c>
      <c r="C1974" s="9" t="s">
        <v>27</v>
      </c>
      <c r="D1974" s="9" t="s">
        <v>46</v>
      </c>
      <c r="E1974" s="9" t="s">
        <v>29</v>
      </c>
      <c r="F1974" s="9">
        <v>140</v>
      </c>
      <c r="G1974" s="9">
        <v>197.35</v>
      </c>
      <c r="H1974" s="9" t="s">
        <v>23</v>
      </c>
      <c r="I1974" s="9">
        <v>10</v>
      </c>
      <c r="J1974" s="10">
        <v>57.349999999999902</v>
      </c>
      <c r="K1974" s="9" t="str">
        <f>TEXT(Sales_of_Jordan[[#This Row],[Sale_Date]],"mmm")</f>
        <v>Sep</v>
      </c>
    </row>
    <row r="1975" spans="1:11" x14ac:dyDescent="0.35">
      <c r="A1975" s="7" t="s">
        <v>2005</v>
      </c>
      <c r="B1975" s="8">
        <v>45832</v>
      </c>
      <c r="C1975" s="9" t="s">
        <v>16</v>
      </c>
      <c r="D1975" s="9" t="s">
        <v>17</v>
      </c>
      <c r="E1975" s="9" t="s">
        <v>13</v>
      </c>
      <c r="F1975" s="9">
        <v>177</v>
      </c>
      <c r="G1975" s="9">
        <v>132.43</v>
      </c>
      <c r="H1975" s="9" t="s">
        <v>32</v>
      </c>
      <c r="I1975" s="9">
        <v>8</v>
      </c>
      <c r="J1975" s="10">
        <v>-44.569999999999901</v>
      </c>
      <c r="K1975" s="9" t="str">
        <f>TEXT(Sales_of_Jordan[[#This Row],[Sale_Date]],"mmm")</f>
        <v>Jun</v>
      </c>
    </row>
    <row r="1976" spans="1:11" x14ac:dyDescent="0.35">
      <c r="A1976" s="7" t="s">
        <v>2006</v>
      </c>
      <c r="B1976" s="8">
        <v>45064</v>
      </c>
      <c r="C1976" s="9" t="s">
        <v>31</v>
      </c>
      <c r="D1976" s="9" t="s">
        <v>17</v>
      </c>
      <c r="E1976" s="9" t="s">
        <v>18</v>
      </c>
      <c r="F1976" s="9">
        <v>206</v>
      </c>
      <c r="G1976" s="9">
        <v>695.91</v>
      </c>
      <c r="H1976" s="9" t="s">
        <v>14</v>
      </c>
      <c r="I1976" s="9">
        <v>11</v>
      </c>
      <c r="J1976" s="10">
        <v>489.909999999999</v>
      </c>
      <c r="K1976" s="9" t="str">
        <f>TEXT(Sales_of_Jordan[[#This Row],[Sale_Date]],"mmm")</f>
        <v>May</v>
      </c>
    </row>
    <row r="1977" spans="1:11" x14ac:dyDescent="0.35">
      <c r="A1977" s="7" t="s">
        <v>2007</v>
      </c>
      <c r="B1977" s="8">
        <v>45648</v>
      </c>
      <c r="C1977" s="9" t="s">
        <v>16</v>
      </c>
      <c r="D1977" s="9" t="s">
        <v>39</v>
      </c>
      <c r="E1977" s="9" t="s">
        <v>18</v>
      </c>
      <c r="F1977" s="9">
        <v>183</v>
      </c>
      <c r="G1977" s="9">
        <v>558.97</v>
      </c>
      <c r="H1977" s="9" t="s">
        <v>23</v>
      </c>
      <c r="I1977" s="9">
        <v>36</v>
      </c>
      <c r="J1977" s="10">
        <v>375.97</v>
      </c>
      <c r="K1977" s="9" t="str">
        <f>TEXT(Sales_of_Jordan[[#This Row],[Sale_Date]],"mmm")</f>
        <v>Dec</v>
      </c>
    </row>
    <row r="1978" spans="1:11" x14ac:dyDescent="0.35">
      <c r="A1978" s="7" t="s">
        <v>2008</v>
      </c>
      <c r="B1978" s="8">
        <v>45152</v>
      </c>
      <c r="C1978" s="9" t="s">
        <v>31</v>
      </c>
      <c r="D1978" s="9" t="s">
        <v>22</v>
      </c>
      <c r="E1978" s="9" t="s">
        <v>29</v>
      </c>
      <c r="F1978" s="9">
        <v>205</v>
      </c>
      <c r="G1978" s="9">
        <v>233.2</v>
      </c>
      <c r="H1978" s="9" t="s">
        <v>32</v>
      </c>
      <c r="I1978" s="9">
        <v>35</v>
      </c>
      <c r="J1978" s="10">
        <v>28.1999999999999</v>
      </c>
      <c r="K1978" s="9" t="str">
        <f>TEXT(Sales_of_Jordan[[#This Row],[Sale_Date]],"mmm")</f>
        <v>Aug</v>
      </c>
    </row>
    <row r="1979" spans="1:11" x14ac:dyDescent="0.35">
      <c r="A1979" s="7" t="s">
        <v>2009</v>
      </c>
      <c r="B1979" s="8">
        <v>45238</v>
      </c>
      <c r="C1979" s="9" t="s">
        <v>16</v>
      </c>
      <c r="D1979" s="9" t="s">
        <v>12</v>
      </c>
      <c r="E1979" s="9" t="s">
        <v>13</v>
      </c>
      <c r="F1979" s="9">
        <v>177</v>
      </c>
      <c r="G1979" s="9">
        <v>126.59</v>
      </c>
      <c r="H1979" s="9" t="s">
        <v>23</v>
      </c>
      <c r="I1979" s="9">
        <v>24</v>
      </c>
      <c r="J1979" s="10">
        <v>-50.41</v>
      </c>
      <c r="K1979" s="9" t="str">
        <f>TEXT(Sales_of_Jordan[[#This Row],[Sale_Date]],"mmm")</f>
        <v>Nov</v>
      </c>
    </row>
    <row r="1980" spans="1:11" x14ac:dyDescent="0.35">
      <c r="A1980" s="7" t="s">
        <v>2010</v>
      </c>
      <c r="B1980" s="8">
        <v>45486</v>
      </c>
      <c r="C1980" s="9" t="s">
        <v>27</v>
      </c>
      <c r="D1980" s="9" t="s">
        <v>22</v>
      </c>
      <c r="E1980" s="9" t="s">
        <v>13</v>
      </c>
      <c r="F1980" s="9">
        <v>128</v>
      </c>
      <c r="G1980" s="9">
        <v>88.91</v>
      </c>
      <c r="H1980" s="9" t="s">
        <v>19</v>
      </c>
      <c r="I1980" s="9">
        <v>8</v>
      </c>
      <c r="J1980" s="10">
        <v>-39.090000000000003</v>
      </c>
      <c r="K1980" s="9" t="str">
        <f>TEXT(Sales_of_Jordan[[#This Row],[Sale_Date]],"mmm")</f>
        <v>Jul</v>
      </c>
    </row>
    <row r="1981" spans="1:11" x14ac:dyDescent="0.35">
      <c r="A1981" s="7" t="s">
        <v>2011</v>
      </c>
      <c r="B1981" s="8">
        <v>45137</v>
      </c>
      <c r="C1981" s="9" t="s">
        <v>21</v>
      </c>
      <c r="D1981" s="9" t="s">
        <v>17</v>
      </c>
      <c r="E1981" s="9" t="s">
        <v>18</v>
      </c>
      <c r="F1981" s="9">
        <v>215</v>
      </c>
      <c r="G1981" s="9">
        <v>408.28</v>
      </c>
      <c r="H1981" s="9" t="s">
        <v>19</v>
      </c>
      <c r="I1981" s="9">
        <v>9</v>
      </c>
      <c r="J1981" s="10">
        <v>193.27999999999901</v>
      </c>
      <c r="K1981" s="9" t="str">
        <f>TEXT(Sales_of_Jordan[[#This Row],[Sale_Date]],"mmm")</f>
        <v>Jul</v>
      </c>
    </row>
    <row r="1982" spans="1:11" x14ac:dyDescent="0.35">
      <c r="A1982" s="7" t="s">
        <v>2012</v>
      </c>
      <c r="B1982" s="8">
        <v>45385</v>
      </c>
      <c r="C1982" s="9" t="s">
        <v>16</v>
      </c>
      <c r="D1982" s="9" t="s">
        <v>12</v>
      </c>
      <c r="E1982" s="9" t="s">
        <v>18</v>
      </c>
      <c r="F1982" s="9">
        <v>187</v>
      </c>
      <c r="G1982" s="9">
        <v>365.57</v>
      </c>
      <c r="H1982" s="9" t="s">
        <v>19</v>
      </c>
      <c r="I1982" s="9">
        <v>9</v>
      </c>
      <c r="J1982" s="10">
        <v>178.57</v>
      </c>
      <c r="K1982" s="9" t="str">
        <f>TEXT(Sales_of_Jordan[[#This Row],[Sale_Date]],"mmm")</f>
        <v>Apr</v>
      </c>
    </row>
    <row r="1983" spans="1:11" x14ac:dyDescent="0.35">
      <c r="A1983" s="7" t="s">
        <v>2013</v>
      </c>
      <c r="B1983" s="8">
        <v>45187</v>
      </c>
      <c r="C1983" s="9" t="s">
        <v>21</v>
      </c>
      <c r="D1983" s="9" t="s">
        <v>12</v>
      </c>
      <c r="E1983" s="9" t="s">
        <v>18</v>
      </c>
      <c r="F1983" s="9">
        <v>213</v>
      </c>
      <c r="G1983" s="9">
        <v>479.48</v>
      </c>
      <c r="H1983" s="9" t="s">
        <v>32</v>
      </c>
      <c r="I1983" s="9">
        <v>19</v>
      </c>
      <c r="J1983" s="10">
        <v>266.48</v>
      </c>
      <c r="K1983" s="9" t="str">
        <f>TEXT(Sales_of_Jordan[[#This Row],[Sale_Date]],"mmm")</f>
        <v>Sep</v>
      </c>
    </row>
    <row r="1984" spans="1:11" x14ac:dyDescent="0.35">
      <c r="A1984" s="7" t="s">
        <v>2014</v>
      </c>
      <c r="B1984" s="8">
        <v>45668</v>
      </c>
      <c r="C1984" s="9" t="s">
        <v>31</v>
      </c>
      <c r="D1984" s="9" t="s">
        <v>39</v>
      </c>
      <c r="E1984" s="9" t="s">
        <v>13</v>
      </c>
      <c r="F1984" s="9">
        <v>205</v>
      </c>
      <c r="G1984" s="9">
        <v>167.44</v>
      </c>
      <c r="H1984" s="9" t="s">
        <v>23</v>
      </c>
      <c r="I1984" s="9">
        <v>59</v>
      </c>
      <c r="J1984" s="10">
        <v>-37.56</v>
      </c>
      <c r="K1984" s="9" t="str">
        <f>TEXT(Sales_of_Jordan[[#This Row],[Sale_Date]],"mmm")</f>
        <v>Jan</v>
      </c>
    </row>
    <row r="1985" spans="1:11" x14ac:dyDescent="0.35">
      <c r="A1985" s="7" t="s">
        <v>2015</v>
      </c>
      <c r="B1985" s="8">
        <v>45289</v>
      </c>
      <c r="C1985" s="9" t="s">
        <v>21</v>
      </c>
      <c r="D1985" s="9" t="s">
        <v>36</v>
      </c>
      <c r="E1985" s="9" t="s">
        <v>18</v>
      </c>
      <c r="F1985" s="9">
        <v>216</v>
      </c>
      <c r="G1985" s="9">
        <v>421</v>
      </c>
      <c r="H1985" s="9" t="s">
        <v>19</v>
      </c>
      <c r="I1985" s="9">
        <v>7</v>
      </c>
      <c r="J1985" s="10">
        <v>205</v>
      </c>
      <c r="K1985" s="9" t="str">
        <f>TEXT(Sales_of_Jordan[[#This Row],[Sale_Date]],"mmm")</f>
        <v>Dec</v>
      </c>
    </row>
    <row r="1986" spans="1:11" x14ac:dyDescent="0.35">
      <c r="A1986" s="7" t="s">
        <v>2016</v>
      </c>
      <c r="B1986" s="8">
        <v>45712</v>
      </c>
      <c r="C1986" s="9" t="s">
        <v>27</v>
      </c>
      <c r="D1986" s="9" t="s">
        <v>34</v>
      </c>
      <c r="E1986" s="9" t="s">
        <v>13</v>
      </c>
      <c r="F1986" s="9">
        <v>129</v>
      </c>
      <c r="G1986" s="9">
        <v>112.79</v>
      </c>
      <c r="H1986" s="9" t="s">
        <v>25</v>
      </c>
      <c r="I1986" s="9">
        <v>13</v>
      </c>
      <c r="J1986" s="10">
        <v>-16.209999999999901</v>
      </c>
      <c r="K1986" s="9" t="str">
        <f>TEXT(Sales_of_Jordan[[#This Row],[Sale_Date]],"mmm")</f>
        <v>Feb</v>
      </c>
    </row>
    <row r="1987" spans="1:11" x14ac:dyDescent="0.35">
      <c r="A1987" s="7" t="s">
        <v>2017</v>
      </c>
      <c r="B1987" s="8">
        <v>44983</v>
      </c>
      <c r="C1987" s="9" t="s">
        <v>21</v>
      </c>
      <c r="D1987" s="9" t="s">
        <v>34</v>
      </c>
      <c r="E1987" s="9" t="s">
        <v>13</v>
      </c>
      <c r="F1987" s="9">
        <v>215</v>
      </c>
      <c r="G1987" s="9">
        <v>189.35</v>
      </c>
      <c r="H1987" s="9" t="s">
        <v>14</v>
      </c>
      <c r="I1987" s="9">
        <v>1</v>
      </c>
      <c r="J1987" s="10">
        <v>-25.65</v>
      </c>
      <c r="K1987" s="9" t="str">
        <f>TEXT(Sales_of_Jordan[[#This Row],[Sale_Date]],"mmm")</f>
        <v>Feb</v>
      </c>
    </row>
    <row r="1988" spans="1:11" x14ac:dyDescent="0.35">
      <c r="A1988" s="7" t="s">
        <v>2018</v>
      </c>
      <c r="B1988" s="8">
        <v>45595</v>
      </c>
      <c r="C1988" s="9" t="s">
        <v>31</v>
      </c>
      <c r="D1988" s="9" t="s">
        <v>55</v>
      </c>
      <c r="E1988" s="9" t="s">
        <v>18</v>
      </c>
      <c r="F1988" s="9">
        <v>204</v>
      </c>
      <c r="G1988" s="9">
        <v>636.14</v>
      </c>
      <c r="H1988" s="9" t="s">
        <v>23</v>
      </c>
      <c r="I1988" s="9">
        <v>30</v>
      </c>
      <c r="J1988" s="10">
        <v>432.14</v>
      </c>
      <c r="K1988" s="9" t="str">
        <f>TEXT(Sales_of_Jordan[[#This Row],[Sale_Date]],"mmm")</f>
        <v>Oct</v>
      </c>
    </row>
    <row r="1989" spans="1:11" x14ac:dyDescent="0.35">
      <c r="A1989" s="7" t="s">
        <v>2019</v>
      </c>
      <c r="B1989" s="8">
        <v>45018</v>
      </c>
      <c r="C1989" s="9" t="s">
        <v>16</v>
      </c>
      <c r="D1989" s="9" t="s">
        <v>34</v>
      </c>
      <c r="E1989" s="9" t="s">
        <v>18</v>
      </c>
      <c r="F1989" s="9">
        <v>181</v>
      </c>
      <c r="G1989" s="9">
        <v>593.70000000000005</v>
      </c>
      <c r="H1989" s="9" t="s">
        <v>23</v>
      </c>
      <c r="I1989" s="9">
        <v>53</v>
      </c>
      <c r="J1989" s="10">
        <v>412.7</v>
      </c>
      <c r="K1989" s="9" t="str">
        <f>TEXT(Sales_of_Jordan[[#This Row],[Sale_Date]],"mmm")</f>
        <v>Apr</v>
      </c>
    </row>
    <row r="1990" spans="1:11" x14ac:dyDescent="0.35">
      <c r="A1990" s="7" t="s">
        <v>2020</v>
      </c>
      <c r="B1990" s="8">
        <v>45699</v>
      </c>
      <c r="C1990" s="9" t="s">
        <v>11</v>
      </c>
      <c r="D1990" s="9" t="s">
        <v>53</v>
      </c>
      <c r="E1990" s="9" t="s">
        <v>18</v>
      </c>
      <c r="F1990" s="9">
        <v>227</v>
      </c>
      <c r="G1990" s="9">
        <v>303.5</v>
      </c>
      <c r="H1990" s="9" t="s">
        <v>25</v>
      </c>
      <c r="I1990" s="9">
        <v>60</v>
      </c>
      <c r="J1990" s="10">
        <v>76.5</v>
      </c>
      <c r="K1990" s="9" t="str">
        <f>TEXT(Sales_of_Jordan[[#This Row],[Sale_Date]],"mmm")</f>
        <v>Feb</v>
      </c>
    </row>
    <row r="1991" spans="1:11" x14ac:dyDescent="0.35">
      <c r="A1991" s="7" t="s">
        <v>2021</v>
      </c>
      <c r="B1991" s="8">
        <v>45586</v>
      </c>
      <c r="C1991" s="9" t="s">
        <v>16</v>
      </c>
      <c r="D1991" s="9" t="s">
        <v>46</v>
      </c>
      <c r="E1991" s="9" t="s">
        <v>13</v>
      </c>
      <c r="F1991" s="9">
        <v>176</v>
      </c>
      <c r="G1991" s="9">
        <v>152.96</v>
      </c>
      <c r="H1991" s="9" t="s">
        <v>14</v>
      </c>
      <c r="I1991" s="9">
        <v>14</v>
      </c>
      <c r="J1991" s="10">
        <v>-23.0399999999999</v>
      </c>
      <c r="K1991" s="9" t="str">
        <f>TEXT(Sales_of_Jordan[[#This Row],[Sale_Date]],"mmm")</f>
        <v>Oct</v>
      </c>
    </row>
    <row r="1992" spans="1:11" x14ac:dyDescent="0.35">
      <c r="A1992" s="7" t="s">
        <v>2022</v>
      </c>
      <c r="B1992" s="8">
        <v>45262</v>
      </c>
      <c r="C1992" s="9" t="s">
        <v>27</v>
      </c>
      <c r="D1992" s="9" t="s">
        <v>55</v>
      </c>
      <c r="E1992" s="9" t="s">
        <v>18</v>
      </c>
      <c r="F1992" s="9">
        <v>114</v>
      </c>
      <c r="G1992" s="9">
        <v>237.28</v>
      </c>
      <c r="H1992" s="9" t="s">
        <v>25</v>
      </c>
      <c r="I1992" s="9">
        <v>50</v>
      </c>
      <c r="J1992" s="10">
        <v>123.28</v>
      </c>
      <c r="K1992" s="9" t="str">
        <f>TEXT(Sales_of_Jordan[[#This Row],[Sale_Date]],"mmm")</f>
        <v>Dec</v>
      </c>
    </row>
    <row r="1993" spans="1:11" x14ac:dyDescent="0.35">
      <c r="A1993" s="7" t="s">
        <v>2023</v>
      </c>
      <c r="B1993" s="8">
        <v>45754</v>
      </c>
      <c r="C1993" s="9" t="s">
        <v>27</v>
      </c>
      <c r="D1993" s="9" t="s">
        <v>53</v>
      </c>
      <c r="E1993" s="9" t="s">
        <v>13</v>
      </c>
      <c r="F1993" s="9">
        <v>135</v>
      </c>
      <c r="G1993" s="9">
        <v>82.5</v>
      </c>
      <c r="H1993" s="9" t="s">
        <v>25</v>
      </c>
      <c r="I1993" s="9">
        <v>32</v>
      </c>
      <c r="J1993" s="10">
        <v>-52.5</v>
      </c>
      <c r="K1993" s="9" t="str">
        <f>TEXT(Sales_of_Jordan[[#This Row],[Sale_Date]],"mmm")</f>
        <v>Apr</v>
      </c>
    </row>
    <row r="1994" spans="1:11" x14ac:dyDescent="0.35">
      <c r="A1994" s="7" t="s">
        <v>2024</v>
      </c>
      <c r="B1994" s="8">
        <v>44951</v>
      </c>
      <c r="C1994" s="9" t="s">
        <v>11</v>
      </c>
      <c r="D1994" s="9" t="s">
        <v>12</v>
      </c>
      <c r="E1994" s="9" t="s">
        <v>29</v>
      </c>
      <c r="F1994" s="9">
        <v>226</v>
      </c>
      <c r="G1994" s="9">
        <v>236.12</v>
      </c>
      <c r="H1994" s="9" t="s">
        <v>19</v>
      </c>
      <c r="I1994" s="9">
        <v>4</v>
      </c>
      <c r="J1994" s="10">
        <v>10.119999999999999</v>
      </c>
      <c r="K1994" s="9" t="str">
        <f>TEXT(Sales_of_Jordan[[#This Row],[Sale_Date]],"mmm")</f>
        <v>Jan</v>
      </c>
    </row>
    <row r="1995" spans="1:11" x14ac:dyDescent="0.35">
      <c r="A1995" s="7" t="s">
        <v>2025</v>
      </c>
      <c r="B1995" s="8">
        <v>45423</v>
      </c>
      <c r="C1995" s="9" t="s">
        <v>16</v>
      </c>
      <c r="D1995" s="9" t="s">
        <v>12</v>
      </c>
      <c r="E1995" s="9" t="s">
        <v>18</v>
      </c>
      <c r="F1995" s="9">
        <v>179</v>
      </c>
      <c r="G1995" s="9">
        <v>372.75</v>
      </c>
      <c r="H1995" s="9" t="s">
        <v>32</v>
      </c>
      <c r="I1995" s="9">
        <v>17</v>
      </c>
      <c r="J1995" s="10">
        <v>193.75</v>
      </c>
      <c r="K1995" s="9" t="str">
        <f>TEXT(Sales_of_Jordan[[#This Row],[Sale_Date]],"mmm")</f>
        <v>May</v>
      </c>
    </row>
    <row r="1996" spans="1:11" x14ac:dyDescent="0.35">
      <c r="A1996" s="7" t="s">
        <v>2026</v>
      </c>
      <c r="B1996" s="8">
        <v>44937</v>
      </c>
      <c r="C1996" s="9" t="s">
        <v>21</v>
      </c>
      <c r="D1996" s="9" t="s">
        <v>22</v>
      </c>
      <c r="E1996" s="9" t="s">
        <v>29</v>
      </c>
      <c r="F1996" s="9">
        <v>214</v>
      </c>
      <c r="G1996" s="9">
        <v>254.5</v>
      </c>
      <c r="H1996" s="9" t="s">
        <v>32</v>
      </c>
      <c r="I1996" s="9">
        <v>45</v>
      </c>
      <c r="J1996" s="10">
        <v>40.5</v>
      </c>
      <c r="K1996" s="9" t="str">
        <f>TEXT(Sales_of_Jordan[[#This Row],[Sale_Date]],"mmm")</f>
        <v>Jan</v>
      </c>
    </row>
    <row r="1997" spans="1:11" x14ac:dyDescent="0.35">
      <c r="A1997" s="7" t="s">
        <v>2027</v>
      </c>
      <c r="B1997" s="8">
        <v>45432</v>
      </c>
      <c r="C1997" s="9" t="s">
        <v>21</v>
      </c>
      <c r="D1997" s="9" t="s">
        <v>34</v>
      </c>
      <c r="E1997" s="9" t="s">
        <v>29</v>
      </c>
      <c r="F1997" s="9">
        <v>219</v>
      </c>
      <c r="G1997" s="9">
        <v>257.77999999999997</v>
      </c>
      <c r="H1997" s="9" t="s">
        <v>19</v>
      </c>
      <c r="I1997" s="9">
        <v>8</v>
      </c>
      <c r="J1997" s="10">
        <v>38.779999999999902</v>
      </c>
      <c r="K1997" s="9" t="str">
        <f>TEXT(Sales_of_Jordan[[#This Row],[Sale_Date]],"mmm")</f>
        <v>May</v>
      </c>
    </row>
    <row r="1998" spans="1:11" x14ac:dyDescent="0.35">
      <c r="A1998" s="7" t="s">
        <v>2028</v>
      </c>
      <c r="B1998" s="8">
        <v>44964</v>
      </c>
      <c r="C1998" s="9" t="s">
        <v>31</v>
      </c>
      <c r="D1998" s="9" t="s">
        <v>17</v>
      </c>
      <c r="E1998" s="9" t="s">
        <v>18</v>
      </c>
      <c r="F1998" s="9">
        <v>210</v>
      </c>
      <c r="G1998" s="9">
        <v>274.8</v>
      </c>
      <c r="H1998" s="9" t="s">
        <v>32</v>
      </c>
      <c r="I1998" s="9">
        <v>47</v>
      </c>
      <c r="J1998" s="10">
        <v>64.8</v>
      </c>
      <c r="K1998" s="9" t="str">
        <f>TEXT(Sales_of_Jordan[[#This Row],[Sale_Date]],"mmm")</f>
        <v>Feb</v>
      </c>
    </row>
    <row r="1999" spans="1:11" x14ac:dyDescent="0.35">
      <c r="A1999" s="7" t="s">
        <v>2029</v>
      </c>
      <c r="B1999" s="8">
        <v>45738</v>
      </c>
      <c r="C1999" s="9" t="s">
        <v>11</v>
      </c>
      <c r="D1999" s="9" t="s">
        <v>17</v>
      </c>
      <c r="E1999" s="9" t="s">
        <v>13</v>
      </c>
      <c r="F1999" s="9">
        <v>230</v>
      </c>
      <c r="G1999" s="9">
        <v>137.63999999999999</v>
      </c>
      <c r="H1999" s="9" t="s">
        <v>19</v>
      </c>
      <c r="I1999" s="9">
        <v>7</v>
      </c>
      <c r="J1999" s="10">
        <v>-92.36</v>
      </c>
      <c r="K1999" s="9" t="str">
        <f>TEXT(Sales_of_Jordan[[#This Row],[Sale_Date]],"mmm")</f>
        <v>Mar</v>
      </c>
    </row>
    <row r="2000" spans="1:11" x14ac:dyDescent="0.35">
      <c r="A2000" s="7" t="s">
        <v>2030</v>
      </c>
      <c r="B2000" s="8">
        <v>45418</v>
      </c>
      <c r="C2000" s="9" t="s">
        <v>21</v>
      </c>
      <c r="D2000" s="9" t="s">
        <v>39</v>
      </c>
      <c r="E2000" s="9" t="s">
        <v>18</v>
      </c>
      <c r="F2000" s="9">
        <v>212</v>
      </c>
      <c r="G2000" s="9">
        <v>614.67999999999995</v>
      </c>
      <c r="H2000" s="9" t="s">
        <v>32</v>
      </c>
      <c r="I2000" s="9">
        <v>40</v>
      </c>
      <c r="J2000" s="10">
        <v>402.67999999999898</v>
      </c>
      <c r="K2000" s="9" t="str">
        <f>TEXT(Sales_of_Jordan[[#This Row],[Sale_Date]],"mmm")</f>
        <v>May</v>
      </c>
    </row>
    <row r="2001" spans="1:11" x14ac:dyDescent="0.35">
      <c r="A2001" s="7" t="s">
        <v>2031</v>
      </c>
      <c r="B2001" s="8">
        <v>45286</v>
      </c>
      <c r="C2001" s="9" t="s">
        <v>27</v>
      </c>
      <c r="D2001" s="9" t="s">
        <v>46</v>
      </c>
      <c r="E2001" s="9" t="s">
        <v>29</v>
      </c>
      <c r="F2001" s="9">
        <v>113</v>
      </c>
      <c r="G2001" s="9">
        <v>111.71</v>
      </c>
      <c r="H2001" s="9" t="s">
        <v>19</v>
      </c>
      <c r="I2001" s="9">
        <v>1</v>
      </c>
      <c r="J2001" s="10">
        <v>-1.29</v>
      </c>
      <c r="K2001" s="9" t="str">
        <f>TEXT(Sales_of_Jordan[[#This Row],[Sale_Date]],"mmm")</f>
        <v>Dec</v>
      </c>
    </row>
    <row r="2002" spans="1:11" x14ac:dyDescent="0.35">
      <c r="A2002" s="7" t="s">
        <v>2032</v>
      </c>
      <c r="B2002" s="8">
        <v>45545</v>
      </c>
      <c r="C2002" s="9" t="s">
        <v>11</v>
      </c>
      <c r="D2002" s="9" t="s">
        <v>36</v>
      </c>
      <c r="E2002" s="9" t="s">
        <v>13</v>
      </c>
      <c r="F2002" s="9">
        <v>226</v>
      </c>
      <c r="G2002" s="9">
        <v>154.29</v>
      </c>
      <c r="H2002" s="9" t="s">
        <v>25</v>
      </c>
      <c r="I2002" s="9">
        <v>30</v>
      </c>
      <c r="J2002" s="10">
        <v>-71.709999999999994</v>
      </c>
      <c r="K2002" s="9" t="str">
        <f>TEXT(Sales_of_Jordan[[#This Row],[Sale_Date]],"mmm")</f>
        <v>Sep</v>
      </c>
    </row>
    <row r="2003" spans="1:11" x14ac:dyDescent="0.35">
      <c r="A2003" s="7" t="s">
        <v>2033</v>
      </c>
      <c r="B2003" s="8">
        <v>45347</v>
      </c>
      <c r="C2003" s="9" t="s">
        <v>16</v>
      </c>
      <c r="D2003" s="9" t="s">
        <v>17</v>
      </c>
      <c r="E2003" s="9" t="s">
        <v>18</v>
      </c>
      <c r="F2003" s="9">
        <v>184</v>
      </c>
      <c r="G2003" s="9">
        <v>307.26</v>
      </c>
      <c r="H2003" s="9" t="s">
        <v>23</v>
      </c>
      <c r="I2003" s="9">
        <v>46</v>
      </c>
      <c r="J2003" s="10">
        <v>123.259999999999</v>
      </c>
      <c r="K2003" s="9" t="str">
        <f>TEXT(Sales_of_Jordan[[#This Row],[Sale_Date]],"mmm")</f>
        <v>Feb</v>
      </c>
    </row>
    <row r="2004" spans="1:11" x14ac:dyDescent="0.35">
      <c r="A2004" s="7" t="s">
        <v>2034</v>
      </c>
      <c r="B2004" s="8">
        <v>45216</v>
      </c>
      <c r="C2004" s="9" t="s">
        <v>21</v>
      </c>
      <c r="D2004" s="9" t="s">
        <v>53</v>
      </c>
      <c r="E2004" s="9" t="s">
        <v>18</v>
      </c>
      <c r="F2004" s="9">
        <v>221</v>
      </c>
      <c r="G2004" s="9">
        <v>387</v>
      </c>
      <c r="H2004" s="9" t="s">
        <v>23</v>
      </c>
      <c r="I2004" s="9">
        <v>12</v>
      </c>
      <c r="J2004" s="10">
        <v>166</v>
      </c>
      <c r="K2004" s="9" t="str">
        <f>TEXT(Sales_of_Jordan[[#This Row],[Sale_Date]],"mmm")</f>
        <v>Oct</v>
      </c>
    </row>
    <row r="2005" spans="1:11" x14ac:dyDescent="0.35">
      <c r="A2005" s="7" t="s">
        <v>2035</v>
      </c>
      <c r="B2005" s="8">
        <v>44927</v>
      </c>
      <c r="C2005" s="9" t="s">
        <v>27</v>
      </c>
      <c r="D2005" s="9" t="s">
        <v>36</v>
      </c>
      <c r="E2005" s="9" t="s">
        <v>29</v>
      </c>
      <c r="F2005" s="9">
        <v>130</v>
      </c>
      <c r="G2005" s="9">
        <v>190.02</v>
      </c>
      <c r="H2005" s="9" t="s">
        <v>14</v>
      </c>
      <c r="I2005" s="9">
        <v>8</v>
      </c>
      <c r="J2005" s="10">
        <v>60.02</v>
      </c>
      <c r="K2005" s="9" t="str">
        <f>TEXT(Sales_of_Jordan[[#This Row],[Sale_Date]],"mmm")</f>
        <v>Jan</v>
      </c>
    </row>
    <row r="2006" spans="1:11" x14ac:dyDescent="0.35">
      <c r="A2006" s="7" t="s">
        <v>2036</v>
      </c>
      <c r="B2006" s="8">
        <v>45565</v>
      </c>
      <c r="C2006" s="9" t="s">
        <v>21</v>
      </c>
      <c r="D2006" s="9" t="s">
        <v>55</v>
      </c>
      <c r="E2006" s="9" t="s">
        <v>29</v>
      </c>
      <c r="F2006" s="9">
        <v>212</v>
      </c>
      <c r="G2006" s="9">
        <v>223.21</v>
      </c>
      <c r="H2006" s="9" t="s">
        <v>14</v>
      </c>
      <c r="I2006" s="9">
        <v>13</v>
      </c>
      <c r="J2006" s="10">
        <v>11.21</v>
      </c>
      <c r="K2006" s="9" t="str">
        <f>TEXT(Sales_of_Jordan[[#This Row],[Sale_Date]],"mmm")</f>
        <v>Sep</v>
      </c>
    </row>
    <row r="2007" spans="1:11" x14ac:dyDescent="0.35">
      <c r="A2007" s="7" t="s">
        <v>2037</v>
      </c>
      <c r="B2007" s="8">
        <v>45370</v>
      </c>
      <c r="C2007" s="9" t="s">
        <v>16</v>
      </c>
      <c r="D2007" s="9" t="s">
        <v>39</v>
      </c>
      <c r="E2007" s="9" t="s">
        <v>29</v>
      </c>
      <c r="F2007" s="9">
        <v>178</v>
      </c>
      <c r="G2007" s="9">
        <v>186.04</v>
      </c>
      <c r="H2007" s="9" t="s">
        <v>19</v>
      </c>
      <c r="I2007" s="9">
        <v>2</v>
      </c>
      <c r="J2007" s="10">
        <v>8.0399999999999903</v>
      </c>
      <c r="K2007" s="9" t="str">
        <f>TEXT(Sales_of_Jordan[[#This Row],[Sale_Date]],"mmm")</f>
        <v>Mar</v>
      </c>
    </row>
    <row r="2008" spans="1:11" x14ac:dyDescent="0.35">
      <c r="A2008" s="7" t="s">
        <v>2038</v>
      </c>
      <c r="B2008" s="8">
        <v>45256</v>
      </c>
      <c r="C2008" s="9" t="s">
        <v>27</v>
      </c>
      <c r="D2008" s="9" t="s">
        <v>12</v>
      </c>
      <c r="E2008" s="9" t="s">
        <v>18</v>
      </c>
      <c r="F2008" s="9">
        <v>136</v>
      </c>
      <c r="G2008" s="9">
        <v>471.18</v>
      </c>
      <c r="H2008" s="9" t="s">
        <v>32</v>
      </c>
      <c r="I2008" s="9">
        <v>32</v>
      </c>
      <c r="J2008" s="10">
        <v>335.18</v>
      </c>
      <c r="K2008" s="9" t="str">
        <f>TEXT(Sales_of_Jordan[[#This Row],[Sale_Date]],"mmm")</f>
        <v>Nov</v>
      </c>
    </row>
    <row r="2009" spans="1:11" x14ac:dyDescent="0.35">
      <c r="A2009" s="7" t="s">
        <v>2039</v>
      </c>
      <c r="B2009" s="8">
        <v>44941</v>
      </c>
      <c r="C2009" s="9" t="s">
        <v>21</v>
      </c>
      <c r="D2009" s="9" t="s">
        <v>22</v>
      </c>
      <c r="E2009" s="9" t="s">
        <v>13</v>
      </c>
      <c r="F2009" s="9">
        <v>212</v>
      </c>
      <c r="G2009" s="9">
        <v>190.17</v>
      </c>
      <c r="H2009" s="9" t="s">
        <v>19</v>
      </c>
      <c r="I2009" s="9">
        <v>8</v>
      </c>
      <c r="J2009" s="10">
        <v>-21.83</v>
      </c>
      <c r="K2009" s="9" t="str">
        <f>TEXT(Sales_of_Jordan[[#This Row],[Sale_Date]],"mmm")</f>
        <v>Jan</v>
      </c>
    </row>
    <row r="2010" spans="1:11" x14ac:dyDescent="0.35">
      <c r="A2010" s="7" t="s">
        <v>2040</v>
      </c>
      <c r="B2010" s="8">
        <v>44949</v>
      </c>
      <c r="C2010" s="9" t="s">
        <v>27</v>
      </c>
      <c r="D2010" s="9" t="s">
        <v>46</v>
      </c>
      <c r="E2010" s="9" t="s">
        <v>29</v>
      </c>
      <c r="F2010" s="9">
        <v>130</v>
      </c>
      <c r="G2010" s="9">
        <v>173.58</v>
      </c>
      <c r="H2010" s="9" t="s">
        <v>19</v>
      </c>
      <c r="I2010" s="9">
        <v>14</v>
      </c>
      <c r="J2010" s="10">
        <v>43.58</v>
      </c>
      <c r="K2010" s="9" t="str">
        <f>TEXT(Sales_of_Jordan[[#This Row],[Sale_Date]],"mmm")</f>
        <v>Jan</v>
      </c>
    </row>
    <row r="2011" spans="1:11" x14ac:dyDescent="0.35">
      <c r="A2011" s="7" t="s">
        <v>2041</v>
      </c>
      <c r="B2011" s="8">
        <v>45073</v>
      </c>
      <c r="C2011" s="9" t="s">
        <v>11</v>
      </c>
      <c r="D2011" s="9" t="s">
        <v>53</v>
      </c>
      <c r="E2011" s="9" t="s">
        <v>29</v>
      </c>
      <c r="F2011" s="9">
        <v>227</v>
      </c>
      <c r="G2011" s="9">
        <v>305.3</v>
      </c>
      <c r="H2011" s="9" t="s">
        <v>32</v>
      </c>
      <c r="I2011" s="9">
        <v>51</v>
      </c>
      <c r="J2011" s="10">
        <v>78.3</v>
      </c>
      <c r="K2011" s="9" t="str">
        <f>TEXT(Sales_of_Jordan[[#This Row],[Sale_Date]],"mmm")</f>
        <v>May</v>
      </c>
    </row>
    <row r="2012" spans="1:11" x14ac:dyDescent="0.35">
      <c r="A2012" s="7" t="s">
        <v>2042</v>
      </c>
      <c r="B2012" s="8">
        <v>44930</v>
      </c>
      <c r="C2012" s="9" t="s">
        <v>16</v>
      </c>
      <c r="D2012" s="9" t="s">
        <v>39</v>
      </c>
      <c r="E2012" s="9" t="s">
        <v>13</v>
      </c>
      <c r="F2012" s="9">
        <v>190</v>
      </c>
      <c r="G2012" s="9">
        <v>125.46</v>
      </c>
      <c r="H2012" s="9" t="s">
        <v>19</v>
      </c>
      <c r="I2012" s="9">
        <v>4</v>
      </c>
      <c r="J2012" s="10">
        <v>-64.540000000000006</v>
      </c>
      <c r="K2012" s="9" t="str">
        <f>TEXT(Sales_of_Jordan[[#This Row],[Sale_Date]],"mmm")</f>
        <v>Jan</v>
      </c>
    </row>
    <row r="2013" spans="1:11" x14ac:dyDescent="0.35">
      <c r="A2013" s="7" t="s">
        <v>2043</v>
      </c>
      <c r="B2013" s="8">
        <v>45229</v>
      </c>
      <c r="C2013" s="9" t="s">
        <v>21</v>
      </c>
      <c r="D2013" s="9" t="s">
        <v>12</v>
      </c>
      <c r="E2013" s="9" t="s">
        <v>29</v>
      </c>
      <c r="F2013" s="9">
        <v>220</v>
      </c>
      <c r="G2013" s="9">
        <v>289.43</v>
      </c>
      <c r="H2013" s="9" t="s">
        <v>25</v>
      </c>
      <c r="I2013" s="9">
        <v>53</v>
      </c>
      <c r="J2013" s="10">
        <v>69.430000000000007</v>
      </c>
      <c r="K2013" s="9" t="str">
        <f>TEXT(Sales_of_Jordan[[#This Row],[Sale_Date]],"mmm")</f>
        <v>Oct</v>
      </c>
    </row>
    <row r="2014" spans="1:11" x14ac:dyDescent="0.35">
      <c r="A2014" s="7" t="s">
        <v>2044</v>
      </c>
      <c r="B2014" s="8">
        <v>45377</v>
      </c>
      <c r="C2014" s="9" t="s">
        <v>16</v>
      </c>
      <c r="D2014" s="9" t="s">
        <v>53</v>
      </c>
      <c r="E2014" s="9" t="s">
        <v>18</v>
      </c>
      <c r="F2014" s="9">
        <v>174</v>
      </c>
      <c r="G2014" s="9">
        <v>469.66</v>
      </c>
      <c r="H2014" s="9" t="s">
        <v>32</v>
      </c>
      <c r="I2014" s="9">
        <v>49</v>
      </c>
      <c r="J2014" s="10">
        <v>295.66000000000003</v>
      </c>
      <c r="K2014" s="9" t="str">
        <f>TEXT(Sales_of_Jordan[[#This Row],[Sale_Date]],"mmm")</f>
        <v>Mar</v>
      </c>
    </row>
    <row r="2015" spans="1:11" x14ac:dyDescent="0.35">
      <c r="A2015" s="7" t="s">
        <v>2045</v>
      </c>
      <c r="B2015" s="8">
        <v>44989</v>
      </c>
      <c r="C2015" s="9" t="s">
        <v>16</v>
      </c>
      <c r="D2015" s="9" t="s">
        <v>12</v>
      </c>
      <c r="E2015" s="9" t="s">
        <v>18</v>
      </c>
      <c r="F2015" s="9">
        <v>182</v>
      </c>
      <c r="G2015" s="9">
        <v>526.24</v>
      </c>
      <c r="H2015" s="9" t="s">
        <v>23</v>
      </c>
      <c r="I2015" s="9">
        <v>45</v>
      </c>
      <c r="J2015" s="10">
        <v>344.24</v>
      </c>
      <c r="K2015" s="9" t="str">
        <f>TEXT(Sales_of_Jordan[[#This Row],[Sale_Date]],"mmm")</f>
        <v>Mar</v>
      </c>
    </row>
    <row r="2016" spans="1:11" x14ac:dyDescent="0.35">
      <c r="A2016" s="7" t="s">
        <v>2046</v>
      </c>
      <c r="B2016" s="8">
        <v>45187</v>
      </c>
      <c r="C2016" s="9" t="s">
        <v>21</v>
      </c>
      <c r="D2016" s="9" t="s">
        <v>12</v>
      </c>
      <c r="E2016" s="9" t="s">
        <v>18</v>
      </c>
      <c r="F2016" s="9">
        <v>219</v>
      </c>
      <c r="G2016" s="9">
        <v>446.39</v>
      </c>
      <c r="H2016" s="9" t="s">
        <v>32</v>
      </c>
      <c r="I2016" s="9">
        <v>24</v>
      </c>
      <c r="J2016" s="10">
        <v>227.39</v>
      </c>
      <c r="K2016" s="9" t="str">
        <f>TEXT(Sales_of_Jordan[[#This Row],[Sale_Date]],"mmm")</f>
        <v>Sep</v>
      </c>
    </row>
    <row r="2017" spans="1:11" x14ac:dyDescent="0.35">
      <c r="A2017" s="7" t="s">
        <v>2047</v>
      </c>
      <c r="B2017" s="8">
        <v>45316</v>
      </c>
      <c r="C2017" s="9" t="s">
        <v>11</v>
      </c>
      <c r="D2017" s="9" t="s">
        <v>12</v>
      </c>
      <c r="E2017" s="9" t="s">
        <v>13</v>
      </c>
      <c r="F2017" s="9">
        <v>227</v>
      </c>
      <c r="G2017" s="9">
        <v>168</v>
      </c>
      <c r="H2017" s="9" t="s">
        <v>32</v>
      </c>
      <c r="I2017" s="9">
        <v>40</v>
      </c>
      <c r="J2017" s="10">
        <v>-59</v>
      </c>
      <c r="K2017" s="9" t="str">
        <f>TEXT(Sales_of_Jordan[[#This Row],[Sale_Date]],"mmm")</f>
        <v>Jan</v>
      </c>
    </row>
    <row r="2018" spans="1:11" x14ac:dyDescent="0.35">
      <c r="A2018" s="7" t="s">
        <v>2048</v>
      </c>
      <c r="B2018" s="8">
        <v>45744</v>
      </c>
      <c r="C2018" s="9" t="s">
        <v>31</v>
      </c>
      <c r="D2018" s="9" t="s">
        <v>46</v>
      </c>
      <c r="E2018" s="9" t="s">
        <v>29</v>
      </c>
      <c r="F2018" s="9">
        <v>210</v>
      </c>
      <c r="G2018" s="9">
        <v>306.27999999999997</v>
      </c>
      <c r="H2018" s="9" t="s">
        <v>25</v>
      </c>
      <c r="I2018" s="9">
        <v>29</v>
      </c>
      <c r="J2018" s="10">
        <v>96.279999999999902</v>
      </c>
      <c r="K2018" s="9" t="str">
        <f>TEXT(Sales_of_Jordan[[#This Row],[Sale_Date]],"mmm")</f>
        <v>Mar</v>
      </c>
    </row>
    <row r="2019" spans="1:11" x14ac:dyDescent="0.35">
      <c r="A2019" s="7" t="s">
        <v>2049</v>
      </c>
      <c r="B2019" s="8">
        <v>45718</v>
      </c>
      <c r="C2019" s="9" t="s">
        <v>31</v>
      </c>
      <c r="D2019" s="9" t="s">
        <v>22</v>
      </c>
      <c r="E2019" s="9" t="s">
        <v>29</v>
      </c>
      <c r="F2019" s="9">
        <v>200</v>
      </c>
      <c r="G2019" s="9">
        <v>265.08999999999997</v>
      </c>
      <c r="H2019" s="9" t="s">
        <v>19</v>
      </c>
      <c r="I2019" s="9">
        <v>12</v>
      </c>
      <c r="J2019" s="10">
        <v>65.089999999999904</v>
      </c>
      <c r="K2019" s="9" t="str">
        <f>TEXT(Sales_of_Jordan[[#This Row],[Sale_Date]],"mmm")</f>
        <v>Mar</v>
      </c>
    </row>
    <row r="2020" spans="1:11" x14ac:dyDescent="0.35">
      <c r="A2020" s="7" t="s">
        <v>2050</v>
      </c>
      <c r="B2020" s="8">
        <v>45844</v>
      </c>
      <c r="C2020" s="9" t="s">
        <v>31</v>
      </c>
      <c r="D2020" s="9" t="s">
        <v>36</v>
      </c>
      <c r="E2020" s="9" t="s">
        <v>13</v>
      </c>
      <c r="F2020" s="9">
        <v>203</v>
      </c>
      <c r="G2020" s="9">
        <v>161.72999999999999</v>
      </c>
      <c r="H2020" s="9" t="s">
        <v>19</v>
      </c>
      <c r="I2020" s="9">
        <v>13</v>
      </c>
      <c r="J2020" s="10">
        <v>-41.27</v>
      </c>
      <c r="K2020" s="9" t="str">
        <f>TEXT(Sales_of_Jordan[[#This Row],[Sale_Date]],"mmm")</f>
        <v>Jul</v>
      </c>
    </row>
    <row r="2021" spans="1:11" x14ac:dyDescent="0.35">
      <c r="A2021" s="7" t="s">
        <v>2051</v>
      </c>
      <c r="B2021" s="8">
        <v>45359</v>
      </c>
      <c r="C2021" s="9" t="s">
        <v>31</v>
      </c>
      <c r="D2021" s="9" t="s">
        <v>46</v>
      </c>
      <c r="E2021" s="9" t="s">
        <v>18</v>
      </c>
      <c r="F2021" s="9">
        <v>210</v>
      </c>
      <c r="G2021" s="9">
        <v>698.57</v>
      </c>
      <c r="H2021" s="9" t="s">
        <v>25</v>
      </c>
      <c r="I2021" s="9">
        <v>48</v>
      </c>
      <c r="J2021" s="10">
        <v>488.57</v>
      </c>
      <c r="K2021" s="9" t="str">
        <f>TEXT(Sales_of_Jordan[[#This Row],[Sale_Date]],"mmm")</f>
        <v>Mar</v>
      </c>
    </row>
    <row r="2022" spans="1:11" x14ac:dyDescent="0.35">
      <c r="A2022" s="7" t="s">
        <v>2052</v>
      </c>
      <c r="B2022" s="8">
        <v>45608</v>
      </c>
      <c r="C2022" s="9" t="s">
        <v>11</v>
      </c>
      <c r="D2022" s="9" t="s">
        <v>53</v>
      </c>
      <c r="E2022" s="9" t="s">
        <v>29</v>
      </c>
      <c r="F2022" s="9">
        <v>225</v>
      </c>
      <c r="G2022" s="9">
        <v>250.03</v>
      </c>
      <c r="H2022" s="9" t="s">
        <v>25</v>
      </c>
      <c r="I2022" s="9">
        <v>5</v>
      </c>
      <c r="J2022" s="10">
        <v>25.03</v>
      </c>
      <c r="K2022" s="9" t="str">
        <f>TEXT(Sales_of_Jordan[[#This Row],[Sale_Date]],"mmm")</f>
        <v>Nov</v>
      </c>
    </row>
    <row r="2023" spans="1:11" x14ac:dyDescent="0.35">
      <c r="A2023" s="7" t="s">
        <v>2053</v>
      </c>
      <c r="B2023" s="8">
        <v>45258</v>
      </c>
      <c r="C2023" s="9" t="s">
        <v>16</v>
      </c>
      <c r="D2023" s="9" t="s">
        <v>36</v>
      </c>
      <c r="E2023" s="9" t="s">
        <v>18</v>
      </c>
      <c r="F2023" s="9">
        <v>187</v>
      </c>
      <c r="G2023" s="9">
        <v>500.12</v>
      </c>
      <c r="H2023" s="9" t="s">
        <v>23</v>
      </c>
      <c r="I2023" s="9">
        <v>28</v>
      </c>
      <c r="J2023" s="10">
        <v>313.12</v>
      </c>
      <c r="K2023" s="9" t="str">
        <f>TEXT(Sales_of_Jordan[[#This Row],[Sale_Date]],"mmm")</f>
        <v>Nov</v>
      </c>
    </row>
    <row r="2024" spans="1:11" x14ac:dyDescent="0.35">
      <c r="A2024" s="7" t="s">
        <v>2054</v>
      </c>
      <c r="B2024" s="8">
        <v>45558</v>
      </c>
      <c r="C2024" s="9" t="s">
        <v>11</v>
      </c>
      <c r="D2024" s="9" t="s">
        <v>12</v>
      </c>
      <c r="E2024" s="9" t="s">
        <v>18</v>
      </c>
      <c r="F2024" s="9">
        <v>228</v>
      </c>
      <c r="G2024" s="9">
        <v>770.79</v>
      </c>
      <c r="H2024" s="9" t="s">
        <v>32</v>
      </c>
      <c r="I2024" s="9">
        <v>8</v>
      </c>
      <c r="J2024" s="10">
        <v>542.79</v>
      </c>
      <c r="K2024" s="9" t="str">
        <f>TEXT(Sales_of_Jordan[[#This Row],[Sale_Date]],"mmm")</f>
        <v>Sep</v>
      </c>
    </row>
    <row r="2025" spans="1:11" x14ac:dyDescent="0.35">
      <c r="A2025" s="7" t="s">
        <v>2055</v>
      </c>
      <c r="B2025" s="8">
        <v>45907</v>
      </c>
      <c r="C2025" s="9" t="s">
        <v>11</v>
      </c>
      <c r="D2025" s="9" t="s">
        <v>34</v>
      </c>
      <c r="E2025" s="9" t="s">
        <v>13</v>
      </c>
      <c r="F2025" s="9">
        <v>229</v>
      </c>
      <c r="G2025" s="9">
        <v>122.28</v>
      </c>
      <c r="H2025" s="9" t="s">
        <v>25</v>
      </c>
      <c r="I2025" s="9">
        <v>51</v>
      </c>
      <c r="J2025" s="10">
        <v>-106.72</v>
      </c>
      <c r="K2025" s="9" t="str">
        <f>TEXT(Sales_of_Jordan[[#This Row],[Sale_Date]],"mmm")</f>
        <v>Sep</v>
      </c>
    </row>
    <row r="2026" spans="1:11" x14ac:dyDescent="0.35">
      <c r="A2026" s="7" t="s">
        <v>2056</v>
      </c>
      <c r="B2026" s="8">
        <v>45002</v>
      </c>
      <c r="C2026" s="9" t="s">
        <v>27</v>
      </c>
      <c r="D2026" s="9" t="s">
        <v>12</v>
      </c>
      <c r="E2026" s="9" t="s">
        <v>13</v>
      </c>
      <c r="F2026" s="9">
        <v>113</v>
      </c>
      <c r="G2026" s="9">
        <v>75.02</v>
      </c>
      <c r="H2026" s="9" t="s">
        <v>25</v>
      </c>
      <c r="I2026" s="9">
        <v>19</v>
      </c>
      <c r="J2026" s="10">
        <v>-37.979999999999997</v>
      </c>
      <c r="K2026" s="9" t="str">
        <f>TEXT(Sales_of_Jordan[[#This Row],[Sale_Date]],"mmm")</f>
        <v>Mar</v>
      </c>
    </row>
    <row r="2027" spans="1:11" x14ac:dyDescent="0.35">
      <c r="A2027" s="7" t="s">
        <v>2057</v>
      </c>
      <c r="B2027" s="8">
        <v>45801</v>
      </c>
      <c r="C2027" s="9" t="s">
        <v>21</v>
      </c>
      <c r="D2027" s="9" t="s">
        <v>53</v>
      </c>
      <c r="E2027" s="9" t="s">
        <v>18</v>
      </c>
      <c r="F2027" s="9">
        <v>217</v>
      </c>
      <c r="G2027" s="9">
        <v>731.57</v>
      </c>
      <c r="H2027" s="9" t="s">
        <v>25</v>
      </c>
      <c r="I2027" s="9">
        <v>50</v>
      </c>
      <c r="J2027" s="10">
        <v>514.57000000000005</v>
      </c>
      <c r="K2027" s="9" t="str">
        <f>TEXT(Sales_of_Jordan[[#This Row],[Sale_Date]],"mmm")</f>
        <v>May</v>
      </c>
    </row>
    <row r="2028" spans="1:11" x14ac:dyDescent="0.35">
      <c r="A2028" s="7" t="s">
        <v>2058</v>
      </c>
      <c r="B2028" s="8">
        <v>45753</v>
      </c>
      <c r="C2028" s="9" t="s">
        <v>31</v>
      </c>
      <c r="D2028" s="9" t="s">
        <v>12</v>
      </c>
      <c r="E2028" s="9" t="s">
        <v>13</v>
      </c>
      <c r="F2028" s="9">
        <v>208</v>
      </c>
      <c r="G2028" s="9">
        <v>181.31</v>
      </c>
      <c r="H2028" s="9" t="s">
        <v>32</v>
      </c>
      <c r="I2028" s="9">
        <v>25</v>
      </c>
      <c r="J2028" s="10">
        <v>-26.689999999999898</v>
      </c>
      <c r="K2028" s="9" t="str">
        <f>TEXT(Sales_of_Jordan[[#This Row],[Sale_Date]],"mmm")</f>
        <v>Apr</v>
      </c>
    </row>
    <row r="2029" spans="1:11" x14ac:dyDescent="0.35">
      <c r="A2029" s="7" t="s">
        <v>2059</v>
      </c>
      <c r="B2029" s="8">
        <v>45010</v>
      </c>
      <c r="C2029" s="9" t="s">
        <v>27</v>
      </c>
      <c r="D2029" s="9" t="s">
        <v>46</v>
      </c>
      <c r="E2029" s="9" t="s">
        <v>18</v>
      </c>
      <c r="F2029" s="9">
        <v>132</v>
      </c>
      <c r="G2029" s="9">
        <v>326.13</v>
      </c>
      <c r="H2029" s="9" t="s">
        <v>14</v>
      </c>
      <c r="I2029" s="9">
        <v>8</v>
      </c>
      <c r="J2029" s="10">
        <v>194.13</v>
      </c>
      <c r="K2029" s="9" t="str">
        <f>TEXT(Sales_of_Jordan[[#This Row],[Sale_Date]],"mmm")</f>
        <v>Mar</v>
      </c>
    </row>
    <row r="2030" spans="1:11" x14ac:dyDescent="0.35">
      <c r="A2030" s="7" t="s">
        <v>2060</v>
      </c>
      <c r="B2030" s="8">
        <v>45544</v>
      </c>
      <c r="C2030" s="9" t="s">
        <v>16</v>
      </c>
      <c r="D2030" s="9" t="s">
        <v>22</v>
      </c>
      <c r="E2030" s="9" t="s">
        <v>13</v>
      </c>
      <c r="F2030" s="9">
        <v>175</v>
      </c>
      <c r="G2030" s="9">
        <v>131.74</v>
      </c>
      <c r="H2030" s="9" t="s">
        <v>19</v>
      </c>
      <c r="I2030" s="9">
        <v>10</v>
      </c>
      <c r="J2030" s="10">
        <v>-43.259999999999899</v>
      </c>
      <c r="K2030" s="9" t="str">
        <f>TEXT(Sales_of_Jordan[[#This Row],[Sale_Date]],"mmm")</f>
        <v>Sep</v>
      </c>
    </row>
    <row r="2031" spans="1:11" x14ac:dyDescent="0.35">
      <c r="A2031" s="7" t="s">
        <v>2061</v>
      </c>
      <c r="B2031" s="8">
        <v>45110</v>
      </c>
      <c r="C2031" s="9" t="s">
        <v>16</v>
      </c>
      <c r="D2031" s="9" t="s">
        <v>22</v>
      </c>
      <c r="E2031" s="9" t="s">
        <v>13</v>
      </c>
      <c r="F2031" s="9">
        <v>183</v>
      </c>
      <c r="G2031" s="9">
        <v>125.96</v>
      </c>
      <c r="H2031" s="9" t="s">
        <v>19</v>
      </c>
      <c r="I2031" s="9">
        <v>6</v>
      </c>
      <c r="J2031" s="10">
        <v>-57.04</v>
      </c>
      <c r="K2031" s="9" t="str">
        <f>TEXT(Sales_of_Jordan[[#This Row],[Sale_Date]],"mmm")</f>
        <v>Jul</v>
      </c>
    </row>
    <row r="2032" spans="1:11" x14ac:dyDescent="0.35">
      <c r="A2032" s="7" t="s">
        <v>2062</v>
      </c>
      <c r="B2032" s="8">
        <v>45436</v>
      </c>
      <c r="C2032" s="9" t="s">
        <v>31</v>
      </c>
      <c r="D2032" s="9" t="s">
        <v>17</v>
      </c>
      <c r="E2032" s="9" t="s">
        <v>13</v>
      </c>
      <c r="F2032" s="9">
        <v>201</v>
      </c>
      <c r="G2032" s="9">
        <v>126.28</v>
      </c>
      <c r="H2032" s="9" t="s">
        <v>25</v>
      </c>
      <c r="I2032" s="9">
        <v>54</v>
      </c>
      <c r="J2032" s="10">
        <v>-74.72</v>
      </c>
      <c r="K2032" s="9" t="str">
        <f>TEXT(Sales_of_Jordan[[#This Row],[Sale_Date]],"mmm")</f>
        <v>May</v>
      </c>
    </row>
    <row r="2033" spans="1:11" x14ac:dyDescent="0.35">
      <c r="A2033" s="7" t="s">
        <v>2063</v>
      </c>
      <c r="B2033" s="8">
        <v>45174</v>
      </c>
      <c r="C2033" s="9" t="s">
        <v>27</v>
      </c>
      <c r="D2033" s="9" t="s">
        <v>17</v>
      </c>
      <c r="E2033" s="9" t="s">
        <v>18</v>
      </c>
      <c r="F2033" s="9">
        <v>119</v>
      </c>
      <c r="G2033" s="9">
        <v>303.25</v>
      </c>
      <c r="H2033" s="9" t="s">
        <v>25</v>
      </c>
      <c r="I2033" s="9">
        <v>5</v>
      </c>
      <c r="J2033" s="10">
        <v>184.25</v>
      </c>
      <c r="K2033" s="9" t="str">
        <f>TEXT(Sales_of_Jordan[[#This Row],[Sale_Date]],"mmm")</f>
        <v>Sep</v>
      </c>
    </row>
    <row r="2034" spans="1:11" x14ac:dyDescent="0.35">
      <c r="A2034" s="7" t="s">
        <v>2064</v>
      </c>
      <c r="B2034" s="8">
        <v>45269</v>
      </c>
      <c r="C2034" s="9" t="s">
        <v>21</v>
      </c>
      <c r="D2034" s="9" t="s">
        <v>34</v>
      </c>
      <c r="E2034" s="9" t="s">
        <v>29</v>
      </c>
      <c r="F2034" s="9">
        <v>224</v>
      </c>
      <c r="G2034" s="9">
        <v>283.08999999999997</v>
      </c>
      <c r="H2034" s="9" t="s">
        <v>32</v>
      </c>
      <c r="I2034" s="9">
        <v>59</v>
      </c>
      <c r="J2034" s="10">
        <v>59.089999999999897</v>
      </c>
      <c r="K2034" s="9" t="str">
        <f>TEXT(Sales_of_Jordan[[#This Row],[Sale_Date]],"mmm")</f>
        <v>Dec</v>
      </c>
    </row>
    <row r="2035" spans="1:11" x14ac:dyDescent="0.35">
      <c r="A2035" s="7" t="s">
        <v>2065</v>
      </c>
      <c r="B2035" s="8">
        <v>45856</v>
      </c>
      <c r="C2035" s="9" t="s">
        <v>16</v>
      </c>
      <c r="D2035" s="9" t="s">
        <v>12</v>
      </c>
      <c r="E2035" s="9" t="s">
        <v>18</v>
      </c>
      <c r="F2035" s="9">
        <v>180</v>
      </c>
      <c r="G2035" s="9">
        <v>433.11</v>
      </c>
      <c r="H2035" s="9" t="s">
        <v>32</v>
      </c>
      <c r="I2035" s="9">
        <v>29</v>
      </c>
      <c r="J2035" s="10">
        <v>253.11</v>
      </c>
      <c r="K2035" s="9" t="str">
        <f>TEXT(Sales_of_Jordan[[#This Row],[Sale_Date]],"mmm")</f>
        <v>Jul</v>
      </c>
    </row>
    <row r="2036" spans="1:11" x14ac:dyDescent="0.35">
      <c r="A2036" s="7" t="s">
        <v>2066</v>
      </c>
      <c r="B2036" s="8">
        <v>45475</v>
      </c>
      <c r="C2036" s="9" t="s">
        <v>11</v>
      </c>
      <c r="D2036" s="9" t="s">
        <v>17</v>
      </c>
      <c r="E2036" s="9" t="s">
        <v>18</v>
      </c>
      <c r="F2036" s="9">
        <v>226</v>
      </c>
      <c r="G2036" s="9">
        <v>654.44000000000005</v>
      </c>
      <c r="H2036" s="9" t="s">
        <v>23</v>
      </c>
      <c r="I2036" s="9">
        <v>25</v>
      </c>
      <c r="J2036" s="10">
        <v>428.44</v>
      </c>
      <c r="K2036" s="9" t="str">
        <f>TEXT(Sales_of_Jordan[[#This Row],[Sale_Date]],"mmm")</f>
        <v>Jul</v>
      </c>
    </row>
    <row r="2037" spans="1:11" x14ac:dyDescent="0.35">
      <c r="A2037" s="7" t="s">
        <v>2067</v>
      </c>
      <c r="B2037" s="8">
        <v>45358</v>
      </c>
      <c r="C2037" s="9" t="s">
        <v>11</v>
      </c>
      <c r="D2037" s="9" t="s">
        <v>46</v>
      </c>
      <c r="E2037" s="9" t="s">
        <v>18</v>
      </c>
      <c r="F2037" s="9">
        <v>230</v>
      </c>
      <c r="G2037" s="9">
        <v>726.43</v>
      </c>
      <c r="H2037" s="9" t="s">
        <v>23</v>
      </c>
      <c r="I2037" s="9">
        <v>44</v>
      </c>
      <c r="J2037" s="10">
        <v>496.42999999999898</v>
      </c>
      <c r="K2037" s="9" t="str">
        <f>TEXT(Sales_of_Jordan[[#This Row],[Sale_Date]],"mmm")</f>
        <v>Mar</v>
      </c>
    </row>
    <row r="2038" spans="1:11" x14ac:dyDescent="0.35">
      <c r="A2038" s="7" t="s">
        <v>2068</v>
      </c>
      <c r="B2038" s="8">
        <v>45218</v>
      </c>
      <c r="C2038" s="9" t="s">
        <v>31</v>
      </c>
      <c r="D2038" s="9" t="s">
        <v>12</v>
      </c>
      <c r="E2038" s="9" t="s">
        <v>29</v>
      </c>
      <c r="F2038" s="9">
        <v>209</v>
      </c>
      <c r="G2038" s="9">
        <v>305.7</v>
      </c>
      <c r="H2038" s="9" t="s">
        <v>14</v>
      </c>
      <c r="I2038" s="9">
        <v>4</v>
      </c>
      <c r="J2038" s="10">
        <v>96.699999999999903</v>
      </c>
      <c r="K2038" s="9" t="str">
        <f>TEXT(Sales_of_Jordan[[#This Row],[Sale_Date]],"mmm")</f>
        <v>Oct</v>
      </c>
    </row>
    <row r="2039" spans="1:11" x14ac:dyDescent="0.35">
      <c r="A2039" s="7" t="s">
        <v>2069</v>
      </c>
      <c r="B2039" s="8">
        <v>45546</v>
      </c>
      <c r="C2039" s="9" t="s">
        <v>31</v>
      </c>
      <c r="D2039" s="9" t="s">
        <v>12</v>
      </c>
      <c r="E2039" s="9" t="s">
        <v>29</v>
      </c>
      <c r="F2039" s="9">
        <v>208</v>
      </c>
      <c r="G2039" s="9">
        <v>197.34</v>
      </c>
      <c r="H2039" s="9" t="s">
        <v>14</v>
      </c>
      <c r="I2039" s="9">
        <v>14</v>
      </c>
      <c r="J2039" s="10">
        <v>-10.659999999999901</v>
      </c>
      <c r="K2039" s="9" t="str">
        <f>TEXT(Sales_of_Jordan[[#This Row],[Sale_Date]],"mmm")</f>
        <v>Sep</v>
      </c>
    </row>
    <row r="2040" spans="1:11" x14ac:dyDescent="0.35">
      <c r="A2040" s="7" t="s">
        <v>2070</v>
      </c>
      <c r="B2040" s="8">
        <v>45007</v>
      </c>
      <c r="C2040" s="9" t="s">
        <v>31</v>
      </c>
      <c r="D2040" s="9" t="s">
        <v>17</v>
      </c>
      <c r="E2040" s="9" t="s">
        <v>13</v>
      </c>
      <c r="F2040" s="9">
        <v>206</v>
      </c>
      <c r="G2040" s="9">
        <v>174.62</v>
      </c>
      <c r="H2040" s="9" t="s">
        <v>14</v>
      </c>
      <c r="I2040" s="9">
        <v>6</v>
      </c>
      <c r="J2040" s="10">
        <v>-31.3799999999999</v>
      </c>
      <c r="K2040" s="9" t="str">
        <f>TEXT(Sales_of_Jordan[[#This Row],[Sale_Date]],"mmm")</f>
        <v>Mar</v>
      </c>
    </row>
    <row r="2041" spans="1:11" x14ac:dyDescent="0.35">
      <c r="A2041" s="7" t="s">
        <v>2071</v>
      </c>
      <c r="B2041" s="8">
        <v>45633</v>
      </c>
      <c r="C2041" s="9" t="s">
        <v>16</v>
      </c>
      <c r="D2041" s="9" t="s">
        <v>55</v>
      </c>
      <c r="E2041" s="9" t="s">
        <v>29</v>
      </c>
      <c r="F2041" s="9">
        <v>184</v>
      </c>
      <c r="G2041" s="9">
        <v>194.75</v>
      </c>
      <c r="H2041" s="9" t="s">
        <v>14</v>
      </c>
      <c r="I2041" s="9">
        <v>10</v>
      </c>
      <c r="J2041" s="10">
        <v>10.75</v>
      </c>
      <c r="K2041" s="9" t="str">
        <f>TEXT(Sales_of_Jordan[[#This Row],[Sale_Date]],"mmm")</f>
        <v>Dec</v>
      </c>
    </row>
    <row r="2042" spans="1:11" x14ac:dyDescent="0.35">
      <c r="A2042" s="7" t="s">
        <v>2072</v>
      </c>
      <c r="B2042" s="8">
        <v>45673</v>
      </c>
      <c r="C2042" s="9" t="s">
        <v>21</v>
      </c>
      <c r="D2042" s="9" t="s">
        <v>34</v>
      </c>
      <c r="E2042" s="9" t="s">
        <v>29</v>
      </c>
      <c r="F2042" s="9">
        <v>217</v>
      </c>
      <c r="G2042" s="9">
        <v>228.38</v>
      </c>
      <c r="H2042" s="9" t="s">
        <v>14</v>
      </c>
      <c r="I2042" s="9">
        <v>3</v>
      </c>
      <c r="J2042" s="10">
        <v>11.3799999999999</v>
      </c>
      <c r="K2042" s="9" t="str">
        <f>TEXT(Sales_of_Jordan[[#This Row],[Sale_Date]],"mmm")</f>
        <v>Jan</v>
      </c>
    </row>
    <row r="2043" spans="1:11" x14ac:dyDescent="0.35">
      <c r="A2043" s="7" t="s">
        <v>2073</v>
      </c>
      <c r="B2043" s="8">
        <v>45886</v>
      </c>
      <c r="C2043" s="9" t="s">
        <v>27</v>
      </c>
      <c r="D2043" s="9" t="s">
        <v>12</v>
      </c>
      <c r="E2043" s="9" t="s">
        <v>18</v>
      </c>
      <c r="F2043" s="9">
        <v>127</v>
      </c>
      <c r="G2043" s="9">
        <v>407.16</v>
      </c>
      <c r="H2043" s="9" t="s">
        <v>19</v>
      </c>
      <c r="I2043" s="9">
        <v>4</v>
      </c>
      <c r="J2043" s="10">
        <v>280.16000000000003</v>
      </c>
      <c r="K2043" s="9" t="str">
        <f>TEXT(Sales_of_Jordan[[#This Row],[Sale_Date]],"mmm")</f>
        <v>Aug</v>
      </c>
    </row>
    <row r="2044" spans="1:11" x14ac:dyDescent="0.35">
      <c r="A2044" s="7" t="s">
        <v>2074</v>
      </c>
      <c r="B2044" s="8">
        <v>45911</v>
      </c>
      <c r="C2044" s="9" t="s">
        <v>27</v>
      </c>
      <c r="D2044" s="9" t="s">
        <v>39</v>
      </c>
      <c r="E2044" s="9" t="s">
        <v>13</v>
      </c>
      <c r="F2044" s="9">
        <v>116</v>
      </c>
      <c r="G2044" s="9">
        <v>76.180000000000007</v>
      </c>
      <c r="H2044" s="9" t="s">
        <v>14</v>
      </c>
      <c r="I2044" s="9">
        <v>3</v>
      </c>
      <c r="J2044" s="10">
        <v>-39.819999999999901</v>
      </c>
      <c r="K2044" s="9" t="str">
        <f>TEXT(Sales_of_Jordan[[#This Row],[Sale_Date]],"mmm")</f>
        <v>Sep</v>
      </c>
    </row>
    <row r="2045" spans="1:11" x14ac:dyDescent="0.35">
      <c r="A2045" s="7" t="s">
        <v>2075</v>
      </c>
      <c r="B2045" s="8">
        <v>45790</v>
      </c>
      <c r="C2045" s="9" t="s">
        <v>16</v>
      </c>
      <c r="D2045" s="9" t="s">
        <v>46</v>
      </c>
      <c r="E2045" s="9" t="s">
        <v>29</v>
      </c>
      <c r="F2045" s="9">
        <v>190</v>
      </c>
      <c r="G2045" s="9">
        <v>205.47</v>
      </c>
      <c r="H2045" s="9" t="s">
        <v>14</v>
      </c>
      <c r="I2045" s="9">
        <v>2</v>
      </c>
      <c r="J2045" s="10">
        <v>15.469999999999899</v>
      </c>
      <c r="K2045" s="9" t="str">
        <f>TEXT(Sales_of_Jordan[[#This Row],[Sale_Date]],"mmm")</f>
        <v>May</v>
      </c>
    </row>
    <row r="2046" spans="1:11" x14ac:dyDescent="0.35">
      <c r="A2046" s="7" t="s">
        <v>2076</v>
      </c>
      <c r="B2046" s="8">
        <v>45607</v>
      </c>
      <c r="C2046" s="9" t="s">
        <v>21</v>
      </c>
      <c r="D2046" s="9" t="s">
        <v>34</v>
      </c>
      <c r="E2046" s="9" t="s">
        <v>29</v>
      </c>
      <c r="F2046" s="9">
        <v>220</v>
      </c>
      <c r="G2046" s="9">
        <v>257.62</v>
      </c>
      <c r="H2046" s="9" t="s">
        <v>19</v>
      </c>
      <c r="I2046" s="9">
        <v>2</v>
      </c>
      <c r="J2046" s="10">
        <v>37.619999999999997</v>
      </c>
      <c r="K2046" s="9" t="str">
        <f>TEXT(Sales_of_Jordan[[#This Row],[Sale_Date]],"mmm")</f>
        <v>Nov</v>
      </c>
    </row>
    <row r="2047" spans="1:11" x14ac:dyDescent="0.35">
      <c r="A2047" s="7" t="s">
        <v>2077</v>
      </c>
      <c r="B2047" s="8">
        <v>45112</v>
      </c>
      <c r="C2047" s="9" t="s">
        <v>31</v>
      </c>
      <c r="D2047" s="9" t="s">
        <v>12</v>
      </c>
      <c r="E2047" s="9" t="s">
        <v>13</v>
      </c>
      <c r="F2047" s="9">
        <v>207</v>
      </c>
      <c r="G2047" s="9">
        <v>169.89</v>
      </c>
      <c r="H2047" s="9" t="s">
        <v>32</v>
      </c>
      <c r="I2047" s="9">
        <v>42</v>
      </c>
      <c r="J2047" s="10">
        <v>-37.11</v>
      </c>
      <c r="K2047" s="9" t="str">
        <f>TEXT(Sales_of_Jordan[[#This Row],[Sale_Date]],"mmm")</f>
        <v>Jul</v>
      </c>
    </row>
    <row r="2048" spans="1:11" x14ac:dyDescent="0.35">
      <c r="A2048" s="7" t="s">
        <v>2078</v>
      </c>
      <c r="B2048" s="8">
        <v>45904</v>
      </c>
      <c r="C2048" s="9" t="s">
        <v>11</v>
      </c>
      <c r="D2048" s="9" t="s">
        <v>39</v>
      </c>
      <c r="E2048" s="9" t="s">
        <v>18</v>
      </c>
      <c r="F2048" s="9">
        <v>229</v>
      </c>
      <c r="G2048" s="9">
        <v>289.66000000000003</v>
      </c>
      <c r="H2048" s="9" t="s">
        <v>19</v>
      </c>
      <c r="I2048" s="9">
        <v>8</v>
      </c>
      <c r="J2048" s="10">
        <v>60.66</v>
      </c>
      <c r="K2048" s="9" t="str">
        <f>TEXT(Sales_of_Jordan[[#This Row],[Sale_Date]],"mmm")</f>
        <v>Sep</v>
      </c>
    </row>
    <row r="2049" spans="1:11" x14ac:dyDescent="0.35">
      <c r="A2049" s="7" t="s">
        <v>2079</v>
      </c>
      <c r="B2049" s="8">
        <v>45175</v>
      </c>
      <c r="C2049" s="9" t="s">
        <v>16</v>
      </c>
      <c r="D2049" s="9" t="s">
        <v>53</v>
      </c>
      <c r="E2049" s="9" t="s">
        <v>18</v>
      </c>
      <c r="F2049" s="9">
        <v>180</v>
      </c>
      <c r="G2049" s="9">
        <v>319.29000000000002</v>
      </c>
      <c r="H2049" s="9" t="s">
        <v>14</v>
      </c>
      <c r="I2049" s="9">
        <v>1</v>
      </c>
      <c r="J2049" s="10">
        <v>139.29</v>
      </c>
      <c r="K2049" s="9" t="str">
        <f>TEXT(Sales_of_Jordan[[#This Row],[Sale_Date]],"mmm")</f>
        <v>Sep</v>
      </c>
    </row>
    <row r="2050" spans="1:11" x14ac:dyDescent="0.35">
      <c r="A2050" s="7" t="s">
        <v>2080</v>
      </c>
      <c r="B2050" s="8">
        <v>45163</v>
      </c>
      <c r="C2050" s="9" t="s">
        <v>31</v>
      </c>
      <c r="D2050" s="9" t="s">
        <v>34</v>
      </c>
      <c r="E2050" s="9" t="s">
        <v>18</v>
      </c>
      <c r="F2050" s="9">
        <v>201</v>
      </c>
      <c r="G2050" s="9">
        <v>381.79</v>
      </c>
      <c r="H2050" s="9" t="s">
        <v>32</v>
      </c>
      <c r="I2050" s="9">
        <v>16</v>
      </c>
      <c r="J2050" s="10">
        <v>180.79</v>
      </c>
      <c r="K2050" s="9" t="str">
        <f>TEXT(Sales_of_Jordan[[#This Row],[Sale_Date]],"mmm")</f>
        <v>Aug</v>
      </c>
    </row>
    <row r="2051" spans="1:11" x14ac:dyDescent="0.35">
      <c r="A2051" s="7" t="s">
        <v>2081</v>
      </c>
      <c r="B2051" s="8">
        <v>44955</v>
      </c>
      <c r="C2051" s="9" t="s">
        <v>31</v>
      </c>
      <c r="D2051" s="9" t="s">
        <v>55</v>
      </c>
      <c r="E2051" s="9" t="s">
        <v>29</v>
      </c>
      <c r="F2051" s="9">
        <v>207</v>
      </c>
      <c r="G2051" s="9">
        <v>229.17</v>
      </c>
      <c r="H2051" s="9" t="s">
        <v>23</v>
      </c>
      <c r="I2051" s="9">
        <v>23</v>
      </c>
      <c r="J2051" s="10">
        <v>22.169999999999899</v>
      </c>
      <c r="K2051" s="9" t="str">
        <f>TEXT(Sales_of_Jordan[[#This Row],[Sale_Date]],"mmm")</f>
        <v>Jan</v>
      </c>
    </row>
    <row r="2052" spans="1:11" x14ac:dyDescent="0.35">
      <c r="A2052" s="7" t="s">
        <v>2082</v>
      </c>
      <c r="B2052" s="8">
        <v>44962</v>
      </c>
      <c r="C2052" s="9" t="s">
        <v>21</v>
      </c>
      <c r="D2052" s="9" t="s">
        <v>46</v>
      </c>
      <c r="E2052" s="9" t="s">
        <v>29</v>
      </c>
      <c r="F2052" s="9">
        <v>212</v>
      </c>
      <c r="G2052" s="9">
        <v>205.31</v>
      </c>
      <c r="H2052" s="9" t="s">
        <v>25</v>
      </c>
      <c r="I2052" s="9">
        <v>30</v>
      </c>
      <c r="J2052" s="10">
        <v>-6.6899999999999897</v>
      </c>
      <c r="K2052" s="9" t="str">
        <f>TEXT(Sales_of_Jordan[[#This Row],[Sale_Date]],"mmm")</f>
        <v>Feb</v>
      </c>
    </row>
    <row r="2053" spans="1:11" x14ac:dyDescent="0.35">
      <c r="A2053" s="7" t="s">
        <v>2083</v>
      </c>
      <c r="B2053" s="8">
        <v>45898</v>
      </c>
      <c r="C2053" s="9" t="s">
        <v>21</v>
      </c>
      <c r="D2053" s="9" t="s">
        <v>34</v>
      </c>
      <c r="E2053" s="9" t="s">
        <v>18</v>
      </c>
      <c r="F2053" s="9">
        <v>219</v>
      </c>
      <c r="G2053" s="9">
        <v>577.36</v>
      </c>
      <c r="H2053" s="9" t="s">
        <v>14</v>
      </c>
      <c r="I2053" s="9">
        <v>6</v>
      </c>
      <c r="J2053" s="10">
        <v>358.36</v>
      </c>
      <c r="K2053" s="9" t="str">
        <f>TEXT(Sales_of_Jordan[[#This Row],[Sale_Date]],"mmm")</f>
        <v>Aug</v>
      </c>
    </row>
    <row r="2054" spans="1:11" x14ac:dyDescent="0.35">
      <c r="A2054" s="7" t="s">
        <v>2084</v>
      </c>
      <c r="B2054" s="8">
        <v>44942</v>
      </c>
      <c r="C2054" s="9" t="s">
        <v>21</v>
      </c>
      <c r="D2054" s="9" t="s">
        <v>53</v>
      </c>
      <c r="E2054" s="9" t="s">
        <v>29</v>
      </c>
      <c r="F2054" s="9">
        <v>222</v>
      </c>
      <c r="G2054" s="9">
        <v>322</v>
      </c>
      <c r="H2054" s="9" t="s">
        <v>32</v>
      </c>
      <c r="I2054" s="9">
        <v>48</v>
      </c>
      <c r="J2054" s="10">
        <v>100</v>
      </c>
      <c r="K2054" s="9" t="str">
        <f>TEXT(Sales_of_Jordan[[#This Row],[Sale_Date]],"mmm")</f>
        <v>Jan</v>
      </c>
    </row>
    <row r="2055" spans="1:11" x14ac:dyDescent="0.35">
      <c r="A2055" s="7" t="s">
        <v>2085</v>
      </c>
      <c r="B2055" s="8">
        <v>45251</v>
      </c>
      <c r="C2055" s="9" t="s">
        <v>21</v>
      </c>
      <c r="D2055" s="9" t="s">
        <v>55</v>
      </c>
      <c r="E2055" s="9" t="s">
        <v>18</v>
      </c>
      <c r="F2055" s="9">
        <v>213</v>
      </c>
      <c r="G2055" s="9">
        <v>656.17</v>
      </c>
      <c r="H2055" s="9" t="s">
        <v>14</v>
      </c>
      <c r="I2055" s="9">
        <v>5</v>
      </c>
      <c r="J2055" s="10">
        <v>443.16999999999899</v>
      </c>
      <c r="K2055" s="9" t="str">
        <f>TEXT(Sales_of_Jordan[[#This Row],[Sale_Date]],"mmm")</f>
        <v>Nov</v>
      </c>
    </row>
    <row r="2056" spans="1:11" x14ac:dyDescent="0.35">
      <c r="A2056" s="7" t="s">
        <v>2086</v>
      </c>
      <c r="B2056" s="8">
        <v>45773</v>
      </c>
      <c r="C2056" s="9" t="s">
        <v>31</v>
      </c>
      <c r="D2056" s="9" t="s">
        <v>34</v>
      </c>
      <c r="E2056" s="9" t="s">
        <v>29</v>
      </c>
      <c r="F2056" s="9">
        <v>202</v>
      </c>
      <c r="G2056" s="9">
        <v>270.70999999999998</v>
      </c>
      <c r="H2056" s="9" t="s">
        <v>14</v>
      </c>
      <c r="I2056" s="9">
        <v>10</v>
      </c>
      <c r="J2056" s="10">
        <v>68.709999999999894</v>
      </c>
      <c r="K2056" s="9" t="str">
        <f>TEXT(Sales_of_Jordan[[#This Row],[Sale_Date]],"mmm")</f>
        <v>Apr</v>
      </c>
    </row>
    <row r="2057" spans="1:11" x14ac:dyDescent="0.35">
      <c r="A2057" s="7" t="s">
        <v>2087</v>
      </c>
      <c r="B2057" s="8">
        <v>45097</v>
      </c>
      <c r="C2057" s="9" t="s">
        <v>27</v>
      </c>
      <c r="D2057" s="9" t="s">
        <v>36</v>
      </c>
      <c r="E2057" s="9" t="s">
        <v>13</v>
      </c>
      <c r="F2057" s="9">
        <v>128</v>
      </c>
      <c r="G2057" s="9">
        <v>76.099999999999994</v>
      </c>
      <c r="H2057" s="9" t="s">
        <v>19</v>
      </c>
      <c r="I2057" s="9">
        <v>4</v>
      </c>
      <c r="J2057" s="10">
        <v>-51.9</v>
      </c>
      <c r="K2057" s="9" t="str">
        <f>TEXT(Sales_of_Jordan[[#This Row],[Sale_Date]],"mmm")</f>
        <v>Jun</v>
      </c>
    </row>
    <row r="2058" spans="1:11" x14ac:dyDescent="0.35">
      <c r="A2058" s="7" t="s">
        <v>2088</v>
      </c>
      <c r="B2058" s="8">
        <v>45532</v>
      </c>
      <c r="C2058" s="9" t="s">
        <v>16</v>
      </c>
      <c r="D2058" s="9" t="s">
        <v>22</v>
      </c>
      <c r="E2058" s="9" t="s">
        <v>29</v>
      </c>
      <c r="F2058" s="9">
        <v>171</v>
      </c>
      <c r="G2058" s="9">
        <v>193.4</v>
      </c>
      <c r="H2058" s="9" t="s">
        <v>19</v>
      </c>
      <c r="I2058" s="9">
        <v>5</v>
      </c>
      <c r="J2058" s="10">
        <v>22.4</v>
      </c>
      <c r="K2058" s="9" t="str">
        <f>TEXT(Sales_of_Jordan[[#This Row],[Sale_Date]],"mmm")</f>
        <v>Aug</v>
      </c>
    </row>
    <row r="2059" spans="1:11" x14ac:dyDescent="0.35">
      <c r="A2059" s="7" t="s">
        <v>2089</v>
      </c>
      <c r="B2059" s="8">
        <v>45353</v>
      </c>
      <c r="C2059" s="9" t="s">
        <v>11</v>
      </c>
      <c r="D2059" s="9" t="s">
        <v>39</v>
      </c>
      <c r="E2059" s="9" t="s">
        <v>29</v>
      </c>
      <c r="F2059" s="9">
        <v>230</v>
      </c>
      <c r="G2059" s="9">
        <v>269.02999999999997</v>
      </c>
      <c r="H2059" s="9" t="s">
        <v>19</v>
      </c>
      <c r="I2059" s="9">
        <v>10</v>
      </c>
      <c r="J2059" s="10">
        <v>39.029999999999902</v>
      </c>
      <c r="K2059" s="9" t="str">
        <f>TEXT(Sales_of_Jordan[[#This Row],[Sale_Date]],"mmm")</f>
        <v>Mar</v>
      </c>
    </row>
    <row r="2060" spans="1:11" x14ac:dyDescent="0.35">
      <c r="A2060" s="7" t="s">
        <v>2090</v>
      </c>
      <c r="B2060" s="8">
        <v>44985</v>
      </c>
      <c r="C2060" s="9" t="s">
        <v>31</v>
      </c>
      <c r="D2060" s="9" t="s">
        <v>22</v>
      </c>
      <c r="E2060" s="9" t="s">
        <v>18</v>
      </c>
      <c r="F2060" s="9">
        <v>205</v>
      </c>
      <c r="G2060" s="9">
        <v>413.18</v>
      </c>
      <c r="H2060" s="9" t="s">
        <v>25</v>
      </c>
      <c r="I2060" s="9">
        <v>13</v>
      </c>
      <c r="J2060" s="10">
        <v>208.18</v>
      </c>
      <c r="K2060" s="9" t="str">
        <f>TEXT(Sales_of_Jordan[[#This Row],[Sale_Date]],"mmm")</f>
        <v>Feb</v>
      </c>
    </row>
    <row r="2061" spans="1:11" x14ac:dyDescent="0.35">
      <c r="A2061" s="7" t="s">
        <v>2091</v>
      </c>
      <c r="B2061" s="8">
        <v>45536</v>
      </c>
      <c r="C2061" s="9" t="s">
        <v>21</v>
      </c>
      <c r="D2061" s="9" t="s">
        <v>22</v>
      </c>
      <c r="E2061" s="9" t="s">
        <v>18</v>
      </c>
      <c r="F2061" s="9">
        <v>221</v>
      </c>
      <c r="G2061" s="9">
        <v>722.2</v>
      </c>
      <c r="H2061" s="9" t="s">
        <v>19</v>
      </c>
      <c r="I2061" s="9">
        <v>13</v>
      </c>
      <c r="J2061" s="10">
        <v>501.2</v>
      </c>
      <c r="K2061" s="9" t="str">
        <f>TEXT(Sales_of_Jordan[[#This Row],[Sale_Date]],"mmm")</f>
        <v>Sep</v>
      </c>
    </row>
    <row r="2062" spans="1:11" x14ac:dyDescent="0.35">
      <c r="A2062" s="7" t="s">
        <v>2092</v>
      </c>
      <c r="B2062" s="8">
        <v>45906</v>
      </c>
      <c r="C2062" s="9" t="s">
        <v>21</v>
      </c>
      <c r="D2062" s="9" t="s">
        <v>55</v>
      </c>
      <c r="E2062" s="9" t="s">
        <v>18</v>
      </c>
      <c r="F2062" s="9">
        <v>218</v>
      </c>
      <c r="G2062" s="9">
        <v>658.36</v>
      </c>
      <c r="H2062" s="9" t="s">
        <v>19</v>
      </c>
      <c r="I2062" s="9">
        <v>6</v>
      </c>
      <c r="J2062" s="10">
        <v>440.36</v>
      </c>
      <c r="K2062" s="9" t="str">
        <f>TEXT(Sales_of_Jordan[[#This Row],[Sale_Date]],"mmm")</f>
        <v>Sep</v>
      </c>
    </row>
    <row r="2063" spans="1:11" x14ac:dyDescent="0.35">
      <c r="A2063" s="7" t="s">
        <v>2093</v>
      </c>
      <c r="B2063" s="8">
        <v>45255</v>
      </c>
      <c r="C2063" s="9" t="s">
        <v>31</v>
      </c>
      <c r="D2063" s="9" t="s">
        <v>46</v>
      </c>
      <c r="E2063" s="9" t="s">
        <v>13</v>
      </c>
      <c r="F2063" s="9">
        <v>209</v>
      </c>
      <c r="G2063" s="9">
        <v>163.15</v>
      </c>
      <c r="H2063" s="9" t="s">
        <v>14</v>
      </c>
      <c r="I2063" s="9">
        <v>1</v>
      </c>
      <c r="J2063" s="10">
        <v>-45.849999999999902</v>
      </c>
      <c r="K2063" s="9" t="str">
        <f>TEXT(Sales_of_Jordan[[#This Row],[Sale_Date]],"mmm")</f>
        <v>Nov</v>
      </c>
    </row>
    <row r="2064" spans="1:11" x14ac:dyDescent="0.35">
      <c r="A2064" s="7" t="s">
        <v>2094</v>
      </c>
      <c r="B2064" s="8">
        <v>45171</v>
      </c>
      <c r="C2064" s="9" t="s">
        <v>21</v>
      </c>
      <c r="D2064" s="9" t="s">
        <v>34</v>
      </c>
      <c r="E2064" s="9" t="s">
        <v>13</v>
      </c>
      <c r="F2064" s="9">
        <v>225</v>
      </c>
      <c r="G2064" s="9">
        <v>176.71</v>
      </c>
      <c r="H2064" s="9" t="s">
        <v>23</v>
      </c>
      <c r="I2064" s="9">
        <v>18</v>
      </c>
      <c r="J2064" s="10">
        <v>-48.2899999999999</v>
      </c>
      <c r="K2064" s="9" t="str">
        <f>TEXT(Sales_of_Jordan[[#This Row],[Sale_Date]],"mmm")</f>
        <v>Sep</v>
      </c>
    </row>
    <row r="2065" spans="1:11" x14ac:dyDescent="0.35">
      <c r="A2065" s="7" t="s">
        <v>2095</v>
      </c>
      <c r="B2065" s="8">
        <v>45460</v>
      </c>
      <c r="C2065" s="9" t="s">
        <v>16</v>
      </c>
      <c r="D2065" s="9" t="s">
        <v>53</v>
      </c>
      <c r="E2065" s="9" t="s">
        <v>29</v>
      </c>
      <c r="F2065" s="9">
        <v>184</v>
      </c>
      <c r="G2065" s="9">
        <v>184.43</v>
      </c>
      <c r="H2065" s="9" t="s">
        <v>19</v>
      </c>
      <c r="I2065" s="9">
        <v>8</v>
      </c>
      <c r="J2065" s="10">
        <v>0.43000000000000599</v>
      </c>
      <c r="K2065" s="9" t="str">
        <f>TEXT(Sales_of_Jordan[[#This Row],[Sale_Date]],"mmm")</f>
        <v>Jun</v>
      </c>
    </row>
    <row r="2066" spans="1:11" x14ac:dyDescent="0.35">
      <c r="A2066" s="7" t="s">
        <v>2096</v>
      </c>
      <c r="B2066" s="8">
        <v>45205</v>
      </c>
      <c r="C2066" s="9" t="s">
        <v>11</v>
      </c>
      <c r="D2066" s="9" t="s">
        <v>22</v>
      </c>
      <c r="E2066" s="9" t="s">
        <v>29</v>
      </c>
      <c r="F2066" s="9">
        <v>229</v>
      </c>
      <c r="G2066" s="9">
        <v>272.77999999999997</v>
      </c>
      <c r="H2066" s="9" t="s">
        <v>14</v>
      </c>
      <c r="I2066" s="9">
        <v>2</v>
      </c>
      <c r="J2066" s="10">
        <v>43.779999999999902</v>
      </c>
      <c r="K2066" s="9" t="str">
        <f>TEXT(Sales_of_Jordan[[#This Row],[Sale_Date]],"mmm")</f>
        <v>Oct</v>
      </c>
    </row>
    <row r="2067" spans="1:11" x14ac:dyDescent="0.35">
      <c r="A2067" s="7" t="s">
        <v>2097</v>
      </c>
      <c r="B2067" s="8">
        <v>45866</v>
      </c>
      <c r="C2067" s="9" t="s">
        <v>16</v>
      </c>
      <c r="D2067" s="9" t="s">
        <v>53</v>
      </c>
      <c r="E2067" s="9" t="s">
        <v>29</v>
      </c>
      <c r="F2067" s="9">
        <v>180</v>
      </c>
      <c r="G2067" s="9">
        <v>227.1</v>
      </c>
      <c r="H2067" s="9" t="s">
        <v>19</v>
      </c>
      <c r="I2067" s="9">
        <v>3</v>
      </c>
      <c r="J2067" s="10">
        <v>47.099999999999902</v>
      </c>
      <c r="K2067" s="9" t="str">
        <f>TEXT(Sales_of_Jordan[[#This Row],[Sale_Date]],"mmm")</f>
        <v>Jul</v>
      </c>
    </row>
    <row r="2068" spans="1:11" x14ac:dyDescent="0.35">
      <c r="A2068" s="7" t="s">
        <v>2098</v>
      </c>
      <c r="B2068" s="8">
        <v>45111</v>
      </c>
      <c r="C2068" s="9" t="s">
        <v>16</v>
      </c>
      <c r="D2068" s="9" t="s">
        <v>17</v>
      </c>
      <c r="E2068" s="9" t="s">
        <v>29</v>
      </c>
      <c r="F2068" s="9">
        <v>189</v>
      </c>
      <c r="G2068" s="9">
        <v>184.92</v>
      </c>
      <c r="H2068" s="9" t="s">
        <v>14</v>
      </c>
      <c r="I2068" s="9">
        <v>14</v>
      </c>
      <c r="J2068" s="10">
        <v>-4.0800000000000098</v>
      </c>
      <c r="K2068" s="9" t="str">
        <f>TEXT(Sales_of_Jordan[[#This Row],[Sale_Date]],"mmm")</f>
        <v>Jul</v>
      </c>
    </row>
    <row r="2069" spans="1:11" x14ac:dyDescent="0.35">
      <c r="A2069" s="7" t="s">
        <v>2099</v>
      </c>
      <c r="B2069" s="8">
        <v>45324</v>
      </c>
      <c r="C2069" s="9" t="s">
        <v>16</v>
      </c>
      <c r="D2069" s="9" t="s">
        <v>39</v>
      </c>
      <c r="E2069" s="9" t="s">
        <v>18</v>
      </c>
      <c r="F2069" s="9">
        <v>186</v>
      </c>
      <c r="G2069" s="9">
        <v>622.70000000000005</v>
      </c>
      <c r="H2069" s="9" t="s">
        <v>25</v>
      </c>
      <c r="I2069" s="9">
        <v>48</v>
      </c>
      <c r="J2069" s="10">
        <v>436.7</v>
      </c>
      <c r="K2069" s="9" t="str">
        <f>TEXT(Sales_of_Jordan[[#This Row],[Sale_Date]],"mmm")</f>
        <v>Feb</v>
      </c>
    </row>
    <row r="2070" spans="1:11" x14ac:dyDescent="0.35">
      <c r="A2070" s="7" t="s">
        <v>2100</v>
      </c>
      <c r="B2070" s="8">
        <v>45178</v>
      </c>
      <c r="C2070" s="9" t="s">
        <v>16</v>
      </c>
      <c r="D2070" s="9" t="s">
        <v>55</v>
      </c>
      <c r="E2070" s="9" t="s">
        <v>18</v>
      </c>
      <c r="F2070" s="9">
        <v>176</v>
      </c>
      <c r="G2070" s="9">
        <v>443.8</v>
      </c>
      <c r="H2070" s="9" t="s">
        <v>23</v>
      </c>
      <c r="I2070" s="9">
        <v>8</v>
      </c>
      <c r="J2070" s="10">
        <v>267.8</v>
      </c>
      <c r="K2070" s="9" t="str">
        <f>TEXT(Sales_of_Jordan[[#This Row],[Sale_Date]],"mmm")</f>
        <v>Sep</v>
      </c>
    </row>
    <row r="2071" spans="1:11" x14ac:dyDescent="0.35">
      <c r="A2071" s="7" t="s">
        <v>2101</v>
      </c>
      <c r="B2071" s="8">
        <v>45859</v>
      </c>
      <c r="C2071" s="9" t="s">
        <v>11</v>
      </c>
      <c r="D2071" s="9" t="s">
        <v>46</v>
      </c>
      <c r="E2071" s="9" t="s">
        <v>29</v>
      </c>
      <c r="F2071" s="9">
        <v>230</v>
      </c>
      <c r="G2071" s="9">
        <v>292.43</v>
      </c>
      <c r="H2071" s="9" t="s">
        <v>23</v>
      </c>
      <c r="I2071" s="9">
        <v>9</v>
      </c>
      <c r="J2071" s="10">
        <v>62.43</v>
      </c>
      <c r="K2071" s="9" t="str">
        <f>TEXT(Sales_of_Jordan[[#This Row],[Sale_Date]],"mmm")</f>
        <v>Jul</v>
      </c>
    </row>
    <row r="2072" spans="1:11" x14ac:dyDescent="0.35">
      <c r="A2072" s="7" t="s">
        <v>2102</v>
      </c>
      <c r="B2072" s="8">
        <v>45912</v>
      </c>
      <c r="C2072" s="9" t="s">
        <v>21</v>
      </c>
      <c r="D2072" s="9" t="s">
        <v>22</v>
      </c>
      <c r="E2072" s="9" t="s">
        <v>29</v>
      </c>
      <c r="F2072" s="9">
        <v>219</v>
      </c>
      <c r="G2072" s="9">
        <v>230.18</v>
      </c>
      <c r="H2072" s="9" t="s">
        <v>14</v>
      </c>
      <c r="I2072" s="9">
        <v>12</v>
      </c>
      <c r="J2072" s="10">
        <v>11.18</v>
      </c>
      <c r="K2072" s="9" t="str">
        <f>TEXT(Sales_of_Jordan[[#This Row],[Sale_Date]],"mmm")</f>
        <v>Sep</v>
      </c>
    </row>
    <row r="2073" spans="1:11" x14ac:dyDescent="0.35">
      <c r="A2073" s="7" t="s">
        <v>2103</v>
      </c>
      <c r="B2073" s="8">
        <v>45374</v>
      </c>
      <c r="C2073" s="9" t="s">
        <v>27</v>
      </c>
      <c r="D2073" s="9" t="s">
        <v>17</v>
      </c>
      <c r="E2073" s="9" t="s">
        <v>13</v>
      </c>
      <c r="F2073" s="9">
        <v>123</v>
      </c>
      <c r="G2073" s="9">
        <v>76.47</v>
      </c>
      <c r="H2073" s="9" t="s">
        <v>14</v>
      </c>
      <c r="I2073" s="9">
        <v>13</v>
      </c>
      <c r="J2073" s="10">
        <v>-46.53</v>
      </c>
      <c r="K2073" s="9" t="str">
        <f>TEXT(Sales_of_Jordan[[#This Row],[Sale_Date]],"mmm")</f>
        <v>Mar</v>
      </c>
    </row>
    <row r="2074" spans="1:11" x14ac:dyDescent="0.35">
      <c r="A2074" s="7" t="s">
        <v>2104</v>
      </c>
      <c r="B2074" s="8">
        <v>45484</v>
      </c>
      <c r="C2074" s="9" t="s">
        <v>21</v>
      </c>
      <c r="D2074" s="9" t="s">
        <v>46</v>
      </c>
      <c r="E2074" s="9" t="s">
        <v>29</v>
      </c>
      <c r="F2074" s="9">
        <v>213</v>
      </c>
      <c r="G2074" s="9">
        <v>299.42</v>
      </c>
      <c r="H2074" s="9" t="s">
        <v>32</v>
      </c>
      <c r="I2074" s="9">
        <v>54</v>
      </c>
      <c r="J2074" s="10">
        <v>86.42</v>
      </c>
      <c r="K2074" s="9" t="str">
        <f>TEXT(Sales_of_Jordan[[#This Row],[Sale_Date]],"mmm")</f>
        <v>Jul</v>
      </c>
    </row>
    <row r="2075" spans="1:11" x14ac:dyDescent="0.35">
      <c r="A2075" s="7" t="s">
        <v>2105</v>
      </c>
      <c r="B2075" s="8">
        <v>45223</v>
      </c>
      <c r="C2075" s="9" t="s">
        <v>16</v>
      </c>
      <c r="D2075" s="9" t="s">
        <v>22</v>
      </c>
      <c r="E2075" s="9" t="s">
        <v>13</v>
      </c>
      <c r="F2075" s="9">
        <v>177</v>
      </c>
      <c r="G2075" s="9">
        <v>153.29</v>
      </c>
      <c r="H2075" s="9" t="s">
        <v>14</v>
      </c>
      <c r="I2075" s="9">
        <v>14</v>
      </c>
      <c r="J2075" s="10">
        <v>-23.71</v>
      </c>
      <c r="K2075" s="9" t="str">
        <f>TEXT(Sales_of_Jordan[[#This Row],[Sale_Date]],"mmm")</f>
        <v>Oct</v>
      </c>
    </row>
    <row r="2076" spans="1:11" x14ac:dyDescent="0.35">
      <c r="A2076" s="7" t="s">
        <v>2106</v>
      </c>
      <c r="B2076" s="8">
        <v>45611</v>
      </c>
      <c r="C2076" s="9" t="s">
        <v>16</v>
      </c>
      <c r="D2076" s="9" t="s">
        <v>12</v>
      </c>
      <c r="E2076" s="9" t="s">
        <v>18</v>
      </c>
      <c r="F2076" s="9">
        <v>173</v>
      </c>
      <c r="G2076" s="9">
        <v>387.16</v>
      </c>
      <c r="H2076" s="9" t="s">
        <v>19</v>
      </c>
      <c r="I2076" s="9">
        <v>12</v>
      </c>
      <c r="J2076" s="10">
        <v>214.16</v>
      </c>
      <c r="K2076" s="9" t="str">
        <f>TEXT(Sales_of_Jordan[[#This Row],[Sale_Date]],"mmm")</f>
        <v>Nov</v>
      </c>
    </row>
    <row r="2077" spans="1:11" x14ac:dyDescent="0.35">
      <c r="A2077" s="7" t="s">
        <v>2107</v>
      </c>
      <c r="B2077" s="8">
        <v>45375</v>
      </c>
      <c r="C2077" s="9" t="s">
        <v>11</v>
      </c>
      <c r="D2077" s="9" t="s">
        <v>34</v>
      </c>
      <c r="E2077" s="9" t="s">
        <v>18</v>
      </c>
      <c r="F2077" s="9">
        <v>225</v>
      </c>
      <c r="G2077" s="9">
        <v>355.87</v>
      </c>
      <c r="H2077" s="9" t="s">
        <v>32</v>
      </c>
      <c r="I2077" s="9">
        <v>27</v>
      </c>
      <c r="J2077" s="10">
        <v>130.87</v>
      </c>
      <c r="K2077" s="9" t="str">
        <f>TEXT(Sales_of_Jordan[[#This Row],[Sale_Date]],"mmm")</f>
        <v>Mar</v>
      </c>
    </row>
    <row r="2078" spans="1:11" x14ac:dyDescent="0.35">
      <c r="A2078" s="7" t="s">
        <v>2108</v>
      </c>
      <c r="B2078" s="8">
        <v>45339</v>
      </c>
      <c r="C2078" s="9" t="s">
        <v>27</v>
      </c>
      <c r="D2078" s="9" t="s">
        <v>39</v>
      </c>
      <c r="E2078" s="9" t="s">
        <v>13</v>
      </c>
      <c r="F2078" s="9">
        <v>130</v>
      </c>
      <c r="G2078" s="9">
        <v>76.12</v>
      </c>
      <c r="H2078" s="9" t="s">
        <v>32</v>
      </c>
      <c r="I2078" s="9">
        <v>22</v>
      </c>
      <c r="J2078" s="10">
        <v>-53.879999999999903</v>
      </c>
      <c r="K2078" s="9" t="str">
        <f>TEXT(Sales_of_Jordan[[#This Row],[Sale_Date]],"mmm")</f>
        <v>Feb</v>
      </c>
    </row>
    <row r="2079" spans="1:11" x14ac:dyDescent="0.35">
      <c r="A2079" s="7" t="s">
        <v>2109</v>
      </c>
      <c r="B2079" s="8">
        <v>45265</v>
      </c>
      <c r="C2079" s="9" t="s">
        <v>21</v>
      </c>
      <c r="D2079" s="9" t="s">
        <v>22</v>
      </c>
      <c r="E2079" s="9" t="s">
        <v>18</v>
      </c>
      <c r="F2079" s="9">
        <v>213</v>
      </c>
      <c r="G2079" s="9">
        <v>325.04000000000002</v>
      </c>
      <c r="H2079" s="9" t="s">
        <v>14</v>
      </c>
      <c r="I2079" s="9">
        <v>10</v>
      </c>
      <c r="J2079" s="10">
        <v>112.04</v>
      </c>
      <c r="K2079" s="9" t="str">
        <f>TEXT(Sales_of_Jordan[[#This Row],[Sale_Date]],"mmm")</f>
        <v>Dec</v>
      </c>
    </row>
    <row r="2080" spans="1:11" x14ac:dyDescent="0.35">
      <c r="A2080" s="7" t="s">
        <v>2110</v>
      </c>
      <c r="B2080" s="8">
        <v>44957</v>
      </c>
      <c r="C2080" s="9" t="s">
        <v>31</v>
      </c>
      <c r="D2080" s="9" t="s">
        <v>55</v>
      </c>
      <c r="E2080" s="9" t="s">
        <v>29</v>
      </c>
      <c r="F2080" s="9">
        <v>208</v>
      </c>
      <c r="G2080" s="9">
        <v>200.31</v>
      </c>
      <c r="H2080" s="9" t="s">
        <v>25</v>
      </c>
      <c r="I2080" s="9">
        <v>59</v>
      </c>
      <c r="J2080" s="10">
        <v>-7.6899999999999897</v>
      </c>
      <c r="K2080" s="9" t="str">
        <f>TEXT(Sales_of_Jordan[[#This Row],[Sale_Date]],"mmm")</f>
        <v>Jan</v>
      </c>
    </row>
    <row r="2081" spans="1:11" x14ac:dyDescent="0.35">
      <c r="A2081" s="7" t="s">
        <v>2111</v>
      </c>
      <c r="B2081" s="8">
        <v>45494</v>
      </c>
      <c r="C2081" s="9" t="s">
        <v>11</v>
      </c>
      <c r="D2081" s="9" t="s">
        <v>39</v>
      </c>
      <c r="E2081" s="9" t="s">
        <v>29</v>
      </c>
      <c r="F2081" s="9">
        <v>225</v>
      </c>
      <c r="G2081" s="9">
        <v>320.55</v>
      </c>
      <c r="H2081" s="9" t="s">
        <v>14</v>
      </c>
      <c r="I2081" s="9">
        <v>9</v>
      </c>
      <c r="J2081" s="10">
        <v>95.55</v>
      </c>
      <c r="K2081" s="9" t="str">
        <f>TEXT(Sales_of_Jordan[[#This Row],[Sale_Date]],"mmm")</f>
        <v>Jul</v>
      </c>
    </row>
    <row r="2082" spans="1:11" x14ac:dyDescent="0.35">
      <c r="A2082" s="7" t="s">
        <v>2112</v>
      </c>
      <c r="B2082" s="8">
        <v>45243</v>
      </c>
      <c r="C2082" s="9" t="s">
        <v>21</v>
      </c>
      <c r="D2082" s="9" t="s">
        <v>36</v>
      </c>
      <c r="E2082" s="9" t="s">
        <v>18</v>
      </c>
      <c r="F2082" s="9">
        <v>213</v>
      </c>
      <c r="G2082" s="9">
        <v>494.56</v>
      </c>
      <c r="H2082" s="9" t="s">
        <v>19</v>
      </c>
      <c r="I2082" s="9">
        <v>1</v>
      </c>
      <c r="J2082" s="10">
        <v>281.56</v>
      </c>
      <c r="K2082" s="9" t="str">
        <f>TEXT(Sales_of_Jordan[[#This Row],[Sale_Date]],"mmm")</f>
        <v>Nov</v>
      </c>
    </row>
    <row r="2083" spans="1:11" x14ac:dyDescent="0.35">
      <c r="A2083" s="7" t="s">
        <v>2113</v>
      </c>
      <c r="B2083" s="8">
        <v>45732</v>
      </c>
      <c r="C2083" s="9" t="s">
        <v>31</v>
      </c>
      <c r="D2083" s="9" t="s">
        <v>53</v>
      </c>
      <c r="E2083" s="9" t="s">
        <v>13</v>
      </c>
      <c r="F2083" s="9">
        <v>205</v>
      </c>
      <c r="G2083" s="9">
        <v>172.08</v>
      </c>
      <c r="H2083" s="9" t="s">
        <v>23</v>
      </c>
      <c r="I2083" s="9">
        <v>34</v>
      </c>
      <c r="J2083" s="10">
        <v>-32.919999999999902</v>
      </c>
      <c r="K2083" s="9" t="str">
        <f>TEXT(Sales_of_Jordan[[#This Row],[Sale_Date]],"mmm")</f>
        <v>Mar</v>
      </c>
    </row>
    <row r="2084" spans="1:11" x14ac:dyDescent="0.35">
      <c r="A2084" s="7" t="s">
        <v>2114</v>
      </c>
      <c r="B2084" s="8">
        <v>45782</v>
      </c>
      <c r="C2084" s="9" t="s">
        <v>21</v>
      </c>
      <c r="D2084" s="9" t="s">
        <v>55</v>
      </c>
      <c r="E2084" s="9" t="s">
        <v>18</v>
      </c>
      <c r="F2084" s="9">
        <v>214</v>
      </c>
      <c r="G2084" s="9">
        <v>501.62</v>
      </c>
      <c r="H2084" s="9" t="s">
        <v>19</v>
      </c>
      <c r="I2084" s="9">
        <v>3</v>
      </c>
      <c r="J2084" s="10">
        <v>287.62</v>
      </c>
      <c r="K2084" s="9" t="str">
        <f>TEXT(Sales_of_Jordan[[#This Row],[Sale_Date]],"mmm")</f>
        <v>May</v>
      </c>
    </row>
    <row r="2085" spans="1:11" x14ac:dyDescent="0.35">
      <c r="A2085" s="7" t="s">
        <v>2115</v>
      </c>
      <c r="B2085" s="8">
        <v>45393</v>
      </c>
      <c r="C2085" s="9" t="s">
        <v>27</v>
      </c>
      <c r="D2085" s="9" t="s">
        <v>46</v>
      </c>
      <c r="E2085" s="9" t="s">
        <v>13</v>
      </c>
      <c r="F2085" s="9">
        <v>138</v>
      </c>
      <c r="G2085" s="9">
        <v>110.95</v>
      </c>
      <c r="H2085" s="9" t="s">
        <v>23</v>
      </c>
      <c r="I2085" s="9">
        <v>38</v>
      </c>
      <c r="J2085" s="10">
        <v>-27.049999999999901</v>
      </c>
      <c r="K2085" s="9" t="str">
        <f>TEXT(Sales_of_Jordan[[#This Row],[Sale_Date]],"mmm")</f>
        <v>Apr</v>
      </c>
    </row>
    <row r="2086" spans="1:11" x14ac:dyDescent="0.35">
      <c r="A2086" s="7" t="s">
        <v>2116</v>
      </c>
      <c r="B2086" s="8">
        <v>45565</v>
      </c>
      <c r="C2086" s="9" t="s">
        <v>27</v>
      </c>
      <c r="D2086" s="9" t="s">
        <v>12</v>
      </c>
      <c r="E2086" s="9" t="s">
        <v>18</v>
      </c>
      <c r="F2086" s="9">
        <v>126</v>
      </c>
      <c r="G2086" s="9">
        <v>242.12</v>
      </c>
      <c r="H2086" s="9" t="s">
        <v>25</v>
      </c>
      <c r="I2086" s="9">
        <v>56</v>
      </c>
      <c r="J2086" s="10">
        <v>116.12</v>
      </c>
      <c r="K2086" s="9" t="str">
        <f>TEXT(Sales_of_Jordan[[#This Row],[Sale_Date]],"mmm")</f>
        <v>Sep</v>
      </c>
    </row>
    <row r="2087" spans="1:11" x14ac:dyDescent="0.35">
      <c r="A2087" s="7" t="s">
        <v>2117</v>
      </c>
      <c r="B2087" s="8">
        <v>45876</v>
      </c>
      <c r="C2087" s="9" t="s">
        <v>21</v>
      </c>
      <c r="D2087" s="9" t="s">
        <v>17</v>
      </c>
      <c r="E2087" s="9" t="s">
        <v>13</v>
      </c>
      <c r="F2087" s="9">
        <v>211</v>
      </c>
      <c r="G2087" s="9">
        <v>163.19</v>
      </c>
      <c r="H2087" s="9" t="s">
        <v>19</v>
      </c>
      <c r="I2087" s="9">
        <v>13</v>
      </c>
      <c r="J2087" s="10">
        <v>-47.81</v>
      </c>
      <c r="K2087" s="9" t="str">
        <f>TEXT(Sales_of_Jordan[[#This Row],[Sale_Date]],"mmm")</f>
        <v>Aug</v>
      </c>
    </row>
    <row r="2088" spans="1:11" x14ac:dyDescent="0.35">
      <c r="A2088" s="7" t="s">
        <v>2118</v>
      </c>
      <c r="B2088" s="8">
        <v>45695</v>
      </c>
      <c r="C2088" s="9" t="s">
        <v>27</v>
      </c>
      <c r="D2088" s="9" t="s">
        <v>39</v>
      </c>
      <c r="E2088" s="9" t="s">
        <v>18</v>
      </c>
      <c r="F2088" s="9">
        <v>140</v>
      </c>
      <c r="G2088" s="9">
        <v>311.92</v>
      </c>
      <c r="H2088" s="9" t="s">
        <v>23</v>
      </c>
      <c r="I2088" s="9">
        <v>44</v>
      </c>
      <c r="J2088" s="10">
        <v>171.92</v>
      </c>
      <c r="K2088" s="9" t="str">
        <f>TEXT(Sales_of_Jordan[[#This Row],[Sale_Date]],"mmm")</f>
        <v>Feb</v>
      </c>
    </row>
    <row r="2089" spans="1:11" x14ac:dyDescent="0.35">
      <c r="A2089" s="7" t="s">
        <v>2119</v>
      </c>
      <c r="B2089" s="8">
        <v>45438</v>
      </c>
      <c r="C2089" s="9" t="s">
        <v>21</v>
      </c>
      <c r="D2089" s="9" t="s">
        <v>22</v>
      </c>
      <c r="E2089" s="9" t="s">
        <v>18</v>
      </c>
      <c r="F2089" s="9">
        <v>222</v>
      </c>
      <c r="G2089" s="9">
        <v>438.71</v>
      </c>
      <c r="H2089" s="9" t="s">
        <v>32</v>
      </c>
      <c r="I2089" s="9">
        <v>54</v>
      </c>
      <c r="J2089" s="10">
        <v>216.70999999999901</v>
      </c>
      <c r="K2089" s="9" t="str">
        <f>TEXT(Sales_of_Jordan[[#This Row],[Sale_Date]],"mmm")</f>
        <v>May</v>
      </c>
    </row>
    <row r="2090" spans="1:11" x14ac:dyDescent="0.35">
      <c r="A2090" s="7" t="s">
        <v>2120</v>
      </c>
      <c r="B2090" s="8">
        <v>45033</v>
      </c>
      <c r="C2090" s="9" t="s">
        <v>27</v>
      </c>
      <c r="D2090" s="9" t="s">
        <v>53</v>
      </c>
      <c r="E2090" s="9" t="s">
        <v>29</v>
      </c>
      <c r="F2090" s="9">
        <v>131</v>
      </c>
      <c r="G2090" s="9">
        <v>148.49</v>
      </c>
      <c r="H2090" s="9" t="s">
        <v>25</v>
      </c>
      <c r="I2090" s="9">
        <v>17</v>
      </c>
      <c r="J2090" s="10">
        <v>17.489999999999998</v>
      </c>
      <c r="K2090" s="9" t="str">
        <f>TEXT(Sales_of_Jordan[[#This Row],[Sale_Date]],"mmm")</f>
        <v>Apr</v>
      </c>
    </row>
    <row r="2091" spans="1:11" x14ac:dyDescent="0.35">
      <c r="A2091" s="7" t="s">
        <v>2121</v>
      </c>
      <c r="B2091" s="8">
        <v>45793</v>
      </c>
      <c r="C2091" s="9" t="s">
        <v>11</v>
      </c>
      <c r="D2091" s="9" t="s">
        <v>53</v>
      </c>
      <c r="E2091" s="9" t="s">
        <v>18</v>
      </c>
      <c r="F2091" s="9">
        <v>230</v>
      </c>
      <c r="G2091" s="9">
        <v>586.46</v>
      </c>
      <c r="H2091" s="9" t="s">
        <v>14</v>
      </c>
      <c r="I2091" s="9">
        <v>11</v>
      </c>
      <c r="J2091" s="10">
        <v>356.46</v>
      </c>
      <c r="K2091" s="9" t="str">
        <f>TEXT(Sales_of_Jordan[[#This Row],[Sale_Date]],"mmm")</f>
        <v>May</v>
      </c>
    </row>
    <row r="2092" spans="1:11" x14ac:dyDescent="0.35">
      <c r="A2092" s="7" t="s">
        <v>2122</v>
      </c>
      <c r="B2092" s="8">
        <v>45348</v>
      </c>
      <c r="C2092" s="9" t="s">
        <v>11</v>
      </c>
      <c r="D2092" s="9" t="s">
        <v>34</v>
      </c>
      <c r="E2092" s="9" t="s">
        <v>18</v>
      </c>
      <c r="F2092" s="9">
        <v>226</v>
      </c>
      <c r="G2092" s="9">
        <v>582.29999999999995</v>
      </c>
      <c r="H2092" s="9" t="s">
        <v>25</v>
      </c>
      <c r="I2092" s="9">
        <v>57</v>
      </c>
      <c r="J2092" s="10">
        <v>356.29999999999899</v>
      </c>
      <c r="K2092" s="9" t="str">
        <f>TEXT(Sales_of_Jordan[[#This Row],[Sale_Date]],"mmm")</f>
        <v>Feb</v>
      </c>
    </row>
    <row r="2093" spans="1:11" x14ac:dyDescent="0.35">
      <c r="A2093" s="7" t="s">
        <v>2123</v>
      </c>
      <c r="B2093" s="8">
        <v>45515</v>
      </c>
      <c r="C2093" s="9" t="s">
        <v>11</v>
      </c>
      <c r="D2093" s="9" t="s">
        <v>36</v>
      </c>
      <c r="E2093" s="9" t="s">
        <v>29</v>
      </c>
      <c r="F2093" s="9">
        <v>227</v>
      </c>
      <c r="G2093" s="9">
        <v>250.22</v>
      </c>
      <c r="H2093" s="9" t="s">
        <v>25</v>
      </c>
      <c r="I2093" s="9">
        <v>49</v>
      </c>
      <c r="J2093" s="10">
        <v>23.22</v>
      </c>
      <c r="K2093" s="9" t="str">
        <f>TEXT(Sales_of_Jordan[[#This Row],[Sale_Date]],"mmm")</f>
        <v>Aug</v>
      </c>
    </row>
    <row r="2094" spans="1:11" x14ac:dyDescent="0.35">
      <c r="A2094" s="7" t="s">
        <v>2124</v>
      </c>
      <c r="B2094" s="8">
        <v>45668</v>
      </c>
      <c r="C2094" s="9" t="s">
        <v>11</v>
      </c>
      <c r="D2094" s="9" t="s">
        <v>34</v>
      </c>
      <c r="E2094" s="9" t="s">
        <v>29</v>
      </c>
      <c r="F2094" s="9">
        <v>225</v>
      </c>
      <c r="G2094" s="9">
        <v>279.61</v>
      </c>
      <c r="H2094" s="9" t="s">
        <v>32</v>
      </c>
      <c r="I2094" s="9">
        <v>17</v>
      </c>
      <c r="J2094" s="10">
        <v>54.61</v>
      </c>
      <c r="K2094" s="9" t="str">
        <f>TEXT(Sales_of_Jordan[[#This Row],[Sale_Date]],"mmm")</f>
        <v>Jan</v>
      </c>
    </row>
    <row r="2095" spans="1:11" x14ac:dyDescent="0.35">
      <c r="A2095" s="7" t="s">
        <v>2125</v>
      </c>
      <c r="B2095" s="8">
        <v>45435</v>
      </c>
      <c r="C2095" s="9" t="s">
        <v>11</v>
      </c>
      <c r="D2095" s="9" t="s">
        <v>22</v>
      </c>
      <c r="E2095" s="9" t="s">
        <v>13</v>
      </c>
      <c r="F2095" s="9">
        <v>229</v>
      </c>
      <c r="G2095" s="9">
        <v>203.62</v>
      </c>
      <c r="H2095" s="9" t="s">
        <v>25</v>
      </c>
      <c r="I2095" s="9">
        <v>17</v>
      </c>
      <c r="J2095" s="10">
        <v>-25.3799999999999</v>
      </c>
      <c r="K2095" s="9" t="str">
        <f>TEXT(Sales_of_Jordan[[#This Row],[Sale_Date]],"mmm")</f>
        <v>May</v>
      </c>
    </row>
    <row r="2096" spans="1:11" x14ac:dyDescent="0.35">
      <c r="A2096" s="7" t="s">
        <v>2126</v>
      </c>
      <c r="B2096" s="8">
        <v>45384</v>
      </c>
      <c r="C2096" s="9" t="s">
        <v>27</v>
      </c>
      <c r="D2096" s="9" t="s">
        <v>55</v>
      </c>
      <c r="E2096" s="9" t="s">
        <v>29</v>
      </c>
      <c r="F2096" s="9">
        <v>132</v>
      </c>
      <c r="G2096" s="9">
        <v>180.26</v>
      </c>
      <c r="H2096" s="9" t="s">
        <v>32</v>
      </c>
      <c r="I2096" s="9">
        <v>8</v>
      </c>
      <c r="J2096" s="10">
        <v>48.259999999999899</v>
      </c>
      <c r="K2096" s="9" t="str">
        <f>TEXT(Sales_of_Jordan[[#This Row],[Sale_Date]],"mmm")</f>
        <v>Apr</v>
      </c>
    </row>
    <row r="2097" spans="1:11" x14ac:dyDescent="0.35">
      <c r="A2097" s="7" t="s">
        <v>2127</v>
      </c>
      <c r="B2097" s="8">
        <v>45434</v>
      </c>
      <c r="C2097" s="9" t="s">
        <v>27</v>
      </c>
      <c r="D2097" s="9" t="s">
        <v>36</v>
      </c>
      <c r="E2097" s="9" t="s">
        <v>29</v>
      </c>
      <c r="F2097" s="9">
        <v>110</v>
      </c>
      <c r="G2097" s="9">
        <v>108.22</v>
      </c>
      <c r="H2097" s="9" t="s">
        <v>19</v>
      </c>
      <c r="I2097" s="9">
        <v>3</v>
      </c>
      <c r="J2097" s="10">
        <v>-1.78</v>
      </c>
      <c r="K2097" s="9" t="str">
        <f>TEXT(Sales_of_Jordan[[#This Row],[Sale_Date]],"mmm")</f>
        <v>May</v>
      </c>
    </row>
    <row r="2098" spans="1:11" x14ac:dyDescent="0.35">
      <c r="A2098" s="7" t="s">
        <v>2128</v>
      </c>
      <c r="B2098" s="8">
        <v>45030</v>
      </c>
      <c r="C2098" s="9" t="s">
        <v>16</v>
      </c>
      <c r="D2098" s="9" t="s">
        <v>22</v>
      </c>
      <c r="E2098" s="9" t="s">
        <v>13</v>
      </c>
      <c r="F2098" s="9">
        <v>180</v>
      </c>
      <c r="G2098" s="9">
        <v>116.84</v>
      </c>
      <c r="H2098" s="9" t="s">
        <v>19</v>
      </c>
      <c r="I2098" s="9">
        <v>12</v>
      </c>
      <c r="J2098" s="10">
        <v>-63.16</v>
      </c>
      <c r="K2098" s="9" t="str">
        <f>TEXT(Sales_of_Jordan[[#This Row],[Sale_Date]],"mmm")</f>
        <v>Apr</v>
      </c>
    </row>
    <row r="2099" spans="1:11" x14ac:dyDescent="0.35">
      <c r="A2099" s="7" t="s">
        <v>2129</v>
      </c>
      <c r="B2099" s="8">
        <v>45330</v>
      </c>
      <c r="C2099" s="9" t="s">
        <v>27</v>
      </c>
      <c r="D2099" s="9" t="s">
        <v>12</v>
      </c>
      <c r="E2099" s="9" t="s">
        <v>18</v>
      </c>
      <c r="F2099" s="9">
        <v>138</v>
      </c>
      <c r="G2099" s="9">
        <v>311.57</v>
      </c>
      <c r="H2099" s="9" t="s">
        <v>32</v>
      </c>
      <c r="I2099" s="9">
        <v>27</v>
      </c>
      <c r="J2099" s="10">
        <v>173.57</v>
      </c>
      <c r="K2099" s="9" t="str">
        <f>TEXT(Sales_of_Jordan[[#This Row],[Sale_Date]],"mmm")</f>
        <v>Feb</v>
      </c>
    </row>
    <row r="2100" spans="1:11" x14ac:dyDescent="0.35">
      <c r="A2100" s="7" t="s">
        <v>2130</v>
      </c>
      <c r="B2100" s="8">
        <v>45079</v>
      </c>
      <c r="C2100" s="9" t="s">
        <v>27</v>
      </c>
      <c r="D2100" s="9" t="s">
        <v>39</v>
      </c>
      <c r="E2100" s="9" t="s">
        <v>13</v>
      </c>
      <c r="F2100" s="9">
        <v>136</v>
      </c>
      <c r="G2100" s="9">
        <v>121.5</v>
      </c>
      <c r="H2100" s="9" t="s">
        <v>25</v>
      </c>
      <c r="I2100" s="9">
        <v>54</v>
      </c>
      <c r="J2100" s="10">
        <v>-14.5</v>
      </c>
      <c r="K2100" s="9" t="str">
        <f>TEXT(Sales_of_Jordan[[#This Row],[Sale_Date]],"mmm")</f>
        <v>Jun</v>
      </c>
    </row>
    <row r="2101" spans="1:11" x14ac:dyDescent="0.35">
      <c r="A2101" s="7" t="s">
        <v>2131</v>
      </c>
      <c r="B2101" s="8">
        <v>44983</v>
      </c>
      <c r="C2101" s="9" t="s">
        <v>11</v>
      </c>
      <c r="D2101" s="9" t="s">
        <v>36</v>
      </c>
      <c r="E2101" s="9" t="s">
        <v>18</v>
      </c>
      <c r="F2101" s="9">
        <v>227</v>
      </c>
      <c r="G2101" s="9">
        <v>358.61</v>
      </c>
      <c r="H2101" s="9" t="s">
        <v>25</v>
      </c>
      <c r="I2101" s="9">
        <v>23</v>
      </c>
      <c r="J2101" s="10">
        <v>131.61000000000001</v>
      </c>
      <c r="K2101" s="9" t="str">
        <f>TEXT(Sales_of_Jordan[[#This Row],[Sale_Date]],"mmm")</f>
        <v>Feb</v>
      </c>
    </row>
    <row r="2102" spans="1:11" x14ac:dyDescent="0.35">
      <c r="A2102" s="7" t="s">
        <v>2132</v>
      </c>
      <c r="B2102" s="8">
        <v>45750</v>
      </c>
      <c r="C2102" s="9" t="s">
        <v>11</v>
      </c>
      <c r="D2102" s="9" t="s">
        <v>46</v>
      </c>
      <c r="E2102" s="9" t="s">
        <v>29</v>
      </c>
      <c r="F2102" s="9">
        <v>225</v>
      </c>
      <c r="G2102" s="9">
        <v>231.17</v>
      </c>
      <c r="H2102" s="9" t="s">
        <v>25</v>
      </c>
      <c r="I2102" s="9">
        <v>28</v>
      </c>
      <c r="J2102" s="10">
        <v>6.1699999999999804</v>
      </c>
      <c r="K2102" s="9" t="str">
        <f>TEXT(Sales_of_Jordan[[#This Row],[Sale_Date]],"mmm")</f>
        <v>Apr</v>
      </c>
    </row>
    <row r="2103" spans="1:11" x14ac:dyDescent="0.35">
      <c r="A2103" s="7" t="s">
        <v>2133</v>
      </c>
      <c r="B2103" s="8">
        <v>45191</v>
      </c>
      <c r="C2103" s="9" t="s">
        <v>16</v>
      </c>
      <c r="D2103" s="9" t="s">
        <v>22</v>
      </c>
      <c r="E2103" s="9" t="s">
        <v>18</v>
      </c>
      <c r="F2103" s="9">
        <v>189</v>
      </c>
      <c r="G2103" s="9">
        <v>431.69</v>
      </c>
      <c r="H2103" s="9" t="s">
        <v>25</v>
      </c>
      <c r="I2103" s="9">
        <v>48</v>
      </c>
      <c r="J2103" s="10">
        <v>242.69</v>
      </c>
      <c r="K2103" s="9" t="str">
        <f>TEXT(Sales_of_Jordan[[#This Row],[Sale_Date]],"mmm")</f>
        <v>Sep</v>
      </c>
    </row>
    <row r="2104" spans="1:11" x14ac:dyDescent="0.35">
      <c r="A2104" s="7" t="s">
        <v>2134</v>
      </c>
      <c r="B2104" s="8">
        <v>45219</v>
      </c>
      <c r="C2104" s="9" t="s">
        <v>31</v>
      </c>
      <c r="D2104" s="9" t="s">
        <v>34</v>
      </c>
      <c r="E2104" s="9" t="s">
        <v>18</v>
      </c>
      <c r="F2104" s="9">
        <v>205</v>
      </c>
      <c r="G2104" s="9">
        <v>268.64</v>
      </c>
      <c r="H2104" s="9" t="s">
        <v>23</v>
      </c>
      <c r="I2104" s="9">
        <v>22</v>
      </c>
      <c r="J2104" s="10">
        <v>63.639999999999901</v>
      </c>
      <c r="K2104" s="9" t="str">
        <f>TEXT(Sales_of_Jordan[[#This Row],[Sale_Date]],"mmm")</f>
        <v>Oct</v>
      </c>
    </row>
    <row r="2105" spans="1:11" x14ac:dyDescent="0.35">
      <c r="A2105" s="7" t="s">
        <v>2135</v>
      </c>
      <c r="B2105" s="8">
        <v>45712</v>
      </c>
      <c r="C2105" s="9" t="s">
        <v>11</v>
      </c>
      <c r="D2105" s="9" t="s">
        <v>55</v>
      </c>
      <c r="E2105" s="9" t="s">
        <v>18</v>
      </c>
      <c r="F2105" s="9">
        <v>230</v>
      </c>
      <c r="G2105" s="9">
        <v>706.52</v>
      </c>
      <c r="H2105" s="9" t="s">
        <v>14</v>
      </c>
      <c r="I2105" s="9">
        <v>6</v>
      </c>
      <c r="J2105" s="10">
        <v>476.52</v>
      </c>
      <c r="K2105" s="9" t="str">
        <f>TEXT(Sales_of_Jordan[[#This Row],[Sale_Date]],"mmm")</f>
        <v>Feb</v>
      </c>
    </row>
    <row r="2106" spans="1:11" x14ac:dyDescent="0.35">
      <c r="A2106" s="7" t="s">
        <v>2136</v>
      </c>
      <c r="B2106" s="8">
        <v>45502</v>
      </c>
      <c r="C2106" s="9" t="s">
        <v>11</v>
      </c>
      <c r="D2106" s="9" t="s">
        <v>17</v>
      </c>
      <c r="E2106" s="9" t="s">
        <v>29</v>
      </c>
      <c r="F2106" s="9">
        <v>226</v>
      </c>
      <c r="G2106" s="9">
        <v>216.43</v>
      </c>
      <c r="H2106" s="9" t="s">
        <v>25</v>
      </c>
      <c r="I2106" s="9">
        <v>36</v>
      </c>
      <c r="J2106" s="10">
        <v>-9.5699999999999896</v>
      </c>
      <c r="K2106" s="9" t="str">
        <f>TEXT(Sales_of_Jordan[[#This Row],[Sale_Date]],"mmm")</f>
        <v>Jul</v>
      </c>
    </row>
    <row r="2107" spans="1:11" x14ac:dyDescent="0.35">
      <c r="A2107" s="7" t="s">
        <v>2137</v>
      </c>
      <c r="B2107" s="8">
        <v>45017</v>
      </c>
      <c r="C2107" s="9" t="s">
        <v>16</v>
      </c>
      <c r="D2107" s="9" t="s">
        <v>55</v>
      </c>
      <c r="E2107" s="9" t="s">
        <v>29</v>
      </c>
      <c r="F2107" s="9">
        <v>180</v>
      </c>
      <c r="G2107" s="9">
        <v>185.82</v>
      </c>
      <c r="H2107" s="9" t="s">
        <v>14</v>
      </c>
      <c r="I2107" s="9">
        <v>11</v>
      </c>
      <c r="J2107" s="10">
        <v>5.8199999999999896</v>
      </c>
      <c r="K2107" s="9" t="str">
        <f>TEXT(Sales_of_Jordan[[#This Row],[Sale_Date]],"mmm")</f>
        <v>Apr</v>
      </c>
    </row>
    <row r="2108" spans="1:11" x14ac:dyDescent="0.35">
      <c r="A2108" s="7" t="s">
        <v>2138</v>
      </c>
      <c r="B2108" s="8">
        <v>45184</v>
      </c>
      <c r="C2108" s="9" t="s">
        <v>27</v>
      </c>
      <c r="D2108" s="9" t="s">
        <v>55</v>
      </c>
      <c r="E2108" s="9" t="s">
        <v>18</v>
      </c>
      <c r="F2108" s="9">
        <v>123</v>
      </c>
      <c r="G2108" s="9">
        <v>200.35</v>
      </c>
      <c r="H2108" s="9" t="s">
        <v>14</v>
      </c>
      <c r="I2108" s="9">
        <v>8</v>
      </c>
      <c r="J2108" s="10">
        <v>77.349999999999994</v>
      </c>
      <c r="K2108" s="9" t="str">
        <f>TEXT(Sales_of_Jordan[[#This Row],[Sale_Date]],"mmm")</f>
        <v>Sep</v>
      </c>
    </row>
    <row r="2109" spans="1:11" x14ac:dyDescent="0.35">
      <c r="A2109" s="7" t="s">
        <v>2139</v>
      </c>
      <c r="B2109" s="8">
        <v>45180</v>
      </c>
      <c r="C2109" s="9" t="s">
        <v>11</v>
      </c>
      <c r="D2109" s="9" t="s">
        <v>36</v>
      </c>
      <c r="E2109" s="9" t="s">
        <v>29</v>
      </c>
      <c r="F2109" s="9">
        <v>229</v>
      </c>
      <c r="G2109" s="9">
        <v>314.14</v>
      </c>
      <c r="H2109" s="9" t="s">
        <v>19</v>
      </c>
      <c r="I2109" s="9">
        <v>8</v>
      </c>
      <c r="J2109" s="10">
        <v>85.139999999999901</v>
      </c>
      <c r="K2109" s="9" t="str">
        <f>TEXT(Sales_of_Jordan[[#This Row],[Sale_Date]],"mmm")</f>
        <v>Sep</v>
      </c>
    </row>
    <row r="2110" spans="1:11" x14ac:dyDescent="0.35">
      <c r="A2110" s="7" t="s">
        <v>2140</v>
      </c>
      <c r="B2110" s="8">
        <v>45676</v>
      </c>
      <c r="C2110" s="9" t="s">
        <v>11</v>
      </c>
      <c r="D2110" s="9" t="s">
        <v>53</v>
      </c>
      <c r="E2110" s="9" t="s">
        <v>13</v>
      </c>
      <c r="F2110" s="9">
        <v>225</v>
      </c>
      <c r="G2110" s="9">
        <v>176.35</v>
      </c>
      <c r="H2110" s="9" t="s">
        <v>19</v>
      </c>
      <c r="I2110" s="9">
        <v>3</v>
      </c>
      <c r="J2110" s="10">
        <v>-48.65</v>
      </c>
      <c r="K2110" s="9" t="str">
        <f>TEXT(Sales_of_Jordan[[#This Row],[Sale_Date]],"mmm")</f>
        <v>Jan</v>
      </c>
    </row>
    <row r="2111" spans="1:11" x14ac:dyDescent="0.35">
      <c r="A2111" s="7" t="s">
        <v>2141</v>
      </c>
      <c r="B2111" s="8">
        <v>45497</v>
      </c>
      <c r="C2111" s="9" t="s">
        <v>27</v>
      </c>
      <c r="D2111" s="9" t="s">
        <v>39</v>
      </c>
      <c r="E2111" s="9" t="s">
        <v>18</v>
      </c>
      <c r="F2111" s="9">
        <v>134</v>
      </c>
      <c r="G2111" s="9">
        <v>388.29</v>
      </c>
      <c r="H2111" s="9" t="s">
        <v>14</v>
      </c>
      <c r="I2111" s="9">
        <v>14</v>
      </c>
      <c r="J2111" s="10">
        <v>254.29</v>
      </c>
      <c r="K2111" s="9" t="str">
        <f>TEXT(Sales_of_Jordan[[#This Row],[Sale_Date]],"mmm")</f>
        <v>Jul</v>
      </c>
    </row>
    <row r="2112" spans="1:11" x14ac:dyDescent="0.35">
      <c r="A2112" s="7" t="s">
        <v>2142</v>
      </c>
      <c r="B2112" s="8">
        <v>45774</v>
      </c>
      <c r="C2112" s="9" t="s">
        <v>16</v>
      </c>
      <c r="D2112" s="9" t="s">
        <v>53</v>
      </c>
      <c r="E2112" s="9" t="s">
        <v>29</v>
      </c>
      <c r="F2112" s="9">
        <v>170</v>
      </c>
      <c r="G2112" s="9">
        <v>196.34</v>
      </c>
      <c r="H2112" s="9" t="s">
        <v>32</v>
      </c>
      <c r="I2112" s="9">
        <v>47</v>
      </c>
      <c r="J2112" s="10">
        <v>26.34</v>
      </c>
      <c r="K2112" s="9" t="str">
        <f>TEXT(Sales_of_Jordan[[#This Row],[Sale_Date]],"mmm")</f>
        <v>Apr</v>
      </c>
    </row>
    <row r="2113" spans="1:11" x14ac:dyDescent="0.35">
      <c r="A2113" s="7" t="s">
        <v>2143</v>
      </c>
      <c r="B2113" s="8">
        <v>45656</v>
      </c>
      <c r="C2113" s="9" t="s">
        <v>21</v>
      </c>
      <c r="D2113" s="9" t="s">
        <v>55</v>
      </c>
      <c r="E2113" s="9" t="s">
        <v>13</v>
      </c>
      <c r="F2113" s="9">
        <v>220</v>
      </c>
      <c r="G2113" s="9">
        <v>122.1</v>
      </c>
      <c r="H2113" s="9" t="s">
        <v>25</v>
      </c>
      <c r="I2113" s="9">
        <v>43</v>
      </c>
      <c r="J2113" s="10">
        <v>-97.9</v>
      </c>
      <c r="K2113" s="9" t="str">
        <f>TEXT(Sales_of_Jordan[[#This Row],[Sale_Date]],"mmm")</f>
        <v>Dec</v>
      </c>
    </row>
    <row r="2114" spans="1:11" x14ac:dyDescent="0.35">
      <c r="A2114" s="7" t="s">
        <v>2144</v>
      </c>
      <c r="B2114" s="8">
        <v>45785</v>
      </c>
      <c r="C2114" s="9" t="s">
        <v>11</v>
      </c>
      <c r="D2114" s="9" t="s">
        <v>34</v>
      </c>
      <c r="E2114" s="9" t="s">
        <v>29</v>
      </c>
      <c r="F2114" s="9">
        <v>229</v>
      </c>
      <c r="G2114" s="9">
        <v>305.89</v>
      </c>
      <c r="H2114" s="9" t="s">
        <v>14</v>
      </c>
      <c r="I2114" s="9">
        <v>13</v>
      </c>
      <c r="J2114" s="10">
        <v>76.889999999999901</v>
      </c>
      <c r="K2114" s="9" t="str">
        <f>TEXT(Sales_of_Jordan[[#This Row],[Sale_Date]],"mmm")</f>
        <v>May</v>
      </c>
    </row>
    <row r="2115" spans="1:11" x14ac:dyDescent="0.35">
      <c r="A2115" s="7" t="s">
        <v>2145</v>
      </c>
      <c r="B2115" s="8">
        <v>45597</v>
      </c>
      <c r="C2115" s="9" t="s">
        <v>31</v>
      </c>
      <c r="D2115" s="9" t="s">
        <v>53</v>
      </c>
      <c r="E2115" s="9" t="s">
        <v>18</v>
      </c>
      <c r="F2115" s="9">
        <v>204</v>
      </c>
      <c r="G2115" s="9">
        <v>645.92999999999995</v>
      </c>
      <c r="H2115" s="9" t="s">
        <v>14</v>
      </c>
      <c r="I2115" s="9">
        <v>2</v>
      </c>
      <c r="J2115" s="10">
        <v>441.92999999999898</v>
      </c>
      <c r="K2115" s="9" t="str">
        <f>TEXT(Sales_of_Jordan[[#This Row],[Sale_Date]],"mmm")</f>
        <v>Nov</v>
      </c>
    </row>
    <row r="2116" spans="1:11" x14ac:dyDescent="0.35">
      <c r="A2116" s="7" t="s">
        <v>2146</v>
      </c>
      <c r="B2116" s="8">
        <v>45470</v>
      </c>
      <c r="C2116" s="9" t="s">
        <v>27</v>
      </c>
      <c r="D2116" s="9" t="s">
        <v>46</v>
      </c>
      <c r="E2116" s="9" t="s">
        <v>13</v>
      </c>
      <c r="F2116" s="9">
        <v>130</v>
      </c>
      <c r="G2116" s="9">
        <v>87.25</v>
      </c>
      <c r="H2116" s="9" t="s">
        <v>19</v>
      </c>
      <c r="I2116" s="9">
        <v>5</v>
      </c>
      <c r="J2116" s="10">
        <v>-42.75</v>
      </c>
      <c r="K2116" s="9" t="str">
        <f>TEXT(Sales_of_Jordan[[#This Row],[Sale_Date]],"mmm")</f>
        <v>Jun</v>
      </c>
    </row>
    <row r="2117" spans="1:11" x14ac:dyDescent="0.35">
      <c r="A2117" s="7" t="s">
        <v>2147</v>
      </c>
      <c r="B2117" s="8">
        <v>45709</v>
      </c>
      <c r="C2117" s="9" t="s">
        <v>27</v>
      </c>
      <c r="D2117" s="9" t="s">
        <v>17</v>
      </c>
      <c r="E2117" s="9" t="s">
        <v>29</v>
      </c>
      <c r="F2117" s="9">
        <v>113</v>
      </c>
      <c r="G2117" s="9">
        <v>150.61000000000001</v>
      </c>
      <c r="H2117" s="9" t="s">
        <v>23</v>
      </c>
      <c r="I2117" s="9">
        <v>46</v>
      </c>
      <c r="J2117" s="10">
        <v>37.61</v>
      </c>
      <c r="K2117" s="9" t="str">
        <f>TEXT(Sales_of_Jordan[[#This Row],[Sale_Date]],"mmm")</f>
        <v>Feb</v>
      </c>
    </row>
    <row r="2118" spans="1:11" x14ac:dyDescent="0.35">
      <c r="A2118" s="7" t="s">
        <v>2148</v>
      </c>
      <c r="B2118" s="8">
        <v>45305</v>
      </c>
      <c r="C2118" s="9" t="s">
        <v>27</v>
      </c>
      <c r="D2118" s="9" t="s">
        <v>34</v>
      </c>
      <c r="E2118" s="9" t="s">
        <v>13</v>
      </c>
      <c r="F2118" s="9">
        <v>134</v>
      </c>
      <c r="G2118" s="9">
        <v>78.489999999999995</v>
      </c>
      <c r="H2118" s="9" t="s">
        <v>19</v>
      </c>
      <c r="I2118" s="9">
        <v>6</v>
      </c>
      <c r="J2118" s="10">
        <v>-55.51</v>
      </c>
      <c r="K2118" s="9" t="str">
        <f>TEXT(Sales_of_Jordan[[#This Row],[Sale_Date]],"mmm")</f>
        <v>Jan</v>
      </c>
    </row>
    <row r="2119" spans="1:11" x14ac:dyDescent="0.35">
      <c r="A2119" s="7" t="s">
        <v>2149</v>
      </c>
      <c r="B2119" s="8">
        <v>45013</v>
      </c>
      <c r="C2119" s="9" t="s">
        <v>21</v>
      </c>
      <c r="D2119" s="9" t="s">
        <v>17</v>
      </c>
      <c r="E2119" s="9" t="s">
        <v>18</v>
      </c>
      <c r="F2119" s="9">
        <v>223</v>
      </c>
      <c r="G2119" s="9">
        <v>415.16</v>
      </c>
      <c r="H2119" s="9" t="s">
        <v>14</v>
      </c>
      <c r="I2119" s="9">
        <v>7</v>
      </c>
      <c r="J2119" s="10">
        <v>192.16</v>
      </c>
      <c r="K2119" s="9" t="str">
        <f>TEXT(Sales_of_Jordan[[#This Row],[Sale_Date]],"mmm")</f>
        <v>Mar</v>
      </c>
    </row>
    <row r="2120" spans="1:11" x14ac:dyDescent="0.35">
      <c r="A2120" s="7" t="s">
        <v>2150</v>
      </c>
      <c r="B2120" s="8">
        <v>45620</v>
      </c>
      <c r="C2120" s="9" t="s">
        <v>31</v>
      </c>
      <c r="D2120" s="9" t="s">
        <v>36</v>
      </c>
      <c r="E2120" s="9" t="s">
        <v>18</v>
      </c>
      <c r="F2120" s="9">
        <v>204</v>
      </c>
      <c r="G2120" s="9">
        <v>454.87</v>
      </c>
      <c r="H2120" s="9" t="s">
        <v>19</v>
      </c>
      <c r="I2120" s="9">
        <v>11</v>
      </c>
      <c r="J2120" s="10">
        <v>250.87</v>
      </c>
      <c r="K2120" s="9" t="str">
        <f>TEXT(Sales_of_Jordan[[#This Row],[Sale_Date]],"mmm")</f>
        <v>Nov</v>
      </c>
    </row>
    <row r="2121" spans="1:11" x14ac:dyDescent="0.35">
      <c r="A2121" s="7" t="s">
        <v>2151</v>
      </c>
      <c r="B2121" s="8">
        <v>45572</v>
      </c>
      <c r="C2121" s="9" t="s">
        <v>31</v>
      </c>
      <c r="D2121" s="9" t="s">
        <v>22</v>
      </c>
      <c r="E2121" s="9" t="s">
        <v>13</v>
      </c>
      <c r="F2121" s="9">
        <v>206</v>
      </c>
      <c r="G2121" s="9">
        <v>121.41</v>
      </c>
      <c r="H2121" s="9" t="s">
        <v>19</v>
      </c>
      <c r="I2121" s="9">
        <v>14</v>
      </c>
      <c r="J2121" s="10">
        <v>-84.59</v>
      </c>
      <c r="K2121" s="9" t="str">
        <f>TEXT(Sales_of_Jordan[[#This Row],[Sale_Date]],"mmm")</f>
        <v>Oct</v>
      </c>
    </row>
    <row r="2122" spans="1:11" x14ac:dyDescent="0.35">
      <c r="A2122" s="7" t="s">
        <v>2152</v>
      </c>
      <c r="B2122" s="8">
        <v>45853</v>
      </c>
      <c r="C2122" s="9" t="s">
        <v>27</v>
      </c>
      <c r="D2122" s="9" t="s">
        <v>34</v>
      </c>
      <c r="E2122" s="9" t="s">
        <v>29</v>
      </c>
      <c r="F2122" s="9">
        <v>111</v>
      </c>
      <c r="G2122" s="9">
        <v>120.23</v>
      </c>
      <c r="H2122" s="9" t="s">
        <v>25</v>
      </c>
      <c r="I2122" s="9">
        <v>6</v>
      </c>
      <c r="J2122" s="10">
        <v>9.23</v>
      </c>
      <c r="K2122" s="9" t="str">
        <f>TEXT(Sales_of_Jordan[[#This Row],[Sale_Date]],"mmm")</f>
        <v>Jul</v>
      </c>
    </row>
    <row r="2123" spans="1:11" x14ac:dyDescent="0.35">
      <c r="A2123" s="7" t="s">
        <v>2153</v>
      </c>
      <c r="B2123" s="8">
        <v>45605</v>
      </c>
      <c r="C2123" s="9" t="s">
        <v>31</v>
      </c>
      <c r="D2123" s="9" t="s">
        <v>39</v>
      </c>
      <c r="E2123" s="9" t="s">
        <v>18</v>
      </c>
      <c r="F2123" s="9">
        <v>206</v>
      </c>
      <c r="G2123" s="9">
        <v>609.05999999999995</v>
      </c>
      <c r="H2123" s="9" t="s">
        <v>14</v>
      </c>
      <c r="I2123" s="9">
        <v>14</v>
      </c>
      <c r="J2123" s="10">
        <v>403.05999999999898</v>
      </c>
      <c r="K2123" s="9" t="str">
        <f>TEXT(Sales_of_Jordan[[#This Row],[Sale_Date]],"mmm")</f>
        <v>Nov</v>
      </c>
    </row>
    <row r="2124" spans="1:11" x14ac:dyDescent="0.35">
      <c r="A2124" s="7" t="s">
        <v>2154</v>
      </c>
      <c r="B2124" s="8">
        <v>45624</v>
      </c>
      <c r="C2124" s="9" t="s">
        <v>31</v>
      </c>
      <c r="D2124" s="9" t="s">
        <v>12</v>
      </c>
      <c r="E2124" s="9" t="s">
        <v>29</v>
      </c>
      <c r="F2124" s="9">
        <v>208</v>
      </c>
      <c r="G2124" s="9">
        <v>270.04000000000002</v>
      </c>
      <c r="H2124" s="9" t="s">
        <v>14</v>
      </c>
      <c r="I2124" s="9">
        <v>5</v>
      </c>
      <c r="J2124" s="10">
        <v>62.04</v>
      </c>
      <c r="K2124" s="9" t="str">
        <f>TEXT(Sales_of_Jordan[[#This Row],[Sale_Date]],"mmm")</f>
        <v>Nov</v>
      </c>
    </row>
    <row r="2125" spans="1:11" x14ac:dyDescent="0.35">
      <c r="A2125" s="7" t="s">
        <v>2155</v>
      </c>
      <c r="B2125" s="8">
        <v>45707</v>
      </c>
      <c r="C2125" s="9" t="s">
        <v>31</v>
      </c>
      <c r="D2125" s="9" t="s">
        <v>17</v>
      </c>
      <c r="E2125" s="9" t="s">
        <v>29</v>
      </c>
      <c r="F2125" s="9">
        <v>201</v>
      </c>
      <c r="G2125" s="9">
        <v>234.33</v>
      </c>
      <c r="H2125" s="9" t="s">
        <v>32</v>
      </c>
      <c r="I2125" s="9">
        <v>19</v>
      </c>
      <c r="J2125" s="10">
        <v>33.33</v>
      </c>
      <c r="K2125" s="9" t="str">
        <f>TEXT(Sales_of_Jordan[[#This Row],[Sale_Date]],"mmm")</f>
        <v>Feb</v>
      </c>
    </row>
    <row r="2126" spans="1:11" x14ac:dyDescent="0.35">
      <c r="A2126" s="7" t="s">
        <v>2156</v>
      </c>
      <c r="B2126" s="8">
        <v>45641</v>
      </c>
      <c r="C2126" s="9" t="s">
        <v>27</v>
      </c>
      <c r="D2126" s="9" t="s">
        <v>36</v>
      </c>
      <c r="E2126" s="9" t="s">
        <v>13</v>
      </c>
      <c r="F2126" s="9">
        <v>131</v>
      </c>
      <c r="G2126" s="9">
        <v>89.42</v>
      </c>
      <c r="H2126" s="9" t="s">
        <v>32</v>
      </c>
      <c r="I2126" s="9">
        <v>49</v>
      </c>
      <c r="J2126" s="10">
        <v>-41.58</v>
      </c>
      <c r="K2126" s="9" t="str">
        <f>TEXT(Sales_of_Jordan[[#This Row],[Sale_Date]],"mmm")</f>
        <v>Dec</v>
      </c>
    </row>
    <row r="2127" spans="1:11" x14ac:dyDescent="0.35">
      <c r="A2127" s="7" t="s">
        <v>2157</v>
      </c>
      <c r="B2127" s="8">
        <v>45741</v>
      </c>
      <c r="C2127" s="9" t="s">
        <v>27</v>
      </c>
      <c r="D2127" s="9" t="s">
        <v>22</v>
      </c>
      <c r="E2127" s="9" t="s">
        <v>18</v>
      </c>
      <c r="F2127" s="9">
        <v>111</v>
      </c>
      <c r="G2127" s="9">
        <v>252.33</v>
      </c>
      <c r="H2127" s="9" t="s">
        <v>19</v>
      </c>
      <c r="I2127" s="9">
        <v>7</v>
      </c>
      <c r="J2127" s="10">
        <v>141.33000000000001</v>
      </c>
      <c r="K2127" s="9" t="str">
        <f>TEXT(Sales_of_Jordan[[#This Row],[Sale_Date]],"mmm")</f>
        <v>Mar</v>
      </c>
    </row>
    <row r="2128" spans="1:11" x14ac:dyDescent="0.35">
      <c r="A2128" s="7" t="s">
        <v>2158</v>
      </c>
      <c r="B2128" s="8">
        <v>45473</v>
      </c>
      <c r="C2128" s="9" t="s">
        <v>11</v>
      </c>
      <c r="D2128" s="9" t="s">
        <v>53</v>
      </c>
      <c r="E2128" s="9" t="s">
        <v>18</v>
      </c>
      <c r="F2128" s="9">
        <v>229</v>
      </c>
      <c r="G2128" s="9">
        <v>338.37</v>
      </c>
      <c r="H2128" s="9" t="s">
        <v>25</v>
      </c>
      <c r="I2128" s="9">
        <v>5</v>
      </c>
      <c r="J2128" s="10">
        <v>109.37</v>
      </c>
      <c r="K2128" s="9" t="str">
        <f>TEXT(Sales_of_Jordan[[#This Row],[Sale_Date]],"mmm")</f>
        <v>Jun</v>
      </c>
    </row>
    <row r="2129" spans="1:11" x14ac:dyDescent="0.35">
      <c r="A2129" s="7" t="s">
        <v>2159</v>
      </c>
      <c r="B2129" s="8">
        <v>45895</v>
      </c>
      <c r="C2129" s="9" t="s">
        <v>27</v>
      </c>
      <c r="D2129" s="9" t="s">
        <v>22</v>
      </c>
      <c r="E2129" s="9" t="s">
        <v>18</v>
      </c>
      <c r="F2129" s="9">
        <v>135</v>
      </c>
      <c r="G2129" s="9">
        <v>419.94</v>
      </c>
      <c r="H2129" s="9" t="s">
        <v>32</v>
      </c>
      <c r="I2129" s="9">
        <v>13</v>
      </c>
      <c r="J2129" s="10">
        <v>284.94</v>
      </c>
      <c r="K2129" s="9" t="str">
        <f>TEXT(Sales_of_Jordan[[#This Row],[Sale_Date]],"mmm")</f>
        <v>Aug</v>
      </c>
    </row>
    <row r="2130" spans="1:11" x14ac:dyDescent="0.35">
      <c r="A2130" s="7" t="s">
        <v>2160</v>
      </c>
      <c r="B2130" s="8">
        <v>45810</v>
      </c>
      <c r="C2130" s="9" t="s">
        <v>16</v>
      </c>
      <c r="D2130" s="9" t="s">
        <v>53</v>
      </c>
      <c r="E2130" s="9" t="s">
        <v>29</v>
      </c>
      <c r="F2130" s="9">
        <v>184</v>
      </c>
      <c r="G2130" s="9">
        <v>223.87</v>
      </c>
      <c r="H2130" s="9" t="s">
        <v>23</v>
      </c>
      <c r="I2130" s="9">
        <v>31</v>
      </c>
      <c r="J2130" s="10">
        <v>39.869999999999997</v>
      </c>
      <c r="K2130" s="9" t="str">
        <f>TEXT(Sales_of_Jordan[[#This Row],[Sale_Date]],"mmm")</f>
        <v>Jun</v>
      </c>
    </row>
    <row r="2131" spans="1:11" x14ac:dyDescent="0.35">
      <c r="A2131" s="7" t="s">
        <v>2161</v>
      </c>
      <c r="B2131" s="8">
        <v>45036</v>
      </c>
      <c r="C2131" s="9" t="s">
        <v>21</v>
      </c>
      <c r="D2131" s="9" t="s">
        <v>39</v>
      </c>
      <c r="E2131" s="9" t="s">
        <v>29</v>
      </c>
      <c r="F2131" s="9">
        <v>215</v>
      </c>
      <c r="G2131" s="9">
        <v>228.83</v>
      </c>
      <c r="H2131" s="9" t="s">
        <v>32</v>
      </c>
      <c r="I2131" s="9">
        <v>39</v>
      </c>
      <c r="J2131" s="10">
        <v>13.83</v>
      </c>
      <c r="K2131" s="9" t="str">
        <f>TEXT(Sales_of_Jordan[[#This Row],[Sale_Date]],"mmm")</f>
        <v>Apr</v>
      </c>
    </row>
    <row r="2132" spans="1:11" x14ac:dyDescent="0.35">
      <c r="A2132" s="7" t="s">
        <v>2162</v>
      </c>
      <c r="B2132" s="8">
        <v>45078</v>
      </c>
      <c r="C2132" s="9" t="s">
        <v>31</v>
      </c>
      <c r="D2132" s="9" t="s">
        <v>36</v>
      </c>
      <c r="E2132" s="9" t="s">
        <v>18</v>
      </c>
      <c r="F2132" s="9">
        <v>210</v>
      </c>
      <c r="G2132" s="9">
        <v>317.86</v>
      </c>
      <c r="H2132" s="9" t="s">
        <v>25</v>
      </c>
      <c r="I2132" s="9">
        <v>45</v>
      </c>
      <c r="J2132" s="10">
        <v>107.86</v>
      </c>
      <c r="K2132" s="9" t="str">
        <f>TEXT(Sales_of_Jordan[[#This Row],[Sale_Date]],"mmm")</f>
        <v>Jun</v>
      </c>
    </row>
    <row r="2133" spans="1:11" x14ac:dyDescent="0.35">
      <c r="A2133" s="7" t="s">
        <v>2163</v>
      </c>
      <c r="B2133" s="8">
        <v>45882</v>
      </c>
      <c r="C2133" s="9" t="s">
        <v>11</v>
      </c>
      <c r="D2133" s="9" t="s">
        <v>46</v>
      </c>
      <c r="E2133" s="9" t="s">
        <v>18</v>
      </c>
      <c r="F2133" s="9">
        <v>228</v>
      </c>
      <c r="G2133" s="9">
        <v>350.14</v>
      </c>
      <c r="H2133" s="9" t="s">
        <v>14</v>
      </c>
      <c r="I2133" s="9">
        <v>13</v>
      </c>
      <c r="J2133" s="10">
        <v>122.13999999999901</v>
      </c>
      <c r="K2133" s="9" t="str">
        <f>TEXT(Sales_of_Jordan[[#This Row],[Sale_Date]],"mmm")</f>
        <v>Aug</v>
      </c>
    </row>
    <row r="2134" spans="1:11" x14ac:dyDescent="0.35">
      <c r="A2134" s="7" t="s">
        <v>2164</v>
      </c>
      <c r="B2134" s="8">
        <v>45231</v>
      </c>
      <c r="C2134" s="9" t="s">
        <v>21</v>
      </c>
      <c r="D2134" s="9" t="s">
        <v>22</v>
      </c>
      <c r="E2134" s="9" t="s">
        <v>13</v>
      </c>
      <c r="F2134" s="9">
        <v>216</v>
      </c>
      <c r="G2134" s="9">
        <v>124.45</v>
      </c>
      <c r="H2134" s="9" t="s">
        <v>14</v>
      </c>
      <c r="I2134" s="9">
        <v>1</v>
      </c>
      <c r="J2134" s="10">
        <v>-91.55</v>
      </c>
      <c r="K2134" s="9" t="str">
        <f>TEXT(Sales_of_Jordan[[#This Row],[Sale_Date]],"mmm")</f>
        <v>Nov</v>
      </c>
    </row>
    <row r="2135" spans="1:11" x14ac:dyDescent="0.35">
      <c r="A2135" s="7" t="s">
        <v>2165</v>
      </c>
      <c r="B2135" s="8">
        <v>45716</v>
      </c>
      <c r="C2135" s="9" t="s">
        <v>16</v>
      </c>
      <c r="D2135" s="9" t="s">
        <v>55</v>
      </c>
      <c r="E2135" s="9" t="s">
        <v>18</v>
      </c>
      <c r="F2135" s="9">
        <v>182</v>
      </c>
      <c r="G2135" s="9">
        <v>575.29999999999995</v>
      </c>
      <c r="H2135" s="9" t="s">
        <v>14</v>
      </c>
      <c r="I2135" s="9">
        <v>9</v>
      </c>
      <c r="J2135" s="10">
        <v>393.29999999999899</v>
      </c>
      <c r="K2135" s="9" t="str">
        <f>TEXT(Sales_of_Jordan[[#This Row],[Sale_Date]],"mmm")</f>
        <v>Feb</v>
      </c>
    </row>
    <row r="2136" spans="1:11" x14ac:dyDescent="0.35">
      <c r="A2136" s="7" t="s">
        <v>2166</v>
      </c>
      <c r="B2136" s="8">
        <v>45900</v>
      </c>
      <c r="C2136" s="9" t="s">
        <v>21</v>
      </c>
      <c r="D2136" s="9" t="s">
        <v>46</v>
      </c>
      <c r="E2136" s="9" t="s">
        <v>29</v>
      </c>
      <c r="F2136" s="9">
        <v>216</v>
      </c>
      <c r="G2136" s="9">
        <v>209.3</v>
      </c>
      <c r="H2136" s="9" t="s">
        <v>23</v>
      </c>
      <c r="I2136" s="9">
        <v>42</v>
      </c>
      <c r="J2136" s="10">
        <v>-6.6999999999999797</v>
      </c>
      <c r="K2136" s="9" t="str">
        <f>TEXT(Sales_of_Jordan[[#This Row],[Sale_Date]],"mmm")</f>
        <v>Aug</v>
      </c>
    </row>
    <row r="2137" spans="1:11" x14ac:dyDescent="0.35">
      <c r="A2137" s="7" t="s">
        <v>2167</v>
      </c>
      <c r="B2137" s="8">
        <v>45324</v>
      </c>
      <c r="C2137" s="9" t="s">
        <v>16</v>
      </c>
      <c r="D2137" s="9" t="s">
        <v>36</v>
      </c>
      <c r="E2137" s="9" t="s">
        <v>29</v>
      </c>
      <c r="F2137" s="9">
        <v>187</v>
      </c>
      <c r="G2137" s="9">
        <v>276.10000000000002</v>
      </c>
      <c r="H2137" s="9" t="s">
        <v>19</v>
      </c>
      <c r="I2137" s="9">
        <v>10</v>
      </c>
      <c r="J2137" s="10">
        <v>89.1</v>
      </c>
      <c r="K2137" s="9" t="str">
        <f>TEXT(Sales_of_Jordan[[#This Row],[Sale_Date]],"mmm")</f>
        <v>Feb</v>
      </c>
    </row>
    <row r="2138" spans="1:11" x14ac:dyDescent="0.35">
      <c r="A2138" s="7" t="s">
        <v>2168</v>
      </c>
      <c r="B2138" s="8">
        <v>44953</v>
      </c>
      <c r="C2138" s="9" t="s">
        <v>16</v>
      </c>
      <c r="D2138" s="9" t="s">
        <v>17</v>
      </c>
      <c r="E2138" s="9" t="s">
        <v>29</v>
      </c>
      <c r="F2138" s="9">
        <v>190</v>
      </c>
      <c r="G2138" s="9">
        <v>228.85</v>
      </c>
      <c r="H2138" s="9" t="s">
        <v>19</v>
      </c>
      <c r="I2138" s="9">
        <v>7</v>
      </c>
      <c r="J2138" s="10">
        <v>38.849999999999902</v>
      </c>
      <c r="K2138" s="9" t="str">
        <f>TEXT(Sales_of_Jordan[[#This Row],[Sale_Date]],"mmm")</f>
        <v>Jan</v>
      </c>
    </row>
    <row r="2139" spans="1:11" x14ac:dyDescent="0.35">
      <c r="A2139" s="7" t="s">
        <v>2169</v>
      </c>
      <c r="B2139" s="8">
        <v>45565</v>
      </c>
      <c r="C2139" s="9" t="s">
        <v>21</v>
      </c>
      <c r="D2139" s="9" t="s">
        <v>17</v>
      </c>
      <c r="E2139" s="9" t="s">
        <v>13</v>
      </c>
      <c r="F2139" s="9">
        <v>225</v>
      </c>
      <c r="G2139" s="9">
        <v>146.22999999999999</v>
      </c>
      <c r="H2139" s="9" t="s">
        <v>19</v>
      </c>
      <c r="I2139" s="9">
        <v>7</v>
      </c>
      <c r="J2139" s="10">
        <v>-78.77</v>
      </c>
      <c r="K2139" s="9" t="str">
        <f>TEXT(Sales_of_Jordan[[#This Row],[Sale_Date]],"mmm")</f>
        <v>Sep</v>
      </c>
    </row>
    <row r="2140" spans="1:11" x14ac:dyDescent="0.35">
      <c r="A2140" s="7" t="s">
        <v>2170</v>
      </c>
      <c r="B2140" s="8">
        <v>45292</v>
      </c>
      <c r="C2140" s="9" t="s">
        <v>31</v>
      </c>
      <c r="D2140" s="9" t="s">
        <v>46</v>
      </c>
      <c r="E2140" s="9" t="s">
        <v>13</v>
      </c>
      <c r="F2140" s="9">
        <v>203</v>
      </c>
      <c r="G2140" s="9">
        <v>102.15</v>
      </c>
      <c r="H2140" s="9" t="s">
        <v>32</v>
      </c>
      <c r="I2140" s="9">
        <v>26</v>
      </c>
      <c r="J2140" s="10">
        <v>-100.85</v>
      </c>
      <c r="K2140" s="9" t="str">
        <f>TEXT(Sales_of_Jordan[[#This Row],[Sale_Date]],"mmm")</f>
        <v>Jan</v>
      </c>
    </row>
    <row r="2141" spans="1:11" x14ac:dyDescent="0.35">
      <c r="A2141" s="7" t="s">
        <v>2171</v>
      </c>
      <c r="B2141" s="8">
        <v>45771</v>
      </c>
      <c r="C2141" s="9" t="s">
        <v>27</v>
      </c>
      <c r="D2141" s="9" t="s">
        <v>34</v>
      </c>
      <c r="E2141" s="9" t="s">
        <v>13</v>
      </c>
      <c r="F2141" s="9">
        <v>116</v>
      </c>
      <c r="G2141" s="9">
        <v>69.34</v>
      </c>
      <c r="H2141" s="9" t="s">
        <v>19</v>
      </c>
      <c r="I2141" s="9">
        <v>9</v>
      </c>
      <c r="J2141" s="10">
        <v>-46.66</v>
      </c>
      <c r="K2141" s="9" t="str">
        <f>TEXT(Sales_of_Jordan[[#This Row],[Sale_Date]],"mmm")</f>
        <v>Apr</v>
      </c>
    </row>
    <row r="2142" spans="1:11" x14ac:dyDescent="0.35">
      <c r="A2142" s="7" t="s">
        <v>2172</v>
      </c>
      <c r="B2142" s="8">
        <v>45269</v>
      </c>
      <c r="C2142" s="9" t="s">
        <v>16</v>
      </c>
      <c r="D2142" s="9" t="s">
        <v>17</v>
      </c>
      <c r="E2142" s="9" t="s">
        <v>13</v>
      </c>
      <c r="F2142" s="9">
        <v>188</v>
      </c>
      <c r="G2142" s="9">
        <v>162.13999999999999</v>
      </c>
      <c r="H2142" s="9" t="s">
        <v>32</v>
      </c>
      <c r="I2142" s="9">
        <v>32</v>
      </c>
      <c r="J2142" s="10">
        <v>-25.86</v>
      </c>
      <c r="K2142" s="9" t="str">
        <f>TEXT(Sales_of_Jordan[[#This Row],[Sale_Date]],"mmm")</f>
        <v>Dec</v>
      </c>
    </row>
    <row r="2143" spans="1:11" x14ac:dyDescent="0.35">
      <c r="A2143" s="7" t="s">
        <v>2173</v>
      </c>
      <c r="B2143" s="8">
        <v>45524</v>
      </c>
      <c r="C2143" s="9" t="s">
        <v>11</v>
      </c>
      <c r="D2143" s="9" t="s">
        <v>39</v>
      </c>
      <c r="E2143" s="9" t="s">
        <v>13</v>
      </c>
      <c r="F2143" s="9">
        <v>230</v>
      </c>
      <c r="G2143" s="9">
        <v>139.36000000000001</v>
      </c>
      <c r="H2143" s="9" t="s">
        <v>19</v>
      </c>
      <c r="I2143" s="9">
        <v>1</v>
      </c>
      <c r="J2143" s="10">
        <v>-90.639999999999901</v>
      </c>
      <c r="K2143" s="9" t="str">
        <f>TEXT(Sales_of_Jordan[[#This Row],[Sale_Date]],"mmm")</f>
        <v>Aug</v>
      </c>
    </row>
    <row r="2144" spans="1:11" x14ac:dyDescent="0.35">
      <c r="A2144" s="7" t="s">
        <v>2174</v>
      </c>
      <c r="B2144" s="8">
        <v>45862</v>
      </c>
      <c r="C2144" s="9" t="s">
        <v>31</v>
      </c>
      <c r="D2144" s="9" t="s">
        <v>46</v>
      </c>
      <c r="E2144" s="9" t="s">
        <v>18</v>
      </c>
      <c r="F2144" s="9">
        <v>209</v>
      </c>
      <c r="G2144" s="9">
        <v>634.35</v>
      </c>
      <c r="H2144" s="9" t="s">
        <v>23</v>
      </c>
      <c r="I2144" s="9">
        <v>19</v>
      </c>
      <c r="J2144" s="10">
        <v>425.35</v>
      </c>
      <c r="K2144" s="9" t="str">
        <f>TEXT(Sales_of_Jordan[[#This Row],[Sale_Date]],"mmm")</f>
        <v>Jul</v>
      </c>
    </row>
    <row r="2145" spans="1:11" x14ac:dyDescent="0.35">
      <c r="A2145" s="7" t="s">
        <v>2175</v>
      </c>
      <c r="B2145" s="8">
        <v>45134</v>
      </c>
      <c r="C2145" s="9" t="s">
        <v>31</v>
      </c>
      <c r="D2145" s="9" t="s">
        <v>17</v>
      </c>
      <c r="E2145" s="9" t="s">
        <v>18</v>
      </c>
      <c r="F2145" s="9">
        <v>201</v>
      </c>
      <c r="G2145" s="9">
        <v>382.35</v>
      </c>
      <c r="H2145" s="9" t="s">
        <v>19</v>
      </c>
      <c r="I2145" s="9">
        <v>10</v>
      </c>
      <c r="J2145" s="10">
        <v>181.35</v>
      </c>
      <c r="K2145" s="9" t="str">
        <f>TEXT(Sales_of_Jordan[[#This Row],[Sale_Date]],"mmm")</f>
        <v>Jul</v>
      </c>
    </row>
    <row r="2146" spans="1:11" x14ac:dyDescent="0.35">
      <c r="A2146" s="7" t="s">
        <v>2176</v>
      </c>
      <c r="B2146" s="8">
        <v>45295</v>
      </c>
      <c r="C2146" s="9" t="s">
        <v>11</v>
      </c>
      <c r="D2146" s="9" t="s">
        <v>12</v>
      </c>
      <c r="E2146" s="9" t="s">
        <v>18</v>
      </c>
      <c r="F2146" s="9">
        <v>226</v>
      </c>
      <c r="G2146" s="9">
        <v>689.4</v>
      </c>
      <c r="H2146" s="9" t="s">
        <v>23</v>
      </c>
      <c r="I2146" s="9">
        <v>17</v>
      </c>
      <c r="J2146" s="10">
        <v>463.4</v>
      </c>
      <c r="K2146" s="9" t="str">
        <f>TEXT(Sales_of_Jordan[[#This Row],[Sale_Date]],"mmm")</f>
        <v>Jan</v>
      </c>
    </row>
    <row r="2147" spans="1:11" x14ac:dyDescent="0.35">
      <c r="A2147" s="7" t="s">
        <v>2177</v>
      </c>
      <c r="B2147" s="8">
        <v>45262</v>
      </c>
      <c r="C2147" s="9" t="s">
        <v>11</v>
      </c>
      <c r="D2147" s="9" t="s">
        <v>36</v>
      </c>
      <c r="E2147" s="9" t="s">
        <v>13</v>
      </c>
      <c r="F2147" s="9">
        <v>226</v>
      </c>
      <c r="G2147" s="9">
        <v>168.8</v>
      </c>
      <c r="H2147" s="9" t="s">
        <v>23</v>
      </c>
      <c r="I2147" s="9">
        <v>19</v>
      </c>
      <c r="J2147" s="10">
        <v>-57.199999999999903</v>
      </c>
      <c r="K2147" s="9" t="str">
        <f>TEXT(Sales_of_Jordan[[#This Row],[Sale_Date]],"mmm")</f>
        <v>Dec</v>
      </c>
    </row>
    <row r="2148" spans="1:11" x14ac:dyDescent="0.35">
      <c r="A2148" s="7" t="s">
        <v>2178</v>
      </c>
      <c r="B2148" s="8">
        <v>45032</v>
      </c>
      <c r="C2148" s="9" t="s">
        <v>11</v>
      </c>
      <c r="D2148" s="9" t="s">
        <v>55</v>
      </c>
      <c r="E2148" s="9" t="s">
        <v>18</v>
      </c>
      <c r="F2148" s="9">
        <v>229</v>
      </c>
      <c r="G2148" s="9">
        <v>795.26</v>
      </c>
      <c r="H2148" s="9" t="s">
        <v>14</v>
      </c>
      <c r="I2148" s="9">
        <v>9</v>
      </c>
      <c r="J2148" s="10">
        <v>566.26</v>
      </c>
      <c r="K2148" s="9" t="str">
        <f>TEXT(Sales_of_Jordan[[#This Row],[Sale_Date]],"mmm")</f>
        <v>Apr</v>
      </c>
    </row>
    <row r="2149" spans="1:11" x14ac:dyDescent="0.35">
      <c r="A2149" s="7" t="s">
        <v>2179</v>
      </c>
      <c r="B2149" s="8">
        <v>45833</v>
      </c>
      <c r="C2149" s="9" t="s">
        <v>21</v>
      </c>
      <c r="D2149" s="9" t="s">
        <v>55</v>
      </c>
      <c r="E2149" s="9" t="s">
        <v>29</v>
      </c>
      <c r="F2149" s="9">
        <v>218</v>
      </c>
      <c r="G2149" s="9">
        <v>206.22</v>
      </c>
      <c r="H2149" s="9" t="s">
        <v>32</v>
      </c>
      <c r="I2149" s="9">
        <v>5</v>
      </c>
      <c r="J2149" s="10">
        <v>-11.78</v>
      </c>
      <c r="K2149" s="9" t="str">
        <f>TEXT(Sales_of_Jordan[[#This Row],[Sale_Date]],"mmm")</f>
        <v>Jun</v>
      </c>
    </row>
    <row r="2150" spans="1:11" x14ac:dyDescent="0.35">
      <c r="A2150" s="7" t="s">
        <v>2180</v>
      </c>
      <c r="B2150" s="8">
        <v>45760</v>
      </c>
      <c r="C2150" s="9" t="s">
        <v>11</v>
      </c>
      <c r="D2150" s="9" t="s">
        <v>55</v>
      </c>
      <c r="E2150" s="9" t="s">
        <v>29</v>
      </c>
      <c r="F2150" s="9">
        <v>230</v>
      </c>
      <c r="G2150" s="9">
        <v>212.8</v>
      </c>
      <c r="H2150" s="9" t="s">
        <v>25</v>
      </c>
      <c r="I2150" s="9">
        <v>58</v>
      </c>
      <c r="J2150" s="10">
        <v>-17.1999999999999</v>
      </c>
      <c r="K2150" s="9" t="str">
        <f>TEXT(Sales_of_Jordan[[#This Row],[Sale_Date]],"mmm")</f>
        <v>Apr</v>
      </c>
    </row>
    <row r="2151" spans="1:11" x14ac:dyDescent="0.35">
      <c r="A2151" s="7" t="s">
        <v>2181</v>
      </c>
      <c r="B2151" s="8">
        <v>45350</v>
      </c>
      <c r="C2151" s="9" t="s">
        <v>27</v>
      </c>
      <c r="D2151" s="9" t="s">
        <v>12</v>
      </c>
      <c r="E2151" s="9" t="s">
        <v>18</v>
      </c>
      <c r="F2151" s="9">
        <v>116</v>
      </c>
      <c r="G2151" s="9">
        <v>231.73</v>
      </c>
      <c r="H2151" s="9" t="s">
        <v>32</v>
      </c>
      <c r="I2151" s="9">
        <v>48</v>
      </c>
      <c r="J2151" s="10">
        <v>115.729999999999</v>
      </c>
      <c r="K2151" s="9" t="str">
        <f>TEXT(Sales_of_Jordan[[#This Row],[Sale_Date]],"mmm")</f>
        <v>Feb</v>
      </c>
    </row>
    <row r="2152" spans="1:11" x14ac:dyDescent="0.35">
      <c r="A2152" s="7" t="s">
        <v>2182</v>
      </c>
      <c r="B2152" s="8">
        <v>45796</v>
      </c>
      <c r="C2152" s="9" t="s">
        <v>31</v>
      </c>
      <c r="D2152" s="9" t="s">
        <v>39</v>
      </c>
      <c r="E2152" s="9" t="s">
        <v>18</v>
      </c>
      <c r="F2152" s="9">
        <v>206</v>
      </c>
      <c r="G2152" s="9">
        <v>277.02999999999997</v>
      </c>
      <c r="H2152" s="9" t="s">
        <v>19</v>
      </c>
      <c r="I2152" s="9">
        <v>13</v>
      </c>
      <c r="J2152" s="10">
        <v>71.029999999999902</v>
      </c>
      <c r="K2152" s="9" t="str">
        <f>TEXT(Sales_of_Jordan[[#This Row],[Sale_Date]],"mmm")</f>
        <v>May</v>
      </c>
    </row>
    <row r="2153" spans="1:11" x14ac:dyDescent="0.35">
      <c r="A2153" s="7" t="s">
        <v>2183</v>
      </c>
      <c r="B2153" s="8">
        <v>45436</v>
      </c>
      <c r="C2153" s="9" t="s">
        <v>27</v>
      </c>
      <c r="D2153" s="9" t="s">
        <v>17</v>
      </c>
      <c r="E2153" s="9" t="s">
        <v>29</v>
      </c>
      <c r="F2153" s="9">
        <v>138</v>
      </c>
      <c r="G2153" s="9">
        <v>141.46</v>
      </c>
      <c r="H2153" s="9" t="s">
        <v>32</v>
      </c>
      <c r="I2153" s="9">
        <v>44</v>
      </c>
      <c r="J2153" s="10">
        <v>3.46</v>
      </c>
      <c r="K2153" s="9" t="str">
        <f>TEXT(Sales_of_Jordan[[#This Row],[Sale_Date]],"mmm")</f>
        <v>May</v>
      </c>
    </row>
    <row r="2154" spans="1:11" x14ac:dyDescent="0.35">
      <c r="A2154" s="7" t="s">
        <v>2184</v>
      </c>
      <c r="B2154" s="8">
        <v>45619</v>
      </c>
      <c r="C2154" s="9" t="s">
        <v>16</v>
      </c>
      <c r="D2154" s="9" t="s">
        <v>12</v>
      </c>
      <c r="E2154" s="9" t="s">
        <v>13</v>
      </c>
      <c r="F2154" s="9">
        <v>173</v>
      </c>
      <c r="G2154" s="9">
        <v>154.87</v>
      </c>
      <c r="H2154" s="9" t="s">
        <v>14</v>
      </c>
      <c r="I2154" s="9">
        <v>5</v>
      </c>
      <c r="J2154" s="10">
        <v>-18.1299999999999</v>
      </c>
      <c r="K2154" s="9" t="str">
        <f>TEXT(Sales_of_Jordan[[#This Row],[Sale_Date]],"mmm")</f>
        <v>Nov</v>
      </c>
    </row>
    <row r="2155" spans="1:11" x14ac:dyDescent="0.35">
      <c r="A2155" s="7" t="s">
        <v>2185</v>
      </c>
      <c r="B2155" s="8">
        <v>45440</v>
      </c>
      <c r="C2155" s="9" t="s">
        <v>11</v>
      </c>
      <c r="D2155" s="9" t="s">
        <v>53</v>
      </c>
      <c r="E2155" s="9" t="s">
        <v>18</v>
      </c>
      <c r="F2155" s="9">
        <v>229</v>
      </c>
      <c r="G2155" s="9">
        <v>695.07</v>
      </c>
      <c r="H2155" s="9" t="s">
        <v>23</v>
      </c>
      <c r="I2155" s="9">
        <v>58</v>
      </c>
      <c r="J2155" s="10">
        <v>466.07</v>
      </c>
      <c r="K2155" s="9" t="str">
        <f>TEXT(Sales_of_Jordan[[#This Row],[Sale_Date]],"mmm")</f>
        <v>May</v>
      </c>
    </row>
    <row r="2156" spans="1:11" x14ac:dyDescent="0.35">
      <c r="A2156" s="7" t="s">
        <v>2186</v>
      </c>
      <c r="B2156" s="8">
        <v>45887</v>
      </c>
      <c r="C2156" s="9" t="s">
        <v>21</v>
      </c>
      <c r="D2156" s="9" t="s">
        <v>36</v>
      </c>
      <c r="E2156" s="9" t="s">
        <v>18</v>
      </c>
      <c r="F2156" s="9">
        <v>221</v>
      </c>
      <c r="G2156" s="9">
        <v>317.75</v>
      </c>
      <c r="H2156" s="9" t="s">
        <v>32</v>
      </c>
      <c r="I2156" s="9">
        <v>13</v>
      </c>
      <c r="J2156" s="10">
        <v>96.75</v>
      </c>
      <c r="K2156" s="9" t="str">
        <f>TEXT(Sales_of_Jordan[[#This Row],[Sale_Date]],"mmm")</f>
        <v>Aug</v>
      </c>
    </row>
    <row r="2157" spans="1:11" x14ac:dyDescent="0.35">
      <c r="A2157" s="7" t="s">
        <v>2187</v>
      </c>
      <c r="B2157" s="8">
        <v>45812</v>
      </c>
      <c r="C2157" s="9" t="s">
        <v>21</v>
      </c>
      <c r="D2157" s="9" t="s">
        <v>34</v>
      </c>
      <c r="E2157" s="9" t="s">
        <v>29</v>
      </c>
      <c r="F2157" s="9">
        <v>218</v>
      </c>
      <c r="G2157" s="9">
        <v>242.32</v>
      </c>
      <c r="H2157" s="9" t="s">
        <v>25</v>
      </c>
      <c r="I2157" s="9">
        <v>14</v>
      </c>
      <c r="J2157" s="10">
        <v>24.319999999999901</v>
      </c>
      <c r="K2157" s="9" t="str">
        <f>TEXT(Sales_of_Jordan[[#This Row],[Sale_Date]],"mmm")</f>
        <v>Jun</v>
      </c>
    </row>
    <row r="2158" spans="1:11" x14ac:dyDescent="0.35">
      <c r="A2158" s="7" t="s">
        <v>2188</v>
      </c>
      <c r="B2158" s="8">
        <v>45544</v>
      </c>
      <c r="C2158" s="9" t="s">
        <v>27</v>
      </c>
      <c r="D2158" s="9" t="s">
        <v>34</v>
      </c>
      <c r="E2158" s="9" t="s">
        <v>29</v>
      </c>
      <c r="F2158" s="9">
        <v>111</v>
      </c>
      <c r="G2158" s="9">
        <v>109.43</v>
      </c>
      <c r="H2158" s="9" t="s">
        <v>23</v>
      </c>
      <c r="I2158" s="9">
        <v>29</v>
      </c>
      <c r="J2158" s="10">
        <v>-1.5699999999999901</v>
      </c>
      <c r="K2158" s="9" t="str">
        <f>TEXT(Sales_of_Jordan[[#This Row],[Sale_Date]],"mmm")</f>
        <v>Sep</v>
      </c>
    </row>
    <row r="2159" spans="1:11" x14ac:dyDescent="0.35">
      <c r="A2159" s="7" t="s">
        <v>2189</v>
      </c>
      <c r="B2159" s="8">
        <v>45823</v>
      </c>
      <c r="C2159" s="9" t="s">
        <v>27</v>
      </c>
      <c r="D2159" s="9" t="s">
        <v>39</v>
      </c>
      <c r="E2159" s="9" t="s">
        <v>13</v>
      </c>
      <c r="F2159" s="9">
        <v>134</v>
      </c>
      <c r="G2159" s="9">
        <v>107.47</v>
      </c>
      <c r="H2159" s="9" t="s">
        <v>14</v>
      </c>
      <c r="I2159" s="9">
        <v>10</v>
      </c>
      <c r="J2159" s="10">
        <v>-26.53</v>
      </c>
      <c r="K2159" s="9" t="str">
        <f>TEXT(Sales_of_Jordan[[#This Row],[Sale_Date]],"mmm")</f>
        <v>Jun</v>
      </c>
    </row>
    <row r="2160" spans="1:11" x14ac:dyDescent="0.35">
      <c r="A2160" s="7" t="s">
        <v>2190</v>
      </c>
      <c r="B2160" s="8">
        <v>45563</v>
      </c>
      <c r="C2160" s="9" t="s">
        <v>27</v>
      </c>
      <c r="D2160" s="9" t="s">
        <v>36</v>
      </c>
      <c r="E2160" s="9" t="s">
        <v>13</v>
      </c>
      <c r="F2160" s="9">
        <v>110</v>
      </c>
      <c r="G2160" s="9">
        <v>90.08</v>
      </c>
      <c r="H2160" s="9" t="s">
        <v>19</v>
      </c>
      <c r="I2160" s="9">
        <v>6</v>
      </c>
      <c r="J2160" s="10">
        <v>-19.920000000000002</v>
      </c>
      <c r="K2160" s="9" t="str">
        <f>TEXT(Sales_of_Jordan[[#This Row],[Sale_Date]],"mmm")</f>
        <v>Sep</v>
      </c>
    </row>
    <row r="2161" spans="1:11" x14ac:dyDescent="0.35">
      <c r="A2161" s="7" t="s">
        <v>2191</v>
      </c>
      <c r="B2161" s="8">
        <v>45518</v>
      </c>
      <c r="C2161" s="9" t="s">
        <v>16</v>
      </c>
      <c r="D2161" s="9" t="s">
        <v>55</v>
      </c>
      <c r="E2161" s="9" t="s">
        <v>13</v>
      </c>
      <c r="F2161" s="9">
        <v>184</v>
      </c>
      <c r="G2161" s="9">
        <v>106.88</v>
      </c>
      <c r="H2161" s="9" t="s">
        <v>25</v>
      </c>
      <c r="I2161" s="9">
        <v>56</v>
      </c>
      <c r="J2161" s="10">
        <v>-77.12</v>
      </c>
      <c r="K2161" s="9" t="str">
        <f>TEXT(Sales_of_Jordan[[#This Row],[Sale_Date]],"mmm")</f>
        <v>Aug</v>
      </c>
    </row>
    <row r="2162" spans="1:11" x14ac:dyDescent="0.35">
      <c r="A2162" s="7" t="s">
        <v>2192</v>
      </c>
      <c r="B2162" s="8">
        <v>45895</v>
      </c>
      <c r="C2162" s="9" t="s">
        <v>31</v>
      </c>
      <c r="D2162" s="9" t="s">
        <v>34</v>
      </c>
      <c r="E2162" s="9" t="s">
        <v>29</v>
      </c>
      <c r="F2162" s="9">
        <v>210</v>
      </c>
      <c r="G2162" s="9">
        <v>299.98</v>
      </c>
      <c r="H2162" s="9" t="s">
        <v>25</v>
      </c>
      <c r="I2162" s="9">
        <v>60</v>
      </c>
      <c r="J2162" s="10">
        <v>89.98</v>
      </c>
      <c r="K2162" s="9" t="str">
        <f>TEXT(Sales_of_Jordan[[#This Row],[Sale_Date]],"mmm")</f>
        <v>Aug</v>
      </c>
    </row>
    <row r="2163" spans="1:11" x14ac:dyDescent="0.35">
      <c r="A2163" s="7" t="s">
        <v>2193</v>
      </c>
      <c r="B2163" s="8">
        <v>45598</v>
      </c>
      <c r="C2163" s="9" t="s">
        <v>21</v>
      </c>
      <c r="D2163" s="9" t="s">
        <v>12</v>
      </c>
      <c r="E2163" s="9" t="s">
        <v>18</v>
      </c>
      <c r="F2163" s="9">
        <v>210</v>
      </c>
      <c r="G2163" s="9">
        <v>283.42</v>
      </c>
      <c r="H2163" s="9" t="s">
        <v>19</v>
      </c>
      <c r="I2163" s="9">
        <v>10</v>
      </c>
      <c r="J2163" s="10">
        <v>73.42</v>
      </c>
      <c r="K2163" s="9" t="str">
        <f>TEXT(Sales_of_Jordan[[#This Row],[Sale_Date]],"mmm")</f>
        <v>Nov</v>
      </c>
    </row>
    <row r="2164" spans="1:11" x14ac:dyDescent="0.35">
      <c r="A2164" s="7" t="s">
        <v>2194</v>
      </c>
      <c r="B2164" s="8">
        <v>45888</v>
      </c>
      <c r="C2164" s="9" t="s">
        <v>31</v>
      </c>
      <c r="D2164" s="9" t="s">
        <v>46</v>
      </c>
      <c r="E2164" s="9" t="s">
        <v>18</v>
      </c>
      <c r="F2164" s="9">
        <v>210</v>
      </c>
      <c r="G2164" s="9">
        <v>400.89</v>
      </c>
      <c r="H2164" s="9" t="s">
        <v>23</v>
      </c>
      <c r="I2164" s="9">
        <v>24</v>
      </c>
      <c r="J2164" s="10">
        <v>190.89</v>
      </c>
      <c r="K2164" s="9" t="str">
        <f>TEXT(Sales_of_Jordan[[#This Row],[Sale_Date]],"mmm")</f>
        <v>Aug</v>
      </c>
    </row>
    <row r="2165" spans="1:11" x14ac:dyDescent="0.35">
      <c r="A2165" s="7" t="s">
        <v>2195</v>
      </c>
      <c r="B2165" s="8">
        <v>45816</v>
      </c>
      <c r="C2165" s="9" t="s">
        <v>11</v>
      </c>
      <c r="D2165" s="9" t="s">
        <v>53</v>
      </c>
      <c r="E2165" s="9" t="s">
        <v>29</v>
      </c>
      <c r="F2165" s="9">
        <v>226</v>
      </c>
      <c r="G2165" s="9">
        <v>243.84</v>
      </c>
      <c r="H2165" s="9" t="s">
        <v>19</v>
      </c>
      <c r="I2165" s="9">
        <v>3</v>
      </c>
      <c r="J2165" s="10">
        <v>17.84</v>
      </c>
      <c r="K2165" s="9" t="str">
        <f>TEXT(Sales_of_Jordan[[#This Row],[Sale_Date]],"mmm")</f>
        <v>Jun</v>
      </c>
    </row>
    <row r="2166" spans="1:11" x14ac:dyDescent="0.35">
      <c r="A2166" s="7" t="s">
        <v>2196</v>
      </c>
      <c r="B2166" s="8">
        <v>45161</v>
      </c>
      <c r="C2166" s="9" t="s">
        <v>11</v>
      </c>
      <c r="D2166" s="9" t="s">
        <v>39</v>
      </c>
      <c r="E2166" s="9" t="s">
        <v>18</v>
      </c>
      <c r="F2166" s="9">
        <v>229</v>
      </c>
      <c r="G2166" s="9">
        <v>550.6</v>
      </c>
      <c r="H2166" s="9" t="s">
        <v>32</v>
      </c>
      <c r="I2166" s="9">
        <v>54</v>
      </c>
      <c r="J2166" s="10">
        <v>321.60000000000002</v>
      </c>
      <c r="K2166" s="9" t="str">
        <f>TEXT(Sales_of_Jordan[[#This Row],[Sale_Date]],"mmm")</f>
        <v>Aug</v>
      </c>
    </row>
    <row r="2167" spans="1:11" x14ac:dyDescent="0.35">
      <c r="A2167" s="7" t="s">
        <v>2197</v>
      </c>
      <c r="B2167" s="8">
        <v>45769</v>
      </c>
      <c r="C2167" s="9" t="s">
        <v>11</v>
      </c>
      <c r="D2167" s="9" t="s">
        <v>36</v>
      </c>
      <c r="E2167" s="9" t="s">
        <v>18</v>
      </c>
      <c r="F2167" s="9">
        <v>230</v>
      </c>
      <c r="G2167" s="9">
        <v>399.75</v>
      </c>
      <c r="H2167" s="9" t="s">
        <v>14</v>
      </c>
      <c r="I2167" s="9">
        <v>4</v>
      </c>
      <c r="J2167" s="10">
        <v>169.75</v>
      </c>
      <c r="K2167" s="9" t="str">
        <f>TEXT(Sales_of_Jordan[[#This Row],[Sale_Date]],"mmm")</f>
        <v>Apr</v>
      </c>
    </row>
    <row r="2168" spans="1:11" x14ac:dyDescent="0.35">
      <c r="A2168" s="7" t="s">
        <v>2198</v>
      </c>
      <c r="B2168" s="8">
        <v>45500</v>
      </c>
      <c r="C2168" s="9" t="s">
        <v>31</v>
      </c>
      <c r="D2168" s="9" t="s">
        <v>55</v>
      </c>
      <c r="E2168" s="9" t="s">
        <v>29</v>
      </c>
      <c r="F2168" s="9">
        <v>205</v>
      </c>
      <c r="G2168" s="9">
        <v>185.47</v>
      </c>
      <c r="H2168" s="9" t="s">
        <v>32</v>
      </c>
      <c r="I2168" s="9">
        <v>7</v>
      </c>
      <c r="J2168" s="10">
        <v>-19.53</v>
      </c>
      <c r="K2168" s="9" t="str">
        <f>TEXT(Sales_of_Jordan[[#This Row],[Sale_Date]],"mmm")</f>
        <v>Jul</v>
      </c>
    </row>
    <row r="2169" spans="1:11" x14ac:dyDescent="0.35">
      <c r="A2169" s="7" t="s">
        <v>2199</v>
      </c>
      <c r="B2169" s="8">
        <v>45160</v>
      </c>
      <c r="C2169" s="9" t="s">
        <v>16</v>
      </c>
      <c r="D2169" s="9" t="s">
        <v>39</v>
      </c>
      <c r="E2169" s="9" t="s">
        <v>29</v>
      </c>
      <c r="F2169" s="9">
        <v>189</v>
      </c>
      <c r="G2169" s="9">
        <v>247.56</v>
      </c>
      <c r="H2169" s="9" t="s">
        <v>14</v>
      </c>
      <c r="I2169" s="9">
        <v>3</v>
      </c>
      <c r="J2169" s="10">
        <v>58.56</v>
      </c>
      <c r="K2169" s="9" t="str">
        <f>TEXT(Sales_of_Jordan[[#This Row],[Sale_Date]],"mmm")</f>
        <v>Aug</v>
      </c>
    </row>
    <row r="2170" spans="1:11" x14ac:dyDescent="0.35">
      <c r="A2170" s="7" t="s">
        <v>2200</v>
      </c>
      <c r="B2170" s="8">
        <v>45181</v>
      </c>
      <c r="C2170" s="9" t="s">
        <v>27</v>
      </c>
      <c r="D2170" s="9" t="s">
        <v>39</v>
      </c>
      <c r="E2170" s="9" t="s">
        <v>13</v>
      </c>
      <c r="F2170" s="9">
        <v>128</v>
      </c>
      <c r="G2170" s="9">
        <v>96.43</v>
      </c>
      <c r="H2170" s="9" t="s">
        <v>23</v>
      </c>
      <c r="I2170" s="9">
        <v>50</v>
      </c>
      <c r="J2170" s="10">
        <v>-31.569999999999901</v>
      </c>
      <c r="K2170" s="9" t="str">
        <f>TEXT(Sales_of_Jordan[[#This Row],[Sale_Date]],"mmm")</f>
        <v>Sep</v>
      </c>
    </row>
    <row r="2171" spans="1:11" x14ac:dyDescent="0.35">
      <c r="A2171" s="7" t="s">
        <v>2201</v>
      </c>
      <c r="B2171" s="8">
        <v>45154</v>
      </c>
      <c r="C2171" s="9" t="s">
        <v>16</v>
      </c>
      <c r="D2171" s="9" t="s">
        <v>34</v>
      </c>
      <c r="E2171" s="9" t="s">
        <v>29</v>
      </c>
      <c r="F2171" s="9">
        <v>181</v>
      </c>
      <c r="G2171" s="9">
        <v>190.41</v>
      </c>
      <c r="H2171" s="9" t="s">
        <v>23</v>
      </c>
      <c r="I2171" s="9">
        <v>18</v>
      </c>
      <c r="J2171" s="10">
        <v>9.4099999999999895</v>
      </c>
      <c r="K2171" s="9" t="str">
        <f>TEXT(Sales_of_Jordan[[#This Row],[Sale_Date]],"mmm")</f>
        <v>Aug</v>
      </c>
    </row>
    <row r="2172" spans="1:11" x14ac:dyDescent="0.35">
      <c r="A2172" s="7" t="s">
        <v>2202</v>
      </c>
      <c r="B2172" s="8">
        <v>45811</v>
      </c>
      <c r="C2172" s="9" t="s">
        <v>31</v>
      </c>
      <c r="D2172" s="9" t="s">
        <v>46</v>
      </c>
      <c r="E2172" s="9" t="s">
        <v>13</v>
      </c>
      <c r="F2172" s="9">
        <v>208</v>
      </c>
      <c r="G2172" s="9">
        <v>177.22</v>
      </c>
      <c r="H2172" s="9" t="s">
        <v>25</v>
      </c>
      <c r="I2172" s="9">
        <v>18</v>
      </c>
      <c r="J2172" s="10">
        <v>-30.78</v>
      </c>
      <c r="K2172" s="9" t="str">
        <f>TEXT(Sales_of_Jordan[[#This Row],[Sale_Date]],"mmm")</f>
        <v>Jun</v>
      </c>
    </row>
    <row r="2173" spans="1:11" x14ac:dyDescent="0.35">
      <c r="A2173" s="7" t="s">
        <v>2203</v>
      </c>
      <c r="B2173" s="8">
        <v>45548</v>
      </c>
      <c r="C2173" s="9" t="s">
        <v>27</v>
      </c>
      <c r="D2173" s="9" t="s">
        <v>36</v>
      </c>
      <c r="E2173" s="9" t="s">
        <v>29</v>
      </c>
      <c r="F2173" s="9">
        <v>126</v>
      </c>
      <c r="G2173" s="9">
        <v>182.5</v>
      </c>
      <c r="H2173" s="9" t="s">
        <v>19</v>
      </c>
      <c r="I2173" s="9">
        <v>6</v>
      </c>
      <c r="J2173" s="10">
        <v>56.5</v>
      </c>
      <c r="K2173" s="9" t="str">
        <f>TEXT(Sales_of_Jordan[[#This Row],[Sale_Date]],"mmm")</f>
        <v>Sep</v>
      </c>
    </row>
    <row r="2174" spans="1:11" x14ac:dyDescent="0.35">
      <c r="A2174" s="7" t="s">
        <v>2204</v>
      </c>
      <c r="B2174" s="8">
        <v>45185</v>
      </c>
      <c r="C2174" s="9" t="s">
        <v>11</v>
      </c>
      <c r="D2174" s="9" t="s">
        <v>55</v>
      </c>
      <c r="E2174" s="9" t="s">
        <v>18</v>
      </c>
      <c r="F2174" s="9">
        <v>227</v>
      </c>
      <c r="G2174" s="9">
        <v>466.24</v>
      </c>
      <c r="H2174" s="9" t="s">
        <v>32</v>
      </c>
      <c r="I2174" s="9">
        <v>8</v>
      </c>
      <c r="J2174" s="10">
        <v>239.24</v>
      </c>
      <c r="K2174" s="9" t="str">
        <f>TEXT(Sales_of_Jordan[[#This Row],[Sale_Date]],"mmm")</f>
        <v>Sep</v>
      </c>
    </row>
    <row r="2175" spans="1:11" x14ac:dyDescent="0.35">
      <c r="A2175" s="7" t="s">
        <v>2205</v>
      </c>
      <c r="B2175" s="8">
        <v>45038</v>
      </c>
      <c r="C2175" s="9" t="s">
        <v>11</v>
      </c>
      <c r="D2175" s="9" t="s">
        <v>17</v>
      </c>
      <c r="E2175" s="9" t="s">
        <v>29</v>
      </c>
      <c r="F2175" s="9">
        <v>229</v>
      </c>
      <c r="G2175" s="9">
        <v>337.91</v>
      </c>
      <c r="H2175" s="9" t="s">
        <v>14</v>
      </c>
      <c r="I2175" s="9">
        <v>2</v>
      </c>
      <c r="J2175" s="10">
        <v>108.91</v>
      </c>
      <c r="K2175" s="9" t="str">
        <f>TEXT(Sales_of_Jordan[[#This Row],[Sale_Date]],"mmm")</f>
        <v>Apr</v>
      </c>
    </row>
    <row r="2176" spans="1:11" x14ac:dyDescent="0.35">
      <c r="A2176" s="7" t="s">
        <v>2206</v>
      </c>
      <c r="B2176" s="8">
        <v>45658</v>
      </c>
      <c r="C2176" s="9" t="s">
        <v>16</v>
      </c>
      <c r="D2176" s="9" t="s">
        <v>12</v>
      </c>
      <c r="E2176" s="9" t="s">
        <v>13</v>
      </c>
      <c r="F2176" s="9">
        <v>176</v>
      </c>
      <c r="G2176" s="9">
        <v>147.29</v>
      </c>
      <c r="H2176" s="9" t="s">
        <v>23</v>
      </c>
      <c r="I2176" s="9">
        <v>54</v>
      </c>
      <c r="J2176" s="10">
        <v>-28.71</v>
      </c>
      <c r="K2176" s="9" t="str">
        <f>TEXT(Sales_of_Jordan[[#This Row],[Sale_Date]],"mmm")</f>
        <v>Jan</v>
      </c>
    </row>
    <row r="2177" spans="1:11" x14ac:dyDescent="0.35">
      <c r="A2177" s="7" t="s">
        <v>2207</v>
      </c>
      <c r="B2177" s="8">
        <v>44997</v>
      </c>
      <c r="C2177" s="9" t="s">
        <v>27</v>
      </c>
      <c r="D2177" s="9" t="s">
        <v>12</v>
      </c>
      <c r="E2177" s="9" t="s">
        <v>29</v>
      </c>
      <c r="F2177" s="9">
        <v>133</v>
      </c>
      <c r="G2177" s="9">
        <v>133.24</v>
      </c>
      <c r="H2177" s="9" t="s">
        <v>14</v>
      </c>
      <c r="I2177" s="9">
        <v>12</v>
      </c>
      <c r="J2177" s="10">
        <v>0.24000000000000901</v>
      </c>
      <c r="K2177" s="9" t="str">
        <f>TEXT(Sales_of_Jordan[[#This Row],[Sale_Date]],"mmm")</f>
        <v>Mar</v>
      </c>
    </row>
    <row r="2178" spans="1:11" x14ac:dyDescent="0.35">
      <c r="A2178" s="7" t="s">
        <v>2208</v>
      </c>
      <c r="B2178" s="8">
        <v>45086</v>
      </c>
      <c r="C2178" s="9" t="s">
        <v>16</v>
      </c>
      <c r="D2178" s="9" t="s">
        <v>22</v>
      </c>
      <c r="E2178" s="9" t="s">
        <v>13</v>
      </c>
      <c r="F2178" s="9">
        <v>175</v>
      </c>
      <c r="G2178" s="9">
        <v>138.46</v>
      </c>
      <c r="H2178" s="9" t="s">
        <v>32</v>
      </c>
      <c r="I2178" s="9">
        <v>19</v>
      </c>
      <c r="J2178" s="10">
        <v>-36.5399999999999</v>
      </c>
      <c r="K2178" s="9" t="str">
        <f>TEXT(Sales_of_Jordan[[#This Row],[Sale_Date]],"mmm")</f>
        <v>Jun</v>
      </c>
    </row>
    <row r="2179" spans="1:11" x14ac:dyDescent="0.35">
      <c r="A2179" s="7" t="s">
        <v>2209</v>
      </c>
      <c r="B2179" s="8">
        <v>45289</v>
      </c>
      <c r="C2179" s="9" t="s">
        <v>31</v>
      </c>
      <c r="D2179" s="9" t="s">
        <v>46</v>
      </c>
      <c r="E2179" s="9" t="s">
        <v>13</v>
      </c>
      <c r="F2179" s="9">
        <v>200</v>
      </c>
      <c r="G2179" s="9">
        <v>156.4</v>
      </c>
      <c r="H2179" s="9" t="s">
        <v>14</v>
      </c>
      <c r="I2179" s="9">
        <v>3</v>
      </c>
      <c r="J2179" s="10">
        <v>-43.599999999999902</v>
      </c>
      <c r="K2179" s="9" t="str">
        <f>TEXT(Sales_of_Jordan[[#This Row],[Sale_Date]],"mmm")</f>
        <v>Dec</v>
      </c>
    </row>
    <row r="2180" spans="1:11" x14ac:dyDescent="0.35">
      <c r="A2180" s="7" t="s">
        <v>2210</v>
      </c>
      <c r="B2180" s="8">
        <v>45699</v>
      </c>
      <c r="C2180" s="9" t="s">
        <v>16</v>
      </c>
      <c r="D2180" s="9" t="s">
        <v>55</v>
      </c>
      <c r="E2180" s="9" t="s">
        <v>29</v>
      </c>
      <c r="F2180" s="9">
        <v>170</v>
      </c>
      <c r="G2180" s="9">
        <v>203.25</v>
      </c>
      <c r="H2180" s="9" t="s">
        <v>23</v>
      </c>
      <c r="I2180" s="9">
        <v>43</v>
      </c>
      <c r="J2180" s="10">
        <v>33.25</v>
      </c>
      <c r="K2180" s="9" t="str">
        <f>TEXT(Sales_of_Jordan[[#This Row],[Sale_Date]],"mmm")</f>
        <v>Feb</v>
      </c>
    </row>
    <row r="2181" spans="1:11" x14ac:dyDescent="0.35">
      <c r="A2181" s="7" t="s">
        <v>2211</v>
      </c>
      <c r="B2181" s="8">
        <v>45658</v>
      </c>
      <c r="C2181" s="9" t="s">
        <v>11</v>
      </c>
      <c r="D2181" s="9" t="s">
        <v>55</v>
      </c>
      <c r="E2181" s="9" t="s">
        <v>18</v>
      </c>
      <c r="F2181" s="9">
        <v>230</v>
      </c>
      <c r="G2181" s="9">
        <v>462.79</v>
      </c>
      <c r="H2181" s="9" t="s">
        <v>32</v>
      </c>
      <c r="I2181" s="9">
        <v>45</v>
      </c>
      <c r="J2181" s="10">
        <v>232.79</v>
      </c>
      <c r="K2181" s="9" t="str">
        <f>TEXT(Sales_of_Jordan[[#This Row],[Sale_Date]],"mmm")</f>
        <v>Jan</v>
      </c>
    </row>
    <row r="2182" spans="1:11" x14ac:dyDescent="0.35">
      <c r="A2182" s="7" t="s">
        <v>2212</v>
      </c>
      <c r="B2182" s="8">
        <v>45100</v>
      </c>
      <c r="C2182" s="9" t="s">
        <v>31</v>
      </c>
      <c r="D2182" s="9" t="s">
        <v>36</v>
      </c>
      <c r="E2182" s="9" t="s">
        <v>18</v>
      </c>
      <c r="F2182" s="9">
        <v>209</v>
      </c>
      <c r="G2182" s="9">
        <v>313.68</v>
      </c>
      <c r="H2182" s="9" t="s">
        <v>25</v>
      </c>
      <c r="I2182" s="9">
        <v>49</v>
      </c>
      <c r="J2182" s="10">
        <v>104.68</v>
      </c>
      <c r="K2182" s="9" t="str">
        <f>TEXT(Sales_of_Jordan[[#This Row],[Sale_Date]],"mmm")</f>
        <v>Jun</v>
      </c>
    </row>
    <row r="2183" spans="1:11" x14ac:dyDescent="0.35">
      <c r="A2183" s="7" t="s">
        <v>2213</v>
      </c>
      <c r="B2183" s="8">
        <v>45574</v>
      </c>
      <c r="C2183" s="9" t="s">
        <v>27</v>
      </c>
      <c r="D2183" s="9" t="s">
        <v>17</v>
      </c>
      <c r="E2183" s="9" t="s">
        <v>29</v>
      </c>
      <c r="F2183" s="9">
        <v>140</v>
      </c>
      <c r="G2183" s="9">
        <v>135.18</v>
      </c>
      <c r="H2183" s="9" t="s">
        <v>25</v>
      </c>
      <c r="I2183" s="9">
        <v>53</v>
      </c>
      <c r="J2183" s="10">
        <v>-4.8199999999999896</v>
      </c>
      <c r="K2183" s="9" t="str">
        <f>TEXT(Sales_of_Jordan[[#This Row],[Sale_Date]],"mmm")</f>
        <v>Oct</v>
      </c>
    </row>
    <row r="2184" spans="1:11" x14ac:dyDescent="0.35">
      <c r="A2184" s="7" t="s">
        <v>2214</v>
      </c>
      <c r="B2184" s="8">
        <v>45732</v>
      </c>
      <c r="C2184" s="9" t="s">
        <v>27</v>
      </c>
      <c r="D2184" s="9" t="s">
        <v>12</v>
      </c>
      <c r="E2184" s="9" t="s">
        <v>18</v>
      </c>
      <c r="F2184" s="9">
        <v>124</v>
      </c>
      <c r="G2184" s="9">
        <v>424.44</v>
      </c>
      <c r="H2184" s="9" t="s">
        <v>32</v>
      </c>
      <c r="I2184" s="9">
        <v>30</v>
      </c>
      <c r="J2184" s="10">
        <v>300.44</v>
      </c>
      <c r="K2184" s="9" t="str">
        <f>TEXT(Sales_of_Jordan[[#This Row],[Sale_Date]],"mmm")</f>
        <v>Mar</v>
      </c>
    </row>
    <row r="2185" spans="1:11" x14ac:dyDescent="0.35">
      <c r="A2185" s="7" t="s">
        <v>2215</v>
      </c>
      <c r="B2185" s="8">
        <v>45863</v>
      </c>
      <c r="C2185" s="9" t="s">
        <v>11</v>
      </c>
      <c r="D2185" s="9" t="s">
        <v>36</v>
      </c>
      <c r="E2185" s="9" t="s">
        <v>13</v>
      </c>
      <c r="F2185" s="9">
        <v>226</v>
      </c>
      <c r="G2185" s="9">
        <v>160.21</v>
      </c>
      <c r="H2185" s="9" t="s">
        <v>14</v>
      </c>
      <c r="I2185" s="9">
        <v>11</v>
      </c>
      <c r="J2185" s="10">
        <v>-65.789999999999907</v>
      </c>
      <c r="K2185" s="9" t="str">
        <f>TEXT(Sales_of_Jordan[[#This Row],[Sale_Date]],"mmm")</f>
        <v>Jul</v>
      </c>
    </row>
    <row r="2186" spans="1:11" x14ac:dyDescent="0.35">
      <c r="A2186" s="7" t="s">
        <v>2216</v>
      </c>
      <c r="B2186" s="8">
        <v>45497</v>
      </c>
      <c r="C2186" s="9" t="s">
        <v>31</v>
      </c>
      <c r="D2186" s="9" t="s">
        <v>39</v>
      </c>
      <c r="E2186" s="9" t="s">
        <v>18</v>
      </c>
      <c r="F2186" s="9">
        <v>204</v>
      </c>
      <c r="G2186" s="9">
        <v>466.57</v>
      </c>
      <c r="H2186" s="9" t="s">
        <v>23</v>
      </c>
      <c r="I2186" s="9">
        <v>12</v>
      </c>
      <c r="J2186" s="10">
        <v>262.57</v>
      </c>
      <c r="K2186" s="9" t="str">
        <f>TEXT(Sales_of_Jordan[[#This Row],[Sale_Date]],"mmm")</f>
        <v>Jul</v>
      </c>
    </row>
    <row r="2187" spans="1:11" x14ac:dyDescent="0.35">
      <c r="A2187" s="7" t="s">
        <v>2217</v>
      </c>
      <c r="B2187" s="8">
        <v>45711</v>
      </c>
      <c r="C2187" s="9" t="s">
        <v>16</v>
      </c>
      <c r="D2187" s="9" t="s">
        <v>12</v>
      </c>
      <c r="E2187" s="9" t="s">
        <v>18</v>
      </c>
      <c r="F2187" s="9">
        <v>173</v>
      </c>
      <c r="G2187" s="9">
        <v>349.83</v>
      </c>
      <c r="H2187" s="9" t="s">
        <v>25</v>
      </c>
      <c r="I2187" s="9">
        <v>16</v>
      </c>
      <c r="J2187" s="10">
        <v>176.82999999999899</v>
      </c>
      <c r="K2187" s="9" t="str">
        <f>TEXT(Sales_of_Jordan[[#This Row],[Sale_Date]],"mmm")</f>
        <v>Feb</v>
      </c>
    </row>
    <row r="2188" spans="1:11" x14ac:dyDescent="0.35">
      <c r="A2188" s="7" t="s">
        <v>2218</v>
      </c>
      <c r="B2188" s="8">
        <v>45158</v>
      </c>
      <c r="C2188" s="9" t="s">
        <v>16</v>
      </c>
      <c r="D2188" s="9" t="s">
        <v>36</v>
      </c>
      <c r="E2188" s="9" t="s">
        <v>13</v>
      </c>
      <c r="F2188" s="9">
        <v>173</v>
      </c>
      <c r="G2188" s="9">
        <v>116.12</v>
      </c>
      <c r="H2188" s="9" t="s">
        <v>32</v>
      </c>
      <c r="I2188" s="9">
        <v>6</v>
      </c>
      <c r="J2188" s="10">
        <v>-56.879999999999903</v>
      </c>
      <c r="K2188" s="9" t="str">
        <f>TEXT(Sales_of_Jordan[[#This Row],[Sale_Date]],"mmm")</f>
        <v>Aug</v>
      </c>
    </row>
    <row r="2189" spans="1:11" x14ac:dyDescent="0.35">
      <c r="A2189" s="7" t="s">
        <v>2219</v>
      </c>
      <c r="B2189" s="8">
        <v>45393</v>
      </c>
      <c r="C2189" s="9" t="s">
        <v>31</v>
      </c>
      <c r="D2189" s="9" t="s">
        <v>22</v>
      </c>
      <c r="E2189" s="9" t="s">
        <v>13</v>
      </c>
      <c r="F2189" s="9">
        <v>210</v>
      </c>
      <c r="G2189" s="9">
        <v>169.36</v>
      </c>
      <c r="H2189" s="9" t="s">
        <v>14</v>
      </c>
      <c r="I2189" s="9">
        <v>2</v>
      </c>
      <c r="J2189" s="10">
        <v>-40.639999999999901</v>
      </c>
      <c r="K2189" s="9" t="str">
        <f>TEXT(Sales_of_Jordan[[#This Row],[Sale_Date]],"mmm")</f>
        <v>Apr</v>
      </c>
    </row>
    <row r="2190" spans="1:11" x14ac:dyDescent="0.35">
      <c r="A2190" s="7" t="s">
        <v>2220</v>
      </c>
      <c r="B2190" s="8">
        <v>45829</v>
      </c>
      <c r="C2190" s="9" t="s">
        <v>11</v>
      </c>
      <c r="D2190" s="9" t="s">
        <v>12</v>
      </c>
      <c r="E2190" s="9" t="s">
        <v>18</v>
      </c>
      <c r="F2190" s="9">
        <v>225</v>
      </c>
      <c r="G2190" s="9">
        <v>435.79</v>
      </c>
      <c r="H2190" s="9" t="s">
        <v>25</v>
      </c>
      <c r="I2190" s="9">
        <v>10</v>
      </c>
      <c r="J2190" s="10">
        <v>210.79</v>
      </c>
      <c r="K2190" s="9" t="str">
        <f>TEXT(Sales_of_Jordan[[#This Row],[Sale_Date]],"mmm")</f>
        <v>Jun</v>
      </c>
    </row>
    <row r="2191" spans="1:11" x14ac:dyDescent="0.35">
      <c r="A2191" s="7" t="s">
        <v>2221</v>
      </c>
      <c r="B2191" s="8">
        <v>45200</v>
      </c>
      <c r="C2191" s="9" t="s">
        <v>16</v>
      </c>
      <c r="D2191" s="9" t="s">
        <v>36</v>
      </c>
      <c r="E2191" s="9" t="s">
        <v>13</v>
      </c>
      <c r="F2191" s="9">
        <v>184</v>
      </c>
      <c r="G2191" s="9">
        <v>94.63</v>
      </c>
      <c r="H2191" s="9" t="s">
        <v>25</v>
      </c>
      <c r="I2191" s="9">
        <v>34</v>
      </c>
      <c r="J2191" s="10">
        <v>-89.37</v>
      </c>
      <c r="K2191" s="9" t="str">
        <f>TEXT(Sales_of_Jordan[[#This Row],[Sale_Date]],"mmm")</f>
        <v>Oct</v>
      </c>
    </row>
    <row r="2192" spans="1:11" x14ac:dyDescent="0.35">
      <c r="A2192" s="7" t="s">
        <v>2222</v>
      </c>
      <c r="B2192" s="8">
        <v>45434</v>
      </c>
      <c r="C2192" s="9" t="s">
        <v>31</v>
      </c>
      <c r="D2192" s="9" t="s">
        <v>22</v>
      </c>
      <c r="E2192" s="9" t="s">
        <v>29</v>
      </c>
      <c r="F2192" s="9">
        <v>210</v>
      </c>
      <c r="G2192" s="9">
        <v>299.79000000000002</v>
      </c>
      <c r="H2192" s="9" t="s">
        <v>14</v>
      </c>
      <c r="I2192" s="9">
        <v>14</v>
      </c>
      <c r="J2192" s="10">
        <v>89.79</v>
      </c>
      <c r="K2192" s="9" t="str">
        <f>TEXT(Sales_of_Jordan[[#This Row],[Sale_Date]],"mmm")</f>
        <v>May</v>
      </c>
    </row>
    <row r="2193" spans="1:11" x14ac:dyDescent="0.35">
      <c r="A2193" s="7" t="s">
        <v>2223</v>
      </c>
      <c r="B2193" s="8">
        <v>45491</v>
      </c>
      <c r="C2193" s="9" t="s">
        <v>31</v>
      </c>
      <c r="D2193" s="9" t="s">
        <v>22</v>
      </c>
      <c r="E2193" s="9" t="s">
        <v>29</v>
      </c>
      <c r="F2193" s="9">
        <v>202</v>
      </c>
      <c r="G2193" s="9">
        <v>243.18</v>
      </c>
      <c r="H2193" s="9" t="s">
        <v>14</v>
      </c>
      <c r="I2193" s="9">
        <v>12</v>
      </c>
      <c r="J2193" s="10">
        <v>41.18</v>
      </c>
      <c r="K2193" s="9" t="str">
        <f>TEXT(Sales_of_Jordan[[#This Row],[Sale_Date]],"mmm")</f>
        <v>Jul</v>
      </c>
    </row>
    <row r="2194" spans="1:11" x14ac:dyDescent="0.35">
      <c r="A2194" s="7" t="s">
        <v>2224</v>
      </c>
      <c r="B2194" s="8">
        <v>45582</v>
      </c>
      <c r="C2194" s="9" t="s">
        <v>31</v>
      </c>
      <c r="D2194" s="9" t="s">
        <v>22</v>
      </c>
      <c r="E2194" s="9" t="s">
        <v>18</v>
      </c>
      <c r="F2194" s="9">
        <v>201</v>
      </c>
      <c r="G2194" s="9">
        <v>664.93</v>
      </c>
      <c r="H2194" s="9" t="s">
        <v>19</v>
      </c>
      <c r="I2194" s="9">
        <v>9</v>
      </c>
      <c r="J2194" s="10">
        <v>463.92999999999898</v>
      </c>
      <c r="K2194" s="9" t="str">
        <f>TEXT(Sales_of_Jordan[[#This Row],[Sale_Date]],"mmm")</f>
        <v>Oct</v>
      </c>
    </row>
    <row r="2195" spans="1:11" x14ac:dyDescent="0.35">
      <c r="A2195" s="7" t="s">
        <v>2225</v>
      </c>
      <c r="B2195" s="8">
        <v>45053</v>
      </c>
      <c r="C2195" s="9" t="s">
        <v>31</v>
      </c>
      <c r="D2195" s="9" t="s">
        <v>17</v>
      </c>
      <c r="E2195" s="9" t="s">
        <v>18</v>
      </c>
      <c r="F2195" s="9">
        <v>203</v>
      </c>
      <c r="G2195" s="9">
        <v>696.45</v>
      </c>
      <c r="H2195" s="9" t="s">
        <v>32</v>
      </c>
      <c r="I2195" s="9">
        <v>23</v>
      </c>
      <c r="J2195" s="10">
        <v>493.45</v>
      </c>
      <c r="K2195" s="9" t="str">
        <f>TEXT(Sales_of_Jordan[[#This Row],[Sale_Date]],"mmm")</f>
        <v>May</v>
      </c>
    </row>
    <row r="2196" spans="1:11" x14ac:dyDescent="0.35">
      <c r="A2196" s="7" t="s">
        <v>2226</v>
      </c>
      <c r="B2196" s="8">
        <v>45416</v>
      </c>
      <c r="C2196" s="9" t="s">
        <v>11</v>
      </c>
      <c r="D2196" s="9" t="s">
        <v>36</v>
      </c>
      <c r="E2196" s="9" t="s">
        <v>18</v>
      </c>
      <c r="F2196" s="9">
        <v>225</v>
      </c>
      <c r="G2196" s="9">
        <v>417.08</v>
      </c>
      <c r="H2196" s="9" t="s">
        <v>19</v>
      </c>
      <c r="I2196" s="9">
        <v>11</v>
      </c>
      <c r="J2196" s="10">
        <v>192.07999999999899</v>
      </c>
      <c r="K2196" s="9" t="str">
        <f>TEXT(Sales_of_Jordan[[#This Row],[Sale_Date]],"mmm")</f>
        <v>May</v>
      </c>
    </row>
    <row r="2197" spans="1:11" x14ac:dyDescent="0.35">
      <c r="A2197" s="7" t="s">
        <v>2227</v>
      </c>
      <c r="B2197" s="8">
        <v>45556</v>
      </c>
      <c r="C2197" s="9" t="s">
        <v>27</v>
      </c>
      <c r="D2197" s="9" t="s">
        <v>46</v>
      </c>
      <c r="E2197" s="9" t="s">
        <v>29</v>
      </c>
      <c r="F2197" s="9">
        <v>123</v>
      </c>
      <c r="G2197" s="9">
        <v>163.34</v>
      </c>
      <c r="H2197" s="9" t="s">
        <v>14</v>
      </c>
      <c r="I2197" s="9">
        <v>11</v>
      </c>
      <c r="J2197" s="10">
        <v>40.340000000000003</v>
      </c>
      <c r="K2197" s="9" t="str">
        <f>TEXT(Sales_of_Jordan[[#This Row],[Sale_Date]],"mmm")</f>
        <v>Sep</v>
      </c>
    </row>
    <row r="2198" spans="1:11" x14ac:dyDescent="0.35">
      <c r="A2198" s="7" t="s">
        <v>2228</v>
      </c>
      <c r="B2198" s="8">
        <v>45140</v>
      </c>
      <c r="C2198" s="9" t="s">
        <v>21</v>
      </c>
      <c r="D2198" s="9" t="s">
        <v>34</v>
      </c>
      <c r="E2198" s="9" t="s">
        <v>29</v>
      </c>
      <c r="F2198" s="9">
        <v>211</v>
      </c>
      <c r="G2198" s="9">
        <v>292.99</v>
      </c>
      <c r="H2198" s="9" t="s">
        <v>19</v>
      </c>
      <c r="I2198" s="9">
        <v>10</v>
      </c>
      <c r="J2198" s="10">
        <v>81.99</v>
      </c>
      <c r="K2198" s="9" t="str">
        <f>TEXT(Sales_of_Jordan[[#This Row],[Sale_Date]],"mmm")</f>
        <v>Aug</v>
      </c>
    </row>
    <row r="2199" spans="1:11" x14ac:dyDescent="0.35">
      <c r="A2199" s="7" t="s">
        <v>2229</v>
      </c>
      <c r="B2199" s="8">
        <v>45807</v>
      </c>
      <c r="C2199" s="9" t="s">
        <v>27</v>
      </c>
      <c r="D2199" s="9" t="s">
        <v>39</v>
      </c>
      <c r="E2199" s="9" t="s">
        <v>18</v>
      </c>
      <c r="F2199" s="9">
        <v>122</v>
      </c>
      <c r="G2199" s="9">
        <v>346.67</v>
      </c>
      <c r="H2199" s="9" t="s">
        <v>32</v>
      </c>
      <c r="I2199" s="9">
        <v>9</v>
      </c>
      <c r="J2199" s="10">
        <v>224.67</v>
      </c>
      <c r="K2199" s="9" t="str">
        <f>TEXT(Sales_of_Jordan[[#This Row],[Sale_Date]],"mmm")</f>
        <v>May</v>
      </c>
    </row>
    <row r="2200" spans="1:11" x14ac:dyDescent="0.35">
      <c r="A2200" s="7" t="s">
        <v>2230</v>
      </c>
      <c r="B2200" s="8">
        <v>45347</v>
      </c>
      <c r="C2200" s="9" t="s">
        <v>11</v>
      </c>
      <c r="D2200" s="9" t="s">
        <v>46</v>
      </c>
      <c r="E2200" s="9" t="s">
        <v>13</v>
      </c>
      <c r="F2200" s="9">
        <v>227</v>
      </c>
      <c r="G2200" s="9">
        <v>122.45</v>
      </c>
      <c r="H2200" s="9" t="s">
        <v>25</v>
      </c>
      <c r="I2200" s="9">
        <v>37</v>
      </c>
      <c r="J2200" s="10">
        <v>-104.55</v>
      </c>
      <c r="K2200" s="9" t="str">
        <f>TEXT(Sales_of_Jordan[[#This Row],[Sale_Date]],"mmm")</f>
        <v>Feb</v>
      </c>
    </row>
    <row r="2201" spans="1:11" x14ac:dyDescent="0.35">
      <c r="A2201" s="7" t="s">
        <v>2231</v>
      </c>
      <c r="B2201" s="8">
        <v>45367</v>
      </c>
      <c r="C2201" s="9" t="s">
        <v>11</v>
      </c>
      <c r="D2201" s="9" t="s">
        <v>55</v>
      </c>
      <c r="E2201" s="9" t="s">
        <v>13</v>
      </c>
      <c r="F2201" s="9">
        <v>228</v>
      </c>
      <c r="G2201" s="9">
        <v>158.15</v>
      </c>
      <c r="H2201" s="9" t="s">
        <v>23</v>
      </c>
      <c r="I2201" s="9">
        <v>8</v>
      </c>
      <c r="J2201" s="10">
        <v>-69.849999999999994</v>
      </c>
      <c r="K2201" s="9" t="str">
        <f>TEXT(Sales_of_Jordan[[#This Row],[Sale_Date]],"mmm")</f>
        <v>Mar</v>
      </c>
    </row>
    <row r="2202" spans="1:11" x14ac:dyDescent="0.35">
      <c r="A2202" s="7" t="s">
        <v>2232</v>
      </c>
      <c r="B2202" s="8">
        <v>45480</v>
      </c>
      <c r="C2202" s="9" t="s">
        <v>11</v>
      </c>
      <c r="D2202" s="9" t="s">
        <v>12</v>
      </c>
      <c r="E2202" s="9" t="s">
        <v>13</v>
      </c>
      <c r="F2202" s="9">
        <v>229</v>
      </c>
      <c r="G2202" s="9">
        <v>129.11000000000001</v>
      </c>
      <c r="H2202" s="9" t="s">
        <v>23</v>
      </c>
      <c r="I2202" s="9">
        <v>53</v>
      </c>
      <c r="J2202" s="10">
        <v>-99.889999999999901</v>
      </c>
      <c r="K2202" s="9" t="str">
        <f>TEXT(Sales_of_Jordan[[#This Row],[Sale_Date]],"mmm")</f>
        <v>Jul</v>
      </c>
    </row>
    <row r="2203" spans="1:11" x14ac:dyDescent="0.35">
      <c r="A2203" s="7" t="s">
        <v>2233</v>
      </c>
      <c r="B2203" s="8">
        <v>45611</v>
      </c>
      <c r="C2203" s="9" t="s">
        <v>21</v>
      </c>
      <c r="D2203" s="9" t="s">
        <v>46</v>
      </c>
      <c r="E2203" s="9" t="s">
        <v>18</v>
      </c>
      <c r="F2203" s="9">
        <v>214</v>
      </c>
      <c r="G2203" s="9">
        <v>613.01</v>
      </c>
      <c r="H2203" s="9" t="s">
        <v>25</v>
      </c>
      <c r="I2203" s="9">
        <v>32</v>
      </c>
      <c r="J2203" s="10">
        <v>399.01</v>
      </c>
      <c r="K2203" s="9" t="str">
        <f>TEXT(Sales_of_Jordan[[#This Row],[Sale_Date]],"mmm")</f>
        <v>Nov</v>
      </c>
    </row>
    <row r="2204" spans="1:11" x14ac:dyDescent="0.35">
      <c r="A2204" s="7" t="s">
        <v>2234</v>
      </c>
      <c r="B2204" s="8">
        <v>45330</v>
      </c>
      <c r="C2204" s="9" t="s">
        <v>11</v>
      </c>
      <c r="D2204" s="9" t="s">
        <v>39</v>
      </c>
      <c r="E2204" s="9" t="s">
        <v>18</v>
      </c>
      <c r="F2204" s="9">
        <v>229</v>
      </c>
      <c r="G2204" s="9">
        <v>701.5</v>
      </c>
      <c r="H2204" s="9" t="s">
        <v>23</v>
      </c>
      <c r="I2204" s="9">
        <v>47</v>
      </c>
      <c r="J2204" s="10">
        <v>472.5</v>
      </c>
      <c r="K2204" s="9" t="str">
        <f>TEXT(Sales_of_Jordan[[#This Row],[Sale_Date]],"mmm")</f>
        <v>Feb</v>
      </c>
    </row>
    <row r="2205" spans="1:11" x14ac:dyDescent="0.35">
      <c r="A2205" s="7" t="s">
        <v>2235</v>
      </c>
      <c r="B2205" s="8">
        <v>45432</v>
      </c>
      <c r="C2205" s="9" t="s">
        <v>16</v>
      </c>
      <c r="D2205" s="9" t="s">
        <v>39</v>
      </c>
      <c r="E2205" s="9" t="s">
        <v>13</v>
      </c>
      <c r="F2205" s="9">
        <v>176</v>
      </c>
      <c r="G2205" s="9">
        <v>135.4</v>
      </c>
      <c r="H2205" s="9" t="s">
        <v>32</v>
      </c>
      <c r="I2205" s="9">
        <v>46</v>
      </c>
      <c r="J2205" s="10">
        <v>-40.599999999999902</v>
      </c>
      <c r="K2205" s="9" t="str">
        <f>TEXT(Sales_of_Jordan[[#This Row],[Sale_Date]],"mmm")</f>
        <v>May</v>
      </c>
    </row>
    <row r="2206" spans="1:11" x14ac:dyDescent="0.35">
      <c r="A2206" s="7" t="s">
        <v>2236</v>
      </c>
      <c r="B2206" s="8">
        <v>45157</v>
      </c>
      <c r="C2206" s="9" t="s">
        <v>21</v>
      </c>
      <c r="D2206" s="9" t="s">
        <v>53</v>
      </c>
      <c r="E2206" s="9" t="s">
        <v>18</v>
      </c>
      <c r="F2206" s="9">
        <v>222</v>
      </c>
      <c r="G2206" s="9">
        <v>341.13</v>
      </c>
      <c r="H2206" s="9" t="s">
        <v>23</v>
      </c>
      <c r="I2206" s="9">
        <v>6</v>
      </c>
      <c r="J2206" s="10">
        <v>119.13</v>
      </c>
      <c r="K2206" s="9" t="str">
        <f>TEXT(Sales_of_Jordan[[#This Row],[Sale_Date]],"mmm")</f>
        <v>Aug</v>
      </c>
    </row>
    <row r="2207" spans="1:11" x14ac:dyDescent="0.35">
      <c r="A2207" s="7" t="s">
        <v>2237</v>
      </c>
      <c r="B2207" s="8">
        <v>45850</v>
      </c>
      <c r="C2207" s="9" t="s">
        <v>27</v>
      </c>
      <c r="D2207" s="9" t="s">
        <v>55</v>
      </c>
      <c r="E2207" s="9" t="s">
        <v>18</v>
      </c>
      <c r="F2207" s="9">
        <v>112</v>
      </c>
      <c r="G2207" s="9">
        <v>301.58</v>
      </c>
      <c r="H2207" s="9" t="s">
        <v>32</v>
      </c>
      <c r="I2207" s="9">
        <v>56</v>
      </c>
      <c r="J2207" s="10">
        <v>189.57999999999899</v>
      </c>
      <c r="K2207" s="9" t="str">
        <f>TEXT(Sales_of_Jordan[[#This Row],[Sale_Date]],"mmm")</f>
        <v>Jul</v>
      </c>
    </row>
    <row r="2208" spans="1:11" x14ac:dyDescent="0.35">
      <c r="A2208" s="7" t="s">
        <v>2238</v>
      </c>
      <c r="B2208" s="8">
        <v>45629</v>
      </c>
      <c r="C2208" s="9" t="s">
        <v>16</v>
      </c>
      <c r="D2208" s="9" t="s">
        <v>12</v>
      </c>
      <c r="E2208" s="9" t="s">
        <v>18</v>
      </c>
      <c r="F2208" s="9">
        <v>187</v>
      </c>
      <c r="G2208" s="9">
        <v>485.54</v>
      </c>
      <c r="H2208" s="9" t="s">
        <v>32</v>
      </c>
      <c r="I2208" s="9">
        <v>35</v>
      </c>
      <c r="J2208" s="10">
        <v>298.54000000000002</v>
      </c>
      <c r="K2208" s="9" t="str">
        <f>TEXT(Sales_of_Jordan[[#This Row],[Sale_Date]],"mmm")</f>
        <v>Dec</v>
      </c>
    </row>
    <row r="2209" spans="1:11" x14ac:dyDescent="0.35">
      <c r="A2209" s="7" t="s">
        <v>2239</v>
      </c>
      <c r="B2209" s="8">
        <v>45230</v>
      </c>
      <c r="C2209" s="9" t="s">
        <v>16</v>
      </c>
      <c r="D2209" s="9" t="s">
        <v>46</v>
      </c>
      <c r="E2209" s="9" t="s">
        <v>29</v>
      </c>
      <c r="F2209" s="9">
        <v>173</v>
      </c>
      <c r="G2209" s="9">
        <v>199.97</v>
      </c>
      <c r="H2209" s="9" t="s">
        <v>19</v>
      </c>
      <c r="I2209" s="9">
        <v>4</v>
      </c>
      <c r="J2209" s="10">
        <v>26.97</v>
      </c>
      <c r="K2209" s="9" t="str">
        <f>TEXT(Sales_of_Jordan[[#This Row],[Sale_Date]],"mmm")</f>
        <v>Oct</v>
      </c>
    </row>
    <row r="2210" spans="1:11" x14ac:dyDescent="0.35">
      <c r="A2210" s="7" t="s">
        <v>2240</v>
      </c>
      <c r="B2210" s="8">
        <v>45549</v>
      </c>
      <c r="C2210" s="9" t="s">
        <v>21</v>
      </c>
      <c r="D2210" s="9" t="s">
        <v>36</v>
      </c>
      <c r="E2210" s="9" t="s">
        <v>18</v>
      </c>
      <c r="F2210" s="9">
        <v>223</v>
      </c>
      <c r="G2210" s="9">
        <v>402.33</v>
      </c>
      <c r="H2210" s="9" t="s">
        <v>32</v>
      </c>
      <c r="I2210" s="9">
        <v>27</v>
      </c>
      <c r="J2210" s="10">
        <v>179.32999999999899</v>
      </c>
      <c r="K2210" s="9" t="str">
        <f>TEXT(Sales_of_Jordan[[#This Row],[Sale_Date]],"mmm")</f>
        <v>Sep</v>
      </c>
    </row>
    <row r="2211" spans="1:11" x14ac:dyDescent="0.35">
      <c r="A2211" s="7" t="s">
        <v>2241</v>
      </c>
      <c r="B2211" s="8">
        <v>45847</v>
      </c>
      <c r="C2211" s="9" t="s">
        <v>11</v>
      </c>
      <c r="D2211" s="9" t="s">
        <v>55</v>
      </c>
      <c r="E2211" s="9" t="s">
        <v>18</v>
      </c>
      <c r="F2211" s="9">
        <v>226</v>
      </c>
      <c r="G2211" s="9">
        <v>535.22</v>
      </c>
      <c r="H2211" s="9" t="s">
        <v>25</v>
      </c>
      <c r="I2211" s="9">
        <v>12</v>
      </c>
      <c r="J2211" s="10">
        <v>309.22000000000003</v>
      </c>
      <c r="K2211" s="9" t="str">
        <f>TEXT(Sales_of_Jordan[[#This Row],[Sale_Date]],"mmm")</f>
        <v>Jul</v>
      </c>
    </row>
    <row r="2212" spans="1:11" x14ac:dyDescent="0.35">
      <c r="A2212" s="7" t="s">
        <v>2242</v>
      </c>
      <c r="B2212" s="8">
        <v>45391</v>
      </c>
      <c r="C2212" s="9" t="s">
        <v>21</v>
      </c>
      <c r="D2212" s="9" t="s">
        <v>34</v>
      </c>
      <c r="E2212" s="9" t="s">
        <v>13</v>
      </c>
      <c r="F2212" s="9">
        <v>215</v>
      </c>
      <c r="G2212" s="9">
        <v>148.15</v>
      </c>
      <c r="H2212" s="9" t="s">
        <v>32</v>
      </c>
      <c r="I2212" s="9">
        <v>39</v>
      </c>
      <c r="J2212" s="10">
        <v>-66.849999999999994</v>
      </c>
      <c r="K2212" s="9" t="str">
        <f>TEXT(Sales_of_Jordan[[#This Row],[Sale_Date]],"mmm")</f>
        <v>Apr</v>
      </c>
    </row>
    <row r="2213" spans="1:11" x14ac:dyDescent="0.35">
      <c r="A2213" s="7" t="s">
        <v>2243</v>
      </c>
      <c r="B2213" s="8">
        <v>45111</v>
      </c>
      <c r="C2213" s="9" t="s">
        <v>21</v>
      </c>
      <c r="D2213" s="9" t="s">
        <v>46</v>
      </c>
      <c r="E2213" s="9" t="s">
        <v>18</v>
      </c>
      <c r="F2213" s="9">
        <v>223</v>
      </c>
      <c r="G2213" s="9">
        <v>466.6</v>
      </c>
      <c r="H2213" s="9" t="s">
        <v>32</v>
      </c>
      <c r="I2213" s="9">
        <v>48</v>
      </c>
      <c r="J2213" s="10">
        <v>243.6</v>
      </c>
      <c r="K2213" s="9" t="str">
        <f>TEXT(Sales_of_Jordan[[#This Row],[Sale_Date]],"mmm")</f>
        <v>Jul</v>
      </c>
    </row>
    <row r="2214" spans="1:11" x14ac:dyDescent="0.35">
      <c r="A2214" s="7" t="s">
        <v>2244</v>
      </c>
      <c r="B2214" s="8">
        <v>45497</v>
      </c>
      <c r="C2214" s="9" t="s">
        <v>21</v>
      </c>
      <c r="D2214" s="9" t="s">
        <v>34</v>
      </c>
      <c r="E2214" s="9" t="s">
        <v>29</v>
      </c>
      <c r="F2214" s="9">
        <v>216</v>
      </c>
      <c r="G2214" s="9">
        <v>218.96</v>
      </c>
      <c r="H2214" s="9" t="s">
        <v>23</v>
      </c>
      <c r="I2214" s="9">
        <v>34</v>
      </c>
      <c r="J2214" s="10">
        <v>2.96</v>
      </c>
      <c r="K2214" s="9" t="str">
        <f>TEXT(Sales_of_Jordan[[#This Row],[Sale_Date]],"mmm")</f>
        <v>Jul</v>
      </c>
    </row>
    <row r="2215" spans="1:11" x14ac:dyDescent="0.35">
      <c r="A2215" s="7" t="s">
        <v>2245</v>
      </c>
      <c r="B2215" s="8">
        <v>45887</v>
      </c>
      <c r="C2215" s="9" t="s">
        <v>11</v>
      </c>
      <c r="D2215" s="9" t="s">
        <v>39</v>
      </c>
      <c r="E2215" s="9" t="s">
        <v>13</v>
      </c>
      <c r="F2215" s="9">
        <v>229</v>
      </c>
      <c r="G2215" s="9">
        <v>168.72</v>
      </c>
      <c r="H2215" s="9" t="s">
        <v>25</v>
      </c>
      <c r="I2215" s="9">
        <v>49</v>
      </c>
      <c r="J2215" s="10">
        <v>-60.28</v>
      </c>
      <c r="K2215" s="9" t="str">
        <f>TEXT(Sales_of_Jordan[[#This Row],[Sale_Date]],"mmm")</f>
        <v>Aug</v>
      </c>
    </row>
    <row r="2216" spans="1:11" x14ac:dyDescent="0.35">
      <c r="A2216" s="7" t="s">
        <v>2246</v>
      </c>
      <c r="B2216" s="8">
        <v>45904</v>
      </c>
      <c r="C2216" s="9" t="s">
        <v>21</v>
      </c>
      <c r="D2216" s="9" t="s">
        <v>55</v>
      </c>
      <c r="E2216" s="9" t="s">
        <v>29</v>
      </c>
      <c r="F2216" s="9">
        <v>221</v>
      </c>
      <c r="G2216" s="9">
        <v>227.56</v>
      </c>
      <c r="H2216" s="9" t="s">
        <v>32</v>
      </c>
      <c r="I2216" s="9">
        <v>29</v>
      </c>
      <c r="J2216" s="10">
        <v>6.56</v>
      </c>
      <c r="K2216" s="9" t="str">
        <f>TEXT(Sales_of_Jordan[[#This Row],[Sale_Date]],"mmm")</f>
        <v>Sep</v>
      </c>
    </row>
    <row r="2217" spans="1:11" x14ac:dyDescent="0.35">
      <c r="A2217" s="7" t="s">
        <v>2247</v>
      </c>
      <c r="B2217" s="8">
        <v>45490</v>
      </c>
      <c r="C2217" s="9" t="s">
        <v>11</v>
      </c>
      <c r="D2217" s="9" t="s">
        <v>46</v>
      </c>
      <c r="E2217" s="9" t="s">
        <v>18</v>
      </c>
      <c r="F2217" s="9">
        <v>226</v>
      </c>
      <c r="G2217" s="9">
        <v>614.97</v>
      </c>
      <c r="H2217" s="9" t="s">
        <v>32</v>
      </c>
      <c r="I2217" s="9">
        <v>28</v>
      </c>
      <c r="J2217" s="10">
        <v>388.97</v>
      </c>
      <c r="K2217" s="9" t="str">
        <f>TEXT(Sales_of_Jordan[[#This Row],[Sale_Date]],"mmm")</f>
        <v>Jul</v>
      </c>
    </row>
    <row r="2218" spans="1:11" x14ac:dyDescent="0.35">
      <c r="A2218" s="7" t="s">
        <v>2248</v>
      </c>
      <c r="B2218" s="8">
        <v>45292</v>
      </c>
      <c r="C2218" s="9" t="s">
        <v>31</v>
      </c>
      <c r="D2218" s="9" t="s">
        <v>22</v>
      </c>
      <c r="E2218" s="9" t="s">
        <v>18</v>
      </c>
      <c r="F2218" s="9">
        <v>207</v>
      </c>
      <c r="G2218" s="9">
        <v>702.15</v>
      </c>
      <c r="H2218" s="9" t="s">
        <v>14</v>
      </c>
      <c r="I2218" s="9">
        <v>12</v>
      </c>
      <c r="J2218" s="10">
        <v>495.15</v>
      </c>
      <c r="K2218" s="9" t="str">
        <f>TEXT(Sales_of_Jordan[[#This Row],[Sale_Date]],"mmm")</f>
        <v>Jan</v>
      </c>
    </row>
    <row r="2219" spans="1:11" x14ac:dyDescent="0.35">
      <c r="A2219" s="7" t="s">
        <v>2249</v>
      </c>
      <c r="B2219" s="8">
        <v>45574</v>
      </c>
      <c r="C2219" s="9" t="s">
        <v>27</v>
      </c>
      <c r="D2219" s="9" t="s">
        <v>22</v>
      </c>
      <c r="E2219" s="9" t="s">
        <v>29</v>
      </c>
      <c r="F2219" s="9">
        <v>122</v>
      </c>
      <c r="G2219" s="9">
        <v>143.91999999999999</v>
      </c>
      <c r="H2219" s="9" t="s">
        <v>19</v>
      </c>
      <c r="I2219" s="9">
        <v>9</v>
      </c>
      <c r="J2219" s="10">
        <v>21.919999999999899</v>
      </c>
      <c r="K2219" s="9" t="str">
        <f>TEXT(Sales_of_Jordan[[#This Row],[Sale_Date]],"mmm")</f>
        <v>Oct</v>
      </c>
    </row>
    <row r="2220" spans="1:11" x14ac:dyDescent="0.35">
      <c r="A2220" s="7" t="s">
        <v>2250</v>
      </c>
      <c r="B2220" s="8">
        <v>44928</v>
      </c>
      <c r="C2220" s="9" t="s">
        <v>11</v>
      </c>
      <c r="D2220" s="9" t="s">
        <v>34</v>
      </c>
      <c r="E2220" s="9" t="s">
        <v>29</v>
      </c>
      <c r="F2220" s="9">
        <v>227</v>
      </c>
      <c r="G2220" s="9">
        <v>304.39999999999998</v>
      </c>
      <c r="H2220" s="9" t="s">
        <v>23</v>
      </c>
      <c r="I2220" s="9">
        <v>56</v>
      </c>
      <c r="J2220" s="10">
        <v>77.399999999999906</v>
      </c>
      <c r="K2220" s="9" t="str">
        <f>TEXT(Sales_of_Jordan[[#This Row],[Sale_Date]],"mmm")</f>
        <v>Jan</v>
      </c>
    </row>
    <row r="2221" spans="1:11" x14ac:dyDescent="0.35">
      <c r="A2221" s="7" t="s">
        <v>2251</v>
      </c>
      <c r="B2221" s="8">
        <v>45270</v>
      </c>
      <c r="C2221" s="9" t="s">
        <v>21</v>
      </c>
      <c r="D2221" s="9" t="s">
        <v>12</v>
      </c>
      <c r="E2221" s="9" t="s">
        <v>13</v>
      </c>
      <c r="F2221" s="9">
        <v>221</v>
      </c>
      <c r="G2221" s="9">
        <v>178.13</v>
      </c>
      <c r="H2221" s="9" t="s">
        <v>14</v>
      </c>
      <c r="I2221" s="9">
        <v>7</v>
      </c>
      <c r="J2221" s="10">
        <v>-42.87</v>
      </c>
      <c r="K2221" s="9" t="str">
        <f>TEXT(Sales_of_Jordan[[#This Row],[Sale_Date]],"mmm")</f>
        <v>Dec</v>
      </c>
    </row>
    <row r="2222" spans="1:11" x14ac:dyDescent="0.35">
      <c r="A2222" s="7" t="s">
        <v>2252</v>
      </c>
      <c r="B2222" s="8">
        <v>45869</v>
      </c>
      <c r="C2222" s="9" t="s">
        <v>27</v>
      </c>
      <c r="D2222" s="9" t="s">
        <v>12</v>
      </c>
      <c r="E2222" s="9" t="s">
        <v>29</v>
      </c>
      <c r="F2222" s="9">
        <v>119</v>
      </c>
      <c r="G2222" s="9">
        <v>160.06</v>
      </c>
      <c r="H2222" s="9" t="s">
        <v>25</v>
      </c>
      <c r="I2222" s="9">
        <v>24</v>
      </c>
      <c r="J2222" s="10">
        <v>41.06</v>
      </c>
      <c r="K2222" s="9" t="str">
        <f>TEXT(Sales_of_Jordan[[#This Row],[Sale_Date]],"mmm")</f>
        <v>Jul</v>
      </c>
    </row>
    <row r="2223" spans="1:11" x14ac:dyDescent="0.35">
      <c r="A2223" s="7" t="s">
        <v>2253</v>
      </c>
      <c r="B2223" s="8">
        <v>45605</v>
      </c>
      <c r="C2223" s="9" t="s">
        <v>31</v>
      </c>
      <c r="D2223" s="9" t="s">
        <v>12</v>
      </c>
      <c r="E2223" s="9" t="s">
        <v>13</v>
      </c>
      <c r="F2223" s="9">
        <v>201</v>
      </c>
      <c r="G2223" s="9">
        <v>127.45</v>
      </c>
      <c r="H2223" s="9" t="s">
        <v>32</v>
      </c>
      <c r="I2223" s="9">
        <v>60</v>
      </c>
      <c r="J2223" s="10">
        <v>-73.55</v>
      </c>
      <c r="K2223" s="9" t="str">
        <f>TEXT(Sales_of_Jordan[[#This Row],[Sale_Date]],"mmm")</f>
        <v>Nov</v>
      </c>
    </row>
    <row r="2224" spans="1:11" x14ac:dyDescent="0.35">
      <c r="A2224" s="7" t="s">
        <v>2254</v>
      </c>
      <c r="B2224" s="8">
        <v>45033</v>
      </c>
      <c r="C2224" s="9" t="s">
        <v>31</v>
      </c>
      <c r="D2224" s="9" t="s">
        <v>34</v>
      </c>
      <c r="E2224" s="9" t="s">
        <v>18</v>
      </c>
      <c r="F2224" s="9">
        <v>210</v>
      </c>
      <c r="G2224" s="9">
        <v>729.34</v>
      </c>
      <c r="H2224" s="9" t="s">
        <v>14</v>
      </c>
      <c r="I2224" s="9">
        <v>6</v>
      </c>
      <c r="J2224" s="10">
        <v>519.34</v>
      </c>
      <c r="K2224" s="9" t="str">
        <f>TEXT(Sales_of_Jordan[[#This Row],[Sale_Date]],"mmm")</f>
        <v>Apr</v>
      </c>
    </row>
    <row r="2225" spans="1:11" x14ac:dyDescent="0.35">
      <c r="A2225" s="7" t="s">
        <v>2255</v>
      </c>
      <c r="B2225" s="8">
        <v>45880</v>
      </c>
      <c r="C2225" s="9" t="s">
        <v>27</v>
      </c>
      <c r="D2225" s="9" t="s">
        <v>53</v>
      </c>
      <c r="E2225" s="9" t="s">
        <v>29</v>
      </c>
      <c r="F2225" s="9">
        <v>136</v>
      </c>
      <c r="G2225" s="9">
        <v>155.18</v>
      </c>
      <c r="H2225" s="9" t="s">
        <v>14</v>
      </c>
      <c r="I2225" s="9">
        <v>7</v>
      </c>
      <c r="J2225" s="10">
        <v>19.18</v>
      </c>
      <c r="K2225" s="9" t="str">
        <f>TEXT(Sales_of_Jordan[[#This Row],[Sale_Date]],"mmm")</f>
        <v>Aug</v>
      </c>
    </row>
    <row r="2226" spans="1:11" x14ac:dyDescent="0.35">
      <c r="A2226" s="7" t="s">
        <v>2256</v>
      </c>
      <c r="B2226" s="8">
        <v>45521</v>
      </c>
      <c r="C2226" s="9" t="s">
        <v>11</v>
      </c>
      <c r="D2226" s="9" t="s">
        <v>34</v>
      </c>
      <c r="E2226" s="9" t="s">
        <v>13</v>
      </c>
      <c r="F2226" s="9">
        <v>228</v>
      </c>
      <c r="G2226" s="9">
        <v>161.82</v>
      </c>
      <c r="H2226" s="9" t="s">
        <v>32</v>
      </c>
      <c r="I2226" s="9">
        <v>51</v>
      </c>
      <c r="J2226" s="10">
        <v>-66.180000000000007</v>
      </c>
      <c r="K2226" s="9" t="str">
        <f>TEXT(Sales_of_Jordan[[#This Row],[Sale_Date]],"mmm")</f>
        <v>Aug</v>
      </c>
    </row>
    <row r="2227" spans="1:11" x14ac:dyDescent="0.35">
      <c r="A2227" s="7" t="s">
        <v>2257</v>
      </c>
      <c r="B2227" s="8">
        <v>45516</v>
      </c>
      <c r="C2227" s="9" t="s">
        <v>31</v>
      </c>
      <c r="D2227" s="9" t="s">
        <v>34</v>
      </c>
      <c r="E2227" s="9" t="s">
        <v>18</v>
      </c>
      <c r="F2227" s="9">
        <v>201</v>
      </c>
      <c r="G2227" s="9">
        <v>424.6</v>
      </c>
      <c r="H2227" s="9" t="s">
        <v>19</v>
      </c>
      <c r="I2227" s="9">
        <v>2</v>
      </c>
      <c r="J2227" s="10">
        <v>223.6</v>
      </c>
      <c r="K2227" s="9" t="str">
        <f>TEXT(Sales_of_Jordan[[#This Row],[Sale_Date]],"mmm")</f>
        <v>Aug</v>
      </c>
    </row>
    <row r="2228" spans="1:11" x14ac:dyDescent="0.35">
      <c r="A2228" s="7" t="s">
        <v>2258</v>
      </c>
      <c r="B2228" s="8">
        <v>45757</v>
      </c>
      <c r="C2228" s="9" t="s">
        <v>16</v>
      </c>
      <c r="D2228" s="9" t="s">
        <v>22</v>
      </c>
      <c r="E2228" s="9" t="s">
        <v>18</v>
      </c>
      <c r="F2228" s="9">
        <v>178</v>
      </c>
      <c r="G2228" s="9">
        <v>601.28</v>
      </c>
      <c r="H2228" s="9" t="s">
        <v>23</v>
      </c>
      <c r="I2228" s="9">
        <v>39</v>
      </c>
      <c r="J2228" s="10">
        <v>423.28</v>
      </c>
      <c r="K2228" s="9" t="str">
        <f>TEXT(Sales_of_Jordan[[#This Row],[Sale_Date]],"mmm")</f>
        <v>Apr</v>
      </c>
    </row>
    <row r="2229" spans="1:11" x14ac:dyDescent="0.35">
      <c r="A2229" s="7" t="s">
        <v>2259</v>
      </c>
      <c r="B2229" s="8">
        <v>45716</v>
      </c>
      <c r="C2229" s="9" t="s">
        <v>31</v>
      </c>
      <c r="D2229" s="9" t="s">
        <v>53</v>
      </c>
      <c r="E2229" s="9" t="s">
        <v>13</v>
      </c>
      <c r="F2229" s="9">
        <v>204</v>
      </c>
      <c r="G2229" s="9">
        <v>134.86000000000001</v>
      </c>
      <c r="H2229" s="9" t="s">
        <v>32</v>
      </c>
      <c r="I2229" s="9">
        <v>16</v>
      </c>
      <c r="J2229" s="10">
        <v>-69.139999999999901</v>
      </c>
      <c r="K2229" s="9" t="str">
        <f>TEXT(Sales_of_Jordan[[#This Row],[Sale_Date]],"mmm")</f>
        <v>Feb</v>
      </c>
    </row>
    <row r="2230" spans="1:11" x14ac:dyDescent="0.35">
      <c r="A2230" s="7" t="s">
        <v>2260</v>
      </c>
      <c r="B2230" s="8">
        <v>45113</v>
      </c>
      <c r="C2230" s="9" t="s">
        <v>31</v>
      </c>
      <c r="D2230" s="9" t="s">
        <v>34</v>
      </c>
      <c r="E2230" s="9" t="s">
        <v>29</v>
      </c>
      <c r="F2230" s="9">
        <v>202</v>
      </c>
      <c r="G2230" s="9">
        <v>279.13</v>
      </c>
      <c r="H2230" s="9" t="s">
        <v>32</v>
      </c>
      <c r="I2230" s="9">
        <v>12</v>
      </c>
      <c r="J2230" s="10">
        <v>77.13</v>
      </c>
      <c r="K2230" s="9" t="str">
        <f>TEXT(Sales_of_Jordan[[#This Row],[Sale_Date]],"mmm")</f>
        <v>Jul</v>
      </c>
    </row>
    <row r="2231" spans="1:11" x14ac:dyDescent="0.35">
      <c r="A2231" s="7" t="s">
        <v>2261</v>
      </c>
      <c r="B2231" s="8">
        <v>45820</v>
      </c>
      <c r="C2231" s="9" t="s">
        <v>31</v>
      </c>
      <c r="D2231" s="9" t="s">
        <v>22</v>
      </c>
      <c r="E2231" s="9" t="s">
        <v>13</v>
      </c>
      <c r="F2231" s="9">
        <v>203</v>
      </c>
      <c r="G2231" s="9">
        <v>143.72999999999999</v>
      </c>
      <c r="H2231" s="9" t="s">
        <v>32</v>
      </c>
      <c r="I2231" s="9">
        <v>53</v>
      </c>
      <c r="J2231" s="10">
        <v>-59.27</v>
      </c>
      <c r="K2231" s="9" t="str">
        <f>TEXT(Sales_of_Jordan[[#This Row],[Sale_Date]],"mmm")</f>
        <v>Jun</v>
      </c>
    </row>
    <row r="2232" spans="1:11" x14ac:dyDescent="0.35">
      <c r="A2232" s="7" t="s">
        <v>2262</v>
      </c>
      <c r="B2232" s="8">
        <v>45262</v>
      </c>
      <c r="C2232" s="9" t="s">
        <v>21</v>
      </c>
      <c r="D2232" s="9" t="s">
        <v>22</v>
      </c>
      <c r="E2232" s="9" t="s">
        <v>29</v>
      </c>
      <c r="F2232" s="9">
        <v>214</v>
      </c>
      <c r="G2232" s="9">
        <v>282.24</v>
      </c>
      <c r="H2232" s="9" t="s">
        <v>23</v>
      </c>
      <c r="I2232" s="9">
        <v>53</v>
      </c>
      <c r="J2232" s="10">
        <v>68.239999999999995</v>
      </c>
      <c r="K2232" s="9" t="str">
        <f>TEXT(Sales_of_Jordan[[#This Row],[Sale_Date]],"mmm")</f>
        <v>Dec</v>
      </c>
    </row>
    <row r="2233" spans="1:11" x14ac:dyDescent="0.35">
      <c r="A2233" s="7" t="s">
        <v>2263</v>
      </c>
      <c r="B2233" s="8">
        <v>45723</v>
      </c>
      <c r="C2233" s="9" t="s">
        <v>27</v>
      </c>
      <c r="D2233" s="9" t="s">
        <v>34</v>
      </c>
      <c r="E2233" s="9" t="s">
        <v>29</v>
      </c>
      <c r="F2233" s="9">
        <v>138</v>
      </c>
      <c r="G2233" s="9">
        <v>138.44</v>
      </c>
      <c r="H2233" s="9" t="s">
        <v>19</v>
      </c>
      <c r="I2233" s="9">
        <v>3</v>
      </c>
      <c r="J2233" s="10">
        <v>0.439999999999997</v>
      </c>
      <c r="K2233" s="9" t="str">
        <f>TEXT(Sales_of_Jordan[[#This Row],[Sale_Date]],"mmm")</f>
        <v>Mar</v>
      </c>
    </row>
    <row r="2234" spans="1:11" x14ac:dyDescent="0.35">
      <c r="A2234" s="7" t="s">
        <v>2264</v>
      </c>
      <c r="B2234" s="8">
        <v>45190</v>
      </c>
      <c r="C2234" s="9" t="s">
        <v>21</v>
      </c>
      <c r="D2234" s="9" t="s">
        <v>22</v>
      </c>
      <c r="E2234" s="9" t="s">
        <v>29</v>
      </c>
      <c r="F2234" s="9">
        <v>217</v>
      </c>
      <c r="G2234" s="9">
        <v>256.75</v>
      </c>
      <c r="H2234" s="9" t="s">
        <v>32</v>
      </c>
      <c r="I2234" s="9">
        <v>54</v>
      </c>
      <c r="J2234" s="10">
        <v>39.75</v>
      </c>
      <c r="K2234" s="9" t="str">
        <f>TEXT(Sales_of_Jordan[[#This Row],[Sale_Date]],"mmm")</f>
        <v>Sep</v>
      </c>
    </row>
    <row r="2235" spans="1:11" x14ac:dyDescent="0.35">
      <c r="A2235" s="7" t="s">
        <v>2265</v>
      </c>
      <c r="B2235" s="8">
        <v>45288</v>
      </c>
      <c r="C2235" s="9" t="s">
        <v>27</v>
      </c>
      <c r="D2235" s="9" t="s">
        <v>12</v>
      </c>
      <c r="E2235" s="9" t="s">
        <v>18</v>
      </c>
      <c r="F2235" s="9">
        <v>126</v>
      </c>
      <c r="G2235" s="9">
        <v>412.88</v>
      </c>
      <c r="H2235" s="9" t="s">
        <v>32</v>
      </c>
      <c r="I2235" s="9">
        <v>29</v>
      </c>
      <c r="J2235" s="10">
        <v>286.88</v>
      </c>
      <c r="K2235" s="9" t="str">
        <f>TEXT(Sales_of_Jordan[[#This Row],[Sale_Date]],"mmm")</f>
        <v>Dec</v>
      </c>
    </row>
    <row r="2236" spans="1:11" x14ac:dyDescent="0.35">
      <c r="A2236" s="7" t="s">
        <v>2266</v>
      </c>
      <c r="B2236" s="8">
        <v>45140</v>
      </c>
      <c r="C2236" s="9" t="s">
        <v>27</v>
      </c>
      <c r="D2236" s="9" t="s">
        <v>55</v>
      </c>
      <c r="E2236" s="9" t="s">
        <v>18</v>
      </c>
      <c r="F2236" s="9">
        <v>140</v>
      </c>
      <c r="G2236" s="9">
        <v>253.3</v>
      </c>
      <c r="H2236" s="9" t="s">
        <v>14</v>
      </c>
      <c r="I2236" s="9">
        <v>2</v>
      </c>
      <c r="J2236" s="10">
        <v>113.3</v>
      </c>
      <c r="K2236" s="9" t="str">
        <f>TEXT(Sales_of_Jordan[[#This Row],[Sale_Date]],"mmm")</f>
        <v>Aug</v>
      </c>
    </row>
    <row r="2237" spans="1:11" x14ac:dyDescent="0.35">
      <c r="A2237" s="7" t="s">
        <v>2267</v>
      </c>
      <c r="B2237" s="8">
        <v>44947</v>
      </c>
      <c r="C2237" s="9" t="s">
        <v>31</v>
      </c>
      <c r="D2237" s="9" t="s">
        <v>34</v>
      </c>
      <c r="E2237" s="9" t="s">
        <v>13</v>
      </c>
      <c r="F2237" s="9">
        <v>202</v>
      </c>
      <c r="G2237" s="9">
        <v>117.82</v>
      </c>
      <c r="H2237" s="9" t="s">
        <v>23</v>
      </c>
      <c r="I2237" s="9">
        <v>56</v>
      </c>
      <c r="J2237" s="10">
        <v>-84.18</v>
      </c>
      <c r="K2237" s="9" t="str">
        <f>TEXT(Sales_of_Jordan[[#This Row],[Sale_Date]],"mmm")</f>
        <v>Jan</v>
      </c>
    </row>
    <row r="2238" spans="1:11" x14ac:dyDescent="0.35">
      <c r="A2238" s="7" t="s">
        <v>2268</v>
      </c>
      <c r="B2238" s="8">
        <v>45503</v>
      </c>
      <c r="C2238" s="9" t="s">
        <v>31</v>
      </c>
      <c r="D2238" s="9" t="s">
        <v>46</v>
      </c>
      <c r="E2238" s="9" t="s">
        <v>29</v>
      </c>
      <c r="F2238" s="9">
        <v>204</v>
      </c>
      <c r="G2238" s="9">
        <v>201.36</v>
      </c>
      <c r="H2238" s="9" t="s">
        <v>32</v>
      </c>
      <c r="I2238" s="9">
        <v>41</v>
      </c>
      <c r="J2238" s="10">
        <v>-2.6399999999999801</v>
      </c>
      <c r="K2238" s="9" t="str">
        <f>TEXT(Sales_of_Jordan[[#This Row],[Sale_Date]],"mmm")</f>
        <v>Jul</v>
      </c>
    </row>
    <row r="2239" spans="1:11" x14ac:dyDescent="0.35">
      <c r="A2239" s="7" t="s">
        <v>2269</v>
      </c>
      <c r="B2239" s="8">
        <v>45844</v>
      </c>
      <c r="C2239" s="9" t="s">
        <v>31</v>
      </c>
      <c r="D2239" s="9" t="s">
        <v>12</v>
      </c>
      <c r="E2239" s="9" t="s">
        <v>13</v>
      </c>
      <c r="F2239" s="9">
        <v>204</v>
      </c>
      <c r="G2239" s="9">
        <v>130.76</v>
      </c>
      <c r="H2239" s="9" t="s">
        <v>32</v>
      </c>
      <c r="I2239" s="9">
        <v>26</v>
      </c>
      <c r="J2239" s="10">
        <v>-73.239999999999995</v>
      </c>
      <c r="K2239" s="9" t="str">
        <f>TEXT(Sales_of_Jordan[[#This Row],[Sale_Date]],"mmm")</f>
        <v>Jul</v>
      </c>
    </row>
    <row r="2240" spans="1:11" x14ac:dyDescent="0.35">
      <c r="A2240" s="7" t="s">
        <v>2270</v>
      </c>
      <c r="B2240" s="8">
        <v>45277</v>
      </c>
      <c r="C2240" s="9" t="s">
        <v>31</v>
      </c>
      <c r="D2240" s="9" t="s">
        <v>22</v>
      </c>
      <c r="E2240" s="9" t="s">
        <v>18</v>
      </c>
      <c r="F2240" s="9">
        <v>204</v>
      </c>
      <c r="G2240" s="9">
        <v>548.09</v>
      </c>
      <c r="H2240" s="9" t="s">
        <v>14</v>
      </c>
      <c r="I2240" s="9">
        <v>14</v>
      </c>
      <c r="J2240" s="10">
        <v>344.09</v>
      </c>
      <c r="K2240" s="9" t="str">
        <f>TEXT(Sales_of_Jordan[[#This Row],[Sale_Date]],"mmm")</f>
        <v>Dec</v>
      </c>
    </row>
    <row r="2241" spans="1:11" x14ac:dyDescent="0.35">
      <c r="A2241" s="7" t="s">
        <v>2271</v>
      </c>
      <c r="B2241" s="8">
        <v>45904</v>
      </c>
      <c r="C2241" s="9" t="s">
        <v>31</v>
      </c>
      <c r="D2241" s="9" t="s">
        <v>46</v>
      </c>
      <c r="E2241" s="9" t="s">
        <v>29</v>
      </c>
      <c r="F2241" s="9">
        <v>200</v>
      </c>
      <c r="G2241" s="9">
        <v>224.05</v>
      </c>
      <c r="H2241" s="9" t="s">
        <v>23</v>
      </c>
      <c r="I2241" s="9">
        <v>46</v>
      </c>
      <c r="J2241" s="10">
        <v>24.05</v>
      </c>
      <c r="K2241" s="9" t="str">
        <f>TEXT(Sales_of_Jordan[[#This Row],[Sale_Date]],"mmm")</f>
        <v>Sep</v>
      </c>
    </row>
    <row r="2242" spans="1:11" x14ac:dyDescent="0.35">
      <c r="A2242" s="7" t="s">
        <v>2272</v>
      </c>
      <c r="B2242" s="8">
        <v>45102</v>
      </c>
      <c r="C2242" s="9" t="s">
        <v>31</v>
      </c>
      <c r="D2242" s="9" t="s">
        <v>36</v>
      </c>
      <c r="E2242" s="9" t="s">
        <v>13</v>
      </c>
      <c r="F2242" s="9">
        <v>201</v>
      </c>
      <c r="G2242" s="9">
        <v>112.21</v>
      </c>
      <c r="H2242" s="9" t="s">
        <v>14</v>
      </c>
      <c r="I2242" s="9">
        <v>8</v>
      </c>
      <c r="J2242" s="10">
        <v>-88.79</v>
      </c>
      <c r="K2242" s="9" t="str">
        <f>TEXT(Sales_of_Jordan[[#This Row],[Sale_Date]],"mmm")</f>
        <v>Jun</v>
      </c>
    </row>
    <row r="2243" spans="1:11" x14ac:dyDescent="0.35">
      <c r="A2243" s="7" t="s">
        <v>2273</v>
      </c>
      <c r="B2243" s="8">
        <v>45708</v>
      </c>
      <c r="C2243" s="9" t="s">
        <v>11</v>
      </c>
      <c r="D2243" s="9" t="s">
        <v>36</v>
      </c>
      <c r="E2243" s="9" t="s">
        <v>13</v>
      </c>
      <c r="F2243" s="9">
        <v>230</v>
      </c>
      <c r="G2243" s="9">
        <v>151.34</v>
      </c>
      <c r="H2243" s="9" t="s">
        <v>32</v>
      </c>
      <c r="I2243" s="9">
        <v>43</v>
      </c>
      <c r="J2243" s="10">
        <v>-78.66</v>
      </c>
      <c r="K2243" s="9" t="str">
        <f>TEXT(Sales_of_Jordan[[#This Row],[Sale_Date]],"mmm")</f>
        <v>Feb</v>
      </c>
    </row>
    <row r="2244" spans="1:11" x14ac:dyDescent="0.35">
      <c r="A2244" s="7" t="s">
        <v>2274</v>
      </c>
      <c r="B2244" s="8">
        <v>45400</v>
      </c>
      <c r="C2244" s="9" t="s">
        <v>16</v>
      </c>
      <c r="D2244" s="9" t="s">
        <v>53</v>
      </c>
      <c r="E2244" s="9" t="s">
        <v>18</v>
      </c>
      <c r="F2244" s="9">
        <v>183</v>
      </c>
      <c r="G2244" s="9">
        <v>434.78</v>
      </c>
      <c r="H2244" s="9" t="s">
        <v>32</v>
      </c>
      <c r="I2244" s="9">
        <v>8</v>
      </c>
      <c r="J2244" s="10">
        <v>251.77999999999901</v>
      </c>
      <c r="K2244" s="9" t="str">
        <f>TEXT(Sales_of_Jordan[[#This Row],[Sale_Date]],"mmm")</f>
        <v>Apr</v>
      </c>
    </row>
    <row r="2245" spans="1:11" x14ac:dyDescent="0.35">
      <c r="A2245" s="7" t="s">
        <v>2275</v>
      </c>
      <c r="B2245" s="8">
        <v>45028</v>
      </c>
      <c r="C2245" s="9" t="s">
        <v>31</v>
      </c>
      <c r="D2245" s="9" t="s">
        <v>36</v>
      </c>
      <c r="E2245" s="9" t="s">
        <v>18</v>
      </c>
      <c r="F2245" s="9">
        <v>206</v>
      </c>
      <c r="G2245" s="9">
        <v>698.83</v>
      </c>
      <c r="H2245" s="9" t="s">
        <v>25</v>
      </c>
      <c r="I2245" s="9">
        <v>8</v>
      </c>
      <c r="J2245" s="10">
        <v>492.83</v>
      </c>
      <c r="K2245" s="9" t="str">
        <f>TEXT(Sales_of_Jordan[[#This Row],[Sale_Date]],"mmm")</f>
        <v>Apr</v>
      </c>
    </row>
    <row r="2246" spans="1:11" x14ac:dyDescent="0.35">
      <c r="A2246" s="7" t="s">
        <v>2276</v>
      </c>
      <c r="B2246" s="8">
        <v>45238</v>
      </c>
      <c r="C2246" s="9" t="s">
        <v>21</v>
      </c>
      <c r="D2246" s="9" t="s">
        <v>22</v>
      </c>
      <c r="E2246" s="9" t="s">
        <v>13</v>
      </c>
      <c r="F2246" s="9">
        <v>223</v>
      </c>
      <c r="G2246" s="9">
        <v>121.47</v>
      </c>
      <c r="H2246" s="9" t="s">
        <v>23</v>
      </c>
      <c r="I2246" s="9">
        <v>25</v>
      </c>
      <c r="J2246" s="10">
        <v>-101.53</v>
      </c>
      <c r="K2246" s="9" t="str">
        <f>TEXT(Sales_of_Jordan[[#This Row],[Sale_Date]],"mmm")</f>
        <v>Nov</v>
      </c>
    </row>
    <row r="2247" spans="1:11" x14ac:dyDescent="0.35">
      <c r="A2247" s="7" t="s">
        <v>2277</v>
      </c>
      <c r="B2247" s="8">
        <v>45152</v>
      </c>
      <c r="C2247" s="9" t="s">
        <v>11</v>
      </c>
      <c r="D2247" s="9" t="s">
        <v>22</v>
      </c>
      <c r="E2247" s="9" t="s">
        <v>18</v>
      </c>
      <c r="F2247" s="9">
        <v>228</v>
      </c>
      <c r="G2247" s="9">
        <v>675.13</v>
      </c>
      <c r="H2247" s="9" t="s">
        <v>14</v>
      </c>
      <c r="I2247" s="9">
        <v>8</v>
      </c>
      <c r="J2247" s="10">
        <v>447.13</v>
      </c>
      <c r="K2247" s="9" t="str">
        <f>TEXT(Sales_of_Jordan[[#This Row],[Sale_Date]],"mmm")</f>
        <v>Aug</v>
      </c>
    </row>
    <row r="2248" spans="1:11" x14ac:dyDescent="0.35">
      <c r="A2248" s="7" t="s">
        <v>2278</v>
      </c>
      <c r="B2248" s="8">
        <v>45820</v>
      </c>
      <c r="C2248" s="9" t="s">
        <v>31</v>
      </c>
      <c r="D2248" s="9" t="s">
        <v>12</v>
      </c>
      <c r="E2248" s="9" t="s">
        <v>29</v>
      </c>
      <c r="F2248" s="9">
        <v>208</v>
      </c>
      <c r="G2248" s="9">
        <v>264.70999999999998</v>
      </c>
      <c r="H2248" s="9" t="s">
        <v>19</v>
      </c>
      <c r="I2248" s="9">
        <v>1</v>
      </c>
      <c r="J2248" s="10">
        <v>56.709999999999901</v>
      </c>
      <c r="K2248" s="9" t="str">
        <f>TEXT(Sales_of_Jordan[[#This Row],[Sale_Date]],"mmm")</f>
        <v>Jun</v>
      </c>
    </row>
    <row r="2249" spans="1:11" x14ac:dyDescent="0.35">
      <c r="A2249" s="7" t="s">
        <v>2279</v>
      </c>
      <c r="B2249" s="8">
        <v>45865</v>
      </c>
      <c r="C2249" s="9" t="s">
        <v>16</v>
      </c>
      <c r="D2249" s="9" t="s">
        <v>17</v>
      </c>
      <c r="E2249" s="9" t="s">
        <v>13</v>
      </c>
      <c r="F2249" s="9">
        <v>173</v>
      </c>
      <c r="G2249" s="9">
        <v>109.74</v>
      </c>
      <c r="H2249" s="9" t="s">
        <v>14</v>
      </c>
      <c r="I2249" s="9">
        <v>9</v>
      </c>
      <c r="J2249" s="10">
        <v>-63.26</v>
      </c>
      <c r="K2249" s="9" t="str">
        <f>TEXT(Sales_of_Jordan[[#This Row],[Sale_Date]],"mmm")</f>
        <v>Jul</v>
      </c>
    </row>
    <row r="2250" spans="1:11" x14ac:dyDescent="0.35">
      <c r="A2250" s="7" t="s">
        <v>2280</v>
      </c>
      <c r="B2250" s="8">
        <v>45730</v>
      </c>
      <c r="C2250" s="9" t="s">
        <v>31</v>
      </c>
      <c r="D2250" s="9" t="s">
        <v>12</v>
      </c>
      <c r="E2250" s="9" t="s">
        <v>18</v>
      </c>
      <c r="F2250" s="9">
        <v>210</v>
      </c>
      <c r="G2250" s="9">
        <v>279.7</v>
      </c>
      <c r="H2250" s="9" t="s">
        <v>25</v>
      </c>
      <c r="I2250" s="9">
        <v>26</v>
      </c>
      <c r="J2250" s="10">
        <v>69.699999999999903</v>
      </c>
      <c r="K2250" s="9" t="str">
        <f>TEXT(Sales_of_Jordan[[#This Row],[Sale_Date]],"mmm")</f>
        <v>Mar</v>
      </c>
    </row>
    <row r="2251" spans="1:11" x14ac:dyDescent="0.35">
      <c r="A2251" s="7" t="s">
        <v>2281</v>
      </c>
      <c r="B2251" s="8">
        <v>45134</v>
      </c>
      <c r="C2251" s="9" t="s">
        <v>16</v>
      </c>
      <c r="D2251" s="9" t="s">
        <v>17</v>
      </c>
      <c r="E2251" s="9" t="s">
        <v>18</v>
      </c>
      <c r="F2251" s="9">
        <v>172</v>
      </c>
      <c r="G2251" s="9">
        <v>550.82000000000005</v>
      </c>
      <c r="H2251" s="9" t="s">
        <v>19</v>
      </c>
      <c r="I2251" s="9">
        <v>3</v>
      </c>
      <c r="J2251" s="10">
        <v>378.82</v>
      </c>
      <c r="K2251" s="9" t="str">
        <f>TEXT(Sales_of_Jordan[[#This Row],[Sale_Date]],"mmm")</f>
        <v>Jul</v>
      </c>
    </row>
    <row r="2252" spans="1:11" x14ac:dyDescent="0.35">
      <c r="A2252" s="7" t="s">
        <v>2282</v>
      </c>
      <c r="B2252" s="8">
        <v>45592</v>
      </c>
      <c r="C2252" s="9" t="s">
        <v>11</v>
      </c>
      <c r="D2252" s="9" t="s">
        <v>17</v>
      </c>
      <c r="E2252" s="9" t="s">
        <v>18</v>
      </c>
      <c r="F2252" s="9">
        <v>228</v>
      </c>
      <c r="G2252" s="9">
        <v>715.66</v>
      </c>
      <c r="H2252" s="9" t="s">
        <v>25</v>
      </c>
      <c r="I2252" s="9">
        <v>40</v>
      </c>
      <c r="J2252" s="10">
        <v>487.659999999999</v>
      </c>
      <c r="K2252" s="9" t="str">
        <f>TEXT(Sales_of_Jordan[[#This Row],[Sale_Date]],"mmm")</f>
        <v>Oct</v>
      </c>
    </row>
    <row r="2253" spans="1:11" x14ac:dyDescent="0.35">
      <c r="A2253" s="7" t="s">
        <v>2283</v>
      </c>
      <c r="B2253" s="8">
        <v>45514</v>
      </c>
      <c r="C2253" s="9" t="s">
        <v>31</v>
      </c>
      <c r="D2253" s="9" t="s">
        <v>55</v>
      </c>
      <c r="E2253" s="9" t="s">
        <v>13</v>
      </c>
      <c r="F2253" s="9">
        <v>200</v>
      </c>
      <c r="G2253" s="9">
        <v>116.63</v>
      </c>
      <c r="H2253" s="9" t="s">
        <v>25</v>
      </c>
      <c r="I2253" s="9">
        <v>7</v>
      </c>
      <c r="J2253" s="10">
        <v>-83.37</v>
      </c>
      <c r="K2253" s="9" t="str">
        <f>TEXT(Sales_of_Jordan[[#This Row],[Sale_Date]],"mmm")</f>
        <v>Aug</v>
      </c>
    </row>
    <row r="2254" spans="1:11" x14ac:dyDescent="0.35">
      <c r="A2254" s="7" t="s">
        <v>2284</v>
      </c>
      <c r="B2254" s="8">
        <v>45536</v>
      </c>
      <c r="C2254" s="9" t="s">
        <v>27</v>
      </c>
      <c r="D2254" s="9" t="s">
        <v>39</v>
      </c>
      <c r="E2254" s="9" t="s">
        <v>18</v>
      </c>
      <c r="F2254" s="9">
        <v>127</v>
      </c>
      <c r="G2254" s="9">
        <v>254.14</v>
      </c>
      <c r="H2254" s="9" t="s">
        <v>19</v>
      </c>
      <c r="I2254" s="9">
        <v>6</v>
      </c>
      <c r="J2254" s="10">
        <v>127.13999999999901</v>
      </c>
      <c r="K2254" s="9" t="str">
        <f>TEXT(Sales_of_Jordan[[#This Row],[Sale_Date]],"mmm")</f>
        <v>Sep</v>
      </c>
    </row>
    <row r="2255" spans="1:11" x14ac:dyDescent="0.35">
      <c r="A2255" s="7" t="s">
        <v>2285</v>
      </c>
      <c r="B2255" s="8">
        <v>45376</v>
      </c>
      <c r="C2255" s="9" t="s">
        <v>27</v>
      </c>
      <c r="D2255" s="9" t="s">
        <v>36</v>
      </c>
      <c r="E2255" s="9" t="s">
        <v>18</v>
      </c>
      <c r="F2255" s="9">
        <v>116</v>
      </c>
      <c r="G2255" s="9">
        <v>376.92</v>
      </c>
      <c r="H2255" s="9" t="s">
        <v>32</v>
      </c>
      <c r="I2255" s="9">
        <v>37</v>
      </c>
      <c r="J2255" s="10">
        <v>260.92</v>
      </c>
      <c r="K2255" s="9" t="str">
        <f>TEXT(Sales_of_Jordan[[#This Row],[Sale_Date]],"mmm")</f>
        <v>Mar</v>
      </c>
    </row>
    <row r="2256" spans="1:11" x14ac:dyDescent="0.35">
      <c r="A2256" s="7" t="s">
        <v>2286</v>
      </c>
      <c r="B2256" s="8">
        <v>45510</v>
      </c>
      <c r="C2256" s="9" t="s">
        <v>11</v>
      </c>
      <c r="D2256" s="9" t="s">
        <v>34</v>
      </c>
      <c r="E2256" s="9" t="s">
        <v>13</v>
      </c>
      <c r="F2256" s="9">
        <v>227</v>
      </c>
      <c r="G2256" s="9">
        <v>188.87</v>
      </c>
      <c r="H2256" s="9" t="s">
        <v>25</v>
      </c>
      <c r="I2256" s="9">
        <v>13</v>
      </c>
      <c r="J2256" s="10">
        <v>-38.129999999999903</v>
      </c>
      <c r="K2256" s="9" t="str">
        <f>TEXT(Sales_of_Jordan[[#This Row],[Sale_Date]],"mmm")</f>
        <v>Aug</v>
      </c>
    </row>
    <row r="2257" spans="1:11" x14ac:dyDescent="0.35">
      <c r="A2257" s="7" t="s">
        <v>2287</v>
      </c>
      <c r="B2257" s="8">
        <v>45406</v>
      </c>
      <c r="C2257" s="9" t="s">
        <v>27</v>
      </c>
      <c r="D2257" s="9" t="s">
        <v>55</v>
      </c>
      <c r="E2257" s="9" t="s">
        <v>18</v>
      </c>
      <c r="F2257" s="9">
        <v>117</v>
      </c>
      <c r="G2257" s="9">
        <v>286.25</v>
      </c>
      <c r="H2257" s="9" t="s">
        <v>14</v>
      </c>
      <c r="I2257" s="9">
        <v>9</v>
      </c>
      <c r="J2257" s="10">
        <v>169.25</v>
      </c>
      <c r="K2257" s="9" t="str">
        <f>TEXT(Sales_of_Jordan[[#This Row],[Sale_Date]],"mmm")</f>
        <v>Apr</v>
      </c>
    </row>
    <row r="2258" spans="1:11" x14ac:dyDescent="0.35">
      <c r="A2258" s="7" t="s">
        <v>2288</v>
      </c>
      <c r="B2258" s="8">
        <v>45925</v>
      </c>
      <c r="C2258" s="9" t="s">
        <v>27</v>
      </c>
      <c r="D2258" s="9" t="s">
        <v>36</v>
      </c>
      <c r="E2258" s="9" t="s">
        <v>29</v>
      </c>
      <c r="F2258" s="9">
        <v>112</v>
      </c>
      <c r="G2258" s="9">
        <v>133.4</v>
      </c>
      <c r="H2258" s="9" t="s">
        <v>14</v>
      </c>
      <c r="I2258" s="9">
        <v>13</v>
      </c>
      <c r="J2258" s="10">
        <v>21.4</v>
      </c>
      <c r="K2258" s="9" t="str">
        <f>TEXT(Sales_of_Jordan[[#This Row],[Sale_Date]],"mmm")</f>
        <v>Sep</v>
      </c>
    </row>
    <row r="2259" spans="1:11" x14ac:dyDescent="0.35">
      <c r="A2259" s="7" t="s">
        <v>2289</v>
      </c>
      <c r="B2259" s="8">
        <v>45094</v>
      </c>
      <c r="C2259" s="9" t="s">
        <v>11</v>
      </c>
      <c r="D2259" s="9" t="s">
        <v>53</v>
      </c>
      <c r="E2259" s="9" t="s">
        <v>29</v>
      </c>
      <c r="F2259" s="9">
        <v>226</v>
      </c>
      <c r="G2259" s="9">
        <v>216.58</v>
      </c>
      <c r="H2259" s="9" t="s">
        <v>23</v>
      </c>
      <c r="I2259" s="9">
        <v>50</v>
      </c>
      <c r="J2259" s="10">
        <v>-9.4199999999999804</v>
      </c>
      <c r="K2259" s="9" t="str">
        <f>TEXT(Sales_of_Jordan[[#This Row],[Sale_Date]],"mmm")</f>
        <v>Jun</v>
      </c>
    </row>
    <row r="2260" spans="1:11" x14ac:dyDescent="0.35">
      <c r="A2260" s="7" t="s">
        <v>2290</v>
      </c>
      <c r="B2260" s="8">
        <v>45570</v>
      </c>
      <c r="C2260" s="9" t="s">
        <v>21</v>
      </c>
      <c r="D2260" s="9" t="s">
        <v>17</v>
      </c>
      <c r="E2260" s="9" t="s">
        <v>18</v>
      </c>
      <c r="F2260" s="9">
        <v>216</v>
      </c>
      <c r="G2260" s="9">
        <v>467.89</v>
      </c>
      <c r="H2260" s="9" t="s">
        <v>14</v>
      </c>
      <c r="I2260" s="9">
        <v>13</v>
      </c>
      <c r="J2260" s="10">
        <v>251.89</v>
      </c>
      <c r="K2260" s="9" t="str">
        <f>TEXT(Sales_of_Jordan[[#This Row],[Sale_Date]],"mmm")</f>
        <v>Oct</v>
      </c>
    </row>
    <row r="2261" spans="1:11" x14ac:dyDescent="0.35">
      <c r="A2261" s="7" t="s">
        <v>2291</v>
      </c>
      <c r="B2261" s="8">
        <v>45481</v>
      </c>
      <c r="C2261" s="9" t="s">
        <v>16</v>
      </c>
      <c r="D2261" s="9" t="s">
        <v>22</v>
      </c>
      <c r="E2261" s="9" t="s">
        <v>18</v>
      </c>
      <c r="F2261" s="9">
        <v>179</v>
      </c>
      <c r="G2261" s="9">
        <v>502.9</v>
      </c>
      <c r="H2261" s="9" t="s">
        <v>14</v>
      </c>
      <c r="I2261" s="9">
        <v>11</v>
      </c>
      <c r="J2261" s="10">
        <v>323.89999999999998</v>
      </c>
      <c r="K2261" s="9" t="str">
        <f>TEXT(Sales_of_Jordan[[#This Row],[Sale_Date]],"mmm")</f>
        <v>Jul</v>
      </c>
    </row>
    <row r="2262" spans="1:11" x14ac:dyDescent="0.35">
      <c r="A2262" s="7" t="s">
        <v>2292</v>
      </c>
      <c r="B2262" s="8">
        <v>45510</v>
      </c>
      <c r="C2262" s="9" t="s">
        <v>27</v>
      </c>
      <c r="D2262" s="9" t="s">
        <v>46</v>
      </c>
      <c r="E2262" s="9" t="s">
        <v>18</v>
      </c>
      <c r="F2262" s="9">
        <v>126</v>
      </c>
      <c r="G2262" s="9">
        <v>343.48</v>
      </c>
      <c r="H2262" s="9" t="s">
        <v>25</v>
      </c>
      <c r="I2262" s="9">
        <v>41</v>
      </c>
      <c r="J2262" s="10">
        <v>217.48</v>
      </c>
      <c r="K2262" s="9" t="str">
        <f>TEXT(Sales_of_Jordan[[#This Row],[Sale_Date]],"mmm")</f>
        <v>Aug</v>
      </c>
    </row>
    <row r="2263" spans="1:11" x14ac:dyDescent="0.35">
      <c r="A2263" s="7" t="s">
        <v>2293</v>
      </c>
      <c r="B2263" s="8">
        <v>44928</v>
      </c>
      <c r="C2263" s="9" t="s">
        <v>16</v>
      </c>
      <c r="D2263" s="9" t="s">
        <v>53</v>
      </c>
      <c r="E2263" s="9" t="s">
        <v>29</v>
      </c>
      <c r="F2263" s="9">
        <v>184</v>
      </c>
      <c r="G2263" s="9">
        <v>176.35</v>
      </c>
      <c r="H2263" s="9" t="s">
        <v>25</v>
      </c>
      <c r="I2263" s="9">
        <v>5</v>
      </c>
      <c r="J2263" s="10">
        <v>-7.65</v>
      </c>
      <c r="K2263" s="9" t="str">
        <f>TEXT(Sales_of_Jordan[[#This Row],[Sale_Date]],"mmm")</f>
        <v>Jan</v>
      </c>
    </row>
    <row r="2264" spans="1:11" x14ac:dyDescent="0.35">
      <c r="A2264" s="7" t="s">
        <v>2294</v>
      </c>
      <c r="B2264" s="8">
        <v>45273</v>
      </c>
      <c r="C2264" s="9" t="s">
        <v>31</v>
      </c>
      <c r="D2264" s="9" t="s">
        <v>17</v>
      </c>
      <c r="E2264" s="9" t="s">
        <v>18</v>
      </c>
      <c r="F2264" s="9">
        <v>203</v>
      </c>
      <c r="G2264" s="9">
        <v>282.42</v>
      </c>
      <c r="H2264" s="9" t="s">
        <v>23</v>
      </c>
      <c r="I2264" s="9">
        <v>19</v>
      </c>
      <c r="J2264" s="10">
        <v>79.42</v>
      </c>
      <c r="K2264" s="9" t="str">
        <f>TEXT(Sales_of_Jordan[[#This Row],[Sale_Date]],"mmm")</f>
        <v>Dec</v>
      </c>
    </row>
    <row r="2265" spans="1:11" x14ac:dyDescent="0.35">
      <c r="A2265" s="7" t="s">
        <v>2295</v>
      </c>
      <c r="B2265" s="8">
        <v>45769</v>
      </c>
      <c r="C2265" s="9" t="s">
        <v>16</v>
      </c>
      <c r="D2265" s="9" t="s">
        <v>36</v>
      </c>
      <c r="E2265" s="9" t="s">
        <v>29</v>
      </c>
      <c r="F2265" s="9">
        <v>170</v>
      </c>
      <c r="G2265" s="9">
        <v>153.03</v>
      </c>
      <c r="H2265" s="9" t="s">
        <v>32</v>
      </c>
      <c r="I2265" s="9">
        <v>22</v>
      </c>
      <c r="J2265" s="10">
        <v>-16.97</v>
      </c>
      <c r="K2265" s="9" t="str">
        <f>TEXT(Sales_of_Jordan[[#This Row],[Sale_Date]],"mmm")</f>
        <v>Apr</v>
      </c>
    </row>
    <row r="2266" spans="1:11" x14ac:dyDescent="0.35">
      <c r="A2266" s="7" t="s">
        <v>2296</v>
      </c>
      <c r="B2266" s="8">
        <v>45065</v>
      </c>
      <c r="C2266" s="9" t="s">
        <v>11</v>
      </c>
      <c r="D2266" s="9" t="s">
        <v>53</v>
      </c>
      <c r="E2266" s="9" t="s">
        <v>18</v>
      </c>
      <c r="F2266" s="9">
        <v>229</v>
      </c>
      <c r="G2266" s="9">
        <v>359.54</v>
      </c>
      <c r="H2266" s="9" t="s">
        <v>23</v>
      </c>
      <c r="I2266" s="9">
        <v>21</v>
      </c>
      <c r="J2266" s="10">
        <v>130.54</v>
      </c>
      <c r="K2266" s="9" t="str">
        <f>TEXT(Sales_of_Jordan[[#This Row],[Sale_Date]],"mmm")</f>
        <v>May</v>
      </c>
    </row>
    <row r="2267" spans="1:11" x14ac:dyDescent="0.35">
      <c r="A2267" s="7" t="s">
        <v>2297</v>
      </c>
      <c r="B2267" s="8">
        <v>45656</v>
      </c>
      <c r="C2267" s="9" t="s">
        <v>31</v>
      </c>
      <c r="D2267" s="9" t="s">
        <v>36</v>
      </c>
      <c r="E2267" s="9" t="s">
        <v>29</v>
      </c>
      <c r="F2267" s="9">
        <v>202</v>
      </c>
      <c r="G2267" s="9">
        <v>276.51</v>
      </c>
      <c r="H2267" s="9" t="s">
        <v>25</v>
      </c>
      <c r="I2267" s="9">
        <v>24</v>
      </c>
      <c r="J2267" s="10">
        <v>74.509999999999906</v>
      </c>
      <c r="K2267" s="9" t="str">
        <f>TEXT(Sales_of_Jordan[[#This Row],[Sale_Date]],"mmm")</f>
        <v>Dec</v>
      </c>
    </row>
    <row r="2268" spans="1:11" x14ac:dyDescent="0.35">
      <c r="A2268" s="7" t="s">
        <v>2298</v>
      </c>
      <c r="B2268" s="8">
        <v>45224</v>
      </c>
      <c r="C2268" s="9" t="s">
        <v>31</v>
      </c>
      <c r="D2268" s="9" t="s">
        <v>22</v>
      </c>
      <c r="E2268" s="9" t="s">
        <v>29</v>
      </c>
      <c r="F2268" s="9">
        <v>205</v>
      </c>
      <c r="G2268" s="9">
        <v>259.35000000000002</v>
      </c>
      <c r="H2268" s="9" t="s">
        <v>23</v>
      </c>
      <c r="I2268" s="9">
        <v>11</v>
      </c>
      <c r="J2268" s="10">
        <v>54.35</v>
      </c>
      <c r="K2268" s="9" t="str">
        <f>TEXT(Sales_of_Jordan[[#This Row],[Sale_Date]],"mmm")</f>
        <v>Oct</v>
      </c>
    </row>
    <row r="2269" spans="1:11" x14ac:dyDescent="0.35">
      <c r="A2269" s="7" t="s">
        <v>2299</v>
      </c>
      <c r="B2269" s="8">
        <v>44962</v>
      </c>
      <c r="C2269" s="9" t="s">
        <v>11</v>
      </c>
      <c r="D2269" s="9" t="s">
        <v>36</v>
      </c>
      <c r="E2269" s="9" t="s">
        <v>13</v>
      </c>
      <c r="F2269" s="9">
        <v>230</v>
      </c>
      <c r="G2269" s="9">
        <v>162.11000000000001</v>
      </c>
      <c r="H2269" s="9" t="s">
        <v>14</v>
      </c>
      <c r="I2269" s="9">
        <v>3</v>
      </c>
      <c r="J2269" s="10">
        <v>-67.889999999999901</v>
      </c>
      <c r="K2269" s="9" t="str">
        <f>TEXT(Sales_of_Jordan[[#This Row],[Sale_Date]],"mmm")</f>
        <v>Feb</v>
      </c>
    </row>
    <row r="2270" spans="1:11" x14ac:dyDescent="0.35">
      <c r="A2270" s="7" t="s">
        <v>2300</v>
      </c>
      <c r="B2270" s="8">
        <v>45679</v>
      </c>
      <c r="C2270" s="9" t="s">
        <v>21</v>
      </c>
      <c r="D2270" s="9" t="s">
        <v>34</v>
      </c>
      <c r="E2270" s="9" t="s">
        <v>29</v>
      </c>
      <c r="F2270" s="9">
        <v>224</v>
      </c>
      <c r="G2270" s="9">
        <v>305.99</v>
      </c>
      <c r="H2270" s="9" t="s">
        <v>32</v>
      </c>
      <c r="I2270" s="9">
        <v>18</v>
      </c>
      <c r="J2270" s="10">
        <v>81.99</v>
      </c>
      <c r="K2270" s="9" t="str">
        <f>TEXT(Sales_of_Jordan[[#This Row],[Sale_Date]],"mmm")</f>
        <v>Jan</v>
      </c>
    </row>
    <row r="2271" spans="1:11" x14ac:dyDescent="0.35">
      <c r="A2271" s="7" t="s">
        <v>2301</v>
      </c>
      <c r="B2271" s="8">
        <v>45623</v>
      </c>
      <c r="C2271" s="9" t="s">
        <v>11</v>
      </c>
      <c r="D2271" s="9" t="s">
        <v>17</v>
      </c>
      <c r="E2271" s="9" t="s">
        <v>13</v>
      </c>
      <c r="F2271" s="9">
        <v>229</v>
      </c>
      <c r="G2271" s="9">
        <v>125.16</v>
      </c>
      <c r="H2271" s="9" t="s">
        <v>32</v>
      </c>
      <c r="I2271" s="9">
        <v>60</v>
      </c>
      <c r="J2271" s="10">
        <v>-103.84</v>
      </c>
      <c r="K2271" s="9" t="str">
        <f>TEXT(Sales_of_Jordan[[#This Row],[Sale_Date]],"mmm")</f>
        <v>Nov</v>
      </c>
    </row>
    <row r="2272" spans="1:11" x14ac:dyDescent="0.35">
      <c r="A2272" s="7" t="s">
        <v>2302</v>
      </c>
      <c r="B2272" s="8">
        <v>45267</v>
      </c>
      <c r="C2272" s="9" t="s">
        <v>31</v>
      </c>
      <c r="D2272" s="9" t="s">
        <v>46</v>
      </c>
      <c r="E2272" s="9" t="s">
        <v>29</v>
      </c>
      <c r="F2272" s="9">
        <v>206</v>
      </c>
      <c r="G2272" s="9">
        <v>274.45</v>
      </c>
      <c r="H2272" s="9" t="s">
        <v>19</v>
      </c>
      <c r="I2272" s="9">
        <v>9</v>
      </c>
      <c r="J2272" s="10">
        <v>68.449999999999903</v>
      </c>
      <c r="K2272" s="9" t="str">
        <f>TEXT(Sales_of_Jordan[[#This Row],[Sale_Date]],"mmm")</f>
        <v>Dec</v>
      </c>
    </row>
    <row r="2273" spans="1:11" x14ac:dyDescent="0.35">
      <c r="A2273" s="7" t="s">
        <v>2303</v>
      </c>
      <c r="B2273" s="8">
        <v>45143</v>
      </c>
      <c r="C2273" s="9" t="s">
        <v>27</v>
      </c>
      <c r="D2273" s="9" t="s">
        <v>22</v>
      </c>
      <c r="E2273" s="9" t="s">
        <v>13</v>
      </c>
      <c r="F2273" s="9">
        <v>136</v>
      </c>
      <c r="G2273" s="9">
        <v>107.66</v>
      </c>
      <c r="H2273" s="9" t="s">
        <v>19</v>
      </c>
      <c r="I2273" s="9">
        <v>11</v>
      </c>
      <c r="J2273" s="10">
        <v>-28.34</v>
      </c>
      <c r="K2273" s="9" t="str">
        <f>TEXT(Sales_of_Jordan[[#This Row],[Sale_Date]],"mmm")</f>
        <v>Aug</v>
      </c>
    </row>
    <row r="2274" spans="1:11" x14ac:dyDescent="0.35">
      <c r="A2274" s="7" t="s">
        <v>2304</v>
      </c>
      <c r="B2274" s="8">
        <v>45132</v>
      </c>
      <c r="C2274" s="9" t="s">
        <v>11</v>
      </c>
      <c r="D2274" s="9" t="s">
        <v>53</v>
      </c>
      <c r="E2274" s="9" t="s">
        <v>29</v>
      </c>
      <c r="F2274" s="9">
        <v>226</v>
      </c>
      <c r="G2274" s="9">
        <v>295.58999999999997</v>
      </c>
      <c r="H2274" s="9" t="s">
        <v>14</v>
      </c>
      <c r="I2274" s="9">
        <v>9</v>
      </c>
      <c r="J2274" s="10">
        <v>69.589999999999904</v>
      </c>
      <c r="K2274" s="9" t="str">
        <f>TEXT(Sales_of_Jordan[[#This Row],[Sale_Date]],"mmm")</f>
        <v>Jul</v>
      </c>
    </row>
    <row r="2275" spans="1:11" x14ac:dyDescent="0.35">
      <c r="A2275" s="7" t="s">
        <v>2305</v>
      </c>
      <c r="B2275" s="8">
        <v>44988</v>
      </c>
      <c r="C2275" s="9" t="s">
        <v>21</v>
      </c>
      <c r="D2275" s="9" t="s">
        <v>17</v>
      </c>
      <c r="E2275" s="9" t="s">
        <v>29</v>
      </c>
      <c r="F2275" s="9">
        <v>225</v>
      </c>
      <c r="G2275" s="9">
        <v>246.04</v>
      </c>
      <c r="H2275" s="9" t="s">
        <v>25</v>
      </c>
      <c r="I2275" s="9">
        <v>11</v>
      </c>
      <c r="J2275" s="10">
        <v>21.0399999999999</v>
      </c>
      <c r="K2275" s="9" t="str">
        <f>TEXT(Sales_of_Jordan[[#This Row],[Sale_Date]],"mmm")</f>
        <v>Mar</v>
      </c>
    </row>
    <row r="2276" spans="1:11" x14ac:dyDescent="0.35">
      <c r="A2276" s="7" t="s">
        <v>2306</v>
      </c>
      <c r="B2276" s="8">
        <v>45054</v>
      </c>
      <c r="C2276" s="9" t="s">
        <v>11</v>
      </c>
      <c r="D2276" s="9" t="s">
        <v>17</v>
      </c>
      <c r="E2276" s="9" t="s">
        <v>29</v>
      </c>
      <c r="F2276" s="9">
        <v>227</v>
      </c>
      <c r="G2276" s="9">
        <v>261.23</v>
      </c>
      <c r="H2276" s="9" t="s">
        <v>14</v>
      </c>
      <c r="I2276" s="9">
        <v>1</v>
      </c>
      <c r="J2276" s="10">
        <v>34.229999999999997</v>
      </c>
      <c r="K2276" s="9" t="str">
        <f>TEXT(Sales_of_Jordan[[#This Row],[Sale_Date]],"mmm")</f>
        <v>May</v>
      </c>
    </row>
    <row r="2277" spans="1:11" x14ac:dyDescent="0.35">
      <c r="A2277" s="7" t="s">
        <v>2307</v>
      </c>
      <c r="B2277" s="8">
        <v>45272</v>
      </c>
      <c r="C2277" s="9" t="s">
        <v>11</v>
      </c>
      <c r="D2277" s="9" t="s">
        <v>46</v>
      </c>
      <c r="E2277" s="9" t="s">
        <v>18</v>
      </c>
      <c r="F2277" s="9">
        <v>229</v>
      </c>
      <c r="G2277" s="9">
        <v>478.85</v>
      </c>
      <c r="H2277" s="9" t="s">
        <v>19</v>
      </c>
      <c r="I2277" s="9">
        <v>14</v>
      </c>
      <c r="J2277" s="10">
        <v>249.85</v>
      </c>
      <c r="K2277" s="9" t="str">
        <f>TEXT(Sales_of_Jordan[[#This Row],[Sale_Date]],"mmm")</f>
        <v>Dec</v>
      </c>
    </row>
    <row r="2278" spans="1:11" x14ac:dyDescent="0.35">
      <c r="A2278" s="7" t="s">
        <v>2308</v>
      </c>
      <c r="B2278" s="8">
        <v>44957</v>
      </c>
      <c r="C2278" s="9" t="s">
        <v>11</v>
      </c>
      <c r="D2278" s="9" t="s">
        <v>36</v>
      </c>
      <c r="E2278" s="9" t="s">
        <v>18</v>
      </c>
      <c r="F2278" s="9">
        <v>227</v>
      </c>
      <c r="G2278" s="9">
        <v>672.19</v>
      </c>
      <c r="H2278" s="9" t="s">
        <v>14</v>
      </c>
      <c r="I2278" s="9">
        <v>7</v>
      </c>
      <c r="J2278" s="10">
        <v>445.19</v>
      </c>
      <c r="K2278" s="9" t="str">
        <f>TEXT(Sales_of_Jordan[[#This Row],[Sale_Date]],"mmm")</f>
        <v>Jan</v>
      </c>
    </row>
    <row r="2279" spans="1:11" x14ac:dyDescent="0.35">
      <c r="A2279" s="7" t="s">
        <v>2309</v>
      </c>
      <c r="B2279" s="8">
        <v>45391</v>
      </c>
      <c r="C2279" s="9" t="s">
        <v>11</v>
      </c>
      <c r="D2279" s="9" t="s">
        <v>17</v>
      </c>
      <c r="E2279" s="9" t="s">
        <v>29</v>
      </c>
      <c r="F2279" s="9">
        <v>225</v>
      </c>
      <c r="G2279" s="9">
        <v>293.39</v>
      </c>
      <c r="H2279" s="9" t="s">
        <v>25</v>
      </c>
      <c r="I2279" s="9">
        <v>16</v>
      </c>
      <c r="J2279" s="10">
        <v>68.389999999999901</v>
      </c>
      <c r="K2279" s="9" t="str">
        <f>TEXT(Sales_of_Jordan[[#This Row],[Sale_Date]],"mmm")</f>
        <v>Apr</v>
      </c>
    </row>
    <row r="2280" spans="1:11" x14ac:dyDescent="0.35">
      <c r="A2280" s="7" t="s">
        <v>2310</v>
      </c>
      <c r="B2280" s="8">
        <v>44956</v>
      </c>
      <c r="C2280" s="9" t="s">
        <v>11</v>
      </c>
      <c r="D2280" s="9" t="s">
        <v>17</v>
      </c>
      <c r="E2280" s="9" t="s">
        <v>13</v>
      </c>
      <c r="F2280" s="9">
        <v>225</v>
      </c>
      <c r="G2280" s="9">
        <v>141.99</v>
      </c>
      <c r="H2280" s="9" t="s">
        <v>25</v>
      </c>
      <c r="I2280" s="9">
        <v>6</v>
      </c>
      <c r="J2280" s="10">
        <v>-83.009999999999906</v>
      </c>
      <c r="K2280" s="9" t="str">
        <f>TEXT(Sales_of_Jordan[[#This Row],[Sale_Date]],"mmm")</f>
        <v>Jan</v>
      </c>
    </row>
    <row r="2281" spans="1:11" x14ac:dyDescent="0.35">
      <c r="A2281" s="7" t="s">
        <v>2311</v>
      </c>
      <c r="B2281" s="8">
        <v>45278</v>
      </c>
      <c r="C2281" s="9" t="s">
        <v>21</v>
      </c>
      <c r="D2281" s="9" t="s">
        <v>53</v>
      </c>
      <c r="E2281" s="9" t="s">
        <v>29</v>
      </c>
      <c r="F2281" s="9">
        <v>220</v>
      </c>
      <c r="G2281" s="9">
        <v>200.15</v>
      </c>
      <c r="H2281" s="9" t="s">
        <v>19</v>
      </c>
      <c r="I2281" s="9">
        <v>11</v>
      </c>
      <c r="J2281" s="10">
        <v>-19.849999999999898</v>
      </c>
      <c r="K2281" s="9" t="str">
        <f>TEXT(Sales_of_Jordan[[#This Row],[Sale_Date]],"mmm")</f>
        <v>Dec</v>
      </c>
    </row>
    <row r="2282" spans="1:11" x14ac:dyDescent="0.35">
      <c r="A2282" s="7" t="s">
        <v>2312</v>
      </c>
      <c r="B2282" s="8">
        <v>45637</v>
      </c>
      <c r="C2282" s="9" t="s">
        <v>21</v>
      </c>
      <c r="D2282" s="9" t="s">
        <v>46</v>
      </c>
      <c r="E2282" s="9" t="s">
        <v>18</v>
      </c>
      <c r="F2282" s="9">
        <v>225</v>
      </c>
      <c r="G2282" s="9">
        <v>653.07000000000005</v>
      </c>
      <c r="H2282" s="9" t="s">
        <v>25</v>
      </c>
      <c r="I2282" s="9">
        <v>29</v>
      </c>
      <c r="J2282" s="10">
        <v>428.07</v>
      </c>
      <c r="K2282" s="9" t="str">
        <f>TEXT(Sales_of_Jordan[[#This Row],[Sale_Date]],"mmm")</f>
        <v>Dec</v>
      </c>
    </row>
    <row r="2283" spans="1:11" x14ac:dyDescent="0.35">
      <c r="A2283" s="7" t="s">
        <v>2313</v>
      </c>
      <c r="B2283" s="8">
        <v>45001</v>
      </c>
      <c r="C2283" s="9" t="s">
        <v>21</v>
      </c>
      <c r="D2283" s="9" t="s">
        <v>36</v>
      </c>
      <c r="E2283" s="9" t="s">
        <v>13</v>
      </c>
      <c r="F2283" s="9">
        <v>218</v>
      </c>
      <c r="G2283" s="9">
        <v>162.77000000000001</v>
      </c>
      <c r="H2283" s="9" t="s">
        <v>32</v>
      </c>
      <c r="I2283" s="9">
        <v>29</v>
      </c>
      <c r="J2283" s="10">
        <v>-55.229999999999897</v>
      </c>
      <c r="K2283" s="9" t="str">
        <f>TEXT(Sales_of_Jordan[[#This Row],[Sale_Date]],"mmm")</f>
        <v>Mar</v>
      </c>
    </row>
    <row r="2284" spans="1:11" x14ac:dyDescent="0.35">
      <c r="A2284" s="7" t="s">
        <v>2314</v>
      </c>
      <c r="B2284" s="8">
        <v>45862</v>
      </c>
      <c r="C2284" s="9" t="s">
        <v>16</v>
      </c>
      <c r="D2284" s="9" t="s">
        <v>53</v>
      </c>
      <c r="E2284" s="9" t="s">
        <v>18</v>
      </c>
      <c r="F2284" s="9">
        <v>177</v>
      </c>
      <c r="G2284" s="9">
        <v>495.71</v>
      </c>
      <c r="H2284" s="9" t="s">
        <v>32</v>
      </c>
      <c r="I2284" s="9">
        <v>53</v>
      </c>
      <c r="J2284" s="10">
        <v>318.70999999999998</v>
      </c>
      <c r="K2284" s="9" t="str">
        <f>TEXT(Sales_of_Jordan[[#This Row],[Sale_Date]],"mmm")</f>
        <v>Jul</v>
      </c>
    </row>
    <row r="2285" spans="1:11" x14ac:dyDescent="0.35">
      <c r="A2285" s="7" t="s">
        <v>2315</v>
      </c>
      <c r="B2285" s="8">
        <v>45150</v>
      </c>
      <c r="C2285" s="9" t="s">
        <v>11</v>
      </c>
      <c r="D2285" s="9" t="s">
        <v>53</v>
      </c>
      <c r="E2285" s="9" t="s">
        <v>18</v>
      </c>
      <c r="F2285" s="9">
        <v>229</v>
      </c>
      <c r="G2285" s="9">
        <v>316.60000000000002</v>
      </c>
      <c r="H2285" s="9" t="s">
        <v>32</v>
      </c>
      <c r="I2285" s="9">
        <v>43</v>
      </c>
      <c r="J2285" s="10">
        <v>87.6</v>
      </c>
      <c r="K2285" s="9" t="str">
        <f>TEXT(Sales_of_Jordan[[#This Row],[Sale_Date]],"mmm")</f>
        <v>Aug</v>
      </c>
    </row>
    <row r="2286" spans="1:11" x14ac:dyDescent="0.35">
      <c r="A2286" s="7" t="s">
        <v>2316</v>
      </c>
      <c r="B2286" s="8">
        <v>45186</v>
      </c>
      <c r="C2286" s="9" t="s">
        <v>11</v>
      </c>
      <c r="D2286" s="9" t="s">
        <v>46</v>
      </c>
      <c r="E2286" s="9" t="s">
        <v>29</v>
      </c>
      <c r="F2286" s="9">
        <v>225</v>
      </c>
      <c r="G2286" s="9">
        <v>302.95999999999998</v>
      </c>
      <c r="H2286" s="9" t="s">
        <v>19</v>
      </c>
      <c r="I2286" s="9">
        <v>9</v>
      </c>
      <c r="J2286" s="10">
        <v>77.959999999999894</v>
      </c>
      <c r="K2286" s="9" t="str">
        <f>TEXT(Sales_of_Jordan[[#This Row],[Sale_Date]],"mmm")</f>
        <v>Sep</v>
      </c>
    </row>
    <row r="2287" spans="1:11" x14ac:dyDescent="0.35">
      <c r="A2287" s="7" t="s">
        <v>2317</v>
      </c>
      <c r="B2287" s="8">
        <v>45604</v>
      </c>
      <c r="C2287" s="9" t="s">
        <v>11</v>
      </c>
      <c r="D2287" s="9" t="s">
        <v>53</v>
      </c>
      <c r="E2287" s="9" t="s">
        <v>13</v>
      </c>
      <c r="F2287" s="9">
        <v>228</v>
      </c>
      <c r="G2287" s="9">
        <v>150.13</v>
      </c>
      <c r="H2287" s="9" t="s">
        <v>19</v>
      </c>
      <c r="I2287" s="9">
        <v>11</v>
      </c>
      <c r="J2287" s="10">
        <v>-77.87</v>
      </c>
      <c r="K2287" s="9" t="str">
        <f>TEXT(Sales_of_Jordan[[#This Row],[Sale_Date]],"mmm")</f>
        <v>Nov</v>
      </c>
    </row>
    <row r="2288" spans="1:11" x14ac:dyDescent="0.35">
      <c r="A2288" s="7" t="s">
        <v>2318</v>
      </c>
      <c r="B2288" s="8">
        <v>45498</v>
      </c>
      <c r="C2288" s="9" t="s">
        <v>16</v>
      </c>
      <c r="D2288" s="9" t="s">
        <v>17</v>
      </c>
      <c r="E2288" s="9" t="s">
        <v>13</v>
      </c>
      <c r="F2288" s="9">
        <v>176</v>
      </c>
      <c r="G2288" s="9">
        <v>121.61</v>
      </c>
      <c r="H2288" s="9" t="s">
        <v>19</v>
      </c>
      <c r="I2288" s="9">
        <v>3</v>
      </c>
      <c r="J2288" s="10">
        <v>-54.39</v>
      </c>
      <c r="K2288" s="9" t="str">
        <f>TEXT(Sales_of_Jordan[[#This Row],[Sale_Date]],"mmm")</f>
        <v>Jul</v>
      </c>
    </row>
    <row r="2289" spans="1:11" x14ac:dyDescent="0.35">
      <c r="A2289" s="7" t="s">
        <v>2319</v>
      </c>
      <c r="B2289" s="8">
        <v>45446</v>
      </c>
      <c r="C2289" s="9" t="s">
        <v>31</v>
      </c>
      <c r="D2289" s="9" t="s">
        <v>55</v>
      </c>
      <c r="E2289" s="9" t="s">
        <v>13</v>
      </c>
      <c r="F2289" s="9">
        <v>208</v>
      </c>
      <c r="G2289" s="9">
        <v>113.16</v>
      </c>
      <c r="H2289" s="9" t="s">
        <v>19</v>
      </c>
      <c r="I2289" s="9">
        <v>4</v>
      </c>
      <c r="J2289" s="10">
        <v>-94.84</v>
      </c>
      <c r="K2289" s="9" t="str">
        <f>TEXT(Sales_of_Jordan[[#This Row],[Sale_Date]],"mmm")</f>
        <v>Jun</v>
      </c>
    </row>
    <row r="2290" spans="1:11" x14ac:dyDescent="0.35">
      <c r="A2290" s="7" t="s">
        <v>2320</v>
      </c>
      <c r="B2290" s="8">
        <v>45165</v>
      </c>
      <c r="C2290" s="9" t="s">
        <v>31</v>
      </c>
      <c r="D2290" s="9" t="s">
        <v>46</v>
      </c>
      <c r="E2290" s="9" t="s">
        <v>29</v>
      </c>
      <c r="F2290" s="9">
        <v>207</v>
      </c>
      <c r="G2290" s="9">
        <v>215.14</v>
      </c>
      <c r="H2290" s="9" t="s">
        <v>32</v>
      </c>
      <c r="I2290" s="9">
        <v>23</v>
      </c>
      <c r="J2290" s="10">
        <v>8.1399999999999793</v>
      </c>
      <c r="K2290" s="9" t="str">
        <f>TEXT(Sales_of_Jordan[[#This Row],[Sale_Date]],"mmm")</f>
        <v>Aug</v>
      </c>
    </row>
    <row r="2291" spans="1:11" x14ac:dyDescent="0.35">
      <c r="A2291" s="7" t="s">
        <v>2321</v>
      </c>
      <c r="B2291" s="8">
        <v>45437</v>
      </c>
      <c r="C2291" s="9" t="s">
        <v>27</v>
      </c>
      <c r="D2291" s="9" t="s">
        <v>22</v>
      </c>
      <c r="E2291" s="9" t="s">
        <v>13</v>
      </c>
      <c r="F2291" s="9">
        <v>115</v>
      </c>
      <c r="G2291" s="9">
        <v>65.16</v>
      </c>
      <c r="H2291" s="9" t="s">
        <v>19</v>
      </c>
      <c r="I2291" s="9">
        <v>8</v>
      </c>
      <c r="J2291" s="10">
        <v>-49.84</v>
      </c>
      <c r="K2291" s="9" t="str">
        <f>TEXT(Sales_of_Jordan[[#This Row],[Sale_Date]],"mmm")</f>
        <v>May</v>
      </c>
    </row>
    <row r="2292" spans="1:11" x14ac:dyDescent="0.35">
      <c r="A2292" s="7" t="s">
        <v>2322</v>
      </c>
      <c r="B2292" s="8">
        <v>45480</v>
      </c>
      <c r="C2292" s="9" t="s">
        <v>16</v>
      </c>
      <c r="D2292" s="9" t="s">
        <v>55</v>
      </c>
      <c r="E2292" s="9" t="s">
        <v>18</v>
      </c>
      <c r="F2292" s="9">
        <v>184</v>
      </c>
      <c r="G2292" s="9">
        <v>412.71</v>
      </c>
      <c r="H2292" s="9" t="s">
        <v>14</v>
      </c>
      <c r="I2292" s="9">
        <v>7</v>
      </c>
      <c r="J2292" s="10">
        <v>228.70999999999901</v>
      </c>
      <c r="K2292" s="9" t="str">
        <f>TEXT(Sales_of_Jordan[[#This Row],[Sale_Date]],"mmm")</f>
        <v>Jul</v>
      </c>
    </row>
    <row r="2293" spans="1:11" x14ac:dyDescent="0.35">
      <c r="A2293" s="7" t="s">
        <v>2323</v>
      </c>
      <c r="B2293" s="8">
        <v>45662</v>
      </c>
      <c r="C2293" s="9" t="s">
        <v>31</v>
      </c>
      <c r="D2293" s="9" t="s">
        <v>36</v>
      </c>
      <c r="E2293" s="9" t="s">
        <v>13</v>
      </c>
      <c r="F2293" s="9">
        <v>209</v>
      </c>
      <c r="G2293" s="9">
        <v>180.41</v>
      </c>
      <c r="H2293" s="9" t="s">
        <v>25</v>
      </c>
      <c r="I2293" s="9">
        <v>26</v>
      </c>
      <c r="J2293" s="10">
        <v>-28.59</v>
      </c>
      <c r="K2293" s="9" t="str">
        <f>TEXT(Sales_of_Jordan[[#This Row],[Sale_Date]],"mmm")</f>
        <v>Jan</v>
      </c>
    </row>
    <row r="2294" spans="1:11" x14ac:dyDescent="0.35">
      <c r="A2294" s="7" t="s">
        <v>2324</v>
      </c>
      <c r="B2294" s="8">
        <v>45421</v>
      </c>
      <c r="C2294" s="9" t="s">
        <v>11</v>
      </c>
      <c r="D2294" s="9" t="s">
        <v>55</v>
      </c>
      <c r="E2294" s="9" t="s">
        <v>18</v>
      </c>
      <c r="F2294" s="9">
        <v>226</v>
      </c>
      <c r="G2294" s="9">
        <v>377.38</v>
      </c>
      <c r="H2294" s="9" t="s">
        <v>25</v>
      </c>
      <c r="I2294" s="9">
        <v>47</v>
      </c>
      <c r="J2294" s="10">
        <v>151.38</v>
      </c>
      <c r="K2294" s="9" t="str">
        <f>TEXT(Sales_of_Jordan[[#This Row],[Sale_Date]],"mmm")</f>
        <v>May</v>
      </c>
    </row>
    <row r="2295" spans="1:11" x14ac:dyDescent="0.35">
      <c r="A2295" s="7" t="s">
        <v>2325</v>
      </c>
      <c r="B2295" s="8">
        <v>45726</v>
      </c>
      <c r="C2295" s="9" t="s">
        <v>16</v>
      </c>
      <c r="D2295" s="9" t="s">
        <v>36</v>
      </c>
      <c r="E2295" s="9" t="s">
        <v>13</v>
      </c>
      <c r="F2295" s="9">
        <v>188</v>
      </c>
      <c r="G2295" s="9">
        <v>154.41</v>
      </c>
      <c r="H2295" s="9" t="s">
        <v>32</v>
      </c>
      <c r="I2295" s="9">
        <v>12</v>
      </c>
      <c r="J2295" s="10">
        <v>-33.590000000000003</v>
      </c>
      <c r="K2295" s="9" t="str">
        <f>TEXT(Sales_of_Jordan[[#This Row],[Sale_Date]],"mmm")</f>
        <v>Mar</v>
      </c>
    </row>
    <row r="2296" spans="1:11" x14ac:dyDescent="0.35">
      <c r="A2296" s="7" t="s">
        <v>2326</v>
      </c>
      <c r="B2296" s="8">
        <v>45330</v>
      </c>
      <c r="C2296" s="9" t="s">
        <v>16</v>
      </c>
      <c r="D2296" s="9" t="s">
        <v>36</v>
      </c>
      <c r="E2296" s="9" t="s">
        <v>29</v>
      </c>
      <c r="F2296" s="9">
        <v>173</v>
      </c>
      <c r="G2296" s="9">
        <v>156.63</v>
      </c>
      <c r="H2296" s="9" t="s">
        <v>19</v>
      </c>
      <c r="I2296" s="9">
        <v>4</v>
      </c>
      <c r="J2296" s="10">
        <v>-16.37</v>
      </c>
      <c r="K2296" s="9" t="str">
        <f>TEXT(Sales_of_Jordan[[#This Row],[Sale_Date]],"mmm")</f>
        <v>Feb</v>
      </c>
    </row>
    <row r="2297" spans="1:11" x14ac:dyDescent="0.35">
      <c r="A2297" s="7" t="s">
        <v>2327</v>
      </c>
      <c r="B2297" s="8">
        <v>45914</v>
      </c>
      <c r="C2297" s="9" t="s">
        <v>27</v>
      </c>
      <c r="D2297" s="9" t="s">
        <v>46</v>
      </c>
      <c r="E2297" s="9" t="s">
        <v>29</v>
      </c>
      <c r="F2297" s="9">
        <v>139</v>
      </c>
      <c r="G2297" s="9">
        <v>198.21</v>
      </c>
      <c r="H2297" s="9" t="s">
        <v>19</v>
      </c>
      <c r="I2297" s="9">
        <v>10</v>
      </c>
      <c r="J2297" s="10">
        <v>59.21</v>
      </c>
      <c r="K2297" s="9" t="str">
        <f>TEXT(Sales_of_Jordan[[#This Row],[Sale_Date]],"mmm")</f>
        <v>Sep</v>
      </c>
    </row>
    <row r="2298" spans="1:11" x14ac:dyDescent="0.35">
      <c r="A2298" s="7" t="s">
        <v>2328</v>
      </c>
      <c r="B2298" s="8">
        <v>45736</v>
      </c>
      <c r="C2298" s="9" t="s">
        <v>31</v>
      </c>
      <c r="D2298" s="9" t="s">
        <v>12</v>
      </c>
      <c r="E2298" s="9" t="s">
        <v>13</v>
      </c>
      <c r="F2298" s="9">
        <v>203</v>
      </c>
      <c r="G2298" s="9">
        <v>141.63</v>
      </c>
      <c r="H2298" s="9" t="s">
        <v>14</v>
      </c>
      <c r="I2298" s="9">
        <v>2</v>
      </c>
      <c r="J2298" s="10">
        <v>-61.37</v>
      </c>
      <c r="K2298" s="9" t="str">
        <f>TEXT(Sales_of_Jordan[[#This Row],[Sale_Date]],"mmm")</f>
        <v>Mar</v>
      </c>
    </row>
    <row r="2299" spans="1:11" x14ac:dyDescent="0.35">
      <c r="A2299" s="7" t="s">
        <v>2329</v>
      </c>
      <c r="B2299" s="8">
        <v>45913</v>
      </c>
      <c r="C2299" s="9" t="s">
        <v>11</v>
      </c>
      <c r="D2299" s="9" t="s">
        <v>34</v>
      </c>
      <c r="E2299" s="9" t="s">
        <v>13</v>
      </c>
      <c r="F2299" s="9">
        <v>225</v>
      </c>
      <c r="G2299" s="9">
        <v>126.86</v>
      </c>
      <c r="H2299" s="9" t="s">
        <v>14</v>
      </c>
      <c r="I2299" s="9">
        <v>9</v>
      </c>
      <c r="J2299" s="10">
        <v>-98.14</v>
      </c>
      <c r="K2299" s="9" t="str">
        <f>TEXT(Sales_of_Jordan[[#This Row],[Sale_Date]],"mmm")</f>
        <v>Sep</v>
      </c>
    </row>
    <row r="2300" spans="1:11" x14ac:dyDescent="0.35">
      <c r="A2300" s="7" t="s">
        <v>2330</v>
      </c>
      <c r="B2300" s="8">
        <v>45222</v>
      </c>
      <c r="C2300" s="9" t="s">
        <v>31</v>
      </c>
      <c r="D2300" s="9" t="s">
        <v>39</v>
      </c>
      <c r="E2300" s="9" t="s">
        <v>18</v>
      </c>
      <c r="F2300" s="9">
        <v>207</v>
      </c>
      <c r="G2300" s="9">
        <v>248.66</v>
      </c>
      <c r="H2300" s="9" t="s">
        <v>14</v>
      </c>
      <c r="I2300" s="9">
        <v>6</v>
      </c>
      <c r="J2300" s="10">
        <v>41.66</v>
      </c>
      <c r="K2300" s="9" t="str">
        <f>TEXT(Sales_of_Jordan[[#This Row],[Sale_Date]],"mmm")</f>
        <v>Oct</v>
      </c>
    </row>
    <row r="2301" spans="1:11" x14ac:dyDescent="0.35">
      <c r="A2301" s="7" t="s">
        <v>2331</v>
      </c>
      <c r="B2301" s="8">
        <v>45386</v>
      </c>
      <c r="C2301" s="9" t="s">
        <v>27</v>
      </c>
      <c r="D2301" s="9" t="s">
        <v>39</v>
      </c>
      <c r="E2301" s="9" t="s">
        <v>29</v>
      </c>
      <c r="F2301" s="9">
        <v>135</v>
      </c>
      <c r="G2301" s="9">
        <v>161.19</v>
      </c>
      <c r="H2301" s="9" t="s">
        <v>14</v>
      </c>
      <c r="I2301" s="9">
        <v>9</v>
      </c>
      <c r="J2301" s="10">
        <v>26.189999999999898</v>
      </c>
      <c r="K2301" s="9" t="str">
        <f>TEXT(Sales_of_Jordan[[#This Row],[Sale_Date]],"mmm")</f>
        <v>Apr</v>
      </c>
    </row>
    <row r="2302" spans="1:11" x14ac:dyDescent="0.35">
      <c r="A2302" s="7" t="s">
        <v>2332</v>
      </c>
      <c r="B2302" s="8">
        <v>45259</v>
      </c>
      <c r="C2302" s="9" t="s">
        <v>11</v>
      </c>
      <c r="D2302" s="9" t="s">
        <v>39</v>
      </c>
      <c r="E2302" s="9" t="s">
        <v>29</v>
      </c>
      <c r="F2302" s="9">
        <v>229</v>
      </c>
      <c r="G2302" s="9">
        <v>310.82</v>
      </c>
      <c r="H2302" s="9" t="s">
        <v>19</v>
      </c>
      <c r="I2302" s="9">
        <v>4</v>
      </c>
      <c r="J2302" s="10">
        <v>81.819999999999993</v>
      </c>
      <c r="K2302" s="9" t="str">
        <f>TEXT(Sales_of_Jordan[[#This Row],[Sale_Date]],"mmm")</f>
        <v>Nov</v>
      </c>
    </row>
    <row r="2303" spans="1:11" x14ac:dyDescent="0.35">
      <c r="A2303" s="7" t="s">
        <v>2333</v>
      </c>
      <c r="B2303" s="8">
        <v>45849</v>
      </c>
      <c r="C2303" s="9" t="s">
        <v>16</v>
      </c>
      <c r="D2303" s="9" t="s">
        <v>53</v>
      </c>
      <c r="E2303" s="9" t="s">
        <v>13</v>
      </c>
      <c r="F2303" s="9">
        <v>189</v>
      </c>
      <c r="G2303" s="9">
        <v>121.2</v>
      </c>
      <c r="H2303" s="9" t="s">
        <v>14</v>
      </c>
      <c r="I2303" s="9">
        <v>14</v>
      </c>
      <c r="J2303" s="10">
        <v>-67.8</v>
      </c>
      <c r="K2303" s="9" t="str">
        <f>TEXT(Sales_of_Jordan[[#This Row],[Sale_Date]],"mmm")</f>
        <v>Jul</v>
      </c>
    </row>
    <row r="2304" spans="1:11" x14ac:dyDescent="0.35">
      <c r="A2304" s="7" t="s">
        <v>2334</v>
      </c>
      <c r="B2304" s="8">
        <v>45753</v>
      </c>
      <c r="C2304" s="9" t="s">
        <v>21</v>
      </c>
      <c r="D2304" s="9" t="s">
        <v>36</v>
      </c>
      <c r="E2304" s="9" t="s">
        <v>13</v>
      </c>
      <c r="F2304" s="9">
        <v>212</v>
      </c>
      <c r="G2304" s="9">
        <v>167.2</v>
      </c>
      <c r="H2304" s="9" t="s">
        <v>19</v>
      </c>
      <c r="I2304" s="9">
        <v>7</v>
      </c>
      <c r="J2304" s="10">
        <v>-44.8</v>
      </c>
      <c r="K2304" s="9" t="str">
        <f>TEXT(Sales_of_Jordan[[#This Row],[Sale_Date]],"mmm")</f>
        <v>Apr</v>
      </c>
    </row>
    <row r="2305" spans="1:11" x14ac:dyDescent="0.35">
      <c r="A2305" s="7" t="s">
        <v>2335</v>
      </c>
      <c r="B2305" s="8">
        <v>44950</v>
      </c>
      <c r="C2305" s="9" t="s">
        <v>16</v>
      </c>
      <c r="D2305" s="9" t="s">
        <v>36</v>
      </c>
      <c r="E2305" s="9" t="s">
        <v>29</v>
      </c>
      <c r="F2305" s="9">
        <v>180</v>
      </c>
      <c r="G2305" s="9">
        <v>171.98</v>
      </c>
      <c r="H2305" s="9" t="s">
        <v>32</v>
      </c>
      <c r="I2305" s="9">
        <v>19</v>
      </c>
      <c r="J2305" s="10">
        <v>-8.0200000000000102</v>
      </c>
      <c r="K2305" s="9" t="str">
        <f>TEXT(Sales_of_Jordan[[#This Row],[Sale_Date]],"mmm")</f>
        <v>Jan</v>
      </c>
    </row>
    <row r="2306" spans="1:11" x14ac:dyDescent="0.35">
      <c r="A2306" s="7" t="s">
        <v>2336</v>
      </c>
      <c r="B2306" s="8">
        <v>45004</v>
      </c>
      <c r="C2306" s="9" t="s">
        <v>27</v>
      </c>
      <c r="D2306" s="9" t="s">
        <v>34</v>
      </c>
      <c r="E2306" s="9" t="s">
        <v>13</v>
      </c>
      <c r="F2306" s="9">
        <v>114</v>
      </c>
      <c r="G2306" s="9">
        <v>66.56</v>
      </c>
      <c r="H2306" s="9" t="s">
        <v>19</v>
      </c>
      <c r="I2306" s="9">
        <v>12</v>
      </c>
      <c r="J2306" s="10">
        <v>-47.44</v>
      </c>
      <c r="K2306" s="9" t="str">
        <f>TEXT(Sales_of_Jordan[[#This Row],[Sale_Date]],"mmm")</f>
        <v>Mar</v>
      </c>
    </row>
    <row r="2307" spans="1:11" x14ac:dyDescent="0.35">
      <c r="A2307" s="7" t="s">
        <v>2337</v>
      </c>
      <c r="B2307" s="8">
        <v>45110</v>
      </c>
      <c r="C2307" s="9" t="s">
        <v>31</v>
      </c>
      <c r="D2307" s="9" t="s">
        <v>12</v>
      </c>
      <c r="E2307" s="9" t="s">
        <v>13</v>
      </c>
      <c r="F2307" s="9">
        <v>204</v>
      </c>
      <c r="G2307" s="9">
        <v>143.36000000000001</v>
      </c>
      <c r="H2307" s="9" t="s">
        <v>14</v>
      </c>
      <c r="I2307" s="9">
        <v>2</v>
      </c>
      <c r="J2307" s="10">
        <v>-60.639999999999901</v>
      </c>
      <c r="K2307" s="9" t="str">
        <f>TEXT(Sales_of_Jordan[[#This Row],[Sale_Date]],"mmm")</f>
        <v>Jul</v>
      </c>
    </row>
    <row r="2308" spans="1:11" x14ac:dyDescent="0.35">
      <c r="A2308" s="7" t="s">
        <v>2338</v>
      </c>
      <c r="B2308" s="8">
        <v>45841</v>
      </c>
      <c r="C2308" s="9" t="s">
        <v>11</v>
      </c>
      <c r="D2308" s="9" t="s">
        <v>36</v>
      </c>
      <c r="E2308" s="9" t="s">
        <v>13</v>
      </c>
      <c r="F2308" s="9">
        <v>228</v>
      </c>
      <c r="G2308" s="9">
        <v>121.11</v>
      </c>
      <c r="H2308" s="9" t="s">
        <v>19</v>
      </c>
      <c r="I2308" s="9">
        <v>5</v>
      </c>
      <c r="J2308" s="10">
        <v>-106.89</v>
      </c>
      <c r="K2308" s="9" t="str">
        <f>TEXT(Sales_of_Jordan[[#This Row],[Sale_Date]],"mmm")</f>
        <v>Jul</v>
      </c>
    </row>
    <row r="2309" spans="1:11" x14ac:dyDescent="0.35">
      <c r="A2309" s="7" t="s">
        <v>2339</v>
      </c>
      <c r="B2309" s="8">
        <v>45149</v>
      </c>
      <c r="C2309" s="9" t="s">
        <v>31</v>
      </c>
      <c r="D2309" s="9" t="s">
        <v>46</v>
      </c>
      <c r="E2309" s="9" t="s">
        <v>13</v>
      </c>
      <c r="F2309" s="9">
        <v>202</v>
      </c>
      <c r="G2309" s="9">
        <v>154.25</v>
      </c>
      <c r="H2309" s="9" t="s">
        <v>19</v>
      </c>
      <c r="I2309" s="9">
        <v>5</v>
      </c>
      <c r="J2309" s="10">
        <v>-47.75</v>
      </c>
      <c r="K2309" s="9" t="str">
        <f>TEXT(Sales_of_Jordan[[#This Row],[Sale_Date]],"mmm")</f>
        <v>Aug</v>
      </c>
    </row>
    <row r="2310" spans="1:11" x14ac:dyDescent="0.35">
      <c r="A2310" s="7" t="s">
        <v>2340</v>
      </c>
      <c r="B2310" s="8">
        <v>45059</v>
      </c>
      <c r="C2310" s="9" t="s">
        <v>31</v>
      </c>
      <c r="D2310" s="9" t="s">
        <v>34</v>
      </c>
      <c r="E2310" s="9" t="s">
        <v>29</v>
      </c>
      <c r="F2310" s="9">
        <v>200</v>
      </c>
      <c r="G2310" s="9">
        <v>274.42</v>
      </c>
      <c r="H2310" s="9" t="s">
        <v>23</v>
      </c>
      <c r="I2310" s="9">
        <v>6</v>
      </c>
      <c r="J2310" s="10">
        <v>74.42</v>
      </c>
      <c r="K2310" s="9" t="str">
        <f>TEXT(Sales_of_Jordan[[#This Row],[Sale_Date]],"mmm")</f>
        <v>May</v>
      </c>
    </row>
    <row r="2311" spans="1:11" x14ac:dyDescent="0.35">
      <c r="A2311" s="7" t="s">
        <v>2341</v>
      </c>
      <c r="B2311" s="8">
        <v>45582</v>
      </c>
      <c r="C2311" s="9" t="s">
        <v>16</v>
      </c>
      <c r="D2311" s="9" t="s">
        <v>46</v>
      </c>
      <c r="E2311" s="9" t="s">
        <v>29</v>
      </c>
      <c r="F2311" s="9">
        <v>170</v>
      </c>
      <c r="G2311" s="9">
        <v>208.77</v>
      </c>
      <c r="H2311" s="9" t="s">
        <v>25</v>
      </c>
      <c r="I2311" s="9">
        <v>34</v>
      </c>
      <c r="J2311" s="10">
        <v>38.770000000000003</v>
      </c>
      <c r="K2311" s="9" t="str">
        <f>TEXT(Sales_of_Jordan[[#This Row],[Sale_Date]],"mmm")</f>
        <v>Oct</v>
      </c>
    </row>
    <row r="2312" spans="1:11" x14ac:dyDescent="0.35">
      <c r="A2312" s="7" t="s">
        <v>2342</v>
      </c>
      <c r="B2312" s="8">
        <v>45523</v>
      </c>
      <c r="C2312" s="9" t="s">
        <v>31</v>
      </c>
      <c r="D2312" s="9" t="s">
        <v>12</v>
      </c>
      <c r="E2312" s="9" t="s">
        <v>18</v>
      </c>
      <c r="F2312" s="9">
        <v>203</v>
      </c>
      <c r="G2312" s="9">
        <v>533.51</v>
      </c>
      <c r="H2312" s="9" t="s">
        <v>19</v>
      </c>
      <c r="I2312" s="9">
        <v>6</v>
      </c>
      <c r="J2312" s="10">
        <v>330.51</v>
      </c>
      <c r="K2312" s="9" t="str">
        <f>TEXT(Sales_of_Jordan[[#This Row],[Sale_Date]],"mmm")</f>
        <v>Aug</v>
      </c>
    </row>
    <row r="2313" spans="1:11" x14ac:dyDescent="0.35">
      <c r="A2313" s="7" t="s">
        <v>2343</v>
      </c>
      <c r="B2313" s="8">
        <v>45840</v>
      </c>
      <c r="C2313" s="9" t="s">
        <v>11</v>
      </c>
      <c r="D2313" s="9" t="s">
        <v>55</v>
      </c>
      <c r="E2313" s="9" t="s">
        <v>29</v>
      </c>
      <c r="F2313" s="9">
        <v>225</v>
      </c>
      <c r="G2313" s="9">
        <v>282.27999999999997</v>
      </c>
      <c r="H2313" s="9" t="s">
        <v>19</v>
      </c>
      <c r="I2313" s="9">
        <v>13</v>
      </c>
      <c r="J2313" s="10">
        <v>57.279999999999902</v>
      </c>
      <c r="K2313" s="9" t="str">
        <f>TEXT(Sales_of_Jordan[[#This Row],[Sale_Date]],"mmm")</f>
        <v>Jul</v>
      </c>
    </row>
    <row r="2314" spans="1:11" x14ac:dyDescent="0.35">
      <c r="A2314" s="7" t="s">
        <v>2344</v>
      </c>
      <c r="B2314" s="8">
        <v>45296</v>
      </c>
      <c r="C2314" s="9" t="s">
        <v>31</v>
      </c>
      <c r="D2314" s="9" t="s">
        <v>55</v>
      </c>
      <c r="E2314" s="9" t="s">
        <v>18</v>
      </c>
      <c r="F2314" s="9">
        <v>200</v>
      </c>
      <c r="G2314" s="9">
        <v>480.85</v>
      </c>
      <c r="H2314" s="9" t="s">
        <v>25</v>
      </c>
      <c r="I2314" s="9">
        <v>40</v>
      </c>
      <c r="J2314" s="10">
        <v>280.85000000000002</v>
      </c>
      <c r="K2314" s="9" t="str">
        <f>TEXT(Sales_of_Jordan[[#This Row],[Sale_Date]],"mmm")</f>
        <v>Jan</v>
      </c>
    </row>
    <row r="2315" spans="1:11" x14ac:dyDescent="0.35">
      <c r="A2315" s="7" t="s">
        <v>2345</v>
      </c>
      <c r="B2315" s="8">
        <v>45875</v>
      </c>
      <c r="C2315" s="9" t="s">
        <v>16</v>
      </c>
      <c r="D2315" s="9" t="s">
        <v>55</v>
      </c>
      <c r="E2315" s="9" t="s">
        <v>18</v>
      </c>
      <c r="F2315" s="9">
        <v>170</v>
      </c>
      <c r="G2315" s="9">
        <v>317.12</v>
      </c>
      <c r="H2315" s="9" t="s">
        <v>14</v>
      </c>
      <c r="I2315" s="9">
        <v>11</v>
      </c>
      <c r="J2315" s="10">
        <v>147.12</v>
      </c>
      <c r="K2315" s="9" t="str">
        <f>TEXT(Sales_of_Jordan[[#This Row],[Sale_Date]],"mmm")</f>
        <v>Aug</v>
      </c>
    </row>
    <row r="2316" spans="1:11" x14ac:dyDescent="0.35">
      <c r="A2316" s="7" t="s">
        <v>2346</v>
      </c>
      <c r="B2316" s="8">
        <v>45380</v>
      </c>
      <c r="C2316" s="9" t="s">
        <v>11</v>
      </c>
      <c r="D2316" s="9" t="s">
        <v>36</v>
      </c>
      <c r="E2316" s="9" t="s">
        <v>18</v>
      </c>
      <c r="F2316" s="9">
        <v>229</v>
      </c>
      <c r="G2316" s="9">
        <v>537.87</v>
      </c>
      <c r="H2316" s="9" t="s">
        <v>32</v>
      </c>
      <c r="I2316" s="9">
        <v>40</v>
      </c>
      <c r="J2316" s="10">
        <v>308.87</v>
      </c>
      <c r="K2316" s="9" t="str">
        <f>TEXT(Sales_of_Jordan[[#This Row],[Sale_Date]],"mmm")</f>
        <v>Mar</v>
      </c>
    </row>
    <row r="2317" spans="1:11" x14ac:dyDescent="0.35">
      <c r="A2317" s="7" t="s">
        <v>2347</v>
      </c>
      <c r="B2317" s="8">
        <v>45219</v>
      </c>
      <c r="C2317" s="9" t="s">
        <v>16</v>
      </c>
      <c r="D2317" s="9" t="s">
        <v>53</v>
      </c>
      <c r="E2317" s="9" t="s">
        <v>29</v>
      </c>
      <c r="F2317" s="9">
        <v>185</v>
      </c>
      <c r="G2317" s="9">
        <v>275.19</v>
      </c>
      <c r="H2317" s="9" t="s">
        <v>14</v>
      </c>
      <c r="I2317" s="9">
        <v>7</v>
      </c>
      <c r="J2317" s="10">
        <v>90.19</v>
      </c>
      <c r="K2317" s="9" t="str">
        <f>TEXT(Sales_of_Jordan[[#This Row],[Sale_Date]],"mmm")</f>
        <v>Oct</v>
      </c>
    </row>
    <row r="2318" spans="1:11" x14ac:dyDescent="0.35">
      <c r="A2318" s="7" t="s">
        <v>2348</v>
      </c>
      <c r="B2318" s="8">
        <v>45461</v>
      </c>
      <c r="C2318" s="9" t="s">
        <v>11</v>
      </c>
      <c r="D2318" s="9" t="s">
        <v>36</v>
      </c>
      <c r="E2318" s="9" t="s">
        <v>13</v>
      </c>
      <c r="F2318" s="9">
        <v>226</v>
      </c>
      <c r="G2318" s="9">
        <v>147.86000000000001</v>
      </c>
      <c r="H2318" s="9" t="s">
        <v>25</v>
      </c>
      <c r="I2318" s="9">
        <v>35</v>
      </c>
      <c r="J2318" s="10">
        <v>-78.139999999999901</v>
      </c>
      <c r="K2318" s="9" t="str">
        <f>TEXT(Sales_of_Jordan[[#This Row],[Sale_Date]],"mmm")</f>
        <v>Jun</v>
      </c>
    </row>
    <row r="2319" spans="1:11" x14ac:dyDescent="0.35">
      <c r="A2319" s="7" t="s">
        <v>2349</v>
      </c>
      <c r="B2319" s="8">
        <v>45682</v>
      </c>
      <c r="C2319" s="9" t="s">
        <v>31</v>
      </c>
      <c r="D2319" s="9" t="s">
        <v>12</v>
      </c>
      <c r="E2319" s="9" t="s">
        <v>29</v>
      </c>
      <c r="F2319" s="9">
        <v>206</v>
      </c>
      <c r="G2319" s="9">
        <v>226.41</v>
      </c>
      <c r="H2319" s="9" t="s">
        <v>19</v>
      </c>
      <c r="I2319" s="9">
        <v>9</v>
      </c>
      <c r="J2319" s="10">
        <v>20.409999999999901</v>
      </c>
      <c r="K2319" s="9" t="str">
        <f>TEXT(Sales_of_Jordan[[#This Row],[Sale_Date]],"mmm")</f>
        <v>Jan</v>
      </c>
    </row>
    <row r="2320" spans="1:11" x14ac:dyDescent="0.35">
      <c r="A2320" s="7" t="s">
        <v>2350</v>
      </c>
      <c r="B2320" s="8">
        <v>45702</v>
      </c>
      <c r="C2320" s="9" t="s">
        <v>27</v>
      </c>
      <c r="D2320" s="9" t="s">
        <v>55</v>
      </c>
      <c r="E2320" s="9" t="s">
        <v>18</v>
      </c>
      <c r="F2320" s="9">
        <v>121</v>
      </c>
      <c r="G2320" s="9">
        <v>241.57</v>
      </c>
      <c r="H2320" s="9" t="s">
        <v>14</v>
      </c>
      <c r="I2320" s="9">
        <v>6</v>
      </c>
      <c r="J2320" s="10">
        <v>120.57</v>
      </c>
      <c r="K2320" s="9" t="str">
        <f>TEXT(Sales_of_Jordan[[#This Row],[Sale_Date]],"mmm")</f>
        <v>Feb</v>
      </c>
    </row>
    <row r="2321" spans="1:11" x14ac:dyDescent="0.35">
      <c r="A2321" s="7" t="s">
        <v>2351</v>
      </c>
      <c r="B2321" s="8">
        <v>45368</v>
      </c>
      <c r="C2321" s="9" t="s">
        <v>21</v>
      </c>
      <c r="D2321" s="9" t="s">
        <v>12</v>
      </c>
      <c r="E2321" s="9" t="s">
        <v>18</v>
      </c>
      <c r="F2321" s="9">
        <v>219</v>
      </c>
      <c r="G2321" s="9">
        <v>496.66</v>
      </c>
      <c r="H2321" s="9" t="s">
        <v>19</v>
      </c>
      <c r="I2321" s="9">
        <v>8</v>
      </c>
      <c r="J2321" s="10">
        <v>277.66000000000003</v>
      </c>
      <c r="K2321" s="9" t="str">
        <f>TEXT(Sales_of_Jordan[[#This Row],[Sale_Date]],"mmm")</f>
        <v>Mar</v>
      </c>
    </row>
    <row r="2322" spans="1:11" x14ac:dyDescent="0.35">
      <c r="A2322" s="7" t="s">
        <v>2352</v>
      </c>
      <c r="B2322" s="8">
        <v>45276</v>
      </c>
      <c r="C2322" s="9" t="s">
        <v>31</v>
      </c>
      <c r="D2322" s="9" t="s">
        <v>22</v>
      </c>
      <c r="E2322" s="9" t="s">
        <v>13</v>
      </c>
      <c r="F2322" s="9">
        <v>205</v>
      </c>
      <c r="G2322" s="9">
        <v>104.16</v>
      </c>
      <c r="H2322" s="9" t="s">
        <v>19</v>
      </c>
      <c r="I2322" s="9">
        <v>5</v>
      </c>
      <c r="J2322" s="10">
        <v>-100.84</v>
      </c>
      <c r="K2322" s="9" t="str">
        <f>TEXT(Sales_of_Jordan[[#This Row],[Sale_Date]],"mmm")</f>
        <v>Dec</v>
      </c>
    </row>
    <row r="2323" spans="1:11" x14ac:dyDescent="0.35">
      <c r="A2323" s="7" t="s">
        <v>2353</v>
      </c>
      <c r="B2323" s="8">
        <v>45029</v>
      </c>
      <c r="C2323" s="9" t="s">
        <v>11</v>
      </c>
      <c r="D2323" s="9" t="s">
        <v>39</v>
      </c>
      <c r="E2323" s="9" t="s">
        <v>13</v>
      </c>
      <c r="F2323" s="9">
        <v>227</v>
      </c>
      <c r="G2323" s="9">
        <v>148.57</v>
      </c>
      <c r="H2323" s="9" t="s">
        <v>32</v>
      </c>
      <c r="I2323" s="9">
        <v>44</v>
      </c>
      <c r="J2323" s="10">
        <v>-78.430000000000007</v>
      </c>
      <c r="K2323" s="9" t="str">
        <f>TEXT(Sales_of_Jordan[[#This Row],[Sale_Date]],"mmm")</f>
        <v>Apr</v>
      </c>
    </row>
    <row r="2324" spans="1:11" x14ac:dyDescent="0.35">
      <c r="A2324" s="7" t="s">
        <v>2354</v>
      </c>
      <c r="B2324" s="8">
        <v>45570</v>
      </c>
      <c r="C2324" s="9" t="s">
        <v>11</v>
      </c>
      <c r="D2324" s="9" t="s">
        <v>17</v>
      </c>
      <c r="E2324" s="9" t="s">
        <v>13</v>
      </c>
      <c r="F2324" s="9">
        <v>229</v>
      </c>
      <c r="G2324" s="9">
        <v>149.01</v>
      </c>
      <c r="H2324" s="9" t="s">
        <v>14</v>
      </c>
      <c r="I2324" s="9">
        <v>5</v>
      </c>
      <c r="J2324" s="10">
        <v>-79.989999999999995</v>
      </c>
      <c r="K2324" s="9" t="str">
        <f>TEXT(Sales_of_Jordan[[#This Row],[Sale_Date]],"mmm")</f>
        <v>Oct</v>
      </c>
    </row>
    <row r="2325" spans="1:11" x14ac:dyDescent="0.35">
      <c r="A2325" s="7" t="s">
        <v>2355</v>
      </c>
      <c r="B2325" s="8">
        <v>45361</v>
      </c>
      <c r="C2325" s="9" t="s">
        <v>21</v>
      </c>
      <c r="D2325" s="9" t="s">
        <v>34</v>
      </c>
      <c r="E2325" s="9" t="s">
        <v>13</v>
      </c>
      <c r="F2325" s="9">
        <v>215</v>
      </c>
      <c r="G2325" s="9">
        <v>111.87</v>
      </c>
      <c r="H2325" s="9" t="s">
        <v>25</v>
      </c>
      <c r="I2325" s="9">
        <v>10</v>
      </c>
      <c r="J2325" s="10">
        <v>-103.13</v>
      </c>
      <c r="K2325" s="9" t="str">
        <f>TEXT(Sales_of_Jordan[[#This Row],[Sale_Date]],"mmm")</f>
        <v>Mar</v>
      </c>
    </row>
    <row r="2326" spans="1:11" x14ac:dyDescent="0.35">
      <c r="A2326" s="7" t="s">
        <v>2356</v>
      </c>
      <c r="B2326" s="8">
        <v>45555</v>
      </c>
      <c r="C2326" s="9" t="s">
        <v>21</v>
      </c>
      <c r="D2326" s="9" t="s">
        <v>34</v>
      </c>
      <c r="E2326" s="9" t="s">
        <v>13</v>
      </c>
      <c r="F2326" s="9">
        <v>217</v>
      </c>
      <c r="G2326" s="9">
        <v>151.85</v>
      </c>
      <c r="H2326" s="9" t="s">
        <v>32</v>
      </c>
      <c r="I2326" s="9">
        <v>36</v>
      </c>
      <c r="J2326" s="10">
        <v>-65.150000000000006</v>
      </c>
      <c r="K2326" s="9" t="str">
        <f>TEXT(Sales_of_Jordan[[#This Row],[Sale_Date]],"mmm")</f>
        <v>Sep</v>
      </c>
    </row>
    <row r="2327" spans="1:11" x14ac:dyDescent="0.35">
      <c r="A2327" s="7" t="s">
        <v>2357</v>
      </c>
      <c r="B2327" s="8">
        <v>45369</v>
      </c>
      <c r="C2327" s="9" t="s">
        <v>31</v>
      </c>
      <c r="D2327" s="9" t="s">
        <v>39</v>
      </c>
      <c r="E2327" s="9" t="s">
        <v>29</v>
      </c>
      <c r="F2327" s="9">
        <v>209</v>
      </c>
      <c r="G2327" s="9">
        <v>253.8</v>
      </c>
      <c r="H2327" s="9" t="s">
        <v>19</v>
      </c>
      <c r="I2327" s="9">
        <v>14</v>
      </c>
      <c r="J2327" s="10">
        <v>44.8</v>
      </c>
      <c r="K2327" s="9" t="str">
        <f>TEXT(Sales_of_Jordan[[#This Row],[Sale_Date]],"mmm")</f>
        <v>Mar</v>
      </c>
    </row>
    <row r="2328" spans="1:11" x14ac:dyDescent="0.35">
      <c r="A2328" s="7" t="s">
        <v>2358</v>
      </c>
      <c r="B2328" s="8">
        <v>45763</v>
      </c>
      <c r="C2328" s="9" t="s">
        <v>16</v>
      </c>
      <c r="D2328" s="9" t="s">
        <v>36</v>
      </c>
      <c r="E2328" s="9" t="s">
        <v>18</v>
      </c>
      <c r="F2328" s="9">
        <v>174</v>
      </c>
      <c r="G2328" s="9">
        <v>367.64</v>
      </c>
      <c r="H2328" s="9" t="s">
        <v>19</v>
      </c>
      <c r="I2328" s="9">
        <v>10</v>
      </c>
      <c r="J2328" s="10">
        <v>193.64</v>
      </c>
      <c r="K2328" s="9" t="str">
        <f>TEXT(Sales_of_Jordan[[#This Row],[Sale_Date]],"mmm")</f>
        <v>Apr</v>
      </c>
    </row>
    <row r="2329" spans="1:11" x14ac:dyDescent="0.35">
      <c r="A2329" s="7" t="s">
        <v>2359</v>
      </c>
      <c r="B2329" s="8">
        <v>45458</v>
      </c>
      <c r="C2329" s="9" t="s">
        <v>31</v>
      </c>
      <c r="D2329" s="9" t="s">
        <v>12</v>
      </c>
      <c r="E2329" s="9" t="s">
        <v>29</v>
      </c>
      <c r="F2329" s="9">
        <v>207</v>
      </c>
      <c r="G2329" s="9">
        <v>281.93</v>
      </c>
      <c r="H2329" s="9" t="s">
        <v>14</v>
      </c>
      <c r="I2329" s="9">
        <v>6</v>
      </c>
      <c r="J2329" s="10">
        <v>74.930000000000007</v>
      </c>
      <c r="K2329" s="9" t="str">
        <f>TEXT(Sales_of_Jordan[[#This Row],[Sale_Date]],"mmm")</f>
        <v>Jun</v>
      </c>
    </row>
    <row r="2330" spans="1:11" x14ac:dyDescent="0.35">
      <c r="A2330" s="7" t="s">
        <v>2360</v>
      </c>
      <c r="B2330" s="8">
        <v>45241</v>
      </c>
      <c r="C2330" s="9" t="s">
        <v>16</v>
      </c>
      <c r="D2330" s="9" t="s">
        <v>34</v>
      </c>
      <c r="E2330" s="9" t="s">
        <v>29</v>
      </c>
      <c r="F2330" s="9">
        <v>186</v>
      </c>
      <c r="G2330" s="9">
        <v>179.52</v>
      </c>
      <c r="H2330" s="9" t="s">
        <v>14</v>
      </c>
      <c r="I2330" s="9">
        <v>3</v>
      </c>
      <c r="J2330" s="10">
        <v>-6.4799999999999898</v>
      </c>
      <c r="K2330" s="9" t="str">
        <f>TEXT(Sales_of_Jordan[[#This Row],[Sale_Date]],"mmm")</f>
        <v>Nov</v>
      </c>
    </row>
    <row r="2331" spans="1:11" x14ac:dyDescent="0.35">
      <c r="A2331" s="7" t="s">
        <v>2361</v>
      </c>
      <c r="B2331" s="8">
        <v>45316</v>
      </c>
      <c r="C2331" s="9" t="s">
        <v>27</v>
      </c>
      <c r="D2331" s="9" t="s">
        <v>36</v>
      </c>
      <c r="E2331" s="9" t="s">
        <v>29</v>
      </c>
      <c r="F2331" s="9">
        <v>131</v>
      </c>
      <c r="G2331" s="9">
        <v>123.01</v>
      </c>
      <c r="H2331" s="9" t="s">
        <v>25</v>
      </c>
      <c r="I2331" s="9">
        <v>47</v>
      </c>
      <c r="J2331" s="10">
        <v>-7.9899999999999904</v>
      </c>
      <c r="K2331" s="9" t="str">
        <f>TEXT(Sales_of_Jordan[[#This Row],[Sale_Date]],"mmm")</f>
        <v>Jan</v>
      </c>
    </row>
    <row r="2332" spans="1:11" x14ac:dyDescent="0.35">
      <c r="A2332" s="7" t="s">
        <v>2362</v>
      </c>
      <c r="B2332" s="8">
        <v>45038</v>
      </c>
      <c r="C2332" s="9" t="s">
        <v>16</v>
      </c>
      <c r="D2332" s="9" t="s">
        <v>34</v>
      </c>
      <c r="E2332" s="9" t="s">
        <v>13</v>
      </c>
      <c r="F2332" s="9">
        <v>171</v>
      </c>
      <c r="G2332" s="9">
        <v>91.44</v>
      </c>
      <c r="H2332" s="9" t="s">
        <v>14</v>
      </c>
      <c r="I2332" s="9">
        <v>3</v>
      </c>
      <c r="J2332" s="10">
        <v>-79.56</v>
      </c>
      <c r="K2332" s="9" t="str">
        <f>TEXT(Sales_of_Jordan[[#This Row],[Sale_Date]],"mmm")</f>
        <v>Apr</v>
      </c>
    </row>
    <row r="2333" spans="1:11" x14ac:dyDescent="0.35">
      <c r="A2333" s="7" t="s">
        <v>2363</v>
      </c>
      <c r="B2333" s="8">
        <v>45271</v>
      </c>
      <c r="C2333" s="9" t="s">
        <v>11</v>
      </c>
      <c r="D2333" s="9" t="s">
        <v>12</v>
      </c>
      <c r="E2333" s="9" t="s">
        <v>18</v>
      </c>
      <c r="F2333" s="9">
        <v>228</v>
      </c>
      <c r="G2333" s="9">
        <v>748.96</v>
      </c>
      <c r="H2333" s="9" t="s">
        <v>14</v>
      </c>
      <c r="I2333" s="9">
        <v>6</v>
      </c>
      <c r="J2333" s="10">
        <v>520.96</v>
      </c>
      <c r="K2333" s="9" t="str">
        <f>TEXT(Sales_of_Jordan[[#This Row],[Sale_Date]],"mmm")</f>
        <v>Dec</v>
      </c>
    </row>
    <row r="2334" spans="1:11" x14ac:dyDescent="0.35">
      <c r="A2334" s="7" t="s">
        <v>2364</v>
      </c>
      <c r="B2334" s="8">
        <v>45138</v>
      </c>
      <c r="C2334" s="9" t="s">
        <v>27</v>
      </c>
      <c r="D2334" s="9" t="s">
        <v>39</v>
      </c>
      <c r="E2334" s="9" t="s">
        <v>18</v>
      </c>
      <c r="F2334" s="9">
        <v>112</v>
      </c>
      <c r="G2334" s="9">
        <v>180.84</v>
      </c>
      <c r="H2334" s="9" t="s">
        <v>14</v>
      </c>
      <c r="I2334" s="9">
        <v>9</v>
      </c>
      <c r="J2334" s="10">
        <v>68.84</v>
      </c>
      <c r="K2334" s="9" t="str">
        <f>TEXT(Sales_of_Jordan[[#This Row],[Sale_Date]],"mmm")</f>
        <v>Jul</v>
      </c>
    </row>
    <row r="2335" spans="1:11" x14ac:dyDescent="0.35">
      <c r="A2335" s="7" t="s">
        <v>2365</v>
      </c>
      <c r="B2335" s="8">
        <v>45842</v>
      </c>
      <c r="C2335" s="9" t="s">
        <v>27</v>
      </c>
      <c r="D2335" s="9" t="s">
        <v>17</v>
      </c>
      <c r="E2335" s="9" t="s">
        <v>18</v>
      </c>
      <c r="F2335" s="9">
        <v>117</v>
      </c>
      <c r="G2335" s="9">
        <v>225.91</v>
      </c>
      <c r="H2335" s="9" t="s">
        <v>25</v>
      </c>
      <c r="I2335" s="9">
        <v>55</v>
      </c>
      <c r="J2335" s="10">
        <v>108.91</v>
      </c>
      <c r="K2335" s="9" t="str">
        <f>TEXT(Sales_of_Jordan[[#This Row],[Sale_Date]],"mmm")</f>
        <v>Jul</v>
      </c>
    </row>
    <row r="2336" spans="1:11" x14ac:dyDescent="0.35">
      <c r="A2336" s="7" t="s">
        <v>2366</v>
      </c>
      <c r="B2336" s="8">
        <v>45486</v>
      </c>
      <c r="C2336" s="9" t="s">
        <v>11</v>
      </c>
      <c r="D2336" s="9" t="s">
        <v>36</v>
      </c>
      <c r="E2336" s="9" t="s">
        <v>13</v>
      </c>
      <c r="F2336" s="9">
        <v>229</v>
      </c>
      <c r="G2336" s="9">
        <v>129.5</v>
      </c>
      <c r="H2336" s="9" t="s">
        <v>23</v>
      </c>
      <c r="I2336" s="9">
        <v>58</v>
      </c>
      <c r="J2336" s="10">
        <v>-99.5</v>
      </c>
      <c r="K2336" s="9" t="str">
        <f>TEXT(Sales_of_Jordan[[#This Row],[Sale_Date]],"mmm")</f>
        <v>Jul</v>
      </c>
    </row>
    <row r="2337" spans="1:11" x14ac:dyDescent="0.35">
      <c r="A2337" s="7" t="s">
        <v>2367</v>
      </c>
      <c r="B2337" s="8">
        <v>45050</v>
      </c>
      <c r="C2337" s="9" t="s">
        <v>27</v>
      </c>
      <c r="D2337" s="9" t="s">
        <v>55</v>
      </c>
      <c r="E2337" s="9" t="s">
        <v>18</v>
      </c>
      <c r="F2337" s="9">
        <v>125</v>
      </c>
      <c r="G2337" s="9">
        <v>412.12</v>
      </c>
      <c r="H2337" s="9" t="s">
        <v>19</v>
      </c>
      <c r="I2337" s="9">
        <v>8</v>
      </c>
      <c r="J2337" s="10">
        <v>287.12</v>
      </c>
      <c r="K2337" s="9" t="str">
        <f>TEXT(Sales_of_Jordan[[#This Row],[Sale_Date]],"mmm")</f>
        <v>May</v>
      </c>
    </row>
    <row r="2338" spans="1:11" x14ac:dyDescent="0.35">
      <c r="A2338" s="7" t="s">
        <v>2368</v>
      </c>
      <c r="B2338" s="8">
        <v>45095</v>
      </c>
      <c r="C2338" s="9" t="s">
        <v>27</v>
      </c>
      <c r="D2338" s="9" t="s">
        <v>12</v>
      </c>
      <c r="E2338" s="9" t="s">
        <v>18</v>
      </c>
      <c r="F2338" s="9">
        <v>116</v>
      </c>
      <c r="G2338" s="9">
        <v>367.32</v>
      </c>
      <c r="H2338" s="9" t="s">
        <v>25</v>
      </c>
      <c r="I2338" s="9">
        <v>11</v>
      </c>
      <c r="J2338" s="10">
        <v>251.32</v>
      </c>
      <c r="K2338" s="9" t="str">
        <f>TEXT(Sales_of_Jordan[[#This Row],[Sale_Date]],"mmm")</f>
        <v>Jun</v>
      </c>
    </row>
    <row r="2339" spans="1:11" x14ac:dyDescent="0.35">
      <c r="A2339" s="7" t="s">
        <v>2369</v>
      </c>
      <c r="B2339" s="8">
        <v>45035</v>
      </c>
      <c r="C2339" s="9" t="s">
        <v>31</v>
      </c>
      <c r="D2339" s="9" t="s">
        <v>12</v>
      </c>
      <c r="E2339" s="9" t="s">
        <v>13</v>
      </c>
      <c r="F2339" s="9">
        <v>205</v>
      </c>
      <c r="G2339" s="9">
        <v>123.82</v>
      </c>
      <c r="H2339" s="9" t="s">
        <v>19</v>
      </c>
      <c r="I2339" s="9">
        <v>13</v>
      </c>
      <c r="J2339" s="10">
        <v>-81.180000000000007</v>
      </c>
      <c r="K2339" s="9" t="str">
        <f>TEXT(Sales_of_Jordan[[#This Row],[Sale_Date]],"mmm")</f>
        <v>Apr</v>
      </c>
    </row>
    <row r="2340" spans="1:11" x14ac:dyDescent="0.35">
      <c r="A2340" s="7" t="s">
        <v>2370</v>
      </c>
      <c r="B2340" s="8">
        <v>45496</v>
      </c>
      <c r="C2340" s="9" t="s">
        <v>11</v>
      </c>
      <c r="D2340" s="9" t="s">
        <v>46</v>
      </c>
      <c r="E2340" s="9" t="s">
        <v>13</v>
      </c>
      <c r="F2340" s="9">
        <v>226</v>
      </c>
      <c r="G2340" s="9">
        <v>131.07</v>
      </c>
      <c r="H2340" s="9" t="s">
        <v>14</v>
      </c>
      <c r="I2340" s="9">
        <v>14</v>
      </c>
      <c r="J2340" s="10">
        <v>-94.93</v>
      </c>
      <c r="K2340" s="9" t="str">
        <f>TEXT(Sales_of_Jordan[[#This Row],[Sale_Date]],"mmm")</f>
        <v>Jul</v>
      </c>
    </row>
    <row r="2341" spans="1:11" x14ac:dyDescent="0.35">
      <c r="A2341" s="7" t="s">
        <v>2371</v>
      </c>
      <c r="B2341" s="8">
        <v>45566</v>
      </c>
      <c r="C2341" s="9" t="s">
        <v>27</v>
      </c>
      <c r="D2341" s="9" t="s">
        <v>12</v>
      </c>
      <c r="E2341" s="9" t="s">
        <v>29</v>
      </c>
      <c r="F2341" s="9">
        <v>118</v>
      </c>
      <c r="G2341" s="9">
        <v>120.17</v>
      </c>
      <c r="H2341" s="9" t="s">
        <v>14</v>
      </c>
      <c r="I2341" s="9">
        <v>5</v>
      </c>
      <c r="J2341" s="10">
        <v>2.17</v>
      </c>
      <c r="K2341" s="9" t="str">
        <f>TEXT(Sales_of_Jordan[[#This Row],[Sale_Date]],"mmm")</f>
        <v>Oct</v>
      </c>
    </row>
    <row r="2342" spans="1:11" x14ac:dyDescent="0.35">
      <c r="A2342" s="7" t="s">
        <v>2372</v>
      </c>
      <c r="B2342" s="8">
        <v>44961</v>
      </c>
      <c r="C2342" s="9" t="s">
        <v>27</v>
      </c>
      <c r="D2342" s="9" t="s">
        <v>34</v>
      </c>
      <c r="E2342" s="9" t="s">
        <v>18</v>
      </c>
      <c r="F2342" s="9">
        <v>119</v>
      </c>
      <c r="G2342" s="9">
        <v>205.94</v>
      </c>
      <c r="H2342" s="9" t="s">
        <v>32</v>
      </c>
      <c r="I2342" s="9">
        <v>51</v>
      </c>
      <c r="J2342" s="10">
        <v>86.94</v>
      </c>
      <c r="K2342" s="9" t="str">
        <f>TEXT(Sales_of_Jordan[[#This Row],[Sale_Date]],"mmm")</f>
        <v>Feb</v>
      </c>
    </row>
    <row r="2343" spans="1:11" x14ac:dyDescent="0.35">
      <c r="A2343" s="7" t="s">
        <v>2373</v>
      </c>
      <c r="B2343" s="8">
        <v>45479</v>
      </c>
      <c r="C2343" s="9" t="s">
        <v>16</v>
      </c>
      <c r="D2343" s="9" t="s">
        <v>55</v>
      </c>
      <c r="E2343" s="9" t="s">
        <v>13</v>
      </c>
      <c r="F2343" s="9">
        <v>170</v>
      </c>
      <c r="G2343" s="9">
        <v>93.91</v>
      </c>
      <c r="H2343" s="9" t="s">
        <v>25</v>
      </c>
      <c r="I2343" s="9">
        <v>33</v>
      </c>
      <c r="J2343" s="10">
        <v>-76.09</v>
      </c>
      <c r="K2343" s="9" t="str">
        <f>TEXT(Sales_of_Jordan[[#This Row],[Sale_Date]],"mmm")</f>
        <v>Jul</v>
      </c>
    </row>
    <row r="2344" spans="1:11" x14ac:dyDescent="0.35">
      <c r="A2344" s="7" t="s">
        <v>2374</v>
      </c>
      <c r="B2344" s="8">
        <v>45355</v>
      </c>
      <c r="C2344" s="9" t="s">
        <v>31</v>
      </c>
      <c r="D2344" s="9" t="s">
        <v>53</v>
      </c>
      <c r="E2344" s="9" t="s">
        <v>18</v>
      </c>
      <c r="F2344" s="9">
        <v>203</v>
      </c>
      <c r="G2344" s="9">
        <v>710.17</v>
      </c>
      <c r="H2344" s="9" t="s">
        <v>32</v>
      </c>
      <c r="I2344" s="9">
        <v>48</v>
      </c>
      <c r="J2344" s="10">
        <v>507.16999999999899</v>
      </c>
      <c r="K2344" s="9" t="str">
        <f>TEXT(Sales_of_Jordan[[#This Row],[Sale_Date]],"mmm")</f>
        <v>Mar</v>
      </c>
    </row>
    <row r="2345" spans="1:11" x14ac:dyDescent="0.35">
      <c r="A2345" s="7" t="s">
        <v>2375</v>
      </c>
      <c r="B2345" s="8">
        <v>45312</v>
      </c>
      <c r="C2345" s="9" t="s">
        <v>21</v>
      </c>
      <c r="D2345" s="9" t="s">
        <v>53</v>
      </c>
      <c r="E2345" s="9" t="s">
        <v>13</v>
      </c>
      <c r="F2345" s="9">
        <v>224</v>
      </c>
      <c r="G2345" s="9">
        <v>170.59</v>
      </c>
      <c r="H2345" s="9" t="s">
        <v>19</v>
      </c>
      <c r="I2345" s="9">
        <v>4</v>
      </c>
      <c r="J2345" s="10">
        <v>-53.41</v>
      </c>
      <c r="K2345" s="9" t="str">
        <f>TEXT(Sales_of_Jordan[[#This Row],[Sale_Date]],"mmm")</f>
        <v>Jan</v>
      </c>
    </row>
    <row r="2346" spans="1:11" x14ac:dyDescent="0.35">
      <c r="A2346" s="7" t="s">
        <v>2376</v>
      </c>
      <c r="B2346" s="8">
        <v>45641</v>
      </c>
      <c r="C2346" s="9" t="s">
        <v>21</v>
      </c>
      <c r="D2346" s="9" t="s">
        <v>17</v>
      </c>
      <c r="E2346" s="9" t="s">
        <v>13</v>
      </c>
      <c r="F2346" s="9">
        <v>211</v>
      </c>
      <c r="G2346" s="9">
        <v>137.94999999999999</v>
      </c>
      <c r="H2346" s="9" t="s">
        <v>25</v>
      </c>
      <c r="I2346" s="9">
        <v>8</v>
      </c>
      <c r="J2346" s="10">
        <v>-73.05</v>
      </c>
      <c r="K2346" s="9" t="str">
        <f>TEXT(Sales_of_Jordan[[#This Row],[Sale_Date]],"mmm")</f>
        <v>Dec</v>
      </c>
    </row>
    <row r="2347" spans="1:11" x14ac:dyDescent="0.35">
      <c r="A2347" s="7" t="s">
        <v>2377</v>
      </c>
      <c r="B2347" s="8">
        <v>45870</v>
      </c>
      <c r="C2347" s="9" t="s">
        <v>27</v>
      </c>
      <c r="D2347" s="9" t="s">
        <v>17</v>
      </c>
      <c r="E2347" s="9" t="s">
        <v>29</v>
      </c>
      <c r="F2347" s="9">
        <v>129</v>
      </c>
      <c r="G2347" s="9">
        <v>140.6</v>
      </c>
      <c r="H2347" s="9" t="s">
        <v>32</v>
      </c>
      <c r="I2347" s="9">
        <v>8</v>
      </c>
      <c r="J2347" s="10">
        <v>11.5999999999999</v>
      </c>
      <c r="K2347" s="9" t="str">
        <f>TEXT(Sales_of_Jordan[[#This Row],[Sale_Date]],"mmm")</f>
        <v>Aug</v>
      </c>
    </row>
    <row r="2348" spans="1:11" x14ac:dyDescent="0.35">
      <c r="A2348" s="7" t="s">
        <v>2378</v>
      </c>
      <c r="B2348" s="8">
        <v>45479</v>
      </c>
      <c r="C2348" s="9" t="s">
        <v>16</v>
      </c>
      <c r="D2348" s="9" t="s">
        <v>53</v>
      </c>
      <c r="E2348" s="9" t="s">
        <v>29</v>
      </c>
      <c r="F2348" s="9">
        <v>190</v>
      </c>
      <c r="G2348" s="9">
        <v>191.14</v>
      </c>
      <c r="H2348" s="9" t="s">
        <v>23</v>
      </c>
      <c r="I2348" s="9">
        <v>14</v>
      </c>
      <c r="J2348" s="10">
        <v>1.1399999999999799</v>
      </c>
      <c r="K2348" s="9" t="str">
        <f>TEXT(Sales_of_Jordan[[#This Row],[Sale_Date]],"mmm")</f>
        <v>Jul</v>
      </c>
    </row>
    <row r="2349" spans="1:11" x14ac:dyDescent="0.35">
      <c r="A2349" s="7" t="s">
        <v>2379</v>
      </c>
      <c r="B2349" s="8">
        <v>44958</v>
      </c>
      <c r="C2349" s="9" t="s">
        <v>11</v>
      </c>
      <c r="D2349" s="9" t="s">
        <v>22</v>
      </c>
      <c r="E2349" s="9" t="s">
        <v>13</v>
      </c>
      <c r="F2349" s="9">
        <v>226</v>
      </c>
      <c r="G2349" s="9">
        <v>199.42</v>
      </c>
      <c r="H2349" s="9" t="s">
        <v>19</v>
      </c>
      <c r="I2349" s="9">
        <v>7</v>
      </c>
      <c r="J2349" s="10">
        <v>-26.58</v>
      </c>
      <c r="K2349" s="9" t="str">
        <f>TEXT(Sales_of_Jordan[[#This Row],[Sale_Date]],"mmm")</f>
        <v>Feb</v>
      </c>
    </row>
    <row r="2350" spans="1:11" x14ac:dyDescent="0.35">
      <c r="A2350" s="7" t="s">
        <v>2380</v>
      </c>
      <c r="B2350" s="8">
        <v>45128</v>
      </c>
      <c r="C2350" s="9" t="s">
        <v>21</v>
      </c>
      <c r="D2350" s="9" t="s">
        <v>36</v>
      </c>
      <c r="E2350" s="9" t="s">
        <v>29</v>
      </c>
      <c r="F2350" s="9">
        <v>211</v>
      </c>
      <c r="G2350" s="9">
        <v>303.02</v>
      </c>
      <c r="H2350" s="9" t="s">
        <v>14</v>
      </c>
      <c r="I2350" s="9">
        <v>9</v>
      </c>
      <c r="J2350" s="10">
        <v>92.019999999999897</v>
      </c>
      <c r="K2350" s="9" t="str">
        <f>TEXT(Sales_of_Jordan[[#This Row],[Sale_Date]],"mmm")</f>
        <v>Jul</v>
      </c>
    </row>
    <row r="2351" spans="1:11" x14ac:dyDescent="0.35">
      <c r="A2351" s="7" t="s">
        <v>2381</v>
      </c>
      <c r="B2351" s="8">
        <v>45268</v>
      </c>
      <c r="C2351" s="9" t="s">
        <v>21</v>
      </c>
      <c r="D2351" s="9" t="s">
        <v>34</v>
      </c>
      <c r="E2351" s="9" t="s">
        <v>13</v>
      </c>
      <c r="F2351" s="9">
        <v>218</v>
      </c>
      <c r="G2351" s="9">
        <v>125.84</v>
      </c>
      <c r="H2351" s="9" t="s">
        <v>14</v>
      </c>
      <c r="I2351" s="9">
        <v>12</v>
      </c>
      <c r="J2351" s="10">
        <v>-92.16</v>
      </c>
      <c r="K2351" s="9" t="str">
        <f>TEXT(Sales_of_Jordan[[#This Row],[Sale_Date]],"mmm")</f>
        <v>Dec</v>
      </c>
    </row>
    <row r="2352" spans="1:11" x14ac:dyDescent="0.35">
      <c r="A2352" s="7" t="s">
        <v>2382</v>
      </c>
      <c r="B2352" s="8">
        <v>45613</v>
      </c>
      <c r="C2352" s="9" t="s">
        <v>31</v>
      </c>
      <c r="D2352" s="9" t="s">
        <v>12</v>
      </c>
      <c r="E2352" s="9" t="s">
        <v>29</v>
      </c>
      <c r="F2352" s="9">
        <v>207</v>
      </c>
      <c r="G2352" s="9">
        <v>254.66</v>
      </c>
      <c r="H2352" s="9" t="s">
        <v>32</v>
      </c>
      <c r="I2352" s="9">
        <v>27</v>
      </c>
      <c r="J2352" s="10">
        <v>47.66</v>
      </c>
      <c r="K2352" s="9" t="str">
        <f>TEXT(Sales_of_Jordan[[#This Row],[Sale_Date]],"mmm")</f>
        <v>Nov</v>
      </c>
    </row>
    <row r="2353" spans="1:11" x14ac:dyDescent="0.35">
      <c r="A2353" s="7" t="s">
        <v>2383</v>
      </c>
      <c r="B2353" s="8">
        <v>44968</v>
      </c>
      <c r="C2353" s="9" t="s">
        <v>16</v>
      </c>
      <c r="D2353" s="9" t="s">
        <v>53</v>
      </c>
      <c r="E2353" s="9" t="s">
        <v>13</v>
      </c>
      <c r="F2353" s="9">
        <v>179</v>
      </c>
      <c r="G2353" s="9">
        <v>139.5</v>
      </c>
      <c r="H2353" s="9" t="s">
        <v>19</v>
      </c>
      <c r="I2353" s="9">
        <v>10</v>
      </c>
      <c r="J2353" s="10">
        <v>-39.5</v>
      </c>
      <c r="K2353" s="9" t="str">
        <f>TEXT(Sales_of_Jordan[[#This Row],[Sale_Date]],"mmm")</f>
        <v>Feb</v>
      </c>
    </row>
    <row r="2354" spans="1:11" x14ac:dyDescent="0.35">
      <c r="A2354" s="7" t="s">
        <v>2384</v>
      </c>
      <c r="B2354" s="8">
        <v>45617</v>
      </c>
      <c r="C2354" s="9" t="s">
        <v>21</v>
      </c>
      <c r="D2354" s="9" t="s">
        <v>39</v>
      </c>
      <c r="E2354" s="9" t="s">
        <v>29</v>
      </c>
      <c r="F2354" s="9">
        <v>218</v>
      </c>
      <c r="G2354" s="9">
        <v>234.46</v>
      </c>
      <c r="H2354" s="9" t="s">
        <v>14</v>
      </c>
      <c r="I2354" s="9">
        <v>10</v>
      </c>
      <c r="J2354" s="10">
        <v>16.46</v>
      </c>
      <c r="K2354" s="9" t="str">
        <f>TEXT(Sales_of_Jordan[[#This Row],[Sale_Date]],"mmm")</f>
        <v>Nov</v>
      </c>
    </row>
    <row r="2355" spans="1:11" x14ac:dyDescent="0.35">
      <c r="A2355" s="7" t="s">
        <v>2385</v>
      </c>
      <c r="B2355" s="8">
        <v>45768</v>
      </c>
      <c r="C2355" s="9" t="s">
        <v>21</v>
      </c>
      <c r="D2355" s="9" t="s">
        <v>36</v>
      </c>
      <c r="E2355" s="9" t="s">
        <v>13</v>
      </c>
      <c r="F2355" s="9">
        <v>210</v>
      </c>
      <c r="G2355" s="9">
        <v>134.32</v>
      </c>
      <c r="H2355" s="9" t="s">
        <v>25</v>
      </c>
      <c r="I2355" s="9">
        <v>8</v>
      </c>
      <c r="J2355" s="10">
        <v>-75.680000000000007</v>
      </c>
      <c r="K2355" s="9" t="str">
        <f>TEXT(Sales_of_Jordan[[#This Row],[Sale_Date]],"mmm")</f>
        <v>Apr</v>
      </c>
    </row>
    <row r="2356" spans="1:11" x14ac:dyDescent="0.35">
      <c r="A2356" s="7" t="s">
        <v>2386</v>
      </c>
      <c r="B2356" s="8">
        <v>45909</v>
      </c>
      <c r="C2356" s="9" t="s">
        <v>16</v>
      </c>
      <c r="D2356" s="9" t="s">
        <v>39</v>
      </c>
      <c r="E2356" s="9" t="s">
        <v>29</v>
      </c>
      <c r="F2356" s="9">
        <v>180</v>
      </c>
      <c r="G2356" s="9">
        <v>259.47000000000003</v>
      </c>
      <c r="H2356" s="9" t="s">
        <v>32</v>
      </c>
      <c r="I2356" s="9">
        <v>25</v>
      </c>
      <c r="J2356" s="10">
        <v>79.47</v>
      </c>
      <c r="K2356" s="9" t="str">
        <f>TEXT(Sales_of_Jordan[[#This Row],[Sale_Date]],"mmm")</f>
        <v>Sep</v>
      </c>
    </row>
    <row r="2357" spans="1:11" x14ac:dyDescent="0.35">
      <c r="A2357" s="7" t="s">
        <v>2387</v>
      </c>
      <c r="B2357" s="8">
        <v>45584</v>
      </c>
      <c r="C2357" s="9" t="s">
        <v>31</v>
      </c>
      <c r="D2357" s="9" t="s">
        <v>12</v>
      </c>
      <c r="E2357" s="9" t="s">
        <v>29</v>
      </c>
      <c r="F2357" s="9">
        <v>205</v>
      </c>
      <c r="G2357" s="9">
        <v>209.89</v>
      </c>
      <c r="H2357" s="9" t="s">
        <v>25</v>
      </c>
      <c r="I2357" s="9">
        <v>38</v>
      </c>
      <c r="J2357" s="10">
        <v>4.8899999999999801</v>
      </c>
      <c r="K2357" s="9" t="str">
        <f>TEXT(Sales_of_Jordan[[#This Row],[Sale_Date]],"mmm")</f>
        <v>Oct</v>
      </c>
    </row>
    <row r="2358" spans="1:11" x14ac:dyDescent="0.35">
      <c r="A2358" s="7" t="s">
        <v>2388</v>
      </c>
      <c r="B2358" s="8">
        <v>45582</v>
      </c>
      <c r="C2358" s="9" t="s">
        <v>27</v>
      </c>
      <c r="D2358" s="9" t="s">
        <v>53</v>
      </c>
      <c r="E2358" s="9" t="s">
        <v>29</v>
      </c>
      <c r="F2358" s="9">
        <v>110</v>
      </c>
      <c r="G2358" s="9">
        <v>154.74</v>
      </c>
      <c r="H2358" s="9" t="s">
        <v>23</v>
      </c>
      <c r="I2358" s="9">
        <v>8</v>
      </c>
      <c r="J2358" s="10">
        <v>44.74</v>
      </c>
      <c r="K2358" s="9" t="str">
        <f>TEXT(Sales_of_Jordan[[#This Row],[Sale_Date]],"mmm")</f>
        <v>Oct</v>
      </c>
    </row>
    <row r="2359" spans="1:11" x14ac:dyDescent="0.35">
      <c r="A2359" s="7" t="s">
        <v>2389</v>
      </c>
      <c r="B2359" s="8">
        <v>45582</v>
      </c>
      <c r="C2359" s="9" t="s">
        <v>27</v>
      </c>
      <c r="D2359" s="9" t="s">
        <v>39</v>
      </c>
      <c r="E2359" s="9" t="s">
        <v>13</v>
      </c>
      <c r="F2359" s="9">
        <v>120</v>
      </c>
      <c r="G2359" s="9">
        <v>92.11</v>
      </c>
      <c r="H2359" s="9" t="s">
        <v>32</v>
      </c>
      <c r="I2359" s="9">
        <v>46</v>
      </c>
      <c r="J2359" s="10">
        <v>-27.89</v>
      </c>
      <c r="K2359" s="9" t="str">
        <f>TEXT(Sales_of_Jordan[[#This Row],[Sale_Date]],"mmm")</f>
        <v>Oct</v>
      </c>
    </row>
    <row r="2360" spans="1:11" x14ac:dyDescent="0.35">
      <c r="A2360" s="7" t="s">
        <v>2390</v>
      </c>
      <c r="B2360" s="8">
        <v>45570</v>
      </c>
      <c r="C2360" s="9" t="s">
        <v>21</v>
      </c>
      <c r="D2360" s="9" t="s">
        <v>36</v>
      </c>
      <c r="E2360" s="9" t="s">
        <v>18</v>
      </c>
      <c r="F2360" s="9">
        <v>217</v>
      </c>
      <c r="G2360" s="9">
        <v>302.33999999999997</v>
      </c>
      <c r="H2360" s="9" t="s">
        <v>23</v>
      </c>
      <c r="I2360" s="9">
        <v>50</v>
      </c>
      <c r="J2360" s="10">
        <v>85.339999999999904</v>
      </c>
      <c r="K2360" s="9" t="str">
        <f>TEXT(Sales_of_Jordan[[#This Row],[Sale_Date]],"mmm")</f>
        <v>Oct</v>
      </c>
    </row>
    <row r="2361" spans="1:11" x14ac:dyDescent="0.35">
      <c r="A2361" s="7" t="s">
        <v>2391</v>
      </c>
      <c r="B2361" s="8">
        <v>45221</v>
      </c>
      <c r="C2361" s="9" t="s">
        <v>11</v>
      </c>
      <c r="D2361" s="9" t="s">
        <v>12</v>
      </c>
      <c r="E2361" s="9" t="s">
        <v>13</v>
      </c>
      <c r="F2361" s="9">
        <v>230</v>
      </c>
      <c r="G2361" s="9">
        <v>134.86000000000001</v>
      </c>
      <c r="H2361" s="9" t="s">
        <v>32</v>
      </c>
      <c r="I2361" s="9">
        <v>43</v>
      </c>
      <c r="J2361" s="10">
        <v>-95.139999999999901</v>
      </c>
      <c r="K2361" s="9" t="str">
        <f>TEXT(Sales_of_Jordan[[#This Row],[Sale_Date]],"mmm")</f>
        <v>Oct</v>
      </c>
    </row>
    <row r="2362" spans="1:11" x14ac:dyDescent="0.35">
      <c r="A2362" s="7" t="s">
        <v>2392</v>
      </c>
      <c r="B2362" s="8">
        <v>45146</v>
      </c>
      <c r="C2362" s="9" t="s">
        <v>11</v>
      </c>
      <c r="D2362" s="9" t="s">
        <v>12</v>
      </c>
      <c r="E2362" s="9" t="s">
        <v>18</v>
      </c>
      <c r="F2362" s="9">
        <v>229</v>
      </c>
      <c r="G2362" s="9">
        <v>632.1</v>
      </c>
      <c r="H2362" s="9" t="s">
        <v>14</v>
      </c>
      <c r="I2362" s="9">
        <v>1</v>
      </c>
      <c r="J2362" s="10">
        <v>403.1</v>
      </c>
      <c r="K2362" s="9" t="str">
        <f>TEXT(Sales_of_Jordan[[#This Row],[Sale_Date]],"mmm")</f>
        <v>Aug</v>
      </c>
    </row>
    <row r="2363" spans="1:11" x14ac:dyDescent="0.35">
      <c r="A2363" s="7" t="s">
        <v>2393</v>
      </c>
      <c r="B2363" s="8">
        <v>45539</v>
      </c>
      <c r="C2363" s="9" t="s">
        <v>11</v>
      </c>
      <c r="D2363" s="9" t="s">
        <v>17</v>
      </c>
      <c r="E2363" s="9" t="s">
        <v>18</v>
      </c>
      <c r="F2363" s="9">
        <v>229</v>
      </c>
      <c r="G2363" s="9">
        <v>391.65</v>
      </c>
      <c r="H2363" s="9" t="s">
        <v>14</v>
      </c>
      <c r="I2363" s="9">
        <v>1</v>
      </c>
      <c r="J2363" s="10">
        <v>162.64999999999901</v>
      </c>
      <c r="K2363" s="9" t="str">
        <f>TEXT(Sales_of_Jordan[[#This Row],[Sale_Date]],"mmm")</f>
        <v>Sep</v>
      </c>
    </row>
    <row r="2364" spans="1:11" x14ac:dyDescent="0.35">
      <c r="A2364" s="7" t="s">
        <v>2394</v>
      </c>
      <c r="B2364" s="8">
        <v>45655</v>
      </c>
      <c r="C2364" s="9" t="s">
        <v>11</v>
      </c>
      <c r="D2364" s="9" t="s">
        <v>55</v>
      </c>
      <c r="E2364" s="9" t="s">
        <v>29</v>
      </c>
      <c r="F2364" s="9">
        <v>230</v>
      </c>
      <c r="G2364" s="9">
        <v>238.43</v>
      </c>
      <c r="H2364" s="9" t="s">
        <v>23</v>
      </c>
      <c r="I2364" s="9">
        <v>40</v>
      </c>
      <c r="J2364" s="10">
        <v>8.43</v>
      </c>
      <c r="K2364" s="9" t="str">
        <f>TEXT(Sales_of_Jordan[[#This Row],[Sale_Date]],"mmm")</f>
        <v>Dec</v>
      </c>
    </row>
    <row r="2365" spans="1:11" x14ac:dyDescent="0.35">
      <c r="A2365" s="7" t="s">
        <v>2395</v>
      </c>
      <c r="B2365" s="8">
        <v>45285</v>
      </c>
      <c r="C2365" s="9" t="s">
        <v>11</v>
      </c>
      <c r="D2365" s="9" t="s">
        <v>17</v>
      </c>
      <c r="E2365" s="9" t="s">
        <v>13</v>
      </c>
      <c r="F2365" s="9">
        <v>227</v>
      </c>
      <c r="G2365" s="9">
        <v>148.47</v>
      </c>
      <c r="H2365" s="9" t="s">
        <v>25</v>
      </c>
      <c r="I2365" s="9">
        <v>28</v>
      </c>
      <c r="J2365" s="10">
        <v>-78.53</v>
      </c>
      <c r="K2365" s="9" t="str">
        <f>TEXT(Sales_of_Jordan[[#This Row],[Sale_Date]],"mmm")</f>
        <v>Dec</v>
      </c>
    </row>
    <row r="2366" spans="1:11" x14ac:dyDescent="0.35">
      <c r="A2366" s="7" t="s">
        <v>2396</v>
      </c>
      <c r="B2366" s="8">
        <v>45698</v>
      </c>
      <c r="C2366" s="9" t="s">
        <v>11</v>
      </c>
      <c r="D2366" s="9" t="s">
        <v>46</v>
      </c>
      <c r="E2366" s="9" t="s">
        <v>13</v>
      </c>
      <c r="F2366" s="9">
        <v>226</v>
      </c>
      <c r="G2366" s="9">
        <v>185.11</v>
      </c>
      <c r="H2366" s="9" t="s">
        <v>14</v>
      </c>
      <c r="I2366" s="9">
        <v>9</v>
      </c>
      <c r="J2366" s="10">
        <v>-40.889999999999901</v>
      </c>
      <c r="K2366" s="9" t="str">
        <f>TEXT(Sales_of_Jordan[[#This Row],[Sale_Date]],"mmm")</f>
        <v>Feb</v>
      </c>
    </row>
    <row r="2367" spans="1:11" x14ac:dyDescent="0.35">
      <c r="A2367" s="7" t="s">
        <v>2397</v>
      </c>
      <c r="B2367" s="8">
        <v>45009</v>
      </c>
      <c r="C2367" s="9" t="s">
        <v>11</v>
      </c>
      <c r="D2367" s="9" t="s">
        <v>36</v>
      </c>
      <c r="E2367" s="9" t="s">
        <v>29</v>
      </c>
      <c r="F2367" s="9">
        <v>230</v>
      </c>
      <c r="G2367" s="9">
        <v>237.34</v>
      </c>
      <c r="H2367" s="9" t="s">
        <v>32</v>
      </c>
      <c r="I2367" s="9">
        <v>43</v>
      </c>
      <c r="J2367" s="10">
        <v>7.34</v>
      </c>
      <c r="K2367" s="9" t="str">
        <f>TEXT(Sales_of_Jordan[[#This Row],[Sale_Date]],"mmm")</f>
        <v>Mar</v>
      </c>
    </row>
    <row r="2368" spans="1:11" x14ac:dyDescent="0.35">
      <c r="A2368" s="7" t="s">
        <v>2398</v>
      </c>
      <c r="B2368" s="8">
        <v>45344</v>
      </c>
      <c r="C2368" s="9" t="s">
        <v>31</v>
      </c>
      <c r="D2368" s="9" t="s">
        <v>12</v>
      </c>
      <c r="E2368" s="9" t="s">
        <v>18</v>
      </c>
      <c r="F2368" s="9">
        <v>203</v>
      </c>
      <c r="G2368" s="9">
        <v>685.47</v>
      </c>
      <c r="H2368" s="9" t="s">
        <v>32</v>
      </c>
      <c r="I2368" s="9">
        <v>58</v>
      </c>
      <c r="J2368" s="10">
        <v>482.47</v>
      </c>
      <c r="K2368" s="9" t="str">
        <f>TEXT(Sales_of_Jordan[[#This Row],[Sale_Date]],"mmm")</f>
        <v>Feb</v>
      </c>
    </row>
    <row r="2369" spans="1:11" x14ac:dyDescent="0.35">
      <c r="A2369" s="7" t="s">
        <v>2399</v>
      </c>
      <c r="B2369" s="8">
        <v>45705</v>
      </c>
      <c r="C2369" s="9" t="s">
        <v>11</v>
      </c>
      <c r="D2369" s="9" t="s">
        <v>55</v>
      </c>
      <c r="E2369" s="9" t="s">
        <v>29</v>
      </c>
      <c r="F2369" s="9">
        <v>229</v>
      </c>
      <c r="G2369" s="9">
        <v>288.72000000000003</v>
      </c>
      <c r="H2369" s="9" t="s">
        <v>25</v>
      </c>
      <c r="I2369" s="9">
        <v>48</v>
      </c>
      <c r="J2369" s="10">
        <v>59.72</v>
      </c>
      <c r="K2369" s="9" t="str">
        <f>TEXT(Sales_of_Jordan[[#This Row],[Sale_Date]],"mmm")</f>
        <v>Feb</v>
      </c>
    </row>
    <row r="2370" spans="1:11" x14ac:dyDescent="0.35">
      <c r="A2370" s="7" t="s">
        <v>2400</v>
      </c>
      <c r="B2370" s="8">
        <v>45627</v>
      </c>
      <c r="C2370" s="9" t="s">
        <v>21</v>
      </c>
      <c r="D2370" s="9" t="s">
        <v>55</v>
      </c>
      <c r="E2370" s="9" t="s">
        <v>29</v>
      </c>
      <c r="F2370" s="9">
        <v>220</v>
      </c>
      <c r="G2370" s="9">
        <v>265.5</v>
      </c>
      <c r="H2370" s="9" t="s">
        <v>23</v>
      </c>
      <c r="I2370" s="9">
        <v>16</v>
      </c>
      <c r="J2370" s="10">
        <v>45.5</v>
      </c>
      <c r="K2370" s="9" t="str">
        <f>TEXT(Sales_of_Jordan[[#This Row],[Sale_Date]],"mmm")</f>
        <v>Dec</v>
      </c>
    </row>
    <row r="2371" spans="1:11" x14ac:dyDescent="0.35">
      <c r="A2371" s="7" t="s">
        <v>2401</v>
      </c>
      <c r="B2371" s="8">
        <v>45132</v>
      </c>
      <c r="C2371" s="9" t="s">
        <v>11</v>
      </c>
      <c r="D2371" s="9" t="s">
        <v>17</v>
      </c>
      <c r="E2371" s="9" t="s">
        <v>18</v>
      </c>
      <c r="F2371" s="9">
        <v>226</v>
      </c>
      <c r="G2371" s="9">
        <v>759.77</v>
      </c>
      <c r="H2371" s="9" t="s">
        <v>14</v>
      </c>
      <c r="I2371" s="9">
        <v>9</v>
      </c>
      <c r="J2371" s="10">
        <v>533.77</v>
      </c>
      <c r="K2371" s="9" t="str">
        <f>TEXT(Sales_of_Jordan[[#This Row],[Sale_Date]],"mmm")</f>
        <v>Jul</v>
      </c>
    </row>
    <row r="2372" spans="1:11" x14ac:dyDescent="0.35">
      <c r="A2372" s="7" t="s">
        <v>2402</v>
      </c>
      <c r="B2372" s="8">
        <v>45038</v>
      </c>
      <c r="C2372" s="9" t="s">
        <v>27</v>
      </c>
      <c r="D2372" s="9" t="s">
        <v>12</v>
      </c>
      <c r="E2372" s="9" t="s">
        <v>13</v>
      </c>
      <c r="F2372" s="9">
        <v>124</v>
      </c>
      <c r="G2372" s="9">
        <v>108.44</v>
      </c>
      <c r="H2372" s="9" t="s">
        <v>23</v>
      </c>
      <c r="I2372" s="9">
        <v>57</v>
      </c>
      <c r="J2372" s="10">
        <v>-15.56</v>
      </c>
      <c r="K2372" s="9" t="str">
        <f>TEXT(Sales_of_Jordan[[#This Row],[Sale_Date]],"mmm")</f>
        <v>Apr</v>
      </c>
    </row>
    <row r="2373" spans="1:11" x14ac:dyDescent="0.35">
      <c r="A2373" s="7" t="s">
        <v>2403</v>
      </c>
      <c r="B2373" s="8">
        <v>45764</v>
      </c>
      <c r="C2373" s="9" t="s">
        <v>31</v>
      </c>
      <c r="D2373" s="9" t="s">
        <v>36</v>
      </c>
      <c r="E2373" s="9" t="s">
        <v>29</v>
      </c>
      <c r="F2373" s="9">
        <v>204</v>
      </c>
      <c r="G2373" s="9">
        <v>244.9</v>
      </c>
      <c r="H2373" s="9" t="s">
        <v>32</v>
      </c>
      <c r="I2373" s="9">
        <v>48</v>
      </c>
      <c r="J2373" s="10">
        <v>40.9</v>
      </c>
      <c r="K2373" s="9" t="str">
        <f>TEXT(Sales_of_Jordan[[#This Row],[Sale_Date]],"mmm")</f>
        <v>Apr</v>
      </c>
    </row>
    <row r="2374" spans="1:11" x14ac:dyDescent="0.35">
      <c r="A2374" s="7" t="s">
        <v>2404</v>
      </c>
      <c r="B2374" s="8">
        <v>45475</v>
      </c>
      <c r="C2374" s="9" t="s">
        <v>27</v>
      </c>
      <c r="D2374" s="9" t="s">
        <v>53</v>
      </c>
      <c r="E2374" s="9" t="s">
        <v>29</v>
      </c>
      <c r="F2374" s="9">
        <v>114</v>
      </c>
      <c r="G2374" s="9">
        <v>114</v>
      </c>
      <c r="H2374" s="9" t="s">
        <v>19</v>
      </c>
      <c r="I2374" s="9">
        <v>14</v>
      </c>
      <c r="J2374" s="10">
        <v>0</v>
      </c>
      <c r="K2374" s="9" t="str">
        <f>TEXT(Sales_of_Jordan[[#This Row],[Sale_Date]],"mmm")</f>
        <v>Jul</v>
      </c>
    </row>
    <row r="2375" spans="1:11" x14ac:dyDescent="0.35">
      <c r="A2375" s="7" t="s">
        <v>2405</v>
      </c>
      <c r="B2375" s="8">
        <v>45391</v>
      </c>
      <c r="C2375" s="9" t="s">
        <v>11</v>
      </c>
      <c r="D2375" s="9" t="s">
        <v>12</v>
      </c>
      <c r="E2375" s="9" t="s">
        <v>18</v>
      </c>
      <c r="F2375" s="9">
        <v>225</v>
      </c>
      <c r="G2375" s="9">
        <v>385.77</v>
      </c>
      <c r="H2375" s="9" t="s">
        <v>14</v>
      </c>
      <c r="I2375" s="9">
        <v>12</v>
      </c>
      <c r="J2375" s="10">
        <v>160.76999999999899</v>
      </c>
      <c r="K2375" s="9" t="str">
        <f>TEXT(Sales_of_Jordan[[#This Row],[Sale_Date]],"mmm")</f>
        <v>Apr</v>
      </c>
    </row>
    <row r="2376" spans="1:11" x14ac:dyDescent="0.35">
      <c r="A2376" s="7" t="s">
        <v>2406</v>
      </c>
      <c r="B2376" s="8">
        <v>45925</v>
      </c>
      <c r="C2376" s="9" t="s">
        <v>16</v>
      </c>
      <c r="D2376" s="9" t="s">
        <v>34</v>
      </c>
      <c r="E2376" s="9" t="s">
        <v>18</v>
      </c>
      <c r="F2376" s="9">
        <v>182</v>
      </c>
      <c r="G2376" s="9">
        <v>613.53</v>
      </c>
      <c r="H2376" s="9" t="s">
        <v>14</v>
      </c>
      <c r="I2376" s="9">
        <v>7</v>
      </c>
      <c r="J2376" s="10">
        <v>431.53</v>
      </c>
      <c r="K2376" s="9" t="str">
        <f>TEXT(Sales_of_Jordan[[#This Row],[Sale_Date]],"mmm")</f>
        <v>Sep</v>
      </c>
    </row>
    <row r="2377" spans="1:11" x14ac:dyDescent="0.35">
      <c r="A2377" s="7" t="s">
        <v>2407</v>
      </c>
      <c r="B2377" s="8">
        <v>45368</v>
      </c>
      <c r="C2377" s="9" t="s">
        <v>11</v>
      </c>
      <c r="D2377" s="9" t="s">
        <v>39</v>
      </c>
      <c r="E2377" s="9" t="s">
        <v>29</v>
      </c>
      <c r="F2377" s="9">
        <v>226</v>
      </c>
      <c r="G2377" s="9">
        <v>225.57</v>
      </c>
      <c r="H2377" s="9" t="s">
        <v>23</v>
      </c>
      <c r="I2377" s="9">
        <v>5</v>
      </c>
      <c r="J2377" s="10">
        <v>-0.43000000000000599</v>
      </c>
      <c r="K2377" s="9" t="str">
        <f>TEXT(Sales_of_Jordan[[#This Row],[Sale_Date]],"mmm")</f>
        <v>Mar</v>
      </c>
    </row>
    <row r="2378" spans="1:11" x14ac:dyDescent="0.35">
      <c r="A2378" s="7" t="s">
        <v>2408</v>
      </c>
      <c r="B2378" s="8">
        <v>45615</v>
      </c>
      <c r="C2378" s="9" t="s">
        <v>27</v>
      </c>
      <c r="D2378" s="9" t="s">
        <v>39</v>
      </c>
      <c r="E2378" s="9" t="s">
        <v>18</v>
      </c>
      <c r="F2378" s="9">
        <v>110</v>
      </c>
      <c r="G2378" s="9">
        <v>155.08000000000001</v>
      </c>
      <c r="H2378" s="9" t="s">
        <v>25</v>
      </c>
      <c r="I2378" s="9">
        <v>48</v>
      </c>
      <c r="J2378" s="10">
        <v>45.08</v>
      </c>
      <c r="K2378" s="9" t="str">
        <f>TEXT(Sales_of_Jordan[[#This Row],[Sale_Date]],"mmm")</f>
        <v>Nov</v>
      </c>
    </row>
    <row r="2379" spans="1:11" x14ac:dyDescent="0.35">
      <c r="A2379" s="7" t="s">
        <v>2409</v>
      </c>
      <c r="B2379" s="8">
        <v>45569</v>
      </c>
      <c r="C2379" s="9" t="s">
        <v>27</v>
      </c>
      <c r="D2379" s="9" t="s">
        <v>12</v>
      </c>
      <c r="E2379" s="9" t="s">
        <v>18</v>
      </c>
      <c r="F2379" s="9">
        <v>139</v>
      </c>
      <c r="G2379" s="9">
        <v>263.8</v>
      </c>
      <c r="H2379" s="9" t="s">
        <v>23</v>
      </c>
      <c r="I2379" s="9">
        <v>25</v>
      </c>
      <c r="J2379" s="10">
        <v>124.8</v>
      </c>
      <c r="K2379" s="9" t="str">
        <f>TEXT(Sales_of_Jordan[[#This Row],[Sale_Date]],"mmm")</f>
        <v>Oct</v>
      </c>
    </row>
    <row r="2380" spans="1:11" x14ac:dyDescent="0.35">
      <c r="A2380" s="7" t="s">
        <v>2410</v>
      </c>
      <c r="B2380" s="8">
        <v>45588</v>
      </c>
      <c r="C2380" s="9" t="s">
        <v>16</v>
      </c>
      <c r="D2380" s="9" t="s">
        <v>53</v>
      </c>
      <c r="E2380" s="9" t="s">
        <v>29</v>
      </c>
      <c r="F2380" s="9">
        <v>185</v>
      </c>
      <c r="G2380" s="9">
        <v>223.85</v>
      </c>
      <c r="H2380" s="9" t="s">
        <v>32</v>
      </c>
      <c r="I2380" s="9">
        <v>20</v>
      </c>
      <c r="J2380" s="10">
        <v>38.849999999999902</v>
      </c>
      <c r="K2380" s="9" t="str">
        <f>TEXT(Sales_of_Jordan[[#This Row],[Sale_Date]],"mmm")</f>
        <v>Oct</v>
      </c>
    </row>
    <row r="2381" spans="1:11" x14ac:dyDescent="0.35">
      <c r="A2381" s="7" t="s">
        <v>2411</v>
      </c>
      <c r="B2381" s="8">
        <v>45163</v>
      </c>
      <c r="C2381" s="9" t="s">
        <v>31</v>
      </c>
      <c r="D2381" s="9" t="s">
        <v>22</v>
      </c>
      <c r="E2381" s="9" t="s">
        <v>13</v>
      </c>
      <c r="F2381" s="9">
        <v>205</v>
      </c>
      <c r="G2381" s="9">
        <v>144.97</v>
      </c>
      <c r="H2381" s="9" t="s">
        <v>32</v>
      </c>
      <c r="I2381" s="9">
        <v>36</v>
      </c>
      <c r="J2381" s="10">
        <v>-60.03</v>
      </c>
      <c r="K2381" s="9" t="str">
        <f>TEXT(Sales_of_Jordan[[#This Row],[Sale_Date]],"mmm")</f>
        <v>Aug</v>
      </c>
    </row>
    <row r="2382" spans="1:11" x14ac:dyDescent="0.35">
      <c r="A2382" s="7" t="s">
        <v>2412</v>
      </c>
      <c r="B2382" s="8">
        <v>45887</v>
      </c>
      <c r="C2382" s="9" t="s">
        <v>31</v>
      </c>
      <c r="D2382" s="9" t="s">
        <v>46</v>
      </c>
      <c r="E2382" s="9" t="s">
        <v>18</v>
      </c>
      <c r="F2382" s="9">
        <v>200</v>
      </c>
      <c r="G2382" s="9">
        <v>345.43</v>
      </c>
      <c r="H2382" s="9" t="s">
        <v>32</v>
      </c>
      <c r="I2382" s="9">
        <v>55</v>
      </c>
      <c r="J2382" s="10">
        <v>145.43</v>
      </c>
      <c r="K2382" s="9" t="str">
        <f>TEXT(Sales_of_Jordan[[#This Row],[Sale_Date]],"mmm")</f>
        <v>Aug</v>
      </c>
    </row>
    <row r="2383" spans="1:11" x14ac:dyDescent="0.35">
      <c r="A2383" s="7" t="s">
        <v>2413</v>
      </c>
      <c r="B2383" s="8">
        <v>45188</v>
      </c>
      <c r="C2383" s="9" t="s">
        <v>21</v>
      </c>
      <c r="D2383" s="9" t="s">
        <v>36</v>
      </c>
      <c r="E2383" s="9" t="s">
        <v>18</v>
      </c>
      <c r="F2383" s="9">
        <v>218</v>
      </c>
      <c r="G2383" s="9">
        <v>604.37</v>
      </c>
      <c r="H2383" s="9" t="s">
        <v>19</v>
      </c>
      <c r="I2383" s="9">
        <v>6</v>
      </c>
      <c r="J2383" s="10">
        <v>386.37</v>
      </c>
      <c r="K2383" s="9" t="str">
        <f>TEXT(Sales_of_Jordan[[#This Row],[Sale_Date]],"mmm")</f>
        <v>Sep</v>
      </c>
    </row>
    <row r="2384" spans="1:11" x14ac:dyDescent="0.35">
      <c r="A2384" s="7" t="s">
        <v>2414</v>
      </c>
      <c r="B2384" s="8">
        <v>45890</v>
      </c>
      <c r="C2384" s="9" t="s">
        <v>11</v>
      </c>
      <c r="D2384" s="9" t="s">
        <v>34</v>
      </c>
      <c r="E2384" s="9" t="s">
        <v>18</v>
      </c>
      <c r="F2384" s="9">
        <v>227</v>
      </c>
      <c r="G2384" s="9">
        <v>560.85</v>
      </c>
      <c r="H2384" s="9" t="s">
        <v>19</v>
      </c>
      <c r="I2384" s="9">
        <v>2</v>
      </c>
      <c r="J2384" s="10">
        <v>333.85</v>
      </c>
      <c r="K2384" s="9" t="str">
        <f>TEXT(Sales_of_Jordan[[#This Row],[Sale_Date]],"mmm")</f>
        <v>Aug</v>
      </c>
    </row>
    <row r="2385" spans="1:11" x14ac:dyDescent="0.35">
      <c r="A2385" s="7" t="s">
        <v>2415</v>
      </c>
      <c r="B2385" s="8">
        <v>45267</v>
      </c>
      <c r="C2385" s="9" t="s">
        <v>21</v>
      </c>
      <c r="D2385" s="9" t="s">
        <v>34</v>
      </c>
      <c r="E2385" s="9" t="s">
        <v>13</v>
      </c>
      <c r="F2385" s="9">
        <v>214</v>
      </c>
      <c r="G2385" s="9">
        <v>183.38</v>
      </c>
      <c r="H2385" s="9" t="s">
        <v>32</v>
      </c>
      <c r="I2385" s="9">
        <v>16</v>
      </c>
      <c r="J2385" s="10">
        <v>-30.62</v>
      </c>
      <c r="K2385" s="9" t="str">
        <f>TEXT(Sales_of_Jordan[[#This Row],[Sale_Date]],"mmm")</f>
        <v>Dec</v>
      </c>
    </row>
    <row r="2386" spans="1:11" x14ac:dyDescent="0.35">
      <c r="A2386" s="7" t="s">
        <v>2416</v>
      </c>
      <c r="B2386" s="8">
        <v>45610</v>
      </c>
      <c r="C2386" s="9" t="s">
        <v>27</v>
      </c>
      <c r="D2386" s="9" t="s">
        <v>55</v>
      </c>
      <c r="E2386" s="9" t="s">
        <v>13</v>
      </c>
      <c r="F2386" s="9">
        <v>129</v>
      </c>
      <c r="G2386" s="9">
        <v>88.72</v>
      </c>
      <c r="H2386" s="9" t="s">
        <v>23</v>
      </c>
      <c r="I2386" s="9">
        <v>27</v>
      </c>
      <c r="J2386" s="10">
        <v>-40.28</v>
      </c>
      <c r="K2386" s="9" t="str">
        <f>TEXT(Sales_of_Jordan[[#This Row],[Sale_Date]],"mmm")</f>
        <v>Nov</v>
      </c>
    </row>
    <row r="2387" spans="1:11" x14ac:dyDescent="0.35">
      <c r="A2387" s="7" t="s">
        <v>2417</v>
      </c>
      <c r="B2387" s="8">
        <v>45225</v>
      </c>
      <c r="C2387" s="9" t="s">
        <v>31</v>
      </c>
      <c r="D2387" s="9" t="s">
        <v>55</v>
      </c>
      <c r="E2387" s="9" t="s">
        <v>29</v>
      </c>
      <c r="F2387" s="9">
        <v>203</v>
      </c>
      <c r="G2387" s="9">
        <v>199.89</v>
      </c>
      <c r="H2387" s="9" t="s">
        <v>19</v>
      </c>
      <c r="I2387" s="9">
        <v>5</v>
      </c>
      <c r="J2387" s="10">
        <v>-3.1100000000000101</v>
      </c>
      <c r="K2387" s="9" t="str">
        <f>TEXT(Sales_of_Jordan[[#This Row],[Sale_Date]],"mmm")</f>
        <v>Oct</v>
      </c>
    </row>
    <row r="2388" spans="1:11" x14ac:dyDescent="0.35">
      <c r="A2388" s="7" t="s">
        <v>2418</v>
      </c>
      <c r="B2388" s="8">
        <v>45869</v>
      </c>
      <c r="C2388" s="9" t="s">
        <v>11</v>
      </c>
      <c r="D2388" s="9" t="s">
        <v>36</v>
      </c>
      <c r="E2388" s="9" t="s">
        <v>29</v>
      </c>
      <c r="F2388" s="9">
        <v>225</v>
      </c>
      <c r="G2388" s="9">
        <v>320</v>
      </c>
      <c r="H2388" s="9" t="s">
        <v>32</v>
      </c>
      <c r="I2388" s="9">
        <v>10</v>
      </c>
      <c r="J2388" s="10">
        <v>95</v>
      </c>
      <c r="K2388" s="9" t="str">
        <f>TEXT(Sales_of_Jordan[[#This Row],[Sale_Date]],"mmm")</f>
        <v>Jul</v>
      </c>
    </row>
    <row r="2389" spans="1:11" x14ac:dyDescent="0.35">
      <c r="A2389" s="7" t="s">
        <v>2419</v>
      </c>
      <c r="B2389" s="8">
        <v>45406</v>
      </c>
      <c r="C2389" s="9" t="s">
        <v>31</v>
      </c>
      <c r="D2389" s="9" t="s">
        <v>39</v>
      </c>
      <c r="E2389" s="9" t="s">
        <v>18</v>
      </c>
      <c r="F2389" s="9">
        <v>207</v>
      </c>
      <c r="G2389" s="9">
        <v>427.54</v>
      </c>
      <c r="H2389" s="9" t="s">
        <v>19</v>
      </c>
      <c r="I2389" s="9">
        <v>10</v>
      </c>
      <c r="J2389" s="10">
        <v>220.54</v>
      </c>
      <c r="K2389" s="9" t="str">
        <f>TEXT(Sales_of_Jordan[[#This Row],[Sale_Date]],"mmm")</f>
        <v>Apr</v>
      </c>
    </row>
    <row r="2390" spans="1:11" x14ac:dyDescent="0.35">
      <c r="A2390" s="7" t="s">
        <v>2420</v>
      </c>
      <c r="B2390" s="8">
        <v>45686</v>
      </c>
      <c r="C2390" s="9" t="s">
        <v>11</v>
      </c>
      <c r="D2390" s="9" t="s">
        <v>22</v>
      </c>
      <c r="E2390" s="9" t="s">
        <v>18</v>
      </c>
      <c r="F2390" s="9">
        <v>225</v>
      </c>
      <c r="G2390" s="9">
        <v>546.66</v>
      </c>
      <c r="H2390" s="9" t="s">
        <v>23</v>
      </c>
      <c r="I2390" s="9">
        <v>58</v>
      </c>
      <c r="J2390" s="10">
        <v>321.659999999999</v>
      </c>
      <c r="K2390" s="9" t="str">
        <f>TEXT(Sales_of_Jordan[[#This Row],[Sale_Date]],"mmm")</f>
        <v>Jan</v>
      </c>
    </row>
    <row r="2391" spans="1:11" x14ac:dyDescent="0.35">
      <c r="A2391" s="7" t="s">
        <v>2421</v>
      </c>
      <c r="B2391" s="8">
        <v>45124</v>
      </c>
      <c r="C2391" s="9" t="s">
        <v>11</v>
      </c>
      <c r="D2391" s="9" t="s">
        <v>53</v>
      </c>
      <c r="E2391" s="9" t="s">
        <v>13</v>
      </c>
      <c r="F2391" s="9">
        <v>226</v>
      </c>
      <c r="G2391" s="9">
        <v>127.87</v>
      </c>
      <c r="H2391" s="9" t="s">
        <v>32</v>
      </c>
      <c r="I2391" s="9">
        <v>18</v>
      </c>
      <c r="J2391" s="10">
        <v>-98.13</v>
      </c>
      <c r="K2391" s="9" t="str">
        <f>TEXT(Sales_of_Jordan[[#This Row],[Sale_Date]],"mmm")</f>
        <v>Jul</v>
      </c>
    </row>
    <row r="2392" spans="1:11" x14ac:dyDescent="0.35">
      <c r="A2392" s="7" t="s">
        <v>2422</v>
      </c>
      <c r="B2392" s="8">
        <v>45076</v>
      </c>
      <c r="C2392" s="9" t="s">
        <v>27</v>
      </c>
      <c r="D2392" s="9" t="s">
        <v>34</v>
      </c>
      <c r="E2392" s="9" t="s">
        <v>13</v>
      </c>
      <c r="F2392" s="9">
        <v>115</v>
      </c>
      <c r="G2392" s="9">
        <v>83.88</v>
      </c>
      <c r="H2392" s="9" t="s">
        <v>23</v>
      </c>
      <c r="I2392" s="9">
        <v>31</v>
      </c>
      <c r="J2392" s="10">
        <v>-31.12</v>
      </c>
      <c r="K2392" s="9" t="str">
        <f>TEXT(Sales_of_Jordan[[#This Row],[Sale_Date]],"mmm")</f>
        <v>May</v>
      </c>
    </row>
    <row r="2393" spans="1:11" x14ac:dyDescent="0.35">
      <c r="A2393" s="7" t="s">
        <v>2423</v>
      </c>
      <c r="B2393" s="8">
        <v>45813</v>
      </c>
      <c r="C2393" s="9" t="s">
        <v>27</v>
      </c>
      <c r="D2393" s="9" t="s">
        <v>22</v>
      </c>
      <c r="E2393" s="9" t="s">
        <v>18</v>
      </c>
      <c r="F2393" s="9">
        <v>118</v>
      </c>
      <c r="G2393" s="9">
        <v>157.94</v>
      </c>
      <c r="H2393" s="9" t="s">
        <v>19</v>
      </c>
      <c r="I2393" s="9">
        <v>12</v>
      </c>
      <c r="J2393" s="10">
        <v>39.94</v>
      </c>
      <c r="K2393" s="9" t="str">
        <f>TEXT(Sales_of_Jordan[[#This Row],[Sale_Date]],"mmm")</f>
        <v>Jun</v>
      </c>
    </row>
    <row r="2394" spans="1:11" x14ac:dyDescent="0.35">
      <c r="A2394" s="7" t="s">
        <v>2424</v>
      </c>
      <c r="B2394" s="8">
        <v>45704</v>
      </c>
      <c r="C2394" s="9" t="s">
        <v>21</v>
      </c>
      <c r="D2394" s="9" t="s">
        <v>17</v>
      </c>
      <c r="E2394" s="9" t="s">
        <v>13</v>
      </c>
      <c r="F2394" s="9">
        <v>220</v>
      </c>
      <c r="G2394" s="9">
        <v>146.86000000000001</v>
      </c>
      <c r="H2394" s="9" t="s">
        <v>23</v>
      </c>
      <c r="I2394" s="9">
        <v>52</v>
      </c>
      <c r="J2394" s="10">
        <v>-73.139999999999901</v>
      </c>
      <c r="K2394" s="9" t="str">
        <f>TEXT(Sales_of_Jordan[[#This Row],[Sale_Date]],"mmm")</f>
        <v>Feb</v>
      </c>
    </row>
    <row r="2395" spans="1:11" x14ac:dyDescent="0.35">
      <c r="A2395" s="7" t="s">
        <v>2425</v>
      </c>
      <c r="B2395" s="8">
        <v>45448</v>
      </c>
      <c r="C2395" s="9" t="s">
        <v>27</v>
      </c>
      <c r="D2395" s="9" t="s">
        <v>12</v>
      </c>
      <c r="E2395" s="9" t="s">
        <v>13</v>
      </c>
      <c r="F2395" s="9">
        <v>116</v>
      </c>
      <c r="G2395" s="9">
        <v>88.33</v>
      </c>
      <c r="H2395" s="9" t="s">
        <v>32</v>
      </c>
      <c r="I2395" s="9">
        <v>30</v>
      </c>
      <c r="J2395" s="10">
        <v>-27.67</v>
      </c>
      <c r="K2395" s="9" t="str">
        <f>TEXT(Sales_of_Jordan[[#This Row],[Sale_Date]],"mmm")</f>
        <v>Jun</v>
      </c>
    </row>
    <row r="2396" spans="1:11" x14ac:dyDescent="0.35">
      <c r="A2396" s="7" t="s">
        <v>2426</v>
      </c>
      <c r="B2396" s="8">
        <v>45844</v>
      </c>
      <c r="C2396" s="9" t="s">
        <v>21</v>
      </c>
      <c r="D2396" s="9" t="s">
        <v>22</v>
      </c>
      <c r="E2396" s="9" t="s">
        <v>13</v>
      </c>
      <c r="F2396" s="9">
        <v>214</v>
      </c>
      <c r="G2396" s="9">
        <v>120.68</v>
      </c>
      <c r="H2396" s="9" t="s">
        <v>25</v>
      </c>
      <c r="I2396" s="9">
        <v>19</v>
      </c>
      <c r="J2396" s="10">
        <v>-93.32</v>
      </c>
      <c r="K2396" s="9" t="str">
        <f>TEXT(Sales_of_Jordan[[#This Row],[Sale_Date]],"mmm")</f>
        <v>Jul</v>
      </c>
    </row>
    <row r="2397" spans="1:11" x14ac:dyDescent="0.35">
      <c r="A2397" s="7" t="s">
        <v>2427</v>
      </c>
      <c r="B2397" s="8">
        <v>45366</v>
      </c>
      <c r="C2397" s="9" t="s">
        <v>31</v>
      </c>
      <c r="D2397" s="9" t="s">
        <v>17</v>
      </c>
      <c r="E2397" s="9" t="s">
        <v>13</v>
      </c>
      <c r="F2397" s="9">
        <v>206</v>
      </c>
      <c r="G2397" s="9">
        <v>143.58000000000001</v>
      </c>
      <c r="H2397" s="9" t="s">
        <v>23</v>
      </c>
      <c r="I2397" s="9">
        <v>37</v>
      </c>
      <c r="J2397" s="10">
        <v>-62.419999999999902</v>
      </c>
      <c r="K2397" s="9" t="str">
        <f>TEXT(Sales_of_Jordan[[#This Row],[Sale_Date]],"mmm")</f>
        <v>Mar</v>
      </c>
    </row>
    <row r="2398" spans="1:11" x14ac:dyDescent="0.35">
      <c r="A2398" s="7" t="s">
        <v>2428</v>
      </c>
      <c r="B2398" s="8">
        <v>45501</v>
      </c>
      <c r="C2398" s="9" t="s">
        <v>21</v>
      </c>
      <c r="D2398" s="9" t="s">
        <v>12</v>
      </c>
      <c r="E2398" s="9" t="s">
        <v>29</v>
      </c>
      <c r="F2398" s="9">
        <v>221</v>
      </c>
      <c r="G2398" s="9">
        <v>236.87</v>
      </c>
      <c r="H2398" s="9" t="s">
        <v>19</v>
      </c>
      <c r="I2398" s="9">
        <v>10</v>
      </c>
      <c r="J2398" s="10">
        <v>15.87</v>
      </c>
      <c r="K2398" s="9" t="str">
        <f>TEXT(Sales_of_Jordan[[#This Row],[Sale_Date]],"mmm")</f>
        <v>Jul</v>
      </c>
    </row>
    <row r="2399" spans="1:11" x14ac:dyDescent="0.35">
      <c r="A2399" s="7" t="s">
        <v>2429</v>
      </c>
      <c r="B2399" s="8">
        <v>45777</v>
      </c>
      <c r="C2399" s="9" t="s">
        <v>11</v>
      </c>
      <c r="D2399" s="9" t="s">
        <v>46</v>
      </c>
      <c r="E2399" s="9" t="s">
        <v>29</v>
      </c>
      <c r="F2399" s="9">
        <v>225</v>
      </c>
      <c r="G2399" s="9">
        <v>204.87</v>
      </c>
      <c r="H2399" s="9" t="s">
        <v>23</v>
      </c>
      <c r="I2399" s="9">
        <v>27</v>
      </c>
      <c r="J2399" s="10">
        <v>-20.1299999999999</v>
      </c>
      <c r="K2399" s="9" t="str">
        <f>TEXT(Sales_of_Jordan[[#This Row],[Sale_Date]],"mmm")</f>
        <v>Apr</v>
      </c>
    </row>
    <row r="2400" spans="1:11" x14ac:dyDescent="0.35">
      <c r="A2400" s="7" t="s">
        <v>2430</v>
      </c>
      <c r="B2400" s="8">
        <v>45208</v>
      </c>
      <c r="C2400" s="9" t="s">
        <v>11</v>
      </c>
      <c r="D2400" s="9" t="s">
        <v>34</v>
      </c>
      <c r="E2400" s="9" t="s">
        <v>13</v>
      </c>
      <c r="F2400" s="9">
        <v>225</v>
      </c>
      <c r="G2400" s="9">
        <v>183.59</v>
      </c>
      <c r="H2400" s="9" t="s">
        <v>19</v>
      </c>
      <c r="I2400" s="9">
        <v>12</v>
      </c>
      <c r="J2400" s="10">
        <v>-41.41</v>
      </c>
      <c r="K2400" s="9" t="str">
        <f>TEXT(Sales_of_Jordan[[#This Row],[Sale_Date]],"mmm")</f>
        <v>Oct</v>
      </c>
    </row>
    <row r="2401" spans="1:11" x14ac:dyDescent="0.35">
      <c r="A2401" s="7" t="s">
        <v>2431</v>
      </c>
      <c r="B2401" s="8">
        <v>45047</v>
      </c>
      <c r="C2401" s="9" t="s">
        <v>16</v>
      </c>
      <c r="D2401" s="9" t="s">
        <v>46</v>
      </c>
      <c r="E2401" s="9" t="s">
        <v>29</v>
      </c>
      <c r="F2401" s="9">
        <v>190</v>
      </c>
      <c r="G2401" s="9">
        <v>175.12</v>
      </c>
      <c r="H2401" s="9" t="s">
        <v>32</v>
      </c>
      <c r="I2401" s="9">
        <v>23</v>
      </c>
      <c r="J2401" s="10">
        <v>-14.8799999999999</v>
      </c>
      <c r="K2401" s="9" t="str">
        <f>TEXT(Sales_of_Jordan[[#This Row],[Sale_Date]],"mmm")</f>
        <v>May</v>
      </c>
    </row>
    <row r="2402" spans="1:11" x14ac:dyDescent="0.35">
      <c r="A2402" s="7" t="s">
        <v>2432</v>
      </c>
      <c r="B2402" s="8">
        <v>45311</v>
      </c>
      <c r="C2402" s="9" t="s">
        <v>21</v>
      </c>
      <c r="D2402" s="9" t="s">
        <v>36</v>
      </c>
      <c r="E2402" s="9" t="s">
        <v>13</v>
      </c>
      <c r="F2402" s="9">
        <v>223</v>
      </c>
      <c r="G2402" s="9">
        <v>151.49</v>
      </c>
      <c r="H2402" s="9" t="s">
        <v>25</v>
      </c>
      <c r="I2402" s="9">
        <v>26</v>
      </c>
      <c r="J2402" s="10">
        <v>-71.509999999999906</v>
      </c>
      <c r="K2402" s="9" t="str">
        <f>TEXT(Sales_of_Jordan[[#This Row],[Sale_Date]],"mmm")</f>
        <v>Jan</v>
      </c>
    </row>
    <row r="2403" spans="1:11" x14ac:dyDescent="0.35">
      <c r="A2403" s="7" t="s">
        <v>2433</v>
      </c>
      <c r="B2403" s="8">
        <v>45622</v>
      </c>
      <c r="C2403" s="9" t="s">
        <v>21</v>
      </c>
      <c r="D2403" s="9" t="s">
        <v>36</v>
      </c>
      <c r="E2403" s="9" t="s">
        <v>13</v>
      </c>
      <c r="F2403" s="9">
        <v>214</v>
      </c>
      <c r="G2403" s="9">
        <v>185.74</v>
      </c>
      <c r="H2403" s="9" t="s">
        <v>23</v>
      </c>
      <c r="I2403" s="9">
        <v>52</v>
      </c>
      <c r="J2403" s="10">
        <v>-28.259999999999899</v>
      </c>
      <c r="K2403" s="9" t="str">
        <f>TEXT(Sales_of_Jordan[[#This Row],[Sale_Date]],"mmm")</f>
        <v>Nov</v>
      </c>
    </row>
    <row r="2404" spans="1:11" x14ac:dyDescent="0.35">
      <c r="A2404" s="7" t="s">
        <v>2434</v>
      </c>
      <c r="B2404" s="8">
        <v>45854</v>
      </c>
      <c r="C2404" s="9" t="s">
        <v>31</v>
      </c>
      <c r="D2404" s="9" t="s">
        <v>55</v>
      </c>
      <c r="E2404" s="9" t="s">
        <v>18</v>
      </c>
      <c r="F2404" s="9">
        <v>204</v>
      </c>
      <c r="G2404" s="9">
        <v>710.57</v>
      </c>
      <c r="H2404" s="9" t="s">
        <v>32</v>
      </c>
      <c r="I2404" s="9">
        <v>51</v>
      </c>
      <c r="J2404" s="10">
        <v>506.57</v>
      </c>
      <c r="K2404" s="9" t="str">
        <f>TEXT(Sales_of_Jordan[[#This Row],[Sale_Date]],"mmm")</f>
        <v>Jul</v>
      </c>
    </row>
    <row r="2405" spans="1:11" x14ac:dyDescent="0.35">
      <c r="A2405" s="7" t="s">
        <v>2435</v>
      </c>
      <c r="B2405" s="8">
        <v>44938</v>
      </c>
      <c r="C2405" s="9" t="s">
        <v>11</v>
      </c>
      <c r="D2405" s="9" t="s">
        <v>36</v>
      </c>
      <c r="E2405" s="9" t="s">
        <v>29</v>
      </c>
      <c r="F2405" s="9">
        <v>228</v>
      </c>
      <c r="G2405" s="9">
        <v>257.85000000000002</v>
      </c>
      <c r="H2405" s="9" t="s">
        <v>32</v>
      </c>
      <c r="I2405" s="9">
        <v>30</v>
      </c>
      <c r="J2405" s="10">
        <v>29.85</v>
      </c>
      <c r="K2405" s="9" t="str">
        <f>TEXT(Sales_of_Jordan[[#This Row],[Sale_Date]],"mmm")</f>
        <v>Jan</v>
      </c>
    </row>
    <row r="2406" spans="1:11" x14ac:dyDescent="0.35">
      <c r="A2406" s="7" t="s">
        <v>2436</v>
      </c>
      <c r="B2406" s="8">
        <v>45333</v>
      </c>
      <c r="C2406" s="9" t="s">
        <v>11</v>
      </c>
      <c r="D2406" s="9" t="s">
        <v>34</v>
      </c>
      <c r="E2406" s="9" t="s">
        <v>13</v>
      </c>
      <c r="F2406" s="9">
        <v>227</v>
      </c>
      <c r="G2406" s="9">
        <v>115.57</v>
      </c>
      <c r="H2406" s="9" t="s">
        <v>14</v>
      </c>
      <c r="I2406" s="9">
        <v>12</v>
      </c>
      <c r="J2406" s="10">
        <v>-111.43</v>
      </c>
      <c r="K2406" s="9" t="str">
        <f>TEXT(Sales_of_Jordan[[#This Row],[Sale_Date]],"mmm")</f>
        <v>Feb</v>
      </c>
    </row>
    <row r="2407" spans="1:11" x14ac:dyDescent="0.35">
      <c r="A2407" s="7" t="s">
        <v>2437</v>
      </c>
      <c r="B2407" s="8">
        <v>45717</v>
      </c>
      <c r="C2407" s="9" t="s">
        <v>21</v>
      </c>
      <c r="D2407" s="9" t="s">
        <v>17</v>
      </c>
      <c r="E2407" s="9" t="s">
        <v>29</v>
      </c>
      <c r="F2407" s="9">
        <v>214</v>
      </c>
      <c r="G2407" s="9">
        <v>317.97000000000003</v>
      </c>
      <c r="H2407" s="9" t="s">
        <v>32</v>
      </c>
      <c r="I2407" s="9">
        <v>21</v>
      </c>
      <c r="J2407" s="10">
        <v>103.97</v>
      </c>
      <c r="K2407" s="9" t="str">
        <f>TEXT(Sales_of_Jordan[[#This Row],[Sale_Date]],"mmm")</f>
        <v>Mar</v>
      </c>
    </row>
    <row r="2408" spans="1:11" x14ac:dyDescent="0.35">
      <c r="A2408" s="7" t="s">
        <v>2438</v>
      </c>
      <c r="B2408" s="8">
        <v>45684</v>
      </c>
      <c r="C2408" s="9" t="s">
        <v>31</v>
      </c>
      <c r="D2408" s="9" t="s">
        <v>17</v>
      </c>
      <c r="E2408" s="9" t="s">
        <v>18</v>
      </c>
      <c r="F2408" s="9">
        <v>210</v>
      </c>
      <c r="G2408" s="9">
        <v>408.82</v>
      </c>
      <c r="H2408" s="9" t="s">
        <v>14</v>
      </c>
      <c r="I2408" s="9">
        <v>14</v>
      </c>
      <c r="J2408" s="10">
        <v>198.82</v>
      </c>
      <c r="K2408" s="9" t="str">
        <f>TEXT(Sales_of_Jordan[[#This Row],[Sale_Date]],"mmm")</f>
        <v>Jan</v>
      </c>
    </row>
    <row r="2409" spans="1:11" x14ac:dyDescent="0.35">
      <c r="A2409" s="7" t="s">
        <v>2439</v>
      </c>
      <c r="B2409" s="8">
        <v>45272</v>
      </c>
      <c r="C2409" s="9" t="s">
        <v>11</v>
      </c>
      <c r="D2409" s="9" t="s">
        <v>22</v>
      </c>
      <c r="E2409" s="9" t="s">
        <v>29</v>
      </c>
      <c r="F2409" s="9">
        <v>226</v>
      </c>
      <c r="G2409" s="9">
        <v>332.53</v>
      </c>
      <c r="H2409" s="9" t="s">
        <v>19</v>
      </c>
      <c r="I2409" s="9">
        <v>7</v>
      </c>
      <c r="J2409" s="10">
        <v>106.52999999999901</v>
      </c>
      <c r="K2409" s="9" t="str">
        <f>TEXT(Sales_of_Jordan[[#This Row],[Sale_Date]],"mmm")</f>
        <v>Dec</v>
      </c>
    </row>
    <row r="2410" spans="1:11" x14ac:dyDescent="0.35">
      <c r="A2410" s="7" t="s">
        <v>2440</v>
      </c>
      <c r="B2410" s="8">
        <v>45130</v>
      </c>
      <c r="C2410" s="9" t="s">
        <v>21</v>
      </c>
      <c r="D2410" s="9" t="s">
        <v>36</v>
      </c>
      <c r="E2410" s="9" t="s">
        <v>13</v>
      </c>
      <c r="F2410" s="9">
        <v>215</v>
      </c>
      <c r="G2410" s="9">
        <v>166.6</v>
      </c>
      <c r="H2410" s="9" t="s">
        <v>32</v>
      </c>
      <c r="I2410" s="9">
        <v>19</v>
      </c>
      <c r="J2410" s="10">
        <v>-48.4</v>
      </c>
      <c r="K2410" s="9" t="str">
        <f>TEXT(Sales_of_Jordan[[#This Row],[Sale_Date]],"mmm")</f>
        <v>Jul</v>
      </c>
    </row>
    <row r="2411" spans="1:11" x14ac:dyDescent="0.35">
      <c r="A2411" s="7" t="s">
        <v>2441</v>
      </c>
      <c r="B2411" s="8">
        <v>44964</v>
      </c>
      <c r="C2411" s="9" t="s">
        <v>11</v>
      </c>
      <c r="D2411" s="9" t="s">
        <v>34</v>
      </c>
      <c r="E2411" s="9" t="s">
        <v>13</v>
      </c>
      <c r="F2411" s="9">
        <v>226</v>
      </c>
      <c r="G2411" s="9">
        <v>140.03</v>
      </c>
      <c r="H2411" s="9" t="s">
        <v>23</v>
      </c>
      <c r="I2411" s="9">
        <v>52</v>
      </c>
      <c r="J2411" s="10">
        <v>-85.97</v>
      </c>
      <c r="K2411" s="9" t="str">
        <f>TEXT(Sales_of_Jordan[[#This Row],[Sale_Date]],"mmm")</f>
        <v>Feb</v>
      </c>
    </row>
    <row r="2412" spans="1:11" x14ac:dyDescent="0.35">
      <c r="A2412" s="7" t="s">
        <v>2442</v>
      </c>
      <c r="B2412" s="8">
        <v>45297</v>
      </c>
      <c r="C2412" s="9" t="s">
        <v>31</v>
      </c>
      <c r="D2412" s="9" t="s">
        <v>39</v>
      </c>
      <c r="E2412" s="9" t="s">
        <v>13</v>
      </c>
      <c r="F2412" s="9">
        <v>200</v>
      </c>
      <c r="G2412" s="9">
        <v>179.36</v>
      </c>
      <c r="H2412" s="9" t="s">
        <v>25</v>
      </c>
      <c r="I2412" s="9">
        <v>49</v>
      </c>
      <c r="J2412" s="10">
        <v>-20.639999999999901</v>
      </c>
      <c r="K2412" s="9" t="str">
        <f>TEXT(Sales_of_Jordan[[#This Row],[Sale_Date]],"mmm")</f>
        <v>Jan</v>
      </c>
    </row>
    <row r="2413" spans="1:11" x14ac:dyDescent="0.35">
      <c r="A2413" s="7" t="s">
        <v>2443</v>
      </c>
      <c r="B2413" s="8">
        <v>45350</v>
      </c>
      <c r="C2413" s="9" t="s">
        <v>31</v>
      </c>
      <c r="D2413" s="9" t="s">
        <v>34</v>
      </c>
      <c r="E2413" s="9" t="s">
        <v>13</v>
      </c>
      <c r="F2413" s="9">
        <v>201</v>
      </c>
      <c r="G2413" s="9">
        <v>111.71</v>
      </c>
      <c r="H2413" s="9" t="s">
        <v>32</v>
      </c>
      <c r="I2413" s="9">
        <v>9</v>
      </c>
      <c r="J2413" s="10">
        <v>-89.29</v>
      </c>
      <c r="K2413" s="9" t="str">
        <f>TEXT(Sales_of_Jordan[[#This Row],[Sale_Date]],"mmm")</f>
        <v>Feb</v>
      </c>
    </row>
    <row r="2414" spans="1:11" x14ac:dyDescent="0.35">
      <c r="A2414" s="7" t="s">
        <v>2444</v>
      </c>
      <c r="B2414" s="8">
        <v>45875</v>
      </c>
      <c r="C2414" s="9" t="s">
        <v>21</v>
      </c>
      <c r="D2414" s="9" t="s">
        <v>46</v>
      </c>
      <c r="E2414" s="9" t="s">
        <v>13</v>
      </c>
      <c r="F2414" s="9">
        <v>224</v>
      </c>
      <c r="G2414" s="9">
        <v>171.07</v>
      </c>
      <c r="H2414" s="9" t="s">
        <v>19</v>
      </c>
      <c r="I2414" s="9">
        <v>8</v>
      </c>
      <c r="J2414" s="10">
        <v>-52.93</v>
      </c>
      <c r="K2414" s="9" t="str">
        <f>TEXT(Sales_of_Jordan[[#This Row],[Sale_Date]],"mmm")</f>
        <v>Aug</v>
      </c>
    </row>
    <row r="2415" spans="1:11" x14ac:dyDescent="0.35">
      <c r="A2415" s="7" t="s">
        <v>2445</v>
      </c>
      <c r="B2415" s="8">
        <v>45847</v>
      </c>
      <c r="C2415" s="9" t="s">
        <v>31</v>
      </c>
      <c r="D2415" s="9" t="s">
        <v>36</v>
      </c>
      <c r="E2415" s="9" t="s">
        <v>13</v>
      </c>
      <c r="F2415" s="9">
        <v>200</v>
      </c>
      <c r="G2415" s="9">
        <v>144.47</v>
      </c>
      <c r="H2415" s="9" t="s">
        <v>25</v>
      </c>
      <c r="I2415" s="9">
        <v>28</v>
      </c>
      <c r="J2415" s="10">
        <v>-55.53</v>
      </c>
      <c r="K2415" s="9" t="str">
        <f>TEXT(Sales_of_Jordan[[#This Row],[Sale_Date]],"mmm")</f>
        <v>Jul</v>
      </c>
    </row>
    <row r="2416" spans="1:11" x14ac:dyDescent="0.35">
      <c r="A2416" s="7" t="s">
        <v>2446</v>
      </c>
      <c r="B2416" s="8">
        <v>45175</v>
      </c>
      <c r="C2416" s="9" t="s">
        <v>27</v>
      </c>
      <c r="D2416" s="9" t="s">
        <v>55</v>
      </c>
      <c r="E2416" s="9" t="s">
        <v>13</v>
      </c>
      <c r="F2416" s="9">
        <v>138</v>
      </c>
      <c r="G2416" s="9">
        <v>109.58</v>
      </c>
      <c r="H2416" s="9" t="s">
        <v>25</v>
      </c>
      <c r="I2416" s="9">
        <v>37</v>
      </c>
      <c r="J2416" s="10">
        <v>-28.42</v>
      </c>
      <c r="K2416" s="9" t="str">
        <f>TEXT(Sales_of_Jordan[[#This Row],[Sale_Date]],"mmm")</f>
        <v>Sep</v>
      </c>
    </row>
    <row r="2417" spans="1:11" x14ac:dyDescent="0.35">
      <c r="A2417" s="7" t="s">
        <v>2447</v>
      </c>
      <c r="B2417" s="8">
        <v>45375</v>
      </c>
      <c r="C2417" s="9" t="s">
        <v>31</v>
      </c>
      <c r="D2417" s="9" t="s">
        <v>22</v>
      </c>
      <c r="E2417" s="9" t="s">
        <v>18</v>
      </c>
      <c r="F2417" s="9">
        <v>204</v>
      </c>
      <c r="G2417" s="9">
        <v>687.15</v>
      </c>
      <c r="H2417" s="9" t="s">
        <v>25</v>
      </c>
      <c r="I2417" s="9">
        <v>33</v>
      </c>
      <c r="J2417" s="10">
        <v>483.15</v>
      </c>
      <c r="K2417" s="9" t="str">
        <f>TEXT(Sales_of_Jordan[[#This Row],[Sale_Date]],"mmm")</f>
        <v>Mar</v>
      </c>
    </row>
    <row r="2418" spans="1:11" x14ac:dyDescent="0.35">
      <c r="A2418" s="7" t="s">
        <v>2448</v>
      </c>
      <c r="B2418" s="8">
        <v>45513</v>
      </c>
      <c r="C2418" s="9" t="s">
        <v>11</v>
      </c>
      <c r="D2418" s="9" t="s">
        <v>55</v>
      </c>
      <c r="E2418" s="9" t="s">
        <v>18</v>
      </c>
      <c r="F2418" s="9">
        <v>228</v>
      </c>
      <c r="G2418" s="9">
        <v>355.93</v>
      </c>
      <c r="H2418" s="9" t="s">
        <v>14</v>
      </c>
      <c r="I2418" s="9">
        <v>4</v>
      </c>
      <c r="J2418" s="10">
        <v>127.93</v>
      </c>
      <c r="K2418" s="9" t="str">
        <f>TEXT(Sales_of_Jordan[[#This Row],[Sale_Date]],"mmm")</f>
        <v>Aug</v>
      </c>
    </row>
    <row r="2419" spans="1:11" x14ac:dyDescent="0.35">
      <c r="A2419" s="7" t="s">
        <v>2449</v>
      </c>
      <c r="B2419" s="8">
        <v>45666</v>
      </c>
      <c r="C2419" s="9" t="s">
        <v>11</v>
      </c>
      <c r="D2419" s="9" t="s">
        <v>12</v>
      </c>
      <c r="E2419" s="9" t="s">
        <v>13</v>
      </c>
      <c r="F2419" s="9">
        <v>230</v>
      </c>
      <c r="G2419" s="9">
        <v>169.63</v>
      </c>
      <c r="H2419" s="9" t="s">
        <v>23</v>
      </c>
      <c r="I2419" s="9">
        <v>25</v>
      </c>
      <c r="J2419" s="10">
        <v>-60.37</v>
      </c>
      <c r="K2419" s="9" t="str">
        <f>TEXT(Sales_of_Jordan[[#This Row],[Sale_Date]],"mmm")</f>
        <v>Jan</v>
      </c>
    </row>
    <row r="2420" spans="1:11" x14ac:dyDescent="0.35">
      <c r="A2420" s="7" t="s">
        <v>2450</v>
      </c>
      <c r="B2420" s="8">
        <v>45144</v>
      </c>
      <c r="C2420" s="9" t="s">
        <v>21</v>
      </c>
      <c r="D2420" s="9" t="s">
        <v>53</v>
      </c>
      <c r="E2420" s="9" t="s">
        <v>18</v>
      </c>
      <c r="F2420" s="9">
        <v>213</v>
      </c>
      <c r="G2420" s="9">
        <v>607.76</v>
      </c>
      <c r="H2420" s="9" t="s">
        <v>19</v>
      </c>
      <c r="I2420" s="9">
        <v>3</v>
      </c>
      <c r="J2420" s="10">
        <v>394.76</v>
      </c>
      <c r="K2420" s="9" t="str">
        <f>TEXT(Sales_of_Jordan[[#This Row],[Sale_Date]],"mmm")</f>
        <v>Aug</v>
      </c>
    </row>
    <row r="2421" spans="1:11" x14ac:dyDescent="0.35">
      <c r="A2421" s="7" t="s">
        <v>2451</v>
      </c>
      <c r="B2421" s="8">
        <v>45704</v>
      </c>
      <c r="C2421" s="9" t="s">
        <v>27</v>
      </c>
      <c r="D2421" s="9" t="s">
        <v>55</v>
      </c>
      <c r="E2421" s="9" t="s">
        <v>18</v>
      </c>
      <c r="F2421" s="9">
        <v>129</v>
      </c>
      <c r="G2421" s="9">
        <v>398.99</v>
      </c>
      <c r="H2421" s="9" t="s">
        <v>19</v>
      </c>
      <c r="I2421" s="9">
        <v>10</v>
      </c>
      <c r="J2421" s="10">
        <v>269.99</v>
      </c>
      <c r="K2421" s="9" t="str">
        <f>TEXT(Sales_of_Jordan[[#This Row],[Sale_Date]],"mmm")</f>
        <v>Feb</v>
      </c>
    </row>
    <row r="2422" spans="1:11" x14ac:dyDescent="0.35">
      <c r="A2422" s="7" t="s">
        <v>2452</v>
      </c>
      <c r="B2422" s="8">
        <v>45577</v>
      </c>
      <c r="C2422" s="9" t="s">
        <v>11</v>
      </c>
      <c r="D2422" s="9" t="s">
        <v>34</v>
      </c>
      <c r="E2422" s="9" t="s">
        <v>13</v>
      </c>
      <c r="F2422" s="9">
        <v>229</v>
      </c>
      <c r="G2422" s="9">
        <v>174.55</v>
      </c>
      <c r="H2422" s="9" t="s">
        <v>19</v>
      </c>
      <c r="I2422" s="9">
        <v>14</v>
      </c>
      <c r="J2422" s="10">
        <v>-54.449999999999903</v>
      </c>
      <c r="K2422" s="9" t="str">
        <f>TEXT(Sales_of_Jordan[[#This Row],[Sale_Date]],"mmm")</f>
        <v>Oct</v>
      </c>
    </row>
    <row r="2423" spans="1:11" x14ac:dyDescent="0.35">
      <c r="A2423" s="7" t="s">
        <v>2453</v>
      </c>
      <c r="B2423" s="8">
        <v>45339</v>
      </c>
      <c r="C2423" s="9" t="s">
        <v>21</v>
      </c>
      <c r="D2423" s="9" t="s">
        <v>46</v>
      </c>
      <c r="E2423" s="9" t="s">
        <v>13</v>
      </c>
      <c r="F2423" s="9">
        <v>216</v>
      </c>
      <c r="G2423" s="9">
        <v>178.74</v>
      </c>
      <c r="H2423" s="9" t="s">
        <v>25</v>
      </c>
      <c r="I2423" s="9">
        <v>23</v>
      </c>
      <c r="J2423" s="10">
        <v>-37.259999999999899</v>
      </c>
      <c r="K2423" s="9" t="str">
        <f>TEXT(Sales_of_Jordan[[#This Row],[Sale_Date]],"mmm")</f>
        <v>Feb</v>
      </c>
    </row>
    <row r="2424" spans="1:11" x14ac:dyDescent="0.35">
      <c r="A2424" s="7" t="s">
        <v>2454</v>
      </c>
      <c r="B2424" s="8">
        <v>45632</v>
      </c>
      <c r="C2424" s="9" t="s">
        <v>27</v>
      </c>
      <c r="D2424" s="9" t="s">
        <v>34</v>
      </c>
      <c r="E2424" s="9" t="s">
        <v>29</v>
      </c>
      <c r="F2424" s="9">
        <v>112</v>
      </c>
      <c r="G2424" s="9">
        <v>110.07</v>
      </c>
      <c r="H2424" s="9" t="s">
        <v>19</v>
      </c>
      <c r="I2424" s="9">
        <v>13</v>
      </c>
      <c r="J2424" s="10">
        <v>-1.93</v>
      </c>
      <c r="K2424" s="9" t="str">
        <f>TEXT(Sales_of_Jordan[[#This Row],[Sale_Date]],"mmm")</f>
        <v>Dec</v>
      </c>
    </row>
    <row r="2425" spans="1:11" x14ac:dyDescent="0.35">
      <c r="A2425" s="7" t="s">
        <v>2455</v>
      </c>
      <c r="B2425" s="8">
        <v>45427</v>
      </c>
      <c r="C2425" s="9" t="s">
        <v>21</v>
      </c>
      <c r="D2425" s="9" t="s">
        <v>22</v>
      </c>
      <c r="E2425" s="9" t="s">
        <v>29</v>
      </c>
      <c r="F2425" s="9">
        <v>225</v>
      </c>
      <c r="G2425" s="9">
        <v>296.04000000000002</v>
      </c>
      <c r="H2425" s="9" t="s">
        <v>23</v>
      </c>
      <c r="I2425" s="9">
        <v>20</v>
      </c>
      <c r="J2425" s="10">
        <v>71.040000000000006</v>
      </c>
      <c r="K2425" s="9" t="str">
        <f>TEXT(Sales_of_Jordan[[#This Row],[Sale_Date]],"mmm")</f>
        <v>May</v>
      </c>
    </row>
    <row r="2426" spans="1:11" x14ac:dyDescent="0.35">
      <c r="A2426" s="7" t="s">
        <v>2456</v>
      </c>
      <c r="B2426" s="8">
        <v>45132</v>
      </c>
      <c r="C2426" s="9" t="s">
        <v>21</v>
      </c>
      <c r="D2426" s="9" t="s">
        <v>22</v>
      </c>
      <c r="E2426" s="9" t="s">
        <v>29</v>
      </c>
      <c r="F2426" s="9">
        <v>221</v>
      </c>
      <c r="G2426" s="9">
        <v>331.1</v>
      </c>
      <c r="H2426" s="9" t="s">
        <v>14</v>
      </c>
      <c r="I2426" s="9">
        <v>10</v>
      </c>
      <c r="J2426" s="10">
        <v>110.1</v>
      </c>
      <c r="K2426" s="9" t="str">
        <f>TEXT(Sales_of_Jordan[[#This Row],[Sale_Date]],"mmm")</f>
        <v>Jul</v>
      </c>
    </row>
    <row r="2427" spans="1:11" x14ac:dyDescent="0.35">
      <c r="A2427" s="7" t="s">
        <v>2457</v>
      </c>
      <c r="B2427" s="8">
        <v>45552</v>
      </c>
      <c r="C2427" s="9" t="s">
        <v>31</v>
      </c>
      <c r="D2427" s="9" t="s">
        <v>12</v>
      </c>
      <c r="E2427" s="9" t="s">
        <v>13</v>
      </c>
      <c r="F2427" s="9">
        <v>204</v>
      </c>
      <c r="G2427" s="9">
        <v>167.94</v>
      </c>
      <c r="H2427" s="9" t="s">
        <v>14</v>
      </c>
      <c r="I2427" s="9">
        <v>11</v>
      </c>
      <c r="J2427" s="10">
        <v>-36.06</v>
      </c>
      <c r="K2427" s="9" t="str">
        <f>TEXT(Sales_of_Jordan[[#This Row],[Sale_Date]],"mmm")</f>
        <v>Sep</v>
      </c>
    </row>
    <row r="2428" spans="1:11" x14ac:dyDescent="0.35">
      <c r="A2428" s="7" t="s">
        <v>2458</v>
      </c>
      <c r="B2428" s="8">
        <v>45585</v>
      </c>
      <c r="C2428" s="9" t="s">
        <v>11</v>
      </c>
      <c r="D2428" s="9" t="s">
        <v>22</v>
      </c>
      <c r="E2428" s="9" t="s">
        <v>18</v>
      </c>
      <c r="F2428" s="9">
        <v>228</v>
      </c>
      <c r="G2428" s="9">
        <v>535.02</v>
      </c>
      <c r="H2428" s="9" t="s">
        <v>14</v>
      </c>
      <c r="I2428" s="9">
        <v>1</v>
      </c>
      <c r="J2428" s="10">
        <v>307.02</v>
      </c>
      <c r="K2428" s="9" t="str">
        <f>TEXT(Sales_of_Jordan[[#This Row],[Sale_Date]],"mmm")</f>
        <v>Oct</v>
      </c>
    </row>
    <row r="2429" spans="1:11" x14ac:dyDescent="0.35">
      <c r="A2429" s="7" t="s">
        <v>2459</v>
      </c>
      <c r="B2429" s="8">
        <v>45224</v>
      </c>
      <c r="C2429" s="9" t="s">
        <v>27</v>
      </c>
      <c r="D2429" s="9" t="s">
        <v>55</v>
      </c>
      <c r="E2429" s="9" t="s">
        <v>18</v>
      </c>
      <c r="F2429" s="9">
        <v>122</v>
      </c>
      <c r="G2429" s="9">
        <v>261.88</v>
      </c>
      <c r="H2429" s="9" t="s">
        <v>25</v>
      </c>
      <c r="I2429" s="9">
        <v>28</v>
      </c>
      <c r="J2429" s="10">
        <v>139.88</v>
      </c>
      <c r="K2429" s="9" t="str">
        <f>TEXT(Sales_of_Jordan[[#This Row],[Sale_Date]],"mmm")</f>
        <v>Oct</v>
      </c>
    </row>
    <row r="2430" spans="1:11" x14ac:dyDescent="0.35">
      <c r="A2430" s="7" t="s">
        <v>2460</v>
      </c>
      <c r="B2430" s="8">
        <v>45034</v>
      </c>
      <c r="C2430" s="9" t="s">
        <v>16</v>
      </c>
      <c r="D2430" s="9" t="s">
        <v>46</v>
      </c>
      <c r="E2430" s="9" t="s">
        <v>13</v>
      </c>
      <c r="F2430" s="9">
        <v>174</v>
      </c>
      <c r="G2430" s="9">
        <v>92.24</v>
      </c>
      <c r="H2430" s="9" t="s">
        <v>25</v>
      </c>
      <c r="I2430" s="9">
        <v>20</v>
      </c>
      <c r="J2430" s="10">
        <v>-81.760000000000005</v>
      </c>
      <c r="K2430" s="9" t="str">
        <f>TEXT(Sales_of_Jordan[[#This Row],[Sale_Date]],"mmm")</f>
        <v>Apr</v>
      </c>
    </row>
    <row r="2431" spans="1:11" x14ac:dyDescent="0.35">
      <c r="A2431" s="7" t="s">
        <v>2461</v>
      </c>
      <c r="B2431" s="8">
        <v>45635</v>
      </c>
      <c r="C2431" s="9" t="s">
        <v>27</v>
      </c>
      <c r="D2431" s="9" t="s">
        <v>55</v>
      </c>
      <c r="E2431" s="9" t="s">
        <v>13</v>
      </c>
      <c r="F2431" s="9">
        <v>123</v>
      </c>
      <c r="G2431" s="9">
        <v>66.540000000000006</v>
      </c>
      <c r="H2431" s="9" t="s">
        <v>32</v>
      </c>
      <c r="I2431" s="9">
        <v>15</v>
      </c>
      <c r="J2431" s="10">
        <v>-56.459999999999901</v>
      </c>
      <c r="K2431" s="9" t="str">
        <f>TEXT(Sales_of_Jordan[[#This Row],[Sale_Date]],"mmm")</f>
        <v>Dec</v>
      </c>
    </row>
    <row r="2432" spans="1:11" x14ac:dyDescent="0.35">
      <c r="A2432" s="7" t="s">
        <v>2462</v>
      </c>
      <c r="B2432" s="8">
        <v>45758</v>
      </c>
      <c r="C2432" s="9" t="s">
        <v>16</v>
      </c>
      <c r="D2432" s="9" t="s">
        <v>36</v>
      </c>
      <c r="E2432" s="9" t="s">
        <v>13</v>
      </c>
      <c r="F2432" s="9">
        <v>177</v>
      </c>
      <c r="G2432" s="9">
        <v>117.64</v>
      </c>
      <c r="H2432" s="9" t="s">
        <v>23</v>
      </c>
      <c r="I2432" s="9">
        <v>21</v>
      </c>
      <c r="J2432" s="10">
        <v>-59.36</v>
      </c>
      <c r="K2432" s="9" t="str">
        <f>TEXT(Sales_of_Jordan[[#This Row],[Sale_Date]],"mmm")</f>
        <v>Apr</v>
      </c>
    </row>
    <row r="2433" spans="1:11" x14ac:dyDescent="0.35">
      <c r="A2433" s="7" t="s">
        <v>2463</v>
      </c>
      <c r="B2433" s="8">
        <v>45444</v>
      </c>
      <c r="C2433" s="9" t="s">
        <v>21</v>
      </c>
      <c r="D2433" s="9" t="s">
        <v>17</v>
      </c>
      <c r="E2433" s="9" t="s">
        <v>18</v>
      </c>
      <c r="F2433" s="9">
        <v>221</v>
      </c>
      <c r="G2433" s="9">
        <v>550.45000000000005</v>
      </c>
      <c r="H2433" s="9" t="s">
        <v>25</v>
      </c>
      <c r="I2433" s="9">
        <v>40</v>
      </c>
      <c r="J2433" s="10">
        <v>329.45</v>
      </c>
      <c r="K2433" s="9" t="str">
        <f>TEXT(Sales_of_Jordan[[#This Row],[Sale_Date]],"mmm")</f>
        <v>Jun</v>
      </c>
    </row>
    <row r="2434" spans="1:11" x14ac:dyDescent="0.35">
      <c r="A2434" s="7" t="s">
        <v>2464</v>
      </c>
      <c r="B2434" s="8">
        <v>45722</v>
      </c>
      <c r="C2434" s="9" t="s">
        <v>27</v>
      </c>
      <c r="D2434" s="9" t="s">
        <v>12</v>
      </c>
      <c r="E2434" s="9" t="s">
        <v>13</v>
      </c>
      <c r="F2434" s="9">
        <v>118</v>
      </c>
      <c r="G2434" s="9">
        <v>67.290000000000006</v>
      </c>
      <c r="H2434" s="9" t="s">
        <v>23</v>
      </c>
      <c r="I2434" s="9">
        <v>34</v>
      </c>
      <c r="J2434" s="10">
        <v>-50.709999999999901</v>
      </c>
      <c r="K2434" s="9" t="str">
        <f>TEXT(Sales_of_Jordan[[#This Row],[Sale_Date]],"mmm")</f>
        <v>Mar</v>
      </c>
    </row>
    <row r="2435" spans="1:11" x14ac:dyDescent="0.35">
      <c r="A2435" s="7" t="s">
        <v>2465</v>
      </c>
      <c r="B2435" s="8">
        <v>45481</v>
      </c>
      <c r="C2435" s="9" t="s">
        <v>27</v>
      </c>
      <c r="D2435" s="9" t="s">
        <v>39</v>
      </c>
      <c r="E2435" s="9" t="s">
        <v>18</v>
      </c>
      <c r="F2435" s="9">
        <v>131</v>
      </c>
      <c r="G2435" s="9">
        <v>308.20999999999998</v>
      </c>
      <c r="H2435" s="9" t="s">
        <v>19</v>
      </c>
      <c r="I2435" s="9">
        <v>9</v>
      </c>
      <c r="J2435" s="10">
        <v>177.20999999999901</v>
      </c>
      <c r="K2435" s="9" t="str">
        <f>TEXT(Sales_of_Jordan[[#This Row],[Sale_Date]],"mmm")</f>
        <v>Jul</v>
      </c>
    </row>
    <row r="2436" spans="1:11" x14ac:dyDescent="0.35">
      <c r="A2436" s="7" t="s">
        <v>2466</v>
      </c>
      <c r="B2436" s="8">
        <v>45477</v>
      </c>
      <c r="C2436" s="9" t="s">
        <v>31</v>
      </c>
      <c r="D2436" s="9" t="s">
        <v>12</v>
      </c>
      <c r="E2436" s="9" t="s">
        <v>18</v>
      </c>
      <c r="F2436" s="9">
        <v>207</v>
      </c>
      <c r="G2436" s="9">
        <v>336.5</v>
      </c>
      <c r="H2436" s="9" t="s">
        <v>19</v>
      </c>
      <c r="I2436" s="9">
        <v>3</v>
      </c>
      <c r="J2436" s="10">
        <v>129.5</v>
      </c>
      <c r="K2436" s="9" t="str">
        <f>TEXT(Sales_of_Jordan[[#This Row],[Sale_Date]],"mmm")</f>
        <v>Jul</v>
      </c>
    </row>
    <row r="2437" spans="1:11" x14ac:dyDescent="0.35">
      <c r="A2437" s="7" t="s">
        <v>2467</v>
      </c>
      <c r="B2437" s="8">
        <v>45543</v>
      </c>
      <c r="C2437" s="9" t="s">
        <v>16</v>
      </c>
      <c r="D2437" s="9" t="s">
        <v>12</v>
      </c>
      <c r="E2437" s="9" t="s">
        <v>13</v>
      </c>
      <c r="F2437" s="9">
        <v>190</v>
      </c>
      <c r="G2437" s="9">
        <v>156.01</v>
      </c>
      <c r="H2437" s="9" t="s">
        <v>25</v>
      </c>
      <c r="I2437" s="9">
        <v>8</v>
      </c>
      <c r="J2437" s="10">
        <v>-33.99</v>
      </c>
      <c r="K2437" s="9" t="str">
        <f>TEXT(Sales_of_Jordan[[#This Row],[Sale_Date]],"mmm")</f>
        <v>Sep</v>
      </c>
    </row>
    <row r="2438" spans="1:11" x14ac:dyDescent="0.35">
      <c r="A2438" s="7" t="s">
        <v>2468</v>
      </c>
      <c r="B2438" s="8">
        <v>45868</v>
      </c>
      <c r="C2438" s="9" t="s">
        <v>11</v>
      </c>
      <c r="D2438" s="9" t="s">
        <v>22</v>
      </c>
      <c r="E2438" s="9" t="s">
        <v>18</v>
      </c>
      <c r="F2438" s="9">
        <v>226</v>
      </c>
      <c r="G2438" s="9">
        <v>445.84</v>
      </c>
      <c r="H2438" s="9" t="s">
        <v>14</v>
      </c>
      <c r="I2438" s="9">
        <v>5</v>
      </c>
      <c r="J2438" s="10">
        <v>219.83999999999901</v>
      </c>
      <c r="K2438" s="9" t="str">
        <f>TEXT(Sales_of_Jordan[[#This Row],[Sale_Date]],"mmm")</f>
        <v>Jul</v>
      </c>
    </row>
    <row r="2439" spans="1:11" x14ac:dyDescent="0.35">
      <c r="A2439" s="7" t="s">
        <v>2469</v>
      </c>
      <c r="B2439" s="8">
        <v>45737</v>
      </c>
      <c r="C2439" s="9" t="s">
        <v>11</v>
      </c>
      <c r="D2439" s="9" t="s">
        <v>17</v>
      </c>
      <c r="E2439" s="9" t="s">
        <v>13</v>
      </c>
      <c r="F2439" s="9">
        <v>227</v>
      </c>
      <c r="G2439" s="9">
        <v>187.81</v>
      </c>
      <c r="H2439" s="9" t="s">
        <v>23</v>
      </c>
      <c r="I2439" s="9">
        <v>57</v>
      </c>
      <c r="J2439" s="10">
        <v>-39.19</v>
      </c>
      <c r="K2439" s="9" t="str">
        <f>TEXT(Sales_of_Jordan[[#This Row],[Sale_Date]],"mmm")</f>
        <v>Mar</v>
      </c>
    </row>
    <row r="2440" spans="1:11" x14ac:dyDescent="0.35">
      <c r="A2440" s="7" t="s">
        <v>2470</v>
      </c>
      <c r="B2440" s="8">
        <v>45377</v>
      </c>
      <c r="C2440" s="9" t="s">
        <v>21</v>
      </c>
      <c r="D2440" s="9" t="s">
        <v>46</v>
      </c>
      <c r="E2440" s="9" t="s">
        <v>18</v>
      </c>
      <c r="F2440" s="9">
        <v>223</v>
      </c>
      <c r="G2440" s="9">
        <v>690.82</v>
      </c>
      <c r="H2440" s="9" t="s">
        <v>25</v>
      </c>
      <c r="I2440" s="9">
        <v>21</v>
      </c>
      <c r="J2440" s="10">
        <v>467.82</v>
      </c>
      <c r="K2440" s="9" t="str">
        <f>TEXT(Sales_of_Jordan[[#This Row],[Sale_Date]],"mmm")</f>
        <v>Mar</v>
      </c>
    </row>
    <row r="2441" spans="1:11" x14ac:dyDescent="0.35">
      <c r="A2441" s="7" t="s">
        <v>2471</v>
      </c>
      <c r="B2441" s="8">
        <v>45176</v>
      </c>
      <c r="C2441" s="9" t="s">
        <v>31</v>
      </c>
      <c r="D2441" s="9" t="s">
        <v>39</v>
      </c>
      <c r="E2441" s="9" t="s">
        <v>29</v>
      </c>
      <c r="F2441" s="9">
        <v>210</v>
      </c>
      <c r="G2441" s="9">
        <v>299.19</v>
      </c>
      <c r="H2441" s="9" t="s">
        <v>32</v>
      </c>
      <c r="I2441" s="9">
        <v>54</v>
      </c>
      <c r="J2441" s="10">
        <v>89.19</v>
      </c>
      <c r="K2441" s="9" t="str">
        <f>TEXT(Sales_of_Jordan[[#This Row],[Sale_Date]],"mmm")</f>
        <v>Sep</v>
      </c>
    </row>
    <row r="2442" spans="1:11" x14ac:dyDescent="0.35">
      <c r="A2442" s="7" t="s">
        <v>2472</v>
      </c>
      <c r="B2442" s="8">
        <v>45600</v>
      </c>
      <c r="C2442" s="9" t="s">
        <v>31</v>
      </c>
      <c r="D2442" s="9" t="s">
        <v>39</v>
      </c>
      <c r="E2442" s="9" t="s">
        <v>29</v>
      </c>
      <c r="F2442" s="9">
        <v>208</v>
      </c>
      <c r="G2442" s="9">
        <v>271.68</v>
      </c>
      <c r="H2442" s="9" t="s">
        <v>32</v>
      </c>
      <c r="I2442" s="9">
        <v>31</v>
      </c>
      <c r="J2442" s="10">
        <v>63.68</v>
      </c>
      <c r="K2442" s="9" t="str">
        <f>TEXT(Sales_of_Jordan[[#This Row],[Sale_Date]],"mmm")</f>
        <v>Nov</v>
      </c>
    </row>
    <row r="2443" spans="1:11" x14ac:dyDescent="0.35">
      <c r="A2443" s="7" t="s">
        <v>2473</v>
      </c>
      <c r="B2443" s="8">
        <v>45594</v>
      </c>
      <c r="C2443" s="9" t="s">
        <v>11</v>
      </c>
      <c r="D2443" s="9" t="s">
        <v>39</v>
      </c>
      <c r="E2443" s="9" t="s">
        <v>29</v>
      </c>
      <c r="F2443" s="9">
        <v>225</v>
      </c>
      <c r="G2443" s="9">
        <v>239.22</v>
      </c>
      <c r="H2443" s="9" t="s">
        <v>25</v>
      </c>
      <c r="I2443" s="9">
        <v>51</v>
      </c>
      <c r="J2443" s="10">
        <v>14.219999999999899</v>
      </c>
      <c r="K2443" s="9" t="str">
        <f>TEXT(Sales_of_Jordan[[#This Row],[Sale_Date]],"mmm")</f>
        <v>Oct</v>
      </c>
    </row>
    <row r="2444" spans="1:11" x14ac:dyDescent="0.35">
      <c r="A2444" s="7" t="s">
        <v>2474</v>
      </c>
      <c r="B2444" s="8">
        <v>45181</v>
      </c>
      <c r="C2444" s="9" t="s">
        <v>11</v>
      </c>
      <c r="D2444" s="9" t="s">
        <v>53</v>
      </c>
      <c r="E2444" s="9" t="s">
        <v>13</v>
      </c>
      <c r="F2444" s="9">
        <v>227</v>
      </c>
      <c r="G2444" s="9">
        <v>133.9</v>
      </c>
      <c r="H2444" s="9" t="s">
        <v>32</v>
      </c>
      <c r="I2444" s="9">
        <v>22</v>
      </c>
      <c r="J2444" s="10">
        <v>-93.1</v>
      </c>
      <c r="K2444" s="9" t="str">
        <f>TEXT(Sales_of_Jordan[[#This Row],[Sale_Date]],"mmm")</f>
        <v>Sep</v>
      </c>
    </row>
    <row r="2445" spans="1:11" x14ac:dyDescent="0.35">
      <c r="A2445" s="7" t="s">
        <v>2475</v>
      </c>
      <c r="B2445" s="8">
        <v>45591</v>
      </c>
      <c r="C2445" s="9" t="s">
        <v>21</v>
      </c>
      <c r="D2445" s="9" t="s">
        <v>46</v>
      </c>
      <c r="E2445" s="9" t="s">
        <v>29</v>
      </c>
      <c r="F2445" s="9">
        <v>218</v>
      </c>
      <c r="G2445" s="9">
        <v>305.83</v>
      </c>
      <c r="H2445" s="9" t="s">
        <v>14</v>
      </c>
      <c r="I2445" s="9">
        <v>5</v>
      </c>
      <c r="J2445" s="10">
        <v>87.829999999999899</v>
      </c>
      <c r="K2445" s="9" t="str">
        <f>TEXT(Sales_of_Jordan[[#This Row],[Sale_Date]],"mmm")</f>
        <v>Oct</v>
      </c>
    </row>
    <row r="2446" spans="1:11" x14ac:dyDescent="0.35">
      <c r="A2446" s="7" t="s">
        <v>2476</v>
      </c>
      <c r="B2446" s="8">
        <v>45751</v>
      </c>
      <c r="C2446" s="9" t="s">
        <v>27</v>
      </c>
      <c r="D2446" s="9" t="s">
        <v>36</v>
      </c>
      <c r="E2446" s="9" t="s">
        <v>18</v>
      </c>
      <c r="F2446" s="9">
        <v>139</v>
      </c>
      <c r="G2446" s="9">
        <v>433.69</v>
      </c>
      <c r="H2446" s="9" t="s">
        <v>32</v>
      </c>
      <c r="I2446" s="9">
        <v>27</v>
      </c>
      <c r="J2446" s="10">
        <v>294.69</v>
      </c>
      <c r="K2446" s="9" t="str">
        <f>TEXT(Sales_of_Jordan[[#This Row],[Sale_Date]],"mmm")</f>
        <v>Apr</v>
      </c>
    </row>
    <row r="2447" spans="1:11" x14ac:dyDescent="0.35">
      <c r="A2447" s="7" t="s">
        <v>2477</v>
      </c>
      <c r="B2447" s="8">
        <v>45229</v>
      </c>
      <c r="C2447" s="9" t="s">
        <v>16</v>
      </c>
      <c r="D2447" s="9" t="s">
        <v>22</v>
      </c>
      <c r="E2447" s="9" t="s">
        <v>13</v>
      </c>
      <c r="F2447" s="9">
        <v>185</v>
      </c>
      <c r="G2447" s="9">
        <v>163.75</v>
      </c>
      <c r="H2447" s="9" t="s">
        <v>19</v>
      </c>
      <c r="I2447" s="9">
        <v>5</v>
      </c>
      <c r="J2447" s="10">
        <v>-21.25</v>
      </c>
      <c r="K2447" s="9" t="str">
        <f>TEXT(Sales_of_Jordan[[#This Row],[Sale_Date]],"mmm")</f>
        <v>Oct</v>
      </c>
    </row>
    <row r="2448" spans="1:11" x14ac:dyDescent="0.35">
      <c r="A2448" s="7" t="s">
        <v>2478</v>
      </c>
      <c r="B2448" s="8">
        <v>45395</v>
      </c>
      <c r="C2448" s="9" t="s">
        <v>27</v>
      </c>
      <c r="D2448" s="9" t="s">
        <v>12</v>
      </c>
      <c r="E2448" s="9" t="s">
        <v>18</v>
      </c>
      <c r="F2448" s="9">
        <v>128</v>
      </c>
      <c r="G2448" s="9">
        <v>368.08</v>
      </c>
      <c r="H2448" s="9" t="s">
        <v>23</v>
      </c>
      <c r="I2448" s="9">
        <v>29</v>
      </c>
      <c r="J2448" s="10">
        <v>240.07999999999899</v>
      </c>
      <c r="K2448" s="9" t="str">
        <f>TEXT(Sales_of_Jordan[[#This Row],[Sale_Date]],"mmm")</f>
        <v>Apr</v>
      </c>
    </row>
    <row r="2449" spans="1:11" x14ac:dyDescent="0.35">
      <c r="A2449" s="7" t="s">
        <v>2479</v>
      </c>
      <c r="B2449" s="8">
        <v>45424</v>
      </c>
      <c r="C2449" s="9" t="s">
        <v>27</v>
      </c>
      <c r="D2449" s="9" t="s">
        <v>53</v>
      </c>
      <c r="E2449" s="9" t="s">
        <v>18</v>
      </c>
      <c r="F2449" s="9">
        <v>135</v>
      </c>
      <c r="G2449" s="9">
        <v>439.74</v>
      </c>
      <c r="H2449" s="9" t="s">
        <v>14</v>
      </c>
      <c r="I2449" s="9">
        <v>2</v>
      </c>
      <c r="J2449" s="10">
        <v>304.74</v>
      </c>
      <c r="K2449" s="9" t="str">
        <f>TEXT(Sales_of_Jordan[[#This Row],[Sale_Date]],"mmm")</f>
        <v>May</v>
      </c>
    </row>
    <row r="2450" spans="1:11" x14ac:dyDescent="0.35">
      <c r="A2450" s="7" t="s">
        <v>2480</v>
      </c>
      <c r="B2450" s="8">
        <v>45388</v>
      </c>
      <c r="C2450" s="9" t="s">
        <v>27</v>
      </c>
      <c r="D2450" s="9" t="s">
        <v>53</v>
      </c>
      <c r="E2450" s="9" t="s">
        <v>13</v>
      </c>
      <c r="F2450" s="9">
        <v>133</v>
      </c>
      <c r="G2450" s="9">
        <v>90.59</v>
      </c>
      <c r="H2450" s="9" t="s">
        <v>32</v>
      </c>
      <c r="I2450" s="9">
        <v>46</v>
      </c>
      <c r="J2450" s="10">
        <v>-42.41</v>
      </c>
      <c r="K2450" s="9" t="str">
        <f>TEXT(Sales_of_Jordan[[#This Row],[Sale_Date]],"mmm")</f>
        <v>Apr</v>
      </c>
    </row>
    <row r="2451" spans="1:11" x14ac:dyDescent="0.35">
      <c r="A2451" s="7" t="s">
        <v>2481</v>
      </c>
      <c r="B2451" s="8">
        <v>45340</v>
      </c>
      <c r="C2451" s="9" t="s">
        <v>21</v>
      </c>
      <c r="D2451" s="9" t="s">
        <v>17</v>
      </c>
      <c r="E2451" s="9" t="s">
        <v>13</v>
      </c>
      <c r="F2451" s="9">
        <v>212</v>
      </c>
      <c r="G2451" s="9">
        <v>114.74</v>
      </c>
      <c r="H2451" s="9" t="s">
        <v>32</v>
      </c>
      <c r="I2451" s="9">
        <v>9</v>
      </c>
      <c r="J2451" s="10">
        <v>-97.26</v>
      </c>
      <c r="K2451" s="9" t="str">
        <f>TEXT(Sales_of_Jordan[[#This Row],[Sale_Date]],"mmm")</f>
        <v>Feb</v>
      </c>
    </row>
    <row r="2452" spans="1:11" x14ac:dyDescent="0.35">
      <c r="A2452" s="7" t="s">
        <v>2482</v>
      </c>
      <c r="B2452" s="8">
        <v>45187</v>
      </c>
      <c r="C2452" s="9" t="s">
        <v>27</v>
      </c>
      <c r="D2452" s="9" t="s">
        <v>39</v>
      </c>
      <c r="E2452" s="9" t="s">
        <v>29</v>
      </c>
      <c r="F2452" s="9">
        <v>125</v>
      </c>
      <c r="G2452" s="9">
        <v>122.45</v>
      </c>
      <c r="H2452" s="9" t="s">
        <v>32</v>
      </c>
      <c r="I2452" s="9">
        <v>51</v>
      </c>
      <c r="J2452" s="10">
        <v>-2.5499999999999901</v>
      </c>
      <c r="K2452" s="9" t="str">
        <f>TEXT(Sales_of_Jordan[[#This Row],[Sale_Date]],"mmm")</f>
        <v>Sep</v>
      </c>
    </row>
    <row r="2453" spans="1:11" x14ac:dyDescent="0.35">
      <c r="A2453" s="7" t="s">
        <v>2483</v>
      </c>
      <c r="B2453" s="8">
        <v>45845</v>
      </c>
      <c r="C2453" s="9" t="s">
        <v>21</v>
      </c>
      <c r="D2453" s="9" t="s">
        <v>46</v>
      </c>
      <c r="E2453" s="9" t="s">
        <v>18</v>
      </c>
      <c r="F2453" s="9">
        <v>219</v>
      </c>
      <c r="G2453" s="9">
        <v>617.24</v>
      </c>
      <c r="H2453" s="9" t="s">
        <v>23</v>
      </c>
      <c r="I2453" s="9">
        <v>10</v>
      </c>
      <c r="J2453" s="10">
        <v>398.24</v>
      </c>
      <c r="K2453" s="9" t="str">
        <f>TEXT(Sales_of_Jordan[[#This Row],[Sale_Date]],"mmm")</f>
        <v>Jul</v>
      </c>
    </row>
    <row r="2454" spans="1:11" x14ac:dyDescent="0.35">
      <c r="A2454" s="7" t="s">
        <v>2484</v>
      </c>
      <c r="B2454" s="8">
        <v>45493</v>
      </c>
      <c r="C2454" s="9" t="s">
        <v>16</v>
      </c>
      <c r="D2454" s="9" t="s">
        <v>12</v>
      </c>
      <c r="E2454" s="9" t="s">
        <v>29</v>
      </c>
      <c r="F2454" s="9">
        <v>187</v>
      </c>
      <c r="G2454" s="9">
        <v>249.37</v>
      </c>
      <c r="H2454" s="9" t="s">
        <v>14</v>
      </c>
      <c r="I2454" s="9">
        <v>10</v>
      </c>
      <c r="J2454" s="10">
        <v>62.37</v>
      </c>
      <c r="K2454" s="9" t="str">
        <f>TEXT(Sales_of_Jordan[[#This Row],[Sale_Date]],"mmm")</f>
        <v>Jul</v>
      </c>
    </row>
    <row r="2455" spans="1:11" x14ac:dyDescent="0.35">
      <c r="A2455" s="7" t="s">
        <v>2485</v>
      </c>
      <c r="B2455" s="8">
        <v>44999</v>
      </c>
      <c r="C2455" s="9" t="s">
        <v>11</v>
      </c>
      <c r="D2455" s="9" t="s">
        <v>39</v>
      </c>
      <c r="E2455" s="9" t="s">
        <v>18</v>
      </c>
      <c r="F2455" s="9">
        <v>226</v>
      </c>
      <c r="G2455" s="9">
        <v>571.64</v>
      </c>
      <c r="H2455" s="9" t="s">
        <v>32</v>
      </c>
      <c r="I2455" s="9">
        <v>19</v>
      </c>
      <c r="J2455" s="10">
        <v>345.64</v>
      </c>
      <c r="K2455" s="9" t="str">
        <f>TEXT(Sales_of_Jordan[[#This Row],[Sale_Date]],"mmm")</f>
        <v>Mar</v>
      </c>
    </row>
    <row r="2456" spans="1:11" x14ac:dyDescent="0.35">
      <c r="A2456" s="7" t="s">
        <v>2486</v>
      </c>
      <c r="B2456" s="8">
        <v>45816</v>
      </c>
      <c r="C2456" s="9" t="s">
        <v>27</v>
      </c>
      <c r="D2456" s="9" t="s">
        <v>46</v>
      </c>
      <c r="E2456" s="9" t="s">
        <v>29</v>
      </c>
      <c r="F2456" s="9">
        <v>114</v>
      </c>
      <c r="G2456" s="9">
        <v>165.33</v>
      </c>
      <c r="H2456" s="9" t="s">
        <v>19</v>
      </c>
      <c r="I2456" s="9">
        <v>4</v>
      </c>
      <c r="J2456" s="10">
        <v>51.33</v>
      </c>
      <c r="K2456" s="9" t="str">
        <f>TEXT(Sales_of_Jordan[[#This Row],[Sale_Date]],"mmm")</f>
        <v>Jun</v>
      </c>
    </row>
    <row r="2457" spans="1:11" x14ac:dyDescent="0.35">
      <c r="A2457" s="7" t="s">
        <v>2487</v>
      </c>
      <c r="B2457" s="8">
        <v>45124</v>
      </c>
      <c r="C2457" s="9" t="s">
        <v>11</v>
      </c>
      <c r="D2457" s="9" t="s">
        <v>22</v>
      </c>
      <c r="E2457" s="9" t="s">
        <v>13</v>
      </c>
      <c r="F2457" s="9">
        <v>230</v>
      </c>
      <c r="G2457" s="9">
        <v>123.86</v>
      </c>
      <c r="H2457" s="9" t="s">
        <v>19</v>
      </c>
      <c r="I2457" s="9">
        <v>6</v>
      </c>
      <c r="J2457" s="10">
        <v>-106.14</v>
      </c>
      <c r="K2457" s="9" t="str">
        <f>TEXT(Sales_of_Jordan[[#This Row],[Sale_Date]],"mmm")</f>
        <v>Jul</v>
      </c>
    </row>
    <row r="2458" spans="1:11" x14ac:dyDescent="0.35">
      <c r="A2458" s="7" t="s">
        <v>2488</v>
      </c>
      <c r="B2458" s="8">
        <v>45787</v>
      </c>
      <c r="C2458" s="9" t="s">
        <v>11</v>
      </c>
      <c r="D2458" s="9" t="s">
        <v>46</v>
      </c>
      <c r="E2458" s="9" t="s">
        <v>29</v>
      </c>
      <c r="F2458" s="9">
        <v>225</v>
      </c>
      <c r="G2458" s="9">
        <v>305.22000000000003</v>
      </c>
      <c r="H2458" s="9" t="s">
        <v>14</v>
      </c>
      <c r="I2458" s="9">
        <v>13</v>
      </c>
      <c r="J2458" s="10">
        <v>80.22</v>
      </c>
      <c r="K2458" s="9" t="str">
        <f>TEXT(Sales_of_Jordan[[#This Row],[Sale_Date]],"mmm")</f>
        <v>May</v>
      </c>
    </row>
    <row r="2459" spans="1:11" x14ac:dyDescent="0.35">
      <c r="A2459" s="7" t="s">
        <v>2489</v>
      </c>
      <c r="B2459" s="8">
        <v>45078</v>
      </c>
      <c r="C2459" s="9" t="s">
        <v>31</v>
      </c>
      <c r="D2459" s="9" t="s">
        <v>39</v>
      </c>
      <c r="E2459" s="9" t="s">
        <v>29</v>
      </c>
      <c r="F2459" s="9">
        <v>204</v>
      </c>
      <c r="G2459" s="9">
        <v>215.06</v>
      </c>
      <c r="H2459" s="9" t="s">
        <v>25</v>
      </c>
      <c r="I2459" s="9">
        <v>18</v>
      </c>
      <c r="J2459" s="10">
        <v>11.06</v>
      </c>
      <c r="K2459" s="9" t="str">
        <f>TEXT(Sales_of_Jordan[[#This Row],[Sale_Date]],"mmm")</f>
        <v>Jun</v>
      </c>
    </row>
    <row r="2460" spans="1:11" x14ac:dyDescent="0.35">
      <c r="A2460" s="7" t="s">
        <v>2490</v>
      </c>
      <c r="B2460" s="8">
        <v>45192</v>
      </c>
      <c r="C2460" s="9" t="s">
        <v>16</v>
      </c>
      <c r="D2460" s="9" t="s">
        <v>55</v>
      </c>
      <c r="E2460" s="9" t="s">
        <v>13</v>
      </c>
      <c r="F2460" s="9">
        <v>184</v>
      </c>
      <c r="G2460" s="9">
        <v>105.34</v>
      </c>
      <c r="H2460" s="9" t="s">
        <v>32</v>
      </c>
      <c r="I2460" s="9">
        <v>25</v>
      </c>
      <c r="J2460" s="10">
        <v>-78.66</v>
      </c>
      <c r="K2460" s="9" t="str">
        <f>TEXT(Sales_of_Jordan[[#This Row],[Sale_Date]],"mmm")</f>
        <v>Sep</v>
      </c>
    </row>
    <row r="2461" spans="1:11" x14ac:dyDescent="0.35">
      <c r="A2461" s="7" t="s">
        <v>2491</v>
      </c>
      <c r="B2461" s="8">
        <v>45132</v>
      </c>
      <c r="C2461" s="9" t="s">
        <v>27</v>
      </c>
      <c r="D2461" s="9" t="s">
        <v>55</v>
      </c>
      <c r="E2461" s="9" t="s">
        <v>13</v>
      </c>
      <c r="F2461" s="9">
        <v>133</v>
      </c>
      <c r="G2461" s="9">
        <v>90.82</v>
      </c>
      <c r="H2461" s="9" t="s">
        <v>25</v>
      </c>
      <c r="I2461" s="9">
        <v>15</v>
      </c>
      <c r="J2461" s="10">
        <v>-42.18</v>
      </c>
      <c r="K2461" s="9" t="str">
        <f>TEXT(Sales_of_Jordan[[#This Row],[Sale_Date]],"mmm")</f>
        <v>Jul</v>
      </c>
    </row>
    <row r="2462" spans="1:11" x14ac:dyDescent="0.35">
      <c r="A2462" s="7" t="s">
        <v>2492</v>
      </c>
      <c r="B2462" s="8">
        <v>45411</v>
      </c>
      <c r="C2462" s="9" t="s">
        <v>31</v>
      </c>
      <c r="D2462" s="9" t="s">
        <v>12</v>
      </c>
      <c r="E2462" s="9" t="s">
        <v>18</v>
      </c>
      <c r="F2462" s="9">
        <v>205</v>
      </c>
      <c r="G2462" s="9">
        <v>603.89</v>
      </c>
      <c r="H2462" s="9" t="s">
        <v>25</v>
      </c>
      <c r="I2462" s="9">
        <v>11</v>
      </c>
      <c r="J2462" s="10">
        <v>398.89</v>
      </c>
      <c r="K2462" s="9" t="str">
        <f>TEXT(Sales_of_Jordan[[#This Row],[Sale_Date]],"mmm")</f>
        <v>Apr</v>
      </c>
    </row>
    <row r="2463" spans="1:11" x14ac:dyDescent="0.35">
      <c r="A2463" s="7" t="s">
        <v>2493</v>
      </c>
      <c r="B2463" s="8">
        <v>45914</v>
      </c>
      <c r="C2463" s="9" t="s">
        <v>31</v>
      </c>
      <c r="D2463" s="9" t="s">
        <v>53</v>
      </c>
      <c r="E2463" s="9" t="s">
        <v>18</v>
      </c>
      <c r="F2463" s="9">
        <v>202</v>
      </c>
      <c r="G2463" s="9">
        <v>482.68</v>
      </c>
      <c r="H2463" s="9" t="s">
        <v>14</v>
      </c>
      <c r="I2463" s="9">
        <v>4</v>
      </c>
      <c r="J2463" s="10">
        <v>280.68</v>
      </c>
      <c r="K2463" s="9" t="str">
        <f>TEXT(Sales_of_Jordan[[#This Row],[Sale_Date]],"mmm")</f>
        <v>Sep</v>
      </c>
    </row>
    <row r="2464" spans="1:11" x14ac:dyDescent="0.35">
      <c r="A2464" s="7" t="s">
        <v>2494</v>
      </c>
      <c r="B2464" s="8">
        <v>45716</v>
      </c>
      <c r="C2464" s="9" t="s">
        <v>16</v>
      </c>
      <c r="D2464" s="9" t="s">
        <v>34</v>
      </c>
      <c r="E2464" s="9" t="s">
        <v>18</v>
      </c>
      <c r="F2464" s="9">
        <v>177</v>
      </c>
      <c r="G2464" s="9">
        <v>368.03</v>
      </c>
      <c r="H2464" s="9" t="s">
        <v>25</v>
      </c>
      <c r="I2464" s="9">
        <v>11</v>
      </c>
      <c r="J2464" s="10">
        <v>191.02999999999901</v>
      </c>
      <c r="K2464" s="9" t="str">
        <f>TEXT(Sales_of_Jordan[[#This Row],[Sale_Date]],"mmm")</f>
        <v>Feb</v>
      </c>
    </row>
    <row r="2465" spans="1:11" x14ac:dyDescent="0.35">
      <c r="A2465" s="7" t="s">
        <v>2495</v>
      </c>
      <c r="B2465" s="8">
        <v>45827</v>
      </c>
      <c r="C2465" s="9" t="s">
        <v>27</v>
      </c>
      <c r="D2465" s="9" t="s">
        <v>34</v>
      </c>
      <c r="E2465" s="9" t="s">
        <v>18</v>
      </c>
      <c r="F2465" s="9">
        <v>138</v>
      </c>
      <c r="G2465" s="9">
        <v>298.51</v>
      </c>
      <c r="H2465" s="9" t="s">
        <v>25</v>
      </c>
      <c r="I2465" s="9">
        <v>5</v>
      </c>
      <c r="J2465" s="10">
        <v>160.51</v>
      </c>
      <c r="K2465" s="9" t="str">
        <f>TEXT(Sales_of_Jordan[[#This Row],[Sale_Date]],"mmm")</f>
        <v>Jun</v>
      </c>
    </row>
    <row r="2466" spans="1:11" x14ac:dyDescent="0.35">
      <c r="A2466" s="7" t="s">
        <v>2496</v>
      </c>
      <c r="B2466" s="8">
        <v>45483</v>
      </c>
      <c r="C2466" s="9" t="s">
        <v>11</v>
      </c>
      <c r="D2466" s="9" t="s">
        <v>53</v>
      </c>
      <c r="E2466" s="9" t="s">
        <v>29</v>
      </c>
      <c r="F2466" s="9">
        <v>228</v>
      </c>
      <c r="G2466" s="9">
        <v>311.25</v>
      </c>
      <c r="H2466" s="9" t="s">
        <v>23</v>
      </c>
      <c r="I2466" s="9">
        <v>55</v>
      </c>
      <c r="J2466" s="10">
        <v>83.25</v>
      </c>
      <c r="K2466" s="9" t="str">
        <f>TEXT(Sales_of_Jordan[[#This Row],[Sale_Date]],"mmm")</f>
        <v>Jul</v>
      </c>
    </row>
    <row r="2467" spans="1:11" x14ac:dyDescent="0.35">
      <c r="A2467" s="7" t="s">
        <v>2497</v>
      </c>
      <c r="B2467" s="8">
        <v>45642</v>
      </c>
      <c r="C2467" s="9" t="s">
        <v>16</v>
      </c>
      <c r="D2467" s="9" t="s">
        <v>39</v>
      </c>
      <c r="E2467" s="9" t="s">
        <v>13</v>
      </c>
      <c r="F2467" s="9">
        <v>182</v>
      </c>
      <c r="G2467" s="9">
        <v>92.51</v>
      </c>
      <c r="H2467" s="9" t="s">
        <v>23</v>
      </c>
      <c r="I2467" s="9">
        <v>54</v>
      </c>
      <c r="J2467" s="10">
        <v>-89.49</v>
      </c>
      <c r="K2467" s="9" t="str">
        <f>TEXT(Sales_of_Jordan[[#This Row],[Sale_Date]],"mmm")</f>
        <v>Dec</v>
      </c>
    </row>
    <row r="2468" spans="1:11" x14ac:dyDescent="0.35">
      <c r="A2468" s="7" t="s">
        <v>2498</v>
      </c>
      <c r="B2468" s="8">
        <v>45424</v>
      </c>
      <c r="C2468" s="9" t="s">
        <v>21</v>
      </c>
      <c r="D2468" s="9" t="s">
        <v>39</v>
      </c>
      <c r="E2468" s="9" t="s">
        <v>18</v>
      </c>
      <c r="F2468" s="9">
        <v>213</v>
      </c>
      <c r="G2468" s="9">
        <v>348.18</v>
      </c>
      <c r="H2468" s="9" t="s">
        <v>25</v>
      </c>
      <c r="I2468" s="9">
        <v>41</v>
      </c>
      <c r="J2468" s="10">
        <v>135.18</v>
      </c>
      <c r="K2468" s="9" t="str">
        <f>TEXT(Sales_of_Jordan[[#This Row],[Sale_Date]],"mmm")</f>
        <v>May</v>
      </c>
    </row>
    <row r="2469" spans="1:11" x14ac:dyDescent="0.35">
      <c r="A2469" s="7" t="s">
        <v>2499</v>
      </c>
      <c r="B2469" s="8">
        <v>45064</v>
      </c>
      <c r="C2469" s="9" t="s">
        <v>16</v>
      </c>
      <c r="D2469" s="9" t="s">
        <v>22</v>
      </c>
      <c r="E2469" s="9" t="s">
        <v>29</v>
      </c>
      <c r="F2469" s="9">
        <v>173</v>
      </c>
      <c r="G2469" s="9">
        <v>213.46</v>
      </c>
      <c r="H2469" s="9" t="s">
        <v>19</v>
      </c>
      <c r="I2469" s="9">
        <v>4</v>
      </c>
      <c r="J2469" s="10">
        <v>40.46</v>
      </c>
      <c r="K2469" s="9" t="str">
        <f>TEXT(Sales_of_Jordan[[#This Row],[Sale_Date]],"mmm")</f>
        <v>May</v>
      </c>
    </row>
    <row r="2470" spans="1:11" x14ac:dyDescent="0.35">
      <c r="A2470" s="7" t="s">
        <v>2500</v>
      </c>
      <c r="B2470" s="8">
        <v>45067</v>
      </c>
      <c r="C2470" s="9" t="s">
        <v>21</v>
      </c>
      <c r="D2470" s="9" t="s">
        <v>39</v>
      </c>
      <c r="E2470" s="9" t="s">
        <v>29</v>
      </c>
      <c r="F2470" s="9">
        <v>210</v>
      </c>
      <c r="G2470" s="9">
        <v>306.97000000000003</v>
      </c>
      <c r="H2470" s="9" t="s">
        <v>14</v>
      </c>
      <c r="I2470" s="9">
        <v>8</v>
      </c>
      <c r="J2470" s="10">
        <v>96.97</v>
      </c>
      <c r="K2470" s="9" t="str">
        <f>TEXT(Sales_of_Jordan[[#This Row],[Sale_Date]],"mmm")</f>
        <v>May</v>
      </c>
    </row>
    <row r="2471" spans="1:11" x14ac:dyDescent="0.35">
      <c r="A2471" s="7" t="s">
        <v>2501</v>
      </c>
      <c r="B2471" s="8">
        <v>44944</v>
      </c>
      <c r="C2471" s="9" t="s">
        <v>11</v>
      </c>
      <c r="D2471" s="9" t="s">
        <v>39</v>
      </c>
      <c r="E2471" s="9" t="s">
        <v>13</v>
      </c>
      <c r="F2471" s="9">
        <v>227</v>
      </c>
      <c r="G2471" s="9">
        <v>155.18</v>
      </c>
      <c r="H2471" s="9" t="s">
        <v>23</v>
      </c>
      <c r="I2471" s="9">
        <v>57</v>
      </c>
      <c r="J2471" s="10">
        <v>-71.819999999999993</v>
      </c>
      <c r="K2471" s="9" t="str">
        <f>TEXT(Sales_of_Jordan[[#This Row],[Sale_Date]],"mmm")</f>
        <v>Jan</v>
      </c>
    </row>
    <row r="2472" spans="1:11" x14ac:dyDescent="0.35">
      <c r="A2472" s="7" t="s">
        <v>2502</v>
      </c>
      <c r="B2472" s="8">
        <v>45768</v>
      </c>
      <c r="C2472" s="9" t="s">
        <v>16</v>
      </c>
      <c r="D2472" s="9" t="s">
        <v>12</v>
      </c>
      <c r="E2472" s="9" t="s">
        <v>29</v>
      </c>
      <c r="F2472" s="9">
        <v>175</v>
      </c>
      <c r="G2472" s="9">
        <v>179.48</v>
      </c>
      <c r="H2472" s="9" t="s">
        <v>25</v>
      </c>
      <c r="I2472" s="9">
        <v>52</v>
      </c>
      <c r="J2472" s="10">
        <v>4.4799999999999898</v>
      </c>
      <c r="K2472" s="9" t="str">
        <f>TEXT(Sales_of_Jordan[[#This Row],[Sale_Date]],"mmm")</f>
        <v>Apr</v>
      </c>
    </row>
    <row r="2473" spans="1:11" x14ac:dyDescent="0.35">
      <c r="A2473" s="7" t="s">
        <v>2503</v>
      </c>
      <c r="B2473" s="8">
        <v>45253</v>
      </c>
      <c r="C2473" s="9" t="s">
        <v>31</v>
      </c>
      <c r="D2473" s="9" t="s">
        <v>39</v>
      </c>
      <c r="E2473" s="9" t="s">
        <v>29</v>
      </c>
      <c r="F2473" s="9">
        <v>200</v>
      </c>
      <c r="G2473" s="9">
        <v>210.09</v>
      </c>
      <c r="H2473" s="9" t="s">
        <v>14</v>
      </c>
      <c r="I2473" s="9">
        <v>12</v>
      </c>
      <c r="J2473" s="10">
        <v>10.09</v>
      </c>
      <c r="K2473" s="9" t="str">
        <f>TEXT(Sales_of_Jordan[[#This Row],[Sale_Date]],"mmm")</f>
        <v>Nov</v>
      </c>
    </row>
    <row r="2474" spans="1:11" x14ac:dyDescent="0.35">
      <c r="A2474" s="7" t="s">
        <v>2504</v>
      </c>
      <c r="B2474" s="8">
        <v>45857</v>
      </c>
      <c r="C2474" s="9" t="s">
        <v>11</v>
      </c>
      <c r="D2474" s="9" t="s">
        <v>17</v>
      </c>
      <c r="E2474" s="9" t="s">
        <v>29</v>
      </c>
      <c r="F2474" s="9">
        <v>228</v>
      </c>
      <c r="G2474" s="9">
        <v>307.52999999999997</v>
      </c>
      <c r="H2474" s="9" t="s">
        <v>32</v>
      </c>
      <c r="I2474" s="9">
        <v>51</v>
      </c>
      <c r="J2474" s="10">
        <v>79.529999999999902</v>
      </c>
      <c r="K2474" s="9" t="str">
        <f>TEXT(Sales_of_Jordan[[#This Row],[Sale_Date]],"mmm")</f>
        <v>Jul</v>
      </c>
    </row>
    <row r="2475" spans="1:11" x14ac:dyDescent="0.35">
      <c r="A2475" s="7" t="s">
        <v>2505</v>
      </c>
      <c r="B2475" s="8">
        <v>45060</v>
      </c>
      <c r="C2475" s="9" t="s">
        <v>16</v>
      </c>
      <c r="D2475" s="9" t="s">
        <v>39</v>
      </c>
      <c r="E2475" s="9" t="s">
        <v>18</v>
      </c>
      <c r="F2475" s="9">
        <v>179</v>
      </c>
      <c r="G2475" s="9">
        <v>527.03</v>
      </c>
      <c r="H2475" s="9" t="s">
        <v>14</v>
      </c>
      <c r="I2475" s="9">
        <v>8</v>
      </c>
      <c r="J2475" s="10">
        <v>348.03</v>
      </c>
      <c r="K2475" s="9" t="str">
        <f>TEXT(Sales_of_Jordan[[#This Row],[Sale_Date]],"mmm")</f>
        <v>May</v>
      </c>
    </row>
    <row r="2476" spans="1:11" x14ac:dyDescent="0.35">
      <c r="A2476" s="7" t="s">
        <v>2506</v>
      </c>
      <c r="B2476" s="8">
        <v>45247</v>
      </c>
      <c r="C2476" s="9" t="s">
        <v>16</v>
      </c>
      <c r="D2476" s="9" t="s">
        <v>39</v>
      </c>
      <c r="E2476" s="9" t="s">
        <v>29</v>
      </c>
      <c r="F2476" s="9">
        <v>171</v>
      </c>
      <c r="G2476" s="9">
        <v>205.72</v>
      </c>
      <c r="H2476" s="9" t="s">
        <v>14</v>
      </c>
      <c r="I2476" s="9">
        <v>3</v>
      </c>
      <c r="J2476" s="10">
        <v>34.72</v>
      </c>
      <c r="K2476" s="9" t="str">
        <f>TEXT(Sales_of_Jordan[[#This Row],[Sale_Date]],"mmm")</f>
        <v>Nov</v>
      </c>
    </row>
    <row r="2477" spans="1:11" x14ac:dyDescent="0.35">
      <c r="A2477" s="7" t="s">
        <v>2507</v>
      </c>
      <c r="B2477" s="8">
        <v>45426</v>
      </c>
      <c r="C2477" s="9" t="s">
        <v>27</v>
      </c>
      <c r="D2477" s="9" t="s">
        <v>36</v>
      </c>
      <c r="E2477" s="9" t="s">
        <v>18</v>
      </c>
      <c r="F2477" s="9">
        <v>111</v>
      </c>
      <c r="G2477" s="9">
        <v>191</v>
      </c>
      <c r="H2477" s="9" t="s">
        <v>19</v>
      </c>
      <c r="I2477" s="9">
        <v>13</v>
      </c>
      <c r="J2477" s="10">
        <v>80</v>
      </c>
      <c r="K2477" s="9" t="str">
        <f>TEXT(Sales_of_Jordan[[#This Row],[Sale_Date]],"mmm")</f>
        <v>May</v>
      </c>
    </row>
    <row r="2478" spans="1:11" x14ac:dyDescent="0.35">
      <c r="A2478" s="7" t="s">
        <v>2508</v>
      </c>
      <c r="B2478" s="8">
        <v>45720</v>
      </c>
      <c r="C2478" s="9" t="s">
        <v>27</v>
      </c>
      <c r="D2478" s="9" t="s">
        <v>39</v>
      </c>
      <c r="E2478" s="9" t="s">
        <v>18</v>
      </c>
      <c r="F2478" s="9">
        <v>137</v>
      </c>
      <c r="G2478" s="9">
        <v>278.3</v>
      </c>
      <c r="H2478" s="9" t="s">
        <v>25</v>
      </c>
      <c r="I2478" s="9">
        <v>23</v>
      </c>
      <c r="J2478" s="10">
        <v>141.30000000000001</v>
      </c>
      <c r="K2478" s="9" t="str">
        <f>TEXT(Sales_of_Jordan[[#This Row],[Sale_Date]],"mmm")</f>
        <v>Mar</v>
      </c>
    </row>
    <row r="2479" spans="1:11" x14ac:dyDescent="0.35">
      <c r="A2479" s="7" t="s">
        <v>2509</v>
      </c>
      <c r="B2479" s="8">
        <v>45261</v>
      </c>
      <c r="C2479" s="9" t="s">
        <v>16</v>
      </c>
      <c r="D2479" s="9" t="s">
        <v>12</v>
      </c>
      <c r="E2479" s="9" t="s">
        <v>18</v>
      </c>
      <c r="F2479" s="9">
        <v>170</v>
      </c>
      <c r="G2479" s="9">
        <v>471.85</v>
      </c>
      <c r="H2479" s="9" t="s">
        <v>32</v>
      </c>
      <c r="I2479" s="9">
        <v>13</v>
      </c>
      <c r="J2479" s="10">
        <v>301.85000000000002</v>
      </c>
      <c r="K2479" s="9" t="str">
        <f>TEXT(Sales_of_Jordan[[#This Row],[Sale_Date]],"mmm")</f>
        <v>Dec</v>
      </c>
    </row>
    <row r="2480" spans="1:11" x14ac:dyDescent="0.35">
      <c r="A2480" s="7" t="s">
        <v>2510</v>
      </c>
      <c r="B2480" s="8">
        <v>45828</v>
      </c>
      <c r="C2480" s="9" t="s">
        <v>21</v>
      </c>
      <c r="D2480" s="9" t="s">
        <v>55</v>
      </c>
      <c r="E2480" s="9" t="s">
        <v>18</v>
      </c>
      <c r="F2480" s="9">
        <v>221</v>
      </c>
      <c r="G2480" s="9">
        <v>500.96</v>
      </c>
      <c r="H2480" s="9" t="s">
        <v>32</v>
      </c>
      <c r="I2480" s="9">
        <v>45</v>
      </c>
      <c r="J2480" s="10">
        <v>279.95999999999998</v>
      </c>
      <c r="K2480" s="9" t="str">
        <f>TEXT(Sales_of_Jordan[[#This Row],[Sale_Date]],"mmm")</f>
        <v>Jun</v>
      </c>
    </row>
    <row r="2481" spans="1:11" x14ac:dyDescent="0.35">
      <c r="A2481" s="7" t="s">
        <v>2511</v>
      </c>
      <c r="B2481" s="8">
        <v>45424</v>
      </c>
      <c r="C2481" s="9" t="s">
        <v>11</v>
      </c>
      <c r="D2481" s="9" t="s">
        <v>55</v>
      </c>
      <c r="E2481" s="9" t="s">
        <v>18</v>
      </c>
      <c r="F2481" s="9">
        <v>229</v>
      </c>
      <c r="G2481" s="9">
        <v>351.91</v>
      </c>
      <c r="H2481" s="9" t="s">
        <v>32</v>
      </c>
      <c r="I2481" s="9">
        <v>30</v>
      </c>
      <c r="J2481" s="10">
        <v>122.91</v>
      </c>
      <c r="K2481" s="9" t="str">
        <f>TEXT(Sales_of_Jordan[[#This Row],[Sale_Date]],"mmm")</f>
        <v>May</v>
      </c>
    </row>
    <row r="2482" spans="1:11" x14ac:dyDescent="0.35">
      <c r="A2482" s="7" t="s">
        <v>2512</v>
      </c>
      <c r="B2482" s="8">
        <v>45895</v>
      </c>
      <c r="C2482" s="9" t="s">
        <v>16</v>
      </c>
      <c r="D2482" s="9" t="s">
        <v>17</v>
      </c>
      <c r="E2482" s="9" t="s">
        <v>13</v>
      </c>
      <c r="F2482" s="9">
        <v>188</v>
      </c>
      <c r="G2482" s="9">
        <v>160.05000000000001</v>
      </c>
      <c r="H2482" s="9" t="s">
        <v>23</v>
      </c>
      <c r="I2482" s="9">
        <v>27</v>
      </c>
      <c r="J2482" s="10">
        <v>-27.9499999999999</v>
      </c>
      <c r="K2482" s="9" t="str">
        <f>TEXT(Sales_of_Jordan[[#This Row],[Sale_Date]],"mmm")</f>
        <v>Aug</v>
      </c>
    </row>
    <row r="2483" spans="1:11" x14ac:dyDescent="0.35">
      <c r="A2483" s="7" t="s">
        <v>2513</v>
      </c>
      <c r="B2483" s="8">
        <v>44999</v>
      </c>
      <c r="C2483" s="9" t="s">
        <v>27</v>
      </c>
      <c r="D2483" s="9" t="s">
        <v>12</v>
      </c>
      <c r="E2483" s="9" t="s">
        <v>13</v>
      </c>
      <c r="F2483" s="9">
        <v>124</v>
      </c>
      <c r="G2483" s="9">
        <v>106.22</v>
      </c>
      <c r="H2483" s="9" t="s">
        <v>19</v>
      </c>
      <c r="I2483" s="9">
        <v>12</v>
      </c>
      <c r="J2483" s="10">
        <v>-17.78</v>
      </c>
      <c r="K2483" s="9" t="str">
        <f>TEXT(Sales_of_Jordan[[#This Row],[Sale_Date]],"mmm")</f>
        <v>Mar</v>
      </c>
    </row>
    <row r="2484" spans="1:11" x14ac:dyDescent="0.35">
      <c r="A2484" s="7" t="s">
        <v>2514</v>
      </c>
      <c r="B2484" s="8">
        <v>45409</v>
      </c>
      <c r="C2484" s="9" t="s">
        <v>11</v>
      </c>
      <c r="D2484" s="9" t="s">
        <v>53</v>
      </c>
      <c r="E2484" s="9" t="s">
        <v>29</v>
      </c>
      <c r="F2484" s="9">
        <v>227</v>
      </c>
      <c r="G2484" s="9">
        <v>297.92</v>
      </c>
      <c r="H2484" s="9" t="s">
        <v>25</v>
      </c>
      <c r="I2484" s="9">
        <v>57</v>
      </c>
      <c r="J2484" s="10">
        <v>70.92</v>
      </c>
      <c r="K2484" s="9" t="str">
        <f>TEXT(Sales_of_Jordan[[#This Row],[Sale_Date]],"mmm")</f>
        <v>Apr</v>
      </c>
    </row>
    <row r="2485" spans="1:11" x14ac:dyDescent="0.35">
      <c r="A2485" s="7" t="s">
        <v>2515</v>
      </c>
      <c r="B2485" s="8">
        <v>45350</v>
      </c>
      <c r="C2485" s="9" t="s">
        <v>31</v>
      </c>
      <c r="D2485" s="9" t="s">
        <v>53</v>
      </c>
      <c r="E2485" s="9" t="s">
        <v>13</v>
      </c>
      <c r="F2485" s="9">
        <v>208</v>
      </c>
      <c r="G2485" s="9">
        <v>105.43</v>
      </c>
      <c r="H2485" s="9" t="s">
        <v>14</v>
      </c>
      <c r="I2485" s="9">
        <v>1</v>
      </c>
      <c r="J2485" s="10">
        <v>-102.57</v>
      </c>
      <c r="K2485" s="9" t="str">
        <f>TEXT(Sales_of_Jordan[[#This Row],[Sale_Date]],"mmm")</f>
        <v>Feb</v>
      </c>
    </row>
    <row r="2486" spans="1:11" x14ac:dyDescent="0.35">
      <c r="A2486" s="7" t="s">
        <v>2516</v>
      </c>
      <c r="B2486" s="8">
        <v>45893</v>
      </c>
      <c r="C2486" s="9" t="s">
        <v>21</v>
      </c>
      <c r="D2486" s="9" t="s">
        <v>12</v>
      </c>
      <c r="E2486" s="9" t="s">
        <v>13</v>
      </c>
      <c r="F2486" s="9">
        <v>212</v>
      </c>
      <c r="G2486" s="9">
        <v>144.79</v>
      </c>
      <c r="H2486" s="9" t="s">
        <v>32</v>
      </c>
      <c r="I2486" s="9">
        <v>27</v>
      </c>
      <c r="J2486" s="10">
        <v>-67.209999999999994</v>
      </c>
      <c r="K2486" s="9" t="str">
        <f>TEXT(Sales_of_Jordan[[#This Row],[Sale_Date]],"mmm")</f>
        <v>Aug</v>
      </c>
    </row>
    <row r="2487" spans="1:11" x14ac:dyDescent="0.35">
      <c r="A2487" s="7" t="s">
        <v>2517</v>
      </c>
      <c r="B2487" s="8">
        <v>45743</v>
      </c>
      <c r="C2487" s="9" t="s">
        <v>11</v>
      </c>
      <c r="D2487" s="9" t="s">
        <v>55</v>
      </c>
      <c r="E2487" s="9" t="s">
        <v>18</v>
      </c>
      <c r="F2487" s="9">
        <v>228</v>
      </c>
      <c r="G2487" s="9">
        <v>532.98</v>
      </c>
      <c r="H2487" s="9" t="s">
        <v>19</v>
      </c>
      <c r="I2487" s="9">
        <v>4</v>
      </c>
      <c r="J2487" s="10">
        <v>304.98</v>
      </c>
      <c r="K2487" s="9" t="str">
        <f>TEXT(Sales_of_Jordan[[#This Row],[Sale_Date]],"mmm")</f>
        <v>Mar</v>
      </c>
    </row>
    <row r="2488" spans="1:11" x14ac:dyDescent="0.35">
      <c r="A2488" s="7" t="s">
        <v>2518</v>
      </c>
      <c r="B2488" s="8">
        <v>44931</v>
      </c>
      <c r="C2488" s="9" t="s">
        <v>27</v>
      </c>
      <c r="D2488" s="9" t="s">
        <v>36</v>
      </c>
      <c r="E2488" s="9" t="s">
        <v>13</v>
      </c>
      <c r="F2488" s="9">
        <v>127</v>
      </c>
      <c r="G2488" s="9">
        <v>90.57</v>
      </c>
      <c r="H2488" s="9" t="s">
        <v>19</v>
      </c>
      <c r="I2488" s="9">
        <v>1</v>
      </c>
      <c r="J2488" s="10">
        <v>-36.43</v>
      </c>
      <c r="K2488" s="9" t="str">
        <f>TEXT(Sales_of_Jordan[[#This Row],[Sale_Date]],"mmm")</f>
        <v>Jan</v>
      </c>
    </row>
    <row r="2489" spans="1:11" x14ac:dyDescent="0.35">
      <c r="A2489" s="7" t="s">
        <v>2519</v>
      </c>
      <c r="B2489" s="8">
        <v>45638</v>
      </c>
      <c r="C2489" s="9" t="s">
        <v>21</v>
      </c>
      <c r="D2489" s="9" t="s">
        <v>39</v>
      </c>
      <c r="E2489" s="9" t="s">
        <v>18</v>
      </c>
      <c r="F2489" s="9">
        <v>215</v>
      </c>
      <c r="G2489" s="9">
        <v>421.04</v>
      </c>
      <c r="H2489" s="9" t="s">
        <v>19</v>
      </c>
      <c r="I2489" s="9">
        <v>12</v>
      </c>
      <c r="J2489" s="10">
        <v>206.04</v>
      </c>
      <c r="K2489" s="9" t="str">
        <f>TEXT(Sales_of_Jordan[[#This Row],[Sale_Date]],"mmm")</f>
        <v>Dec</v>
      </c>
    </row>
    <row r="2490" spans="1:11" x14ac:dyDescent="0.35">
      <c r="A2490" s="7" t="s">
        <v>2520</v>
      </c>
      <c r="B2490" s="8">
        <v>45312</v>
      </c>
      <c r="C2490" s="9" t="s">
        <v>11</v>
      </c>
      <c r="D2490" s="9" t="s">
        <v>22</v>
      </c>
      <c r="E2490" s="9" t="s">
        <v>18</v>
      </c>
      <c r="F2490" s="9">
        <v>227</v>
      </c>
      <c r="G2490" s="9">
        <v>454.52</v>
      </c>
      <c r="H2490" s="9" t="s">
        <v>25</v>
      </c>
      <c r="I2490" s="9">
        <v>36</v>
      </c>
      <c r="J2490" s="10">
        <v>227.51999999999899</v>
      </c>
      <c r="K2490" s="9" t="str">
        <f>TEXT(Sales_of_Jordan[[#This Row],[Sale_Date]],"mmm")</f>
        <v>Jan</v>
      </c>
    </row>
    <row r="2491" spans="1:11" x14ac:dyDescent="0.35">
      <c r="A2491" s="7" t="s">
        <v>2521</v>
      </c>
      <c r="B2491" s="8">
        <v>45368</v>
      </c>
      <c r="C2491" s="9" t="s">
        <v>21</v>
      </c>
      <c r="D2491" s="9" t="s">
        <v>34</v>
      </c>
      <c r="E2491" s="9" t="s">
        <v>29</v>
      </c>
      <c r="F2491" s="9">
        <v>219</v>
      </c>
      <c r="G2491" s="9">
        <v>243.05</v>
      </c>
      <c r="H2491" s="9" t="s">
        <v>25</v>
      </c>
      <c r="I2491" s="9">
        <v>55</v>
      </c>
      <c r="J2491" s="10">
        <v>24.05</v>
      </c>
      <c r="K2491" s="9" t="str">
        <f>TEXT(Sales_of_Jordan[[#This Row],[Sale_Date]],"mmm")</f>
        <v>Mar</v>
      </c>
    </row>
    <row r="2492" spans="1:11" x14ac:dyDescent="0.35">
      <c r="A2492" s="7" t="s">
        <v>2522</v>
      </c>
      <c r="B2492" s="8">
        <v>45866</v>
      </c>
      <c r="C2492" s="9" t="s">
        <v>16</v>
      </c>
      <c r="D2492" s="9" t="s">
        <v>55</v>
      </c>
      <c r="E2492" s="9" t="s">
        <v>13</v>
      </c>
      <c r="F2492" s="9">
        <v>189</v>
      </c>
      <c r="G2492" s="9">
        <v>165.99</v>
      </c>
      <c r="H2492" s="9" t="s">
        <v>32</v>
      </c>
      <c r="I2492" s="9">
        <v>22</v>
      </c>
      <c r="J2492" s="10">
        <v>-23.009999999999899</v>
      </c>
      <c r="K2492" s="9" t="str">
        <f>TEXT(Sales_of_Jordan[[#This Row],[Sale_Date]],"mmm")</f>
        <v>Jul</v>
      </c>
    </row>
    <row r="2493" spans="1:11" x14ac:dyDescent="0.35">
      <c r="A2493" s="7" t="s">
        <v>2523</v>
      </c>
      <c r="B2493" s="8">
        <v>45764</v>
      </c>
      <c r="C2493" s="9" t="s">
        <v>16</v>
      </c>
      <c r="D2493" s="9" t="s">
        <v>39</v>
      </c>
      <c r="E2493" s="9" t="s">
        <v>29</v>
      </c>
      <c r="F2493" s="9">
        <v>190</v>
      </c>
      <c r="G2493" s="9">
        <v>182.88</v>
      </c>
      <c r="H2493" s="9" t="s">
        <v>19</v>
      </c>
      <c r="I2493" s="9">
        <v>11</v>
      </c>
      <c r="J2493" s="10">
        <v>-7.12</v>
      </c>
      <c r="K2493" s="9" t="str">
        <f>TEXT(Sales_of_Jordan[[#This Row],[Sale_Date]],"mmm")</f>
        <v>Apr</v>
      </c>
    </row>
    <row r="2494" spans="1:11" x14ac:dyDescent="0.35">
      <c r="A2494" s="7" t="s">
        <v>2524</v>
      </c>
      <c r="B2494" s="8">
        <v>45681</v>
      </c>
      <c r="C2494" s="9" t="s">
        <v>11</v>
      </c>
      <c r="D2494" s="9" t="s">
        <v>53</v>
      </c>
      <c r="E2494" s="9" t="s">
        <v>29</v>
      </c>
      <c r="F2494" s="9">
        <v>227</v>
      </c>
      <c r="G2494" s="9">
        <v>216.49</v>
      </c>
      <c r="H2494" s="9" t="s">
        <v>32</v>
      </c>
      <c r="I2494" s="9">
        <v>16</v>
      </c>
      <c r="J2494" s="10">
        <v>-10.5099999999999</v>
      </c>
      <c r="K2494" s="9" t="str">
        <f>TEXT(Sales_of_Jordan[[#This Row],[Sale_Date]],"mmm")</f>
        <v>Jan</v>
      </c>
    </row>
    <row r="2495" spans="1:11" x14ac:dyDescent="0.35">
      <c r="A2495" s="7" t="s">
        <v>2525</v>
      </c>
      <c r="B2495" s="8">
        <v>45068</v>
      </c>
      <c r="C2495" s="9" t="s">
        <v>21</v>
      </c>
      <c r="D2495" s="9" t="s">
        <v>55</v>
      </c>
      <c r="E2495" s="9" t="s">
        <v>18</v>
      </c>
      <c r="F2495" s="9">
        <v>219</v>
      </c>
      <c r="G2495" s="9">
        <v>765.88</v>
      </c>
      <c r="H2495" s="9" t="s">
        <v>32</v>
      </c>
      <c r="I2495" s="9">
        <v>58</v>
      </c>
      <c r="J2495" s="10">
        <v>546.88</v>
      </c>
      <c r="K2495" s="9" t="str">
        <f>TEXT(Sales_of_Jordan[[#This Row],[Sale_Date]],"mmm")</f>
        <v>May</v>
      </c>
    </row>
    <row r="2496" spans="1:11" x14ac:dyDescent="0.35">
      <c r="A2496" s="7" t="s">
        <v>2526</v>
      </c>
      <c r="B2496" s="8">
        <v>45836</v>
      </c>
      <c r="C2496" s="9" t="s">
        <v>16</v>
      </c>
      <c r="D2496" s="9" t="s">
        <v>22</v>
      </c>
      <c r="E2496" s="9" t="s">
        <v>18</v>
      </c>
      <c r="F2496" s="9">
        <v>172</v>
      </c>
      <c r="G2496" s="9">
        <v>380.22</v>
      </c>
      <c r="H2496" s="9" t="s">
        <v>25</v>
      </c>
      <c r="I2496" s="9">
        <v>24</v>
      </c>
      <c r="J2496" s="10">
        <v>208.22</v>
      </c>
      <c r="K2496" s="9" t="str">
        <f>TEXT(Sales_of_Jordan[[#This Row],[Sale_Date]],"mmm")</f>
        <v>Jun</v>
      </c>
    </row>
    <row r="2497" spans="1:11" x14ac:dyDescent="0.35">
      <c r="A2497" s="7" t="s">
        <v>2527</v>
      </c>
      <c r="B2497" s="8">
        <v>45810</v>
      </c>
      <c r="C2497" s="9" t="s">
        <v>21</v>
      </c>
      <c r="D2497" s="9" t="s">
        <v>46</v>
      </c>
      <c r="E2497" s="9" t="s">
        <v>29</v>
      </c>
      <c r="F2497" s="9">
        <v>218</v>
      </c>
      <c r="G2497" s="9">
        <v>325.29000000000002</v>
      </c>
      <c r="H2497" s="9" t="s">
        <v>14</v>
      </c>
      <c r="I2497" s="9">
        <v>2</v>
      </c>
      <c r="J2497" s="10">
        <v>107.29</v>
      </c>
      <c r="K2497" s="9" t="str">
        <f>TEXT(Sales_of_Jordan[[#This Row],[Sale_Date]],"mmm")</f>
        <v>Jun</v>
      </c>
    </row>
    <row r="2498" spans="1:11" x14ac:dyDescent="0.35">
      <c r="A2498" s="7" t="s">
        <v>2528</v>
      </c>
      <c r="B2498" s="8">
        <v>45763</v>
      </c>
      <c r="C2498" s="9" t="s">
        <v>21</v>
      </c>
      <c r="D2498" s="9" t="s">
        <v>22</v>
      </c>
      <c r="E2498" s="9" t="s">
        <v>13</v>
      </c>
      <c r="F2498" s="9">
        <v>221</v>
      </c>
      <c r="G2498" s="9">
        <v>174.52</v>
      </c>
      <c r="H2498" s="9" t="s">
        <v>23</v>
      </c>
      <c r="I2498" s="9">
        <v>41</v>
      </c>
      <c r="J2498" s="10">
        <v>-46.479999999999897</v>
      </c>
      <c r="K2498" s="9" t="str">
        <f>TEXT(Sales_of_Jordan[[#This Row],[Sale_Date]],"mmm")</f>
        <v>Apr</v>
      </c>
    </row>
    <row r="2499" spans="1:11" x14ac:dyDescent="0.35">
      <c r="A2499" s="7" t="s">
        <v>2529</v>
      </c>
      <c r="B2499" s="8">
        <v>45781</v>
      </c>
      <c r="C2499" s="9" t="s">
        <v>31</v>
      </c>
      <c r="D2499" s="9" t="s">
        <v>39</v>
      </c>
      <c r="E2499" s="9" t="s">
        <v>13</v>
      </c>
      <c r="F2499" s="9">
        <v>210</v>
      </c>
      <c r="G2499" s="9">
        <v>175.09</v>
      </c>
      <c r="H2499" s="9" t="s">
        <v>23</v>
      </c>
      <c r="I2499" s="9">
        <v>29</v>
      </c>
      <c r="J2499" s="10">
        <v>-34.909999999999997</v>
      </c>
      <c r="K2499" s="9" t="str">
        <f>TEXT(Sales_of_Jordan[[#This Row],[Sale_Date]],"mmm")</f>
        <v>May</v>
      </c>
    </row>
    <row r="2500" spans="1:11" x14ac:dyDescent="0.35">
      <c r="A2500" s="7" t="s">
        <v>2530</v>
      </c>
      <c r="B2500" s="8">
        <v>45672</v>
      </c>
      <c r="C2500" s="9" t="s">
        <v>21</v>
      </c>
      <c r="D2500" s="9" t="s">
        <v>36</v>
      </c>
      <c r="E2500" s="9" t="s">
        <v>29</v>
      </c>
      <c r="F2500" s="9">
        <v>215</v>
      </c>
      <c r="G2500" s="9">
        <v>299.98</v>
      </c>
      <c r="H2500" s="9" t="s">
        <v>32</v>
      </c>
      <c r="I2500" s="9">
        <v>35</v>
      </c>
      <c r="J2500" s="10">
        <v>84.98</v>
      </c>
      <c r="K2500" s="9" t="str">
        <f>TEXT(Sales_of_Jordan[[#This Row],[Sale_Date]],"mmm")</f>
        <v>Jan</v>
      </c>
    </row>
    <row r="2501" spans="1:11" x14ac:dyDescent="0.35">
      <c r="A2501" s="7" t="s">
        <v>2531</v>
      </c>
      <c r="B2501" s="8">
        <v>45660</v>
      </c>
      <c r="C2501" s="9" t="s">
        <v>27</v>
      </c>
      <c r="D2501" s="9" t="s">
        <v>22</v>
      </c>
      <c r="E2501" s="9" t="s">
        <v>18</v>
      </c>
      <c r="F2501" s="9">
        <v>110</v>
      </c>
      <c r="G2501" s="9">
        <v>173.23</v>
      </c>
      <c r="H2501" s="9" t="s">
        <v>32</v>
      </c>
      <c r="I2501" s="9">
        <v>35</v>
      </c>
      <c r="J2501" s="10">
        <v>63.229999999999897</v>
      </c>
      <c r="K2501" s="9" t="str">
        <f>TEXT(Sales_of_Jordan[[#This Row],[Sale_Date]],"mmm")</f>
        <v>Jan</v>
      </c>
    </row>
    <row r="2502" spans="1:11" x14ac:dyDescent="0.35">
      <c r="A2502" s="7" t="s">
        <v>2532</v>
      </c>
      <c r="B2502" s="8">
        <v>45520</v>
      </c>
      <c r="C2502" s="9" t="s">
        <v>21</v>
      </c>
      <c r="D2502" s="9" t="s">
        <v>22</v>
      </c>
      <c r="E2502" s="9" t="s">
        <v>29</v>
      </c>
      <c r="F2502" s="9">
        <v>216</v>
      </c>
      <c r="G2502" s="9">
        <v>303.25</v>
      </c>
      <c r="H2502" s="9" t="s">
        <v>14</v>
      </c>
      <c r="I2502" s="9">
        <v>5</v>
      </c>
      <c r="J2502" s="10">
        <v>87.25</v>
      </c>
      <c r="K2502" s="9" t="str">
        <f>TEXT(Sales_of_Jordan[[#This Row],[Sale_Date]],"mmm")</f>
        <v>Aug</v>
      </c>
    </row>
    <row r="2503" spans="1:11" x14ac:dyDescent="0.35">
      <c r="A2503" s="7" t="s">
        <v>2533</v>
      </c>
      <c r="B2503" s="8">
        <v>45488</v>
      </c>
      <c r="C2503" s="9" t="s">
        <v>27</v>
      </c>
      <c r="D2503" s="9" t="s">
        <v>12</v>
      </c>
      <c r="E2503" s="9" t="s">
        <v>18</v>
      </c>
      <c r="F2503" s="9">
        <v>138</v>
      </c>
      <c r="G2503" s="9">
        <v>419.22</v>
      </c>
      <c r="H2503" s="9" t="s">
        <v>14</v>
      </c>
      <c r="I2503" s="9">
        <v>12</v>
      </c>
      <c r="J2503" s="10">
        <v>281.22000000000003</v>
      </c>
      <c r="K2503" s="9" t="str">
        <f>TEXT(Sales_of_Jordan[[#This Row],[Sale_Date]],"mmm")</f>
        <v>Jul</v>
      </c>
    </row>
    <row r="2504" spans="1:11" x14ac:dyDescent="0.35">
      <c r="A2504" s="7" t="s">
        <v>2534</v>
      </c>
      <c r="B2504" s="8">
        <v>45264</v>
      </c>
      <c r="C2504" s="9" t="s">
        <v>27</v>
      </c>
      <c r="D2504" s="9" t="s">
        <v>17</v>
      </c>
      <c r="E2504" s="9" t="s">
        <v>18</v>
      </c>
      <c r="F2504" s="9">
        <v>126</v>
      </c>
      <c r="G2504" s="9">
        <v>303</v>
      </c>
      <c r="H2504" s="9" t="s">
        <v>14</v>
      </c>
      <c r="I2504" s="9">
        <v>8</v>
      </c>
      <c r="J2504" s="10">
        <v>177</v>
      </c>
      <c r="K2504" s="9" t="str">
        <f>TEXT(Sales_of_Jordan[[#This Row],[Sale_Date]],"mmm")</f>
        <v>Dec</v>
      </c>
    </row>
    <row r="2505" spans="1:11" x14ac:dyDescent="0.35">
      <c r="A2505" s="7" t="s">
        <v>2535</v>
      </c>
      <c r="B2505" s="8">
        <v>45749</v>
      </c>
      <c r="C2505" s="9" t="s">
        <v>27</v>
      </c>
      <c r="D2505" s="9" t="s">
        <v>12</v>
      </c>
      <c r="E2505" s="9" t="s">
        <v>29</v>
      </c>
      <c r="F2505" s="9">
        <v>129</v>
      </c>
      <c r="G2505" s="9">
        <v>131.35</v>
      </c>
      <c r="H2505" s="9" t="s">
        <v>32</v>
      </c>
      <c r="I2505" s="9">
        <v>37</v>
      </c>
      <c r="J2505" s="10">
        <v>2.3499999999999899</v>
      </c>
      <c r="K2505" s="9" t="str">
        <f>TEXT(Sales_of_Jordan[[#This Row],[Sale_Date]],"mmm")</f>
        <v>Apr</v>
      </c>
    </row>
    <row r="2506" spans="1:11" x14ac:dyDescent="0.35">
      <c r="A2506" s="7" t="s">
        <v>2536</v>
      </c>
      <c r="B2506" s="8">
        <v>45703</v>
      </c>
      <c r="C2506" s="9" t="s">
        <v>27</v>
      </c>
      <c r="D2506" s="9" t="s">
        <v>36</v>
      </c>
      <c r="E2506" s="9" t="s">
        <v>13</v>
      </c>
      <c r="F2506" s="9">
        <v>121</v>
      </c>
      <c r="G2506" s="9">
        <v>76.180000000000007</v>
      </c>
      <c r="H2506" s="9" t="s">
        <v>32</v>
      </c>
      <c r="I2506" s="9">
        <v>40</v>
      </c>
      <c r="J2506" s="10">
        <v>-44.819999999999901</v>
      </c>
      <c r="K2506" s="9" t="str">
        <f>TEXT(Sales_of_Jordan[[#This Row],[Sale_Date]],"mmm")</f>
        <v>Feb</v>
      </c>
    </row>
    <row r="2507" spans="1:11" x14ac:dyDescent="0.35">
      <c r="A2507" s="7" t="s">
        <v>2537</v>
      </c>
      <c r="B2507" s="8">
        <v>45013</v>
      </c>
      <c r="C2507" s="9" t="s">
        <v>11</v>
      </c>
      <c r="D2507" s="9" t="s">
        <v>36</v>
      </c>
      <c r="E2507" s="9" t="s">
        <v>29</v>
      </c>
      <c r="F2507" s="9">
        <v>229</v>
      </c>
      <c r="G2507" s="9">
        <v>288.37</v>
      </c>
      <c r="H2507" s="9" t="s">
        <v>14</v>
      </c>
      <c r="I2507" s="9">
        <v>10</v>
      </c>
      <c r="J2507" s="10">
        <v>59.37</v>
      </c>
      <c r="K2507" s="9" t="str">
        <f>TEXT(Sales_of_Jordan[[#This Row],[Sale_Date]],"mmm")</f>
        <v>Mar</v>
      </c>
    </row>
    <row r="2508" spans="1:11" x14ac:dyDescent="0.35">
      <c r="A2508" s="7" t="s">
        <v>2538</v>
      </c>
      <c r="B2508" s="8">
        <v>45821</v>
      </c>
      <c r="C2508" s="9" t="s">
        <v>27</v>
      </c>
      <c r="D2508" s="9" t="s">
        <v>34</v>
      </c>
      <c r="E2508" s="9" t="s">
        <v>18</v>
      </c>
      <c r="F2508" s="9">
        <v>125</v>
      </c>
      <c r="G2508" s="9">
        <v>166.91</v>
      </c>
      <c r="H2508" s="9" t="s">
        <v>23</v>
      </c>
      <c r="I2508" s="9">
        <v>33</v>
      </c>
      <c r="J2508" s="10">
        <v>41.91</v>
      </c>
      <c r="K2508" s="9" t="str">
        <f>TEXT(Sales_of_Jordan[[#This Row],[Sale_Date]],"mmm")</f>
        <v>Jun</v>
      </c>
    </row>
    <row r="2509" spans="1:11" x14ac:dyDescent="0.35">
      <c r="A2509" s="7" t="s">
        <v>2539</v>
      </c>
      <c r="B2509" s="8">
        <v>45369</v>
      </c>
      <c r="C2509" s="9" t="s">
        <v>31</v>
      </c>
      <c r="D2509" s="9" t="s">
        <v>22</v>
      </c>
      <c r="E2509" s="9" t="s">
        <v>18</v>
      </c>
      <c r="F2509" s="9">
        <v>206</v>
      </c>
      <c r="G2509" s="9">
        <v>526.62</v>
      </c>
      <c r="H2509" s="9" t="s">
        <v>14</v>
      </c>
      <c r="I2509" s="9">
        <v>1</v>
      </c>
      <c r="J2509" s="10">
        <v>320.62</v>
      </c>
      <c r="K2509" s="9" t="str">
        <f>TEXT(Sales_of_Jordan[[#This Row],[Sale_Date]],"mmm")</f>
        <v>Mar</v>
      </c>
    </row>
    <row r="2510" spans="1:11" x14ac:dyDescent="0.35">
      <c r="A2510" s="7" t="s">
        <v>2540</v>
      </c>
      <c r="B2510" s="8">
        <v>44997</v>
      </c>
      <c r="C2510" s="9" t="s">
        <v>21</v>
      </c>
      <c r="D2510" s="9" t="s">
        <v>39</v>
      </c>
      <c r="E2510" s="9" t="s">
        <v>18</v>
      </c>
      <c r="F2510" s="9">
        <v>211</v>
      </c>
      <c r="G2510" s="9">
        <v>383.55</v>
      </c>
      <c r="H2510" s="9" t="s">
        <v>23</v>
      </c>
      <c r="I2510" s="9">
        <v>42</v>
      </c>
      <c r="J2510" s="10">
        <v>172.55</v>
      </c>
      <c r="K2510" s="9" t="str">
        <f>TEXT(Sales_of_Jordan[[#This Row],[Sale_Date]],"mmm")</f>
        <v>Mar</v>
      </c>
    </row>
    <row r="2511" spans="1:11" x14ac:dyDescent="0.35">
      <c r="A2511" s="7" t="s">
        <v>2541</v>
      </c>
      <c r="B2511" s="8">
        <v>45615</v>
      </c>
      <c r="C2511" s="9" t="s">
        <v>31</v>
      </c>
      <c r="D2511" s="9" t="s">
        <v>55</v>
      </c>
      <c r="E2511" s="9" t="s">
        <v>29</v>
      </c>
      <c r="F2511" s="9">
        <v>208</v>
      </c>
      <c r="G2511" s="9">
        <v>269.95999999999998</v>
      </c>
      <c r="H2511" s="9" t="s">
        <v>25</v>
      </c>
      <c r="I2511" s="9">
        <v>8</v>
      </c>
      <c r="J2511" s="10">
        <v>61.959999999999901</v>
      </c>
      <c r="K2511" s="9" t="str">
        <f>TEXT(Sales_of_Jordan[[#This Row],[Sale_Date]],"mmm")</f>
        <v>Nov</v>
      </c>
    </row>
    <row r="2512" spans="1:11" x14ac:dyDescent="0.35">
      <c r="A2512" s="7" t="s">
        <v>2542</v>
      </c>
      <c r="B2512" s="8">
        <v>44951</v>
      </c>
      <c r="C2512" s="9" t="s">
        <v>27</v>
      </c>
      <c r="D2512" s="9" t="s">
        <v>36</v>
      </c>
      <c r="E2512" s="9" t="s">
        <v>18</v>
      </c>
      <c r="F2512" s="9">
        <v>114</v>
      </c>
      <c r="G2512" s="9">
        <v>390.6</v>
      </c>
      <c r="H2512" s="9" t="s">
        <v>25</v>
      </c>
      <c r="I2512" s="9">
        <v>46</v>
      </c>
      <c r="J2512" s="10">
        <v>276.60000000000002</v>
      </c>
      <c r="K2512" s="9" t="str">
        <f>TEXT(Sales_of_Jordan[[#This Row],[Sale_Date]],"mmm")</f>
        <v>Jan</v>
      </c>
    </row>
    <row r="2513" spans="1:11" x14ac:dyDescent="0.35">
      <c r="A2513" s="7" t="s">
        <v>2543</v>
      </c>
      <c r="B2513" s="8">
        <v>45411</v>
      </c>
      <c r="C2513" s="9" t="s">
        <v>21</v>
      </c>
      <c r="D2513" s="9" t="s">
        <v>17</v>
      </c>
      <c r="E2513" s="9" t="s">
        <v>13</v>
      </c>
      <c r="F2513" s="9">
        <v>221</v>
      </c>
      <c r="G2513" s="9">
        <v>135.86000000000001</v>
      </c>
      <c r="H2513" s="9" t="s">
        <v>19</v>
      </c>
      <c r="I2513" s="9">
        <v>1</v>
      </c>
      <c r="J2513" s="10">
        <v>-85.139999999999901</v>
      </c>
      <c r="K2513" s="9" t="str">
        <f>TEXT(Sales_of_Jordan[[#This Row],[Sale_Date]],"mmm")</f>
        <v>Apr</v>
      </c>
    </row>
    <row r="2514" spans="1:11" x14ac:dyDescent="0.35">
      <c r="A2514" s="7" t="s">
        <v>2544</v>
      </c>
      <c r="B2514" s="8">
        <v>45738</v>
      </c>
      <c r="C2514" s="9" t="s">
        <v>11</v>
      </c>
      <c r="D2514" s="9" t="s">
        <v>39</v>
      </c>
      <c r="E2514" s="9" t="s">
        <v>29</v>
      </c>
      <c r="F2514" s="9">
        <v>230</v>
      </c>
      <c r="G2514" s="9">
        <v>250.97</v>
      </c>
      <c r="H2514" s="9" t="s">
        <v>14</v>
      </c>
      <c r="I2514" s="9">
        <v>13</v>
      </c>
      <c r="J2514" s="10">
        <v>20.97</v>
      </c>
      <c r="K2514" s="9" t="str">
        <f>TEXT(Sales_of_Jordan[[#This Row],[Sale_Date]],"mmm")</f>
        <v>Mar</v>
      </c>
    </row>
    <row r="2515" spans="1:11" x14ac:dyDescent="0.35">
      <c r="A2515" s="7" t="s">
        <v>2545</v>
      </c>
      <c r="B2515" s="8">
        <v>45910</v>
      </c>
      <c r="C2515" s="9" t="s">
        <v>16</v>
      </c>
      <c r="D2515" s="9" t="s">
        <v>55</v>
      </c>
      <c r="E2515" s="9" t="s">
        <v>29</v>
      </c>
      <c r="F2515" s="9">
        <v>173</v>
      </c>
      <c r="G2515" s="9">
        <v>170.26</v>
      </c>
      <c r="H2515" s="9" t="s">
        <v>23</v>
      </c>
      <c r="I2515" s="9">
        <v>21</v>
      </c>
      <c r="J2515" s="10">
        <v>-2.74</v>
      </c>
      <c r="K2515" s="9" t="str">
        <f>TEXT(Sales_of_Jordan[[#This Row],[Sale_Date]],"mmm")</f>
        <v>Sep</v>
      </c>
    </row>
    <row r="2516" spans="1:11" x14ac:dyDescent="0.35">
      <c r="A2516" s="7" t="s">
        <v>2546</v>
      </c>
      <c r="B2516" s="8">
        <v>44983</v>
      </c>
      <c r="C2516" s="9" t="s">
        <v>16</v>
      </c>
      <c r="D2516" s="9" t="s">
        <v>46</v>
      </c>
      <c r="E2516" s="9" t="s">
        <v>18</v>
      </c>
      <c r="F2516" s="9">
        <v>189</v>
      </c>
      <c r="G2516" s="9">
        <v>256.66000000000003</v>
      </c>
      <c r="H2516" s="9" t="s">
        <v>19</v>
      </c>
      <c r="I2516" s="9">
        <v>6</v>
      </c>
      <c r="J2516" s="10">
        <v>67.66</v>
      </c>
      <c r="K2516" s="9" t="str">
        <f>TEXT(Sales_of_Jordan[[#This Row],[Sale_Date]],"mmm")</f>
        <v>Feb</v>
      </c>
    </row>
    <row r="2517" spans="1:11" x14ac:dyDescent="0.35">
      <c r="A2517" s="7" t="s">
        <v>2547</v>
      </c>
      <c r="B2517" s="8">
        <v>45650</v>
      </c>
      <c r="C2517" s="9" t="s">
        <v>11</v>
      </c>
      <c r="D2517" s="9" t="s">
        <v>22</v>
      </c>
      <c r="E2517" s="9" t="s">
        <v>13</v>
      </c>
      <c r="F2517" s="9">
        <v>225</v>
      </c>
      <c r="G2517" s="9">
        <v>200.31</v>
      </c>
      <c r="H2517" s="9" t="s">
        <v>25</v>
      </c>
      <c r="I2517" s="9">
        <v>27</v>
      </c>
      <c r="J2517" s="10">
        <v>-24.689999999999898</v>
      </c>
      <c r="K2517" s="9" t="str">
        <f>TEXT(Sales_of_Jordan[[#This Row],[Sale_Date]],"mmm")</f>
        <v>Dec</v>
      </c>
    </row>
    <row r="2518" spans="1:11" x14ac:dyDescent="0.35">
      <c r="A2518" s="7" t="s">
        <v>2548</v>
      </c>
      <c r="B2518" s="8">
        <v>45687</v>
      </c>
      <c r="C2518" s="9" t="s">
        <v>16</v>
      </c>
      <c r="D2518" s="9" t="s">
        <v>12</v>
      </c>
      <c r="E2518" s="9" t="s">
        <v>29</v>
      </c>
      <c r="F2518" s="9">
        <v>175</v>
      </c>
      <c r="G2518" s="9">
        <v>251.25</v>
      </c>
      <c r="H2518" s="9" t="s">
        <v>23</v>
      </c>
      <c r="I2518" s="9">
        <v>7</v>
      </c>
      <c r="J2518" s="10">
        <v>76.25</v>
      </c>
      <c r="K2518" s="9" t="str">
        <f>TEXT(Sales_of_Jordan[[#This Row],[Sale_Date]],"mmm")</f>
        <v>Jan</v>
      </c>
    </row>
    <row r="2519" spans="1:11" x14ac:dyDescent="0.35">
      <c r="A2519" s="7" t="s">
        <v>2549</v>
      </c>
      <c r="B2519" s="8">
        <v>45609</v>
      </c>
      <c r="C2519" s="9" t="s">
        <v>11</v>
      </c>
      <c r="D2519" s="9" t="s">
        <v>39</v>
      </c>
      <c r="E2519" s="9" t="s">
        <v>29</v>
      </c>
      <c r="F2519" s="9">
        <v>225</v>
      </c>
      <c r="G2519" s="9">
        <v>312.36</v>
      </c>
      <c r="H2519" s="9" t="s">
        <v>19</v>
      </c>
      <c r="I2519" s="9">
        <v>3</v>
      </c>
      <c r="J2519" s="10">
        <v>87.36</v>
      </c>
      <c r="K2519" s="9" t="str">
        <f>TEXT(Sales_of_Jordan[[#This Row],[Sale_Date]],"mmm")</f>
        <v>Nov</v>
      </c>
    </row>
    <row r="2520" spans="1:11" x14ac:dyDescent="0.35">
      <c r="A2520" s="7" t="s">
        <v>2550</v>
      </c>
      <c r="B2520" s="8">
        <v>45603</v>
      </c>
      <c r="C2520" s="9" t="s">
        <v>21</v>
      </c>
      <c r="D2520" s="9" t="s">
        <v>17</v>
      </c>
      <c r="E2520" s="9" t="s">
        <v>18</v>
      </c>
      <c r="F2520" s="9">
        <v>214</v>
      </c>
      <c r="G2520" s="9">
        <v>550.37</v>
      </c>
      <c r="H2520" s="9" t="s">
        <v>25</v>
      </c>
      <c r="I2520" s="9">
        <v>20</v>
      </c>
      <c r="J2520" s="10">
        <v>336.37</v>
      </c>
      <c r="K2520" s="9" t="str">
        <f>TEXT(Sales_of_Jordan[[#This Row],[Sale_Date]],"mmm")</f>
        <v>Nov</v>
      </c>
    </row>
    <row r="2521" spans="1:11" x14ac:dyDescent="0.35">
      <c r="A2521" s="7" t="s">
        <v>2551</v>
      </c>
      <c r="B2521" s="8">
        <v>45571</v>
      </c>
      <c r="C2521" s="9" t="s">
        <v>27</v>
      </c>
      <c r="D2521" s="9" t="s">
        <v>39</v>
      </c>
      <c r="E2521" s="9" t="s">
        <v>13</v>
      </c>
      <c r="F2521" s="9">
        <v>137</v>
      </c>
      <c r="G2521" s="9">
        <v>106.62</v>
      </c>
      <c r="H2521" s="9" t="s">
        <v>14</v>
      </c>
      <c r="I2521" s="9">
        <v>12</v>
      </c>
      <c r="J2521" s="10">
        <v>-30.3799999999999</v>
      </c>
      <c r="K2521" s="9" t="str">
        <f>TEXT(Sales_of_Jordan[[#This Row],[Sale_Date]],"mmm")</f>
        <v>Oct</v>
      </c>
    </row>
    <row r="2522" spans="1:11" x14ac:dyDescent="0.35">
      <c r="A2522" s="7" t="s">
        <v>2552</v>
      </c>
      <c r="B2522" s="8">
        <v>45182</v>
      </c>
      <c r="C2522" s="9" t="s">
        <v>31</v>
      </c>
      <c r="D2522" s="9" t="s">
        <v>12</v>
      </c>
      <c r="E2522" s="9" t="s">
        <v>13</v>
      </c>
      <c r="F2522" s="9">
        <v>200</v>
      </c>
      <c r="G2522" s="9">
        <v>171.59</v>
      </c>
      <c r="H2522" s="9" t="s">
        <v>25</v>
      </c>
      <c r="I2522" s="9">
        <v>39</v>
      </c>
      <c r="J2522" s="10">
        <v>-28.409999999999901</v>
      </c>
      <c r="K2522" s="9" t="str">
        <f>TEXT(Sales_of_Jordan[[#This Row],[Sale_Date]],"mmm")</f>
        <v>Sep</v>
      </c>
    </row>
    <row r="2523" spans="1:11" x14ac:dyDescent="0.35">
      <c r="A2523" s="7" t="s">
        <v>2553</v>
      </c>
      <c r="B2523" s="8">
        <v>45515</v>
      </c>
      <c r="C2523" s="9" t="s">
        <v>16</v>
      </c>
      <c r="D2523" s="9" t="s">
        <v>22</v>
      </c>
      <c r="E2523" s="9" t="s">
        <v>18</v>
      </c>
      <c r="F2523" s="9">
        <v>180</v>
      </c>
      <c r="G2523" s="9">
        <v>259.97000000000003</v>
      </c>
      <c r="H2523" s="9" t="s">
        <v>32</v>
      </c>
      <c r="I2523" s="9">
        <v>28</v>
      </c>
      <c r="J2523" s="10">
        <v>79.97</v>
      </c>
      <c r="K2523" s="9" t="str">
        <f>TEXT(Sales_of_Jordan[[#This Row],[Sale_Date]],"mmm")</f>
        <v>Aug</v>
      </c>
    </row>
    <row r="2524" spans="1:11" x14ac:dyDescent="0.35">
      <c r="A2524" s="7" t="s">
        <v>2554</v>
      </c>
      <c r="B2524" s="8">
        <v>45551</v>
      </c>
      <c r="C2524" s="9" t="s">
        <v>11</v>
      </c>
      <c r="D2524" s="9" t="s">
        <v>36</v>
      </c>
      <c r="E2524" s="9" t="s">
        <v>29</v>
      </c>
      <c r="F2524" s="9">
        <v>225</v>
      </c>
      <c r="G2524" s="9">
        <v>278.08999999999997</v>
      </c>
      <c r="H2524" s="9" t="s">
        <v>32</v>
      </c>
      <c r="I2524" s="9">
        <v>20</v>
      </c>
      <c r="J2524" s="10">
        <v>53.089999999999897</v>
      </c>
      <c r="K2524" s="9" t="str">
        <f>TEXT(Sales_of_Jordan[[#This Row],[Sale_Date]],"mmm")</f>
        <v>Sep</v>
      </c>
    </row>
    <row r="2525" spans="1:11" x14ac:dyDescent="0.35">
      <c r="A2525" s="7" t="s">
        <v>2555</v>
      </c>
      <c r="B2525" s="8">
        <v>45470</v>
      </c>
      <c r="C2525" s="9" t="s">
        <v>31</v>
      </c>
      <c r="D2525" s="9" t="s">
        <v>39</v>
      </c>
      <c r="E2525" s="9" t="s">
        <v>18</v>
      </c>
      <c r="F2525" s="9">
        <v>207</v>
      </c>
      <c r="G2525" s="9">
        <v>547.67999999999995</v>
      </c>
      <c r="H2525" s="9" t="s">
        <v>25</v>
      </c>
      <c r="I2525" s="9">
        <v>24</v>
      </c>
      <c r="J2525" s="10">
        <v>340.67999999999898</v>
      </c>
      <c r="K2525" s="9" t="str">
        <f>TEXT(Sales_of_Jordan[[#This Row],[Sale_Date]],"mmm")</f>
        <v>Jun</v>
      </c>
    </row>
    <row r="2526" spans="1:11" x14ac:dyDescent="0.35">
      <c r="A2526" s="7" t="s">
        <v>2556</v>
      </c>
      <c r="B2526" s="8">
        <v>44936</v>
      </c>
      <c r="C2526" s="9" t="s">
        <v>21</v>
      </c>
      <c r="D2526" s="9" t="s">
        <v>55</v>
      </c>
      <c r="E2526" s="9" t="s">
        <v>29</v>
      </c>
      <c r="F2526" s="9">
        <v>223</v>
      </c>
      <c r="G2526" s="9">
        <v>248.42</v>
      </c>
      <c r="H2526" s="9" t="s">
        <v>14</v>
      </c>
      <c r="I2526" s="9">
        <v>10</v>
      </c>
      <c r="J2526" s="10">
        <v>25.419999999999899</v>
      </c>
      <c r="K2526" s="9" t="str">
        <f>TEXT(Sales_of_Jordan[[#This Row],[Sale_Date]],"mmm")</f>
        <v>Jan</v>
      </c>
    </row>
    <row r="2527" spans="1:11" x14ac:dyDescent="0.35">
      <c r="A2527" s="7" t="s">
        <v>2557</v>
      </c>
      <c r="B2527" s="8">
        <v>45393</v>
      </c>
      <c r="C2527" s="9" t="s">
        <v>27</v>
      </c>
      <c r="D2527" s="9" t="s">
        <v>53</v>
      </c>
      <c r="E2527" s="9" t="s">
        <v>13</v>
      </c>
      <c r="F2527" s="9">
        <v>120</v>
      </c>
      <c r="G2527" s="9">
        <v>101.14</v>
      </c>
      <c r="H2527" s="9" t="s">
        <v>23</v>
      </c>
      <c r="I2527" s="9">
        <v>44</v>
      </c>
      <c r="J2527" s="10">
        <v>-18.86</v>
      </c>
      <c r="K2527" s="9" t="str">
        <f>TEXT(Sales_of_Jordan[[#This Row],[Sale_Date]],"mmm")</f>
        <v>Apr</v>
      </c>
    </row>
    <row r="2528" spans="1:11" x14ac:dyDescent="0.35">
      <c r="A2528" s="7" t="s">
        <v>2558</v>
      </c>
      <c r="B2528" s="8">
        <v>45641</v>
      </c>
      <c r="C2528" s="9" t="s">
        <v>31</v>
      </c>
      <c r="D2528" s="9" t="s">
        <v>12</v>
      </c>
      <c r="E2528" s="9" t="s">
        <v>13</v>
      </c>
      <c r="F2528" s="9">
        <v>201</v>
      </c>
      <c r="G2528" s="9">
        <v>165.91</v>
      </c>
      <c r="H2528" s="9" t="s">
        <v>19</v>
      </c>
      <c r="I2528" s="9">
        <v>13</v>
      </c>
      <c r="J2528" s="10">
        <v>-35.090000000000003</v>
      </c>
      <c r="K2528" s="9" t="str">
        <f>TEXT(Sales_of_Jordan[[#This Row],[Sale_Date]],"mmm")</f>
        <v>Dec</v>
      </c>
    </row>
    <row r="2529" spans="1:11" x14ac:dyDescent="0.35">
      <c r="A2529" s="7" t="s">
        <v>2559</v>
      </c>
      <c r="B2529" s="8">
        <v>45904</v>
      </c>
      <c r="C2529" s="9" t="s">
        <v>31</v>
      </c>
      <c r="D2529" s="9" t="s">
        <v>17</v>
      </c>
      <c r="E2529" s="9" t="s">
        <v>13</v>
      </c>
      <c r="F2529" s="9">
        <v>203</v>
      </c>
      <c r="G2529" s="9">
        <v>170.07</v>
      </c>
      <c r="H2529" s="9" t="s">
        <v>23</v>
      </c>
      <c r="I2529" s="9">
        <v>40</v>
      </c>
      <c r="J2529" s="10">
        <v>-32.93</v>
      </c>
      <c r="K2529" s="9" t="str">
        <f>TEXT(Sales_of_Jordan[[#This Row],[Sale_Date]],"mmm")</f>
        <v>Sep</v>
      </c>
    </row>
    <row r="2530" spans="1:11" x14ac:dyDescent="0.35">
      <c r="A2530" s="7" t="s">
        <v>2560</v>
      </c>
      <c r="B2530" s="8">
        <v>45800</v>
      </c>
      <c r="C2530" s="9" t="s">
        <v>27</v>
      </c>
      <c r="D2530" s="9" t="s">
        <v>53</v>
      </c>
      <c r="E2530" s="9" t="s">
        <v>29</v>
      </c>
      <c r="F2530" s="9">
        <v>133</v>
      </c>
      <c r="G2530" s="9">
        <v>163.04</v>
      </c>
      <c r="H2530" s="9" t="s">
        <v>25</v>
      </c>
      <c r="I2530" s="9">
        <v>35</v>
      </c>
      <c r="J2530" s="10">
        <v>30.0399999999999</v>
      </c>
      <c r="K2530" s="9" t="str">
        <f>TEXT(Sales_of_Jordan[[#This Row],[Sale_Date]],"mmm")</f>
        <v>May</v>
      </c>
    </row>
    <row r="2531" spans="1:11" x14ac:dyDescent="0.35">
      <c r="A2531" s="7" t="s">
        <v>2561</v>
      </c>
      <c r="B2531" s="8">
        <v>45542</v>
      </c>
      <c r="C2531" s="9" t="s">
        <v>16</v>
      </c>
      <c r="D2531" s="9" t="s">
        <v>34</v>
      </c>
      <c r="E2531" s="9" t="s">
        <v>29</v>
      </c>
      <c r="F2531" s="9">
        <v>175</v>
      </c>
      <c r="G2531" s="9">
        <v>177.43</v>
      </c>
      <c r="H2531" s="9" t="s">
        <v>19</v>
      </c>
      <c r="I2531" s="9">
        <v>11</v>
      </c>
      <c r="J2531" s="10">
        <v>2.4300000000000002</v>
      </c>
      <c r="K2531" s="9" t="str">
        <f>TEXT(Sales_of_Jordan[[#This Row],[Sale_Date]],"mmm")</f>
        <v>Sep</v>
      </c>
    </row>
    <row r="2532" spans="1:11" x14ac:dyDescent="0.35">
      <c r="A2532" s="7" t="s">
        <v>2562</v>
      </c>
      <c r="B2532" s="8">
        <v>44930</v>
      </c>
      <c r="C2532" s="9" t="s">
        <v>21</v>
      </c>
      <c r="D2532" s="9" t="s">
        <v>55</v>
      </c>
      <c r="E2532" s="9" t="s">
        <v>13</v>
      </c>
      <c r="F2532" s="9">
        <v>219</v>
      </c>
      <c r="G2532" s="9">
        <v>188.09</v>
      </c>
      <c r="H2532" s="9" t="s">
        <v>14</v>
      </c>
      <c r="I2532" s="9">
        <v>5</v>
      </c>
      <c r="J2532" s="10">
        <v>-30.909999999999901</v>
      </c>
      <c r="K2532" s="9" t="str">
        <f>TEXT(Sales_of_Jordan[[#This Row],[Sale_Date]],"mmm")</f>
        <v>Jan</v>
      </c>
    </row>
    <row r="2533" spans="1:11" x14ac:dyDescent="0.35">
      <c r="A2533" s="7" t="s">
        <v>2563</v>
      </c>
      <c r="B2533" s="8">
        <v>45016</v>
      </c>
      <c r="C2533" s="9" t="s">
        <v>21</v>
      </c>
      <c r="D2533" s="9" t="s">
        <v>39</v>
      </c>
      <c r="E2533" s="9" t="s">
        <v>18</v>
      </c>
      <c r="F2533" s="9">
        <v>223</v>
      </c>
      <c r="G2533" s="9">
        <v>662.14</v>
      </c>
      <c r="H2533" s="9" t="s">
        <v>25</v>
      </c>
      <c r="I2533" s="9">
        <v>13</v>
      </c>
      <c r="J2533" s="10">
        <v>439.14</v>
      </c>
      <c r="K2533" s="9" t="str">
        <f>TEXT(Sales_of_Jordan[[#This Row],[Sale_Date]],"mmm")</f>
        <v>Mar</v>
      </c>
    </row>
    <row r="2534" spans="1:11" x14ac:dyDescent="0.35">
      <c r="A2534" s="7" t="s">
        <v>2564</v>
      </c>
      <c r="B2534" s="8">
        <v>45243</v>
      </c>
      <c r="C2534" s="9" t="s">
        <v>16</v>
      </c>
      <c r="D2534" s="9" t="s">
        <v>53</v>
      </c>
      <c r="E2534" s="9" t="s">
        <v>13</v>
      </c>
      <c r="F2534" s="9">
        <v>173</v>
      </c>
      <c r="G2534" s="9">
        <v>99.34</v>
      </c>
      <c r="H2534" s="9" t="s">
        <v>23</v>
      </c>
      <c r="I2534" s="9">
        <v>39</v>
      </c>
      <c r="J2534" s="10">
        <v>-73.66</v>
      </c>
      <c r="K2534" s="9" t="str">
        <f>TEXT(Sales_of_Jordan[[#This Row],[Sale_Date]],"mmm")</f>
        <v>Nov</v>
      </c>
    </row>
    <row r="2535" spans="1:11" x14ac:dyDescent="0.35">
      <c r="A2535" s="7" t="s">
        <v>2565</v>
      </c>
      <c r="B2535" s="8">
        <v>44978</v>
      </c>
      <c r="C2535" s="9" t="s">
        <v>11</v>
      </c>
      <c r="D2535" s="9" t="s">
        <v>17</v>
      </c>
      <c r="E2535" s="9" t="s">
        <v>29</v>
      </c>
      <c r="F2535" s="9">
        <v>225</v>
      </c>
      <c r="G2535" s="9">
        <v>305.04000000000002</v>
      </c>
      <c r="H2535" s="9" t="s">
        <v>14</v>
      </c>
      <c r="I2535" s="9">
        <v>7</v>
      </c>
      <c r="J2535" s="10">
        <v>80.040000000000006</v>
      </c>
      <c r="K2535" s="9" t="str">
        <f>TEXT(Sales_of_Jordan[[#This Row],[Sale_Date]],"mmm")</f>
        <v>Feb</v>
      </c>
    </row>
    <row r="2536" spans="1:11" x14ac:dyDescent="0.35">
      <c r="A2536" s="7" t="s">
        <v>2566</v>
      </c>
      <c r="B2536" s="8">
        <v>45898</v>
      </c>
      <c r="C2536" s="9" t="s">
        <v>27</v>
      </c>
      <c r="D2536" s="9" t="s">
        <v>36</v>
      </c>
      <c r="E2536" s="9" t="s">
        <v>13</v>
      </c>
      <c r="F2536" s="9">
        <v>126</v>
      </c>
      <c r="G2536" s="9">
        <v>109.47</v>
      </c>
      <c r="H2536" s="9" t="s">
        <v>32</v>
      </c>
      <c r="I2536" s="9">
        <v>36</v>
      </c>
      <c r="J2536" s="10">
        <v>-16.53</v>
      </c>
      <c r="K2536" s="9" t="str">
        <f>TEXT(Sales_of_Jordan[[#This Row],[Sale_Date]],"mmm")</f>
        <v>Aug</v>
      </c>
    </row>
    <row r="2537" spans="1:11" x14ac:dyDescent="0.35">
      <c r="A2537" s="7" t="s">
        <v>2567</v>
      </c>
      <c r="B2537" s="8">
        <v>45322</v>
      </c>
      <c r="C2537" s="9" t="s">
        <v>11</v>
      </c>
      <c r="D2537" s="9" t="s">
        <v>55</v>
      </c>
      <c r="E2537" s="9" t="s">
        <v>13</v>
      </c>
      <c r="F2537" s="9">
        <v>229</v>
      </c>
      <c r="G2537" s="9">
        <v>191.71</v>
      </c>
      <c r="H2537" s="9" t="s">
        <v>32</v>
      </c>
      <c r="I2537" s="9">
        <v>12</v>
      </c>
      <c r="J2537" s="10">
        <v>-37.2899999999999</v>
      </c>
      <c r="K2537" s="9" t="str">
        <f>TEXT(Sales_of_Jordan[[#This Row],[Sale_Date]],"mmm")</f>
        <v>Jan</v>
      </c>
    </row>
    <row r="2538" spans="1:11" x14ac:dyDescent="0.35">
      <c r="A2538" s="7" t="s">
        <v>2568</v>
      </c>
      <c r="B2538" s="8">
        <v>45483</v>
      </c>
      <c r="C2538" s="9" t="s">
        <v>11</v>
      </c>
      <c r="D2538" s="9" t="s">
        <v>39</v>
      </c>
      <c r="E2538" s="9" t="s">
        <v>29</v>
      </c>
      <c r="F2538" s="9">
        <v>226</v>
      </c>
      <c r="G2538" s="9">
        <v>239.85</v>
      </c>
      <c r="H2538" s="9" t="s">
        <v>25</v>
      </c>
      <c r="I2538" s="9">
        <v>56</v>
      </c>
      <c r="J2538" s="10">
        <v>13.8499999999999</v>
      </c>
      <c r="K2538" s="9" t="str">
        <f>TEXT(Sales_of_Jordan[[#This Row],[Sale_Date]],"mmm")</f>
        <v>Jul</v>
      </c>
    </row>
    <row r="2539" spans="1:11" x14ac:dyDescent="0.35">
      <c r="A2539" s="7" t="s">
        <v>2569</v>
      </c>
      <c r="B2539" s="8">
        <v>45708</v>
      </c>
      <c r="C2539" s="9" t="s">
        <v>27</v>
      </c>
      <c r="D2539" s="9" t="s">
        <v>36</v>
      </c>
      <c r="E2539" s="9" t="s">
        <v>18</v>
      </c>
      <c r="F2539" s="9">
        <v>113</v>
      </c>
      <c r="G2539" s="9">
        <v>292.01</v>
      </c>
      <c r="H2539" s="9" t="s">
        <v>32</v>
      </c>
      <c r="I2539" s="9">
        <v>50</v>
      </c>
      <c r="J2539" s="10">
        <v>179.01</v>
      </c>
      <c r="K2539" s="9" t="str">
        <f>TEXT(Sales_of_Jordan[[#This Row],[Sale_Date]],"mmm")</f>
        <v>Feb</v>
      </c>
    </row>
    <row r="2540" spans="1:11" x14ac:dyDescent="0.35">
      <c r="A2540" s="7" t="s">
        <v>2570</v>
      </c>
      <c r="B2540" s="8">
        <v>45167</v>
      </c>
      <c r="C2540" s="9" t="s">
        <v>16</v>
      </c>
      <c r="D2540" s="9" t="s">
        <v>34</v>
      </c>
      <c r="E2540" s="9" t="s">
        <v>29</v>
      </c>
      <c r="F2540" s="9">
        <v>179</v>
      </c>
      <c r="G2540" s="9">
        <v>226.81</v>
      </c>
      <c r="H2540" s="9" t="s">
        <v>25</v>
      </c>
      <c r="I2540" s="9">
        <v>55</v>
      </c>
      <c r="J2540" s="10">
        <v>47.81</v>
      </c>
      <c r="K2540" s="9" t="str">
        <f>TEXT(Sales_of_Jordan[[#This Row],[Sale_Date]],"mmm")</f>
        <v>Aug</v>
      </c>
    </row>
    <row r="2541" spans="1:11" x14ac:dyDescent="0.35">
      <c r="A2541" s="7" t="s">
        <v>2571</v>
      </c>
      <c r="B2541" s="8">
        <v>45805</v>
      </c>
      <c r="C2541" s="9" t="s">
        <v>31</v>
      </c>
      <c r="D2541" s="9" t="s">
        <v>17</v>
      </c>
      <c r="E2541" s="9" t="s">
        <v>13</v>
      </c>
      <c r="F2541" s="9">
        <v>206</v>
      </c>
      <c r="G2541" s="9">
        <v>183.01</v>
      </c>
      <c r="H2541" s="9" t="s">
        <v>14</v>
      </c>
      <c r="I2541" s="9">
        <v>9</v>
      </c>
      <c r="J2541" s="10">
        <v>-22.99</v>
      </c>
      <c r="K2541" s="9" t="str">
        <f>TEXT(Sales_of_Jordan[[#This Row],[Sale_Date]],"mmm")</f>
        <v>May</v>
      </c>
    </row>
    <row r="2542" spans="1:11" x14ac:dyDescent="0.35">
      <c r="A2542" s="7" t="s">
        <v>2572</v>
      </c>
      <c r="B2542" s="8">
        <v>45243</v>
      </c>
      <c r="C2542" s="9" t="s">
        <v>31</v>
      </c>
      <c r="D2542" s="9" t="s">
        <v>55</v>
      </c>
      <c r="E2542" s="9" t="s">
        <v>29</v>
      </c>
      <c r="F2542" s="9">
        <v>202</v>
      </c>
      <c r="G2542" s="9">
        <v>284.55</v>
      </c>
      <c r="H2542" s="9" t="s">
        <v>14</v>
      </c>
      <c r="I2542" s="9">
        <v>13</v>
      </c>
      <c r="J2542" s="10">
        <v>82.55</v>
      </c>
      <c r="K2542" s="9" t="str">
        <f>TEXT(Sales_of_Jordan[[#This Row],[Sale_Date]],"mmm")</f>
        <v>Nov</v>
      </c>
    </row>
    <row r="2543" spans="1:11" x14ac:dyDescent="0.35">
      <c r="A2543" s="7" t="s">
        <v>2573</v>
      </c>
      <c r="B2543" s="8">
        <v>45573</v>
      </c>
      <c r="C2543" s="9" t="s">
        <v>31</v>
      </c>
      <c r="D2543" s="9" t="s">
        <v>55</v>
      </c>
      <c r="E2543" s="9" t="s">
        <v>29</v>
      </c>
      <c r="F2543" s="9">
        <v>206</v>
      </c>
      <c r="G2543" s="9">
        <v>269.13</v>
      </c>
      <c r="H2543" s="9" t="s">
        <v>19</v>
      </c>
      <c r="I2543" s="9">
        <v>1</v>
      </c>
      <c r="J2543" s="10">
        <v>63.129999999999903</v>
      </c>
      <c r="K2543" s="9" t="str">
        <f>TEXT(Sales_of_Jordan[[#This Row],[Sale_Date]],"mmm")</f>
        <v>Oct</v>
      </c>
    </row>
    <row r="2544" spans="1:11" x14ac:dyDescent="0.35">
      <c r="A2544" s="7" t="s">
        <v>2574</v>
      </c>
      <c r="B2544" s="8">
        <v>45194</v>
      </c>
      <c r="C2544" s="9" t="s">
        <v>21</v>
      </c>
      <c r="D2544" s="9" t="s">
        <v>22</v>
      </c>
      <c r="E2544" s="9" t="s">
        <v>29</v>
      </c>
      <c r="F2544" s="9">
        <v>216</v>
      </c>
      <c r="G2544" s="9">
        <v>289.12</v>
      </c>
      <c r="H2544" s="9" t="s">
        <v>32</v>
      </c>
      <c r="I2544" s="9">
        <v>29</v>
      </c>
      <c r="J2544" s="10">
        <v>73.12</v>
      </c>
      <c r="K2544" s="9" t="str">
        <f>TEXT(Sales_of_Jordan[[#This Row],[Sale_Date]],"mmm")</f>
        <v>Sep</v>
      </c>
    </row>
    <row r="2545" spans="1:11" x14ac:dyDescent="0.35">
      <c r="A2545" s="7" t="s">
        <v>2575</v>
      </c>
      <c r="B2545" s="8">
        <v>45701</v>
      </c>
      <c r="C2545" s="9" t="s">
        <v>11</v>
      </c>
      <c r="D2545" s="9" t="s">
        <v>46</v>
      </c>
      <c r="E2545" s="9" t="s">
        <v>13</v>
      </c>
      <c r="F2545" s="9">
        <v>230</v>
      </c>
      <c r="G2545" s="9">
        <v>149.55000000000001</v>
      </c>
      <c r="H2545" s="9" t="s">
        <v>32</v>
      </c>
      <c r="I2545" s="9">
        <v>30</v>
      </c>
      <c r="J2545" s="10">
        <v>-80.449999999999903</v>
      </c>
      <c r="K2545" s="9" t="str">
        <f>TEXT(Sales_of_Jordan[[#This Row],[Sale_Date]],"mmm")</f>
        <v>Feb</v>
      </c>
    </row>
    <row r="2546" spans="1:11" x14ac:dyDescent="0.35">
      <c r="A2546" s="7" t="s">
        <v>2576</v>
      </c>
      <c r="B2546" s="8">
        <v>45921</v>
      </c>
      <c r="C2546" s="9" t="s">
        <v>16</v>
      </c>
      <c r="D2546" s="9" t="s">
        <v>36</v>
      </c>
      <c r="E2546" s="9" t="s">
        <v>13</v>
      </c>
      <c r="F2546" s="9">
        <v>172</v>
      </c>
      <c r="G2546" s="9">
        <v>91.64</v>
      </c>
      <c r="H2546" s="9" t="s">
        <v>19</v>
      </c>
      <c r="I2546" s="9">
        <v>2</v>
      </c>
      <c r="J2546" s="10">
        <v>-80.36</v>
      </c>
      <c r="K2546" s="9" t="str">
        <f>TEXT(Sales_of_Jordan[[#This Row],[Sale_Date]],"mmm")</f>
        <v>Sep</v>
      </c>
    </row>
    <row r="2547" spans="1:11" x14ac:dyDescent="0.35">
      <c r="A2547" s="7" t="s">
        <v>2577</v>
      </c>
      <c r="B2547" s="8">
        <v>45044</v>
      </c>
      <c r="C2547" s="9" t="s">
        <v>16</v>
      </c>
      <c r="D2547" s="9" t="s">
        <v>39</v>
      </c>
      <c r="E2547" s="9" t="s">
        <v>13</v>
      </c>
      <c r="F2547" s="9">
        <v>175</v>
      </c>
      <c r="G2547" s="9">
        <v>137.9</v>
      </c>
      <c r="H2547" s="9" t="s">
        <v>23</v>
      </c>
      <c r="I2547" s="9">
        <v>44</v>
      </c>
      <c r="J2547" s="10">
        <v>-37.099999999999902</v>
      </c>
      <c r="K2547" s="9" t="str">
        <f>TEXT(Sales_of_Jordan[[#This Row],[Sale_Date]],"mmm")</f>
        <v>Apr</v>
      </c>
    </row>
    <row r="2548" spans="1:11" x14ac:dyDescent="0.35">
      <c r="A2548" s="7" t="s">
        <v>2578</v>
      </c>
      <c r="B2548" s="8">
        <v>45785</v>
      </c>
      <c r="C2548" s="9" t="s">
        <v>27</v>
      </c>
      <c r="D2548" s="9" t="s">
        <v>39</v>
      </c>
      <c r="E2548" s="9" t="s">
        <v>18</v>
      </c>
      <c r="F2548" s="9">
        <v>127</v>
      </c>
      <c r="G2548" s="9">
        <v>279.12</v>
      </c>
      <c r="H2548" s="9" t="s">
        <v>19</v>
      </c>
      <c r="I2548" s="9">
        <v>9</v>
      </c>
      <c r="J2548" s="10">
        <v>152.12</v>
      </c>
      <c r="K2548" s="9" t="str">
        <f>TEXT(Sales_of_Jordan[[#This Row],[Sale_Date]],"mmm")</f>
        <v>May</v>
      </c>
    </row>
    <row r="2549" spans="1:11" x14ac:dyDescent="0.35">
      <c r="A2549" s="7" t="s">
        <v>2579</v>
      </c>
      <c r="B2549" s="8">
        <v>45708</v>
      </c>
      <c r="C2549" s="9" t="s">
        <v>31</v>
      </c>
      <c r="D2549" s="9" t="s">
        <v>34</v>
      </c>
      <c r="E2549" s="9" t="s">
        <v>29</v>
      </c>
      <c r="F2549" s="9">
        <v>202</v>
      </c>
      <c r="G2549" s="9">
        <v>225.24</v>
      </c>
      <c r="H2549" s="9" t="s">
        <v>32</v>
      </c>
      <c r="I2549" s="9">
        <v>27</v>
      </c>
      <c r="J2549" s="10">
        <v>23.24</v>
      </c>
      <c r="K2549" s="9" t="str">
        <f>TEXT(Sales_of_Jordan[[#This Row],[Sale_Date]],"mmm")</f>
        <v>Feb</v>
      </c>
    </row>
    <row r="2550" spans="1:11" x14ac:dyDescent="0.35">
      <c r="A2550" s="7" t="s">
        <v>2580</v>
      </c>
      <c r="B2550" s="8">
        <v>45669</v>
      </c>
      <c r="C2550" s="9" t="s">
        <v>16</v>
      </c>
      <c r="D2550" s="9" t="s">
        <v>46</v>
      </c>
      <c r="E2550" s="9" t="s">
        <v>29</v>
      </c>
      <c r="F2550" s="9">
        <v>178</v>
      </c>
      <c r="G2550" s="9">
        <v>180.64</v>
      </c>
      <c r="H2550" s="9" t="s">
        <v>23</v>
      </c>
      <c r="I2550" s="9">
        <v>6</v>
      </c>
      <c r="J2550" s="10">
        <v>2.6399999999999801</v>
      </c>
      <c r="K2550" s="9" t="str">
        <f>TEXT(Sales_of_Jordan[[#This Row],[Sale_Date]],"mmm")</f>
        <v>Jan</v>
      </c>
    </row>
    <row r="2551" spans="1:11" x14ac:dyDescent="0.35">
      <c r="A2551" s="7" t="s">
        <v>2581</v>
      </c>
      <c r="B2551" s="8">
        <v>45581</v>
      </c>
      <c r="C2551" s="9" t="s">
        <v>11</v>
      </c>
      <c r="D2551" s="9" t="s">
        <v>39</v>
      </c>
      <c r="E2551" s="9" t="s">
        <v>13</v>
      </c>
      <c r="F2551" s="9">
        <v>227</v>
      </c>
      <c r="G2551" s="9">
        <v>137.71</v>
      </c>
      <c r="H2551" s="9" t="s">
        <v>25</v>
      </c>
      <c r="I2551" s="9">
        <v>50</v>
      </c>
      <c r="J2551" s="10">
        <v>-89.289999999999907</v>
      </c>
      <c r="K2551" s="9" t="str">
        <f>TEXT(Sales_of_Jordan[[#This Row],[Sale_Date]],"mmm")</f>
        <v>Oct</v>
      </c>
    </row>
    <row r="2552" spans="1:11" x14ac:dyDescent="0.35">
      <c r="A2552" s="7" t="s">
        <v>2582</v>
      </c>
      <c r="B2552" s="8">
        <v>45349</v>
      </c>
      <c r="C2552" s="9" t="s">
        <v>16</v>
      </c>
      <c r="D2552" s="9" t="s">
        <v>46</v>
      </c>
      <c r="E2552" s="9" t="s">
        <v>29</v>
      </c>
      <c r="F2552" s="9">
        <v>173</v>
      </c>
      <c r="G2552" s="9">
        <v>237.26</v>
      </c>
      <c r="H2552" s="9" t="s">
        <v>14</v>
      </c>
      <c r="I2552" s="9">
        <v>11</v>
      </c>
      <c r="J2552" s="10">
        <v>64.259999999999906</v>
      </c>
      <c r="K2552" s="9" t="str">
        <f>TEXT(Sales_of_Jordan[[#This Row],[Sale_Date]],"mmm")</f>
        <v>Feb</v>
      </c>
    </row>
    <row r="2553" spans="1:11" x14ac:dyDescent="0.35">
      <c r="A2553" s="7" t="s">
        <v>2583</v>
      </c>
      <c r="B2553" s="8">
        <v>45389</v>
      </c>
      <c r="C2553" s="9" t="s">
        <v>27</v>
      </c>
      <c r="D2553" s="9" t="s">
        <v>22</v>
      </c>
      <c r="E2553" s="9" t="s">
        <v>18</v>
      </c>
      <c r="F2553" s="9">
        <v>130</v>
      </c>
      <c r="G2553" s="9">
        <v>278.81</v>
      </c>
      <c r="H2553" s="9" t="s">
        <v>23</v>
      </c>
      <c r="I2553" s="9">
        <v>33</v>
      </c>
      <c r="J2553" s="10">
        <v>148.81</v>
      </c>
      <c r="K2553" s="9" t="str">
        <f>TEXT(Sales_of_Jordan[[#This Row],[Sale_Date]],"mmm")</f>
        <v>Apr</v>
      </c>
    </row>
    <row r="2554" spans="1:11" x14ac:dyDescent="0.35">
      <c r="A2554" s="7" t="s">
        <v>2584</v>
      </c>
      <c r="B2554" s="8">
        <v>45339</v>
      </c>
      <c r="C2554" s="9" t="s">
        <v>31</v>
      </c>
      <c r="D2554" s="9" t="s">
        <v>17</v>
      </c>
      <c r="E2554" s="9" t="s">
        <v>29</v>
      </c>
      <c r="F2554" s="9">
        <v>208</v>
      </c>
      <c r="G2554" s="9">
        <v>209.19</v>
      </c>
      <c r="H2554" s="9" t="s">
        <v>23</v>
      </c>
      <c r="I2554" s="9">
        <v>39</v>
      </c>
      <c r="J2554" s="10">
        <v>1.18999999999999</v>
      </c>
      <c r="K2554" s="9" t="str">
        <f>TEXT(Sales_of_Jordan[[#This Row],[Sale_Date]],"mmm")</f>
        <v>Feb</v>
      </c>
    </row>
    <row r="2555" spans="1:11" x14ac:dyDescent="0.35">
      <c r="A2555" s="7" t="s">
        <v>2585</v>
      </c>
      <c r="B2555" s="8">
        <v>45802</v>
      </c>
      <c r="C2555" s="9" t="s">
        <v>16</v>
      </c>
      <c r="D2555" s="9" t="s">
        <v>12</v>
      </c>
      <c r="E2555" s="9" t="s">
        <v>18</v>
      </c>
      <c r="F2555" s="9">
        <v>178</v>
      </c>
      <c r="G2555" s="9">
        <v>480.38</v>
      </c>
      <c r="H2555" s="9" t="s">
        <v>32</v>
      </c>
      <c r="I2555" s="9">
        <v>16</v>
      </c>
      <c r="J2555" s="10">
        <v>302.38</v>
      </c>
      <c r="K2555" s="9" t="str">
        <f>TEXT(Sales_of_Jordan[[#This Row],[Sale_Date]],"mmm")</f>
        <v>May</v>
      </c>
    </row>
    <row r="2556" spans="1:11" x14ac:dyDescent="0.35">
      <c r="A2556" s="7" t="s">
        <v>2586</v>
      </c>
      <c r="B2556" s="8">
        <v>45590</v>
      </c>
      <c r="C2556" s="9" t="s">
        <v>16</v>
      </c>
      <c r="D2556" s="9" t="s">
        <v>46</v>
      </c>
      <c r="E2556" s="9" t="s">
        <v>13</v>
      </c>
      <c r="F2556" s="9">
        <v>184</v>
      </c>
      <c r="G2556" s="9">
        <v>115.81</v>
      </c>
      <c r="H2556" s="9" t="s">
        <v>14</v>
      </c>
      <c r="I2556" s="9">
        <v>6</v>
      </c>
      <c r="J2556" s="10">
        <v>-68.19</v>
      </c>
      <c r="K2556" s="9" t="str">
        <f>TEXT(Sales_of_Jordan[[#This Row],[Sale_Date]],"mmm")</f>
        <v>Oct</v>
      </c>
    </row>
    <row r="2557" spans="1:11" x14ac:dyDescent="0.35">
      <c r="A2557" s="7" t="s">
        <v>2587</v>
      </c>
      <c r="B2557" s="8">
        <v>45518</v>
      </c>
      <c r="C2557" s="9" t="s">
        <v>31</v>
      </c>
      <c r="D2557" s="9" t="s">
        <v>12</v>
      </c>
      <c r="E2557" s="9" t="s">
        <v>13</v>
      </c>
      <c r="F2557" s="9">
        <v>200</v>
      </c>
      <c r="G2557" s="9">
        <v>110.1</v>
      </c>
      <c r="H2557" s="9" t="s">
        <v>23</v>
      </c>
      <c r="I2557" s="9">
        <v>56</v>
      </c>
      <c r="J2557" s="10">
        <v>-89.9</v>
      </c>
      <c r="K2557" s="9" t="str">
        <f>TEXT(Sales_of_Jordan[[#This Row],[Sale_Date]],"mmm")</f>
        <v>Aug</v>
      </c>
    </row>
    <row r="2558" spans="1:11" x14ac:dyDescent="0.35">
      <c r="A2558" s="7" t="s">
        <v>2588</v>
      </c>
      <c r="B2558" s="8">
        <v>45566</v>
      </c>
      <c r="C2558" s="9" t="s">
        <v>16</v>
      </c>
      <c r="D2558" s="9" t="s">
        <v>36</v>
      </c>
      <c r="E2558" s="9" t="s">
        <v>13</v>
      </c>
      <c r="F2558" s="9">
        <v>179</v>
      </c>
      <c r="G2558" s="9">
        <v>127.41</v>
      </c>
      <c r="H2558" s="9" t="s">
        <v>19</v>
      </c>
      <c r="I2558" s="9">
        <v>1</v>
      </c>
      <c r="J2558" s="10">
        <v>-51.59</v>
      </c>
      <c r="K2558" s="9" t="str">
        <f>TEXT(Sales_of_Jordan[[#This Row],[Sale_Date]],"mmm")</f>
        <v>Oct</v>
      </c>
    </row>
    <row r="2559" spans="1:11" x14ac:dyDescent="0.35">
      <c r="A2559" s="7" t="s">
        <v>2589</v>
      </c>
      <c r="B2559" s="8">
        <v>45211</v>
      </c>
      <c r="C2559" s="9" t="s">
        <v>31</v>
      </c>
      <c r="D2559" s="9" t="s">
        <v>46</v>
      </c>
      <c r="E2559" s="9" t="s">
        <v>13</v>
      </c>
      <c r="F2559" s="9">
        <v>200</v>
      </c>
      <c r="G2559" s="9">
        <v>114.38</v>
      </c>
      <c r="H2559" s="9" t="s">
        <v>19</v>
      </c>
      <c r="I2559" s="9">
        <v>3</v>
      </c>
      <c r="J2559" s="10">
        <v>-85.62</v>
      </c>
      <c r="K2559" s="9" t="str">
        <f>TEXT(Sales_of_Jordan[[#This Row],[Sale_Date]],"mmm")</f>
        <v>Oct</v>
      </c>
    </row>
    <row r="2560" spans="1:11" x14ac:dyDescent="0.35">
      <c r="A2560" s="7" t="s">
        <v>2590</v>
      </c>
      <c r="B2560" s="8">
        <v>45085</v>
      </c>
      <c r="C2560" s="9" t="s">
        <v>21</v>
      </c>
      <c r="D2560" s="9" t="s">
        <v>53</v>
      </c>
      <c r="E2560" s="9" t="s">
        <v>18</v>
      </c>
      <c r="F2560" s="9">
        <v>218</v>
      </c>
      <c r="G2560" s="9">
        <v>333.87</v>
      </c>
      <c r="H2560" s="9" t="s">
        <v>32</v>
      </c>
      <c r="I2560" s="9">
        <v>41</v>
      </c>
      <c r="J2560" s="10">
        <v>115.87</v>
      </c>
      <c r="K2560" s="9" t="str">
        <f>TEXT(Sales_of_Jordan[[#This Row],[Sale_Date]],"mmm")</f>
        <v>Jun</v>
      </c>
    </row>
    <row r="2561" spans="1:11" x14ac:dyDescent="0.35">
      <c r="A2561" s="7" t="s">
        <v>2591</v>
      </c>
      <c r="B2561" s="8">
        <v>45654</v>
      </c>
      <c r="C2561" s="9" t="s">
        <v>11</v>
      </c>
      <c r="D2561" s="9" t="s">
        <v>46</v>
      </c>
      <c r="E2561" s="9" t="s">
        <v>29</v>
      </c>
      <c r="F2561" s="9">
        <v>226</v>
      </c>
      <c r="G2561" s="9">
        <v>220.1</v>
      </c>
      <c r="H2561" s="9" t="s">
        <v>32</v>
      </c>
      <c r="I2561" s="9">
        <v>26</v>
      </c>
      <c r="J2561" s="10">
        <v>-5.9</v>
      </c>
      <c r="K2561" s="9" t="str">
        <f>TEXT(Sales_of_Jordan[[#This Row],[Sale_Date]],"mmm")</f>
        <v>Dec</v>
      </c>
    </row>
    <row r="2562" spans="1:11" x14ac:dyDescent="0.35">
      <c r="A2562" s="7" t="s">
        <v>2592</v>
      </c>
      <c r="B2562" s="8">
        <v>45624</v>
      </c>
      <c r="C2562" s="9" t="s">
        <v>27</v>
      </c>
      <c r="D2562" s="9" t="s">
        <v>53</v>
      </c>
      <c r="E2562" s="9" t="s">
        <v>13</v>
      </c>
      <c r="F2562" s="9">
        <v>111</v>
      </c>
      <c r="G2562" s="9">
        <v>99.83</v>
      </c>
      <c r="H2562" s="9" t="s">
        <v>25</v>
      </c>
      <c r="I2562" s="9">
        <v>8</v>
      </c>
      <c r="J2562" s="10">
        <v>-11.17</v>
      </c>
      <c r="K2562" s="9" t="str">
        <f>TEXT(Sales_of_Jordan[[#This Row],[Sale_Date]],"mmm")</f>
        <v>Nov</v>
      </c>
    </row>
    <row r="2563" spans="1:11" x14ac:dyDescent="0.35">
      <c r="A2563" s="7" t="s">
        <v>2593</v>
      </c>
      <c r="B2563" s="8">
        <v>45638</v>
      </c>
      <c r="C2563" s="9" t="s">
        <v>11</v>
      </c>
      <c r="D2563" s="9" t="s">
        <v>34</v>
      </c>
      <c r="E2563" s="9" t="s">
        <v>13</v>
      </c>
      <c r="F2563" s="9">
        <v>229</v>
      </c>
      <c r="G2563" s="9">
        <v>117.29</v>
      </c>
      <c r="H2563" s="9" t="s">
        <v>25</v>
      </c>
      <c r="I2563" s="9">
        <v>24</v>
      </c>
      <c r="J2563" s="10">
        <v>-111.71</v>
      </c>
      <c r="K2563" s="9" t="str">
        <f>TEXT(Sales_of_Jordan[[#This Row],[Sale_Date]],"mmm")</f>
        <v>Dec</v>
      </c>
    </row>
    <row r="2564" spans="1:11" x14ac:dyDescent="0.35">
      <c r="A2564" s="7" t="s">
        <v>2594</v>
      </c>
      <c r="B2564" s="8">
        <v>45645</v>
      </c>
      <c r="C2564" s="9" t="s">
        <v>11</v>
      </c>
      <c r="D2564" s="9" t="s">
        <v>36</v>
      </c>
      <c r="E2564" s="9" t="s">
        <v>29</v>
      </c>
      <c r="F2564" s="9">
        <v>228</v>
      </c>
      <c r="G2564" s="9">
        <v>260.63</v>
      </c>
      <c r="H2564" s="9" t="s">
        <v>14</v>
      </c>
      <c r="I2564" s="9">
        <v>14</v>
      </c>
      <c r="J2564" s="10">
        <v>32.629999999999903</v>
      </c>
      <c r="K2564" s="9" t="str">
        <f>TEXT(Sales_of_Jordan[[#This Row],[Sale_Date]],"mmm")</f>
        <v>Dec</v>
      </c>
    </row>
    <row r="2565" spans="1:11" x14ac:dyDescent="0.35">
      <c r="A2565" s="7" t="s">
        <v>2595</v>
      </c>
      <c r="B2565" s="8">
        <v>45626</v>
      </c>
      <c r="C2565" s="9" t="s">
        <v>31</v>
      </c>
      <c r="D2565" s="9" t="s">
        <v>22</v>
      </c>
      <c r="E2565" s="9" t="s">
        <v>29</v>
      </c>
      <c r="F2565" s="9">
        <v>203</v>
      </c>
      <c r="G2565" s="9">
        <v>195.02</v>
      </c>
      <c r="H2565" s="9" t="s">
        <v>19</v>
      </c>
      <c r="I2565" s="9">
        <v>4</v>
      </c>
      <c r="J2565" s="10">
        <v>-7.9799999999999898</v>
      </c>
      <c r="K2565" s="9" t="str">
        <f>TEXT(Sales_of_Jordan[[#This Row],[Sale_Date]],"mmm")</f>
        <v>Nov</v>
      </c>
    </row>
    <row r="2566" spans="1:11" x14ac:dyDescent="0.35">
      <c r="A2566" s="7" t="s">
        <v>2596</v>
      </c>
      <c r="B2566" s="8">
        <v>45311</v>
      </c>
      <c r="C2566" s="9" t="s">
        <v>11</v>
      </c>
      <c r="D2566" s="9" t="s">
        <v>53</v>
      </c>
      <c r="E2566" s="9" t="s">
        <v>13</v>
      </c>
      <c r="F2566" s="9">
        <v>229</v>
      </c>
      <c r="G2566" s="9">
        <v>120.17</v>
      </c>
      <c r="H2566" s="9" t="s">
        <v>25</v>
      </c>
      <c r="I2566" s="9">
        <v>23</v>
      </c>
      <c r="J2566" s="10">
        <v>-108.83</v>
      </c>
      <c r="K2566" s="9" t="str">
        <f>TEXT(Sales_of_Jordan[[#This Row],[Sale_Date]],"mmm")</f>
        <v>Jan</v>
      </c>
    </row>
    <row r="2567" spans="1:11" x14ac:dyDescent="0.35">
      <c r="A2567" s="7" t="s">
        <v>2597</v>
      </c>
      <c r="B2567" s="8">
        <v>45618</v>
      </c>
      <c r="C2567" s="9" t="s">
        <v>31</v>
      </c>
      <c r="D2567" s="9" t="s">
        <v>22</v>
      </c>
      <c r="E2567" s="9" t="s">
        <v>13</v>
      </c>
      <c r="F2567" s="9">
        <v>207</v>
      </c>
      <c r="G2567" s="9">
        <v>117.85</v>
      </c>
      <c r="H2567" s="9" t="s">
        <v>14</v>
      </c>
      <c r="I2567" s="9">
        <v>3</v>
      </c>
      <c r="J2567" s="10">
        <v>-89.15</v>
      </c>
      <c r="K2567" s="9" t="str">
        <f>TEXT(Sales_of_Jordan[[#This Row],[Sale_Date]],"mmm")</f>
        <v>Nov</v>
      </c>
    </row>
    <row r="2568" spans="1:11" x14ac:dyDescent="0.35">
      <c r="A2568" s="7" t="s">
        <v>2598</v>
      </c>
      <c r="B2568" s="8">
        <v>45822</v>
      </c>
      <c r="C2568" s="9" t="s">
        <v>31</v>
      </c>
      <c r="D2568" s="9" t="s">
        <v>12</v>
      </c>
      <c r="E2568" s="9" t="s">
        <v>18</v>
      </c>
      <c r="F2568" s="9">
        <v>201</v>
      </c>
      <c r="G2568" s="9">
        <v>259.58999999999997</v>
      </c>
      <c r="H2568" s="9" t="s">
        <v>23</v>
      </c>
      <c r="I2568" s="9">
        <v>51</v>
      </c>
      <c r="J2568" s="10">
        <v>58.589999999999897</v>
      </c>
      <c r="K2568" s="9" t="str">
        <f>TEXT(Sales_of_Jordan[[#This Row],[Sale_Date]],"mmm")</f>
        <v>Jun</v>
      </c>
    </row>
    <row r="2569" spans="1:11" x14ac:dyDescent="0.35">
      <c r="A2569" s="7" t="s">
        <v>2599</v>
      </c>
      <c r="B2569" s="8">
        <v>44936</v>
      </c>
      <c r="C2569" s="9" t="s">
        <v>16</v>
      </c>
      <c r="D2569" s="9" t="s">
        <v>36</v>
      </c>
      <c r="E2569" s="9" t="s">
        <v>29</v>
      </c>
      <c r="F2569" s="9">
        <v>184</v>
      </c>
      <c r="G2569" s="9">
        <v>168.23</v>
      </c>
      <c r="H2569" s="9" t="s">
        <v>14</v>
      </c>
      <c r="I2569" s="9">
        <v>11</v>
      </c>
      <c r="J2569" s="10">
        <v>-15.77</v>
      </c>
      <c r="K2569" s="9" t="str">
        <f>TEXT(Sales_of_Jordan[[#This Row],[Sale_Date]],"mmm")</f>
        <v>Jan</v>
      </c>
    </row>
    <row r="2570" spans="1:11" x14ac:dyDescent="0.35">
      <c r="A2570" s="7" t="s">
        <v>2600</v>
      </c>
      <c r="B2570" s="8">
        <v>45189</v>
      </c>
      <c r="C2570" s="9" t="s">
        <v>27</v>
      </c>
      <c r="D2570" s="9" t="s">
        <v>53</v>
      </c>
      <c r="E2570" s="9" t="s">
        <v>13</v>
      </c>
      <c r="F2570" s="9">
        <v>139</v>
      </c>
      <c r="G2570" s="9">
        <v>102.11</v>
      </c>
      <c r="H2570" s="9" t="s">
        <v>32</v>
      </c>
      <c r="I2570" s="9">
        <v>17</v>
      </c>
      <c r="J2570" s="10">
        <v>-36.89</v>
      </c>
      <c r="K2570" s="9" t="str">
        <f>TEXT(Sales_of_Jordan[[#This Row],[Sale_Date]],"mmm")</f>
        <v>Sep</v>
      </c>
    </row>
    <row r="2571" spans="1:11" x14ac:dyDescent="0.35">
      <c r="A2571" s="7" t="s">
        <v>2601</v>
      </c>
      <c r="B2571" s="8">
        <v>45813</v>
      </c>
      <c r="C2571" s="9" t="s">
        <v>16</v>
      </c>
      <c r="D2571" s="9" t="s">
        <v>46</v>
      </c>
      <c r="E2571" s="9" t="s">
        <v>18</v>
      </c>
      <c r="F2571" s="9">
        <v>177</v>
      </c>
      <c r="G2571" s="9">
        <v>597.14</v>
      </c>
      <c r="H2571" s="9" t="s">
        <v>14</v>
      </c>
      <c r="I2571" s="9">
        <v>3</v>
      </c>
      <c r="J2571" s="10">
        <v>420.14</v>
      </c>
      <c r="K2571" s="9" t="str">
        <f>TEXT(Sales_of_Jordan[[#This Row],[Sale_Date]],"mmm")</f>
        <v>Jun</v>
      </c>
    </row>
    <row r="2572" spans="1:11" x14ac:dyDescent="0.35">
      <c r="A2572" s="7" t="s">
        <v>2602</v>
      </c>
      <c r="B2572" s="8">
        <v>45903</v>
      </c>
      <c r="C2572" s="9" t="s">
        <v>11</v>
      </c>
      <c r="D2572" s="9" t="s">
        <v>39</v>
      </c>
      <c r="E2572" s="9" t="s">
        <v>18</v>
      </c>
      <c r="F2572" s="9">
        <v>226</v>
      </c>
      <c r="G2572" s="9">
        <v>662.4</v>
      </c>
      <c r="H2572" s="9" t="s">
        <v>23</v>
      </c>
      <c r="I2572" s="9">
        <v>17</v>
      </c>
      <c r="J2572" s="10">
        <v>436.4</v>
      </c>
      <c r="K2572" s="9" t="str">
        <f>TEXT(Sales_of_Jordan[[#This Row],[Sale_Date]],"mmm")</f>
        <v>Sep</v>
      </c>
    </row>
    <row r="2573" spans="1:11" x14ac:dyDescent="0.35">
      <c r="A2573" s="7" t="s">
        <v>2603</v>
      </c>
      <c r="B2573" s="8">
        <v>45795</v>
      </c>
      <c r="C2573" s="9" t="s">
        <v>21</v>
      </c>
      <c r="D2573" s="9" t="s">
        <v>53</v>
      </c>
      <c r="E2573" s="9" t="s">
        <v>13</v>
      </c>
      <c r="F2573" s="9">
        <v>220</v>
      </c>
      <c r="G2573" s="9">
        <v>181.34</v>
      </c>
      <c r="H2573" s="9" t="s">
        <v>32</v>
      </c>
      <c r="I2573" s="9">
        <v>45</v>
      </c>
      <c r="J2573" s="10">
        <v>-38.659999999999997</v>
      </c>
      <c r="K2573" s="9" t="str">
        <f>TEXT(Sales_of_Jordan[[#This Row],[Sale_Date]],"mmm")</f>
        <v>May</v>
      </c>
    </row>
    <row r="2574" spans="1:11" x14ac:dyDescent="0.35">
      <c r="A2574" s="7" t="s">
        <v>2604</v>
      </c>
      <c r="B2574" s="8">
        <v>45425</v>
      </c>
      <c r="C2574" s="9" t="s">
        <v>21</v>
      </c>
      <c r="D2574" s="9" t="s">
        <v>53</v>
      </c>
      <c r="E2574" s="9" t="s">
        <v>18</v>
      </c>
      <c r="F2574" s="9">
        <v>220</v>
      </c>
      <c r="G2574" s="9">
        <v>706.57</v>
      </c>
      <c r="H2574" s="9" t="s">
        <v>14</v>
      </c>
      <c r="I2574" s="9">
        <v>6</v>
      </c>
      <c r="J2574" s="10">
        <v>486.57</v>
      </c>
      <c r="K2574" s="9" t="str">
        <f>TEXT(Sales_of_Jordan[[#This Row],[Sale_Date]],"mmm")</f>
        <v>May</v>
      </c>
    </row>
    <row r="2575" spans="1:11" x14ac:dyDescent="0.35">
      <c r="A2575" s="7" t="s">
        <v>2605</v>
      </c>
      <c r="B2575" s="8">
        <v>45784</v>
      </c>
      <c r="C2575" s="9" t="s">
        <v>21</v>
      </c>
      <c r="D2575" s="9" t="s">
        <v>39</v>
      </c>
      <c r="E2575" s="9" t="s">
        <v>18</v>
      </c>
      <c r="F2575" s="9">
        <v>213</v>
      </c>
      <c r="G2575" s="9">
        <v>683.78</v>
      </c>
      <c r="H2575" s="9" t="s">
        <v>23</v>
      </c>
      <c r="I2575" s="9">
        <v>54</v>
      </c>
      <c r="J2575" s="10">
        <v>470.78</v>
      </c>
      <c r="K2575" s="9" t="str">
        <f>TEXT(Sales_of_Jordan[[#This Row],[Sale_Date]],"mmm")</f>
        <v>May</v>
      </c>
    </row>
    <row r="2576" spans="1:11" x14ac:dyDescent="0.35">
      <c r="A2576" s="7" t="s">
        <v>2606</v>
      </c>
      <c r="B2576" s="8">
        <v>45918</v>
      </c>
      <c r="C2576" s="9" t="s">
        <v>27</v>
      </c>
      <c r="D2576" s="9" t="s">
        <v>46</v>
      </c>
      <c r="E2576" s="9" t="s">
        <v>29</v>
      </c>
      <c r="F2576" s="9">
        <v>127</v>
      </c>
      <c r="G2576" s="9">
        <v>140.84</v>
      </c>
      <c r="H2576" s="9" t="s">
        <v>25</v>
      </c>
      <c r="I2576" s="9">
        <v>46</v>
      </c>
      <c r="J2576" s="10">
        <v>13.84</v>
      </c>
      <c r="K2576" s="9" t="str">
        <f>TEXT(Sales_of_Jordan[[#This Row],[Sale_Date]],"mmm")</f>
        <v>Sep</v>
      </c>
    </row>
    <row r="2577" spans="1:11" x14ac:dyDescent="0.35">
      <c r="A2577" s="7" t="s">
        <v>2607</v>
      </c>
      <c r="B2577" s="8">
        <v>44997</v>
      </c>
      <c r="C2577" s="9" t="s">
        <v>27</v>
      </c>
      <c r="D2577" s="9" t="s">
        <v>39</v>
      </c>
      <c r="E2577" s="9" t="s">
        <v>13</v>
      </c>
      <c r="F2577" s="9">
        <v>136</v>
      </c>
      <c r="G2577" s="9">
        <v>100.24</v>
      </c>
      <c r="H2577" s="9" t="s">
        <v>14</v>
      </c>
      <c r="I2577" s="9">
        <v>6</v>
      </c>
      <c r="J2577" s="10">
        <v>-35.76</v>
      </c>
      <c r="K2577" s="9" t="str">
        <f>TEXT(Sales_of_Jordan[[#This Row],[Sale_Date]],"mmm")</f>
        <v>Mar</v>
      </c>
    </row>
    <row r="2578" spans="1:11" x14ac:dyDescent="0.35">
      <c r="A2578" s="7" t="s">
        <v>2608</v>
      </c>
      <c r="B2578" s="8">
        <v>45138</v>
      </c>
      <c r="C2578" s="9" t="s">
        <v>21</v>
      </c>
      <c r="D2578" s="9" t="s">
        <v>39</v>
      </c>
      <c r="E2578" s="9" t="s">
        <v>29</v>
      </c>
      <c r="F2578" s="9">
        <v>220</v>
      </c>
      <c r="G2578" s="9">
        <v>261.97000000000003</v>
      </c>
      <c r="H2578" s="9" t="s">
        <v>25</v>
      </c>
      <c r="I2578" s="9">
        <v>33</v>
      </c>
      <c r="J2578" s="10">
        <v>41.97</v>
      </c>
      <c r="K2578" s="9" t="str">
        <f>TEXT(Sales_of_Jordan[[#This Row],[Sale_Date]],"mmm")</f>
        <v>Jul</v>
      </c>
    </row>
    <row r="2579" spans="1:11" x14ac:dyDescent="0.35">
      <c r="A2579" s="7" t="s">
        <v>2609</v>
      </c>
      <c r="B2579" s="8">
        <v>45287</v>
      </c>
      <c r="C2579" s="9" t="s">
        <v>21</v>
      </c>
      <c r="D2579" s="9" t="s">
        <v>39</v>
      </c>
      <c r="E2579" s="9" t="s">
        <v>18</v>
      </c>
      <c r="F2579" s="9">
        <v>225</v>
      </c>
      <c r="G2579" s="9">
        <v>783.44</v>
      </c>
      <c r="H2579" s="9" t="s">
        <v>14</v>
      </c>
      <c r="I2579" s="9">
        <v>3</v>
      </c>
      <c r="J2579" s="10">
        <v>558.44000000000005</v>
      </c>
      <c r="K2579" s="9" t="str">
        <f>TEXT(Sales_of_Jordan[[#This Row],[Sale_Date]],"mmm")</f>
        <v>Dec</v>
      </c>
    </row>
    <row r="2580" spans="1:11" x14ac:dyDescent="0.35">
      <c r="A2580" s="7" t="s">
        <v>2610</v>
      </c>
      <c r="B2580" s="8">
        <v>45093</v>
      </c>
      <c r="C2580" s="9" t="s">
        <v>31</v>
      </c>
      <c r="D2580" s="9" t="s">
        <v>34</v>
      </c>
      <c r="E2580" s="9" t="s">
        <v>13</v>
      </c>
      <c r="F2580" s="9">
        <v>208</v>
      </c>
      <c r="G2580" s="9">
        <v>160.91</v>
      </c>
      <c r="H2580" s="9" t="s">
        <v>25</v>
      </c>
      <c r="I2580" s="9">
        <v>21</v>
      </c>
      <c r="J2580" s="10">
        <v>-47.09</v>
      </c>
      <c r="K2580" s="9" t="str">
        <f>TEXT(Sales_of_Jordan[[#This Row],[Sale_Date]],"mmm")</f>
        <v>Jun</v>
      </c>
    </row>
    <row r="2581" spans="1:11" x14ac:dyDescent="0.35">
      <c r="A2581" s="7" t="s">
        <v>2611</v>
      </c>
      <c r="B2581" s="8">
        <v>45915</v>
      </c>
      <c r="C2581" s="9" t="s">
        <v>31</v>
      </c>
      <c r="D2581" s="9" t="s">
        <v>22</v>
      </c>
      <c r="E2581" s="9" t="s">
        <v>29</v>
      </c>
      <c r="F2581" s="9">
        <v>201</v>
      </c>
      <c r="G2581" s="9">
        <v>263.23</v>
      </c>
      <c r="H2581" s="9" t="s">
        <v>23</v>
      </c>
      <c r="I2581" s="9">
        <v>45</v>
      </c>
      <c r="J2581" s="10">
        <v>62.23</v>
      </c>
      <c r="K2581" s="9" t="str">
        <f>TEXT(Sales_of_Jordan[[#This Row],[Sale_Date]],"mmm")</f>
        <v>Sep</v>
      </c>
    </row>
    <row r="2582" spans="1:11" x14ac:dyDescent="0.35">
      <c r="A2582" s="7" t="s">
        <v>2612</v>
      </c>
      <c r="B2582" s="8">
        <v>45789</v>
      </c>
      <c r="C2582" s="9" t="s">
        <v>16</v>
      </c>
      <c r="D2582" s="9" t="s">
        <v>55</v>
      </c>
      <c r="E2582" s="9" t="s">
        <v>29</v>
      </c>
      <c r="F2582" s="9">
        <v>179</v>
      </c>
      <c r="G2582" s="9">
        <v>249.24</v>
      </c>
      <c r="H2582" s="9" t="s">
        <v>14</v>
      </c>
      <c r="I2582" s="9">
        <v>11</v>
      </c>
      <c r="J2582" s="10">
        <v>70.239999999999995</v>
      </c>
      <c r="K2582" s="9" t="str">
        <f>TEXT(Sales_of_Jordan[[#This Row],[Sale_Date]],"mmm")</f>
        <v>May</v>
      </c>
    </row>
    <row r="2583" spans="1:11" x14ac:dyDescent="0.35">
      <c r="A2583" s="7" t="s">
        <v>2613</v>
      </c>
      <c r="B2583" s="8">
        <v>44972</v>
      </c>
      <c r="C2583" s="9" t="s">
        <v>27</v>
      </c>
      <c r="D2583" s="9" t="s">
        <v>17</v>
      </c>
      <c r="E2583" s="9" t="s">
        <v>29</v>
      </c>
      <c r="F2583" s="9">
        <v>124</v>
      </c>
      <c r="G2583" s="9">
        <v>150.24</v>
      </c>
      <c r="H2583" s="9" t="s">
        <v>19</v>
      </c>
      <c r="I2583" s="9">
        <v>2</v>
      </c>
      <c r="J2583" s="10">
        <v>26.24</v>
      </c>
      <c r="K2583" s="9" t="str">
        <f>TEXT(Sales_of_Jordan[[#This Row],[Sale_Date]],"mmm")</f>
        <v>Feb</v>
      </c>
    </row>
    <row r="2584" spans="1:11" x14ac:dyDescent="0.35">
      <c r="A2584" s="7" t="s">
        <v>2614</v>
      </c>
      <c r="B2584" s="8">
        <v>45328</v>
      </c>
      <c r="C2584" s="9" t="s">
        <v>11</v>
      </c>
      <c r="D2584" s="9" t="s">
        <v>39</v>
      </c>
      <c r="E2584" s="9" t="s">
        <v>18</v>
      </c>
      <c r="F2584" s="9">
        <v>227</v>
      </c>
      <c r="G2584" s="9">
        <v>485.29</v>
      </c>
      <c r="H2584" s="9" t="s">
        <v>32</v>
      </c>
      <c r="I2584" s="9">
        <v>6</v>
      </c>
      <c r="J2584" s="10">
        <v>258.29000000000002</v>
      </c>
      <c r="K2584" s="9" t="str">
        <f>TEXT(Sales_of_Jordan[[#This Row],[Sale_Date]],"mmm")</f>
        <v>Feb</v>
      </c>
    </row>
    <row r="2585" spans="1:11" x14ac:dyDescent="0.35">
      <c r="A2585" s="7" t="s">
        <v>2615</v>
      </c>
      <c r="B2585" s="8">
        <v>44956</v>
      </c>
      <c r="C2585" s="9" t="s">
        <v>27</v>
      </c>
      <c r="D2585" s="9" t="s">
        <v>46</v>
      </c>
      <c r="E2585" s="9" t="s">
        <v>13</v>
      </c>
      <c r="F2585" s="9">
        <v>127</v>
      </c>
      <c r="G2585" s="9">
        <v>90.73</v>
      </c>
      <c r="H2585" s="9" t="s">
        <v>23</v>
      </c>
      <c r="I2585" s="9">
        <v>30</v>
      </c>
      <c r="J2585" s="10">
        <v>-36.269999999999897</v>
      </c>
      <c r="K2585" s="9" t="str">
        <f>TEXT(Sales_of_Jordan[[#This Row],[Sale_Date]],"mmm")</f>
        <v>Jan</v>
      </c>
    </row>
    <row r="2586" spans="1:11" x14ac:dyDescent="0.35">
      <c r="A2586" s="7" t="s">
        <v>2616</v>
      </c>
      <c r="B2586" s="8">
        <v>45323</v>
      </c>
      <c r="C2586" s="9" t="s">
        <v>27</v>
      </c>
      <c r="D2586" s="9" t="s">
        <v>12</v>
      </c>
      <c r="E2586" s="9" t="s">
        <v>29</v>
      </c>
      <c r="F2586" s="9">
        <v>133</v>
      </c>
      <c r="G2586" s="9">
        <v>133.72</v>
      </c>
      <c r="H2586" s="9" t="s">
        <v>14</v>
      </c>
      <c r="I2586" s="9">
        <v>9</v>
      </c>
      <c r="J2586" s="10">
        <v>0.71999999999999797</v>
      </c>
      <c r="K2586" s="9" t="str">
        <f>TEXT(Sales_of_Jordan[[#This Row],[Sale_Date]],"mmm")</f>
        <v>Feb</v>
      </c>
    </row>
    <row r="2587" spans="1:11" x14ac:dyDescent="0.35">
      <c r="A2587" s="7" t="s">
        <v>2617</v>
      </c>
      <c r="B2587" s="8">
        <v>44962</v>
      </c>
      <c r="C2587" s="9" t="s">
        <v>16</v>
      </c>
      <c r="D2587" s="9" t="s">
        <v>55</v>
      </c>
      <c r="E2587" s="9" t="s">
        <v>18</v>
      </c>
      <c r="F2587" s="9">
        <v>175</v>
      </c>
      <c r="G2587" s="9">
        <v>414.04</v>
      </c>
      <c r="H2587" s="9" t="s">
        <v>25</v>
      </c>
      <c r="I2587" s="9">
        <v>35</v>
      </c>
      <c r="J2587" s="10">
        <v>239.04</v>
      </c>
      <c r="K2587" s="9" t="str">
        <f>TEXT(Sales_of_Jordan[[#This Row],[Sale_Date]],"mmm")</f>
        <v>Feb</v>
      </c>
    </row>
    <row r="2588" spans="1:11" x14ac:dyDescent="0.35">
      <c r="A2588" s="7" t="s">
        <v>2618</v>
      </c>
      <c r="B2588" s="8">
        <v>45736</v>
      </c>
      <c r="C2588" s="9" t="s">
        <v>31</v>
      </c>
      <c r="D2588" s="9" t="s">
        <v>46</v>
      </c>
      <c r="E2588" s="9" t="s">
        <v>29</v>
      </c>
      <c r="F2588" s="9">
        <v>201</v>
      </c>
      <c r="G2588" s="9">
        <v>186.92</v>
      </c>
      <c r="H2588" s="9" t="s">
        <v>19</v>
      </c>
      <c r="I2588" s="9">
        <v>12</v>
      </c>
      <c r="J2588" s="10">
        <v>-14.08</v>
      </c>
      <c r="K2588" s="9" t="str">
        <f>TEXT(Sales_of_Jordan[[#This Row],[Sale_Date]],"mmm")</f>
        <v>Mar</v>
      </c>
    </row>
    <row r="2589" spans="1:11" x14ac:dyDescent="0.35">
      <c r="A2589" s="7" t="s">
        <v>2619</v>
      </c>
      <c r="B2589" s="8">
        <v>45580</v>
      </c>
      <c r="C2589" s="9" t="s">
        <v>21</v>
      </c>
      <c r="D2589" s="9" t="s">
        <v>22</v>
      </c>
      <c r="E2589" s="9" t="s">
        <v>13</v>
      </c>
      <c r="F2589" s="9">
        <v>212</v>
      </c>
      <c r="G2589" s="9">
        <v>157.87</v>
      </c>
      <c r="H2589" s="9" t="s">
        <v>19</v>
      </c>
      <c r="I2589" s="9">
        <v>4</v>
      </c>
      <c r="J2589" s="10">
        <v>-54.129999999999903</v>
      </c>
      <c r="K2589" s="9" t="str">
        <f>TEXT(Sales_of_Jordan[[#This Row],[Sale_Date]],"mmm")</f>
        <v>Oct</v>
      </c>
    </row>
    <row r="2590" spans="1:11" x14ac:dyDescent="0.35">
      <c r="A2590" s="7" t="s">
        <v>2620</v>
      </c>
      <c r="B2590" s="8">
        <v>45814</v>
      </c>
      <c r="C2590" s="9" t="s">
        <v>27</v>
      </c>
      <c r="D2590" s="9" t="s">
        <v>55</v>
      </c>
      <c r="E2590" s="9" t="s">
        <v>29</v>
      </c>
      <c r="F2590" s="9">
        <v>132</v>
      </c>
      <c r="G2590" s="9">
        <v>184.56</v>
      </c>
      <c r="H2590" s="9" t="s">
        <v>14</v>
      </c>
      <c r="I2590" s="9">
        <v>4</v>
      </c>
      <c r="J2590" s="10">
        <v>52.56</v>
      </c>
      <c r="K2590" s="9" t="str">
        <f>TEXT(Sales_of_Jordan[[#This Row],[Sale_Date]],"mmm")</f>
        <v>Jun</v>
      </c>
    </row>
    <row r="2591" spans="1:11" x14ac:dyDescent="0.35">
      <c r="A2591" s="7" t="s">
        <v>2621</v>
      </c>
      <c r="B2591" s="8">
        <v>44987</v>
      </c>
      <c r="C2591" s="9" t="s">
        <v>11</v>
      </c>
      <c r="D2591" s="9" t="s">
        <v>53</v>
      </c>
      <c r="E2591" s="9" t="s">
        <v>13</v>
      </c>
      <c r="F2591" s="9">
        <v>229</v>
      </c>
      <c r="G2591" s="9">
        <v>121.18</v>
      </c>
      <c r="H2591" s="9" t="s">
        <v>25</v>
      </c>
      <c r="I2591" s="9">
        <v>56</v>
      </c>
      <c r="J2591" s="10">
        <v>-107.82</v>
      </c>
      <c r="K2591" s="9" t="str">
        <f>TEXT(Sales_of_Jordan[[#This Row],[Sale_Date]],"mmm")</f>
        <v>Mar</v>
      </c>
    </row>
    <row r="2592" spans="1:11" x14ac:dyDescent="0.35">
      <c r="A2592" s="7" t="s">
        <v>2622</v>
      </c>
      <c r="B2592" s="8">
        <v>45810</v>
      </c>
      <c r="C2592" s="9" t="s">
        <v>27</v>
      </c>
      <c r="D2592" s="9" t="s">
        <v>12</v>
      </c>
      <c r="E2592" s="9" t="s">
        <v>18</v>
      </c>
      <c r="F2592" s="9">
        <v>132</v>
      </c>
      <c r="G2592" s="9">
        <v>171.66</v>
      </c>
      <c r="H2592" s="9" t="s">
        <v>19</v>
      </c>
      <c r="I2592" s="9">
        <v>2</v>
      </c>
      <c r="J2592" s="10">
        <v>39.659999999999997</v>
      </c>
      <c r="K2592" s="9" t="str">
        <f>TEXT(Sales_of_Jordan[[#This Row],[Sale_Date]],"mmm")</f>
        <v>Jun</v>
      </c>
    </row>
    <row r="2593" spans="1:11" x14ac:dyDescent="0.35">
      <c r="A2593" s="7" t="s">
        <v>2623</v>
      </c>
      <c r="B2593" s="8">
        <v>45886</v>
      </c>
      <c r="C2593" s="9" t="s">
        <v>11</v>
      </c>
      <c r="D2593" s="9" t="s">
        <v>39</v>
      </c>
      <c r="E2593" s="9" t="s">
        <v>13</v>
      </c>
      <c r="F2593" s="9">
        <v>226</v>
      </c>
      <c r="G2593" s="9">
        <v>195.26</v>
      </c>
      <c r="H2593" s="9" t="s">
        <v>19</v>
      </c>
      <c r="I2593" s="9">
        <v>1</v>
      </c>
      <c r="J2593" s="10">
        <v>-30.74</v>
      </c>
      <c r="K2593" s="9" t="str">
        <f>TEXT(Sales_of_Jordan[[#This Row],[Sale_Date]],"mmm")</f>
        <v>Aug</v>
      </c>
    </row>
    <row r="2594" spans="1:11" x14ac:dyDescent="0.35">
      <c r="A2594" s="7" t="s">
        <v>2624</v>
      </c>
      <c r="B2594" s="8">
        <v>44974</v>
      </c>
      <c r="C2594" s="9" t="s">
        <v>21</v>
      </c>
      <c r="D2594" s="9" t="s">
        <v>39</v>
      </c>
      <c r="E2594" s="9" t="s">
        <v>18</v>
      </c>
      <c r="F2594" s="9">
        <v>220</v>
      </c>
      <c r="G2594" s="9">
        <v>499.98</v>
      </c>
      <c r="H2594" s="9" t="s">
        <v>14</v>
      </c>
      <c r="I2594" s="9">
        <v>2</v>
      </c>
      <c r="J2594" s="10">
        <v>279.98</v>
      </c>
      <c r="K2594" s="9" t="str">
        <f>TEXT(Sales_of_Jordan[[#This Row],[Sale_Date]],"mmm")</f>
        <v>Feb</v>
      </c>
    </row>
    <row r="2595" spans="1:11" x14ac:dyDescent="0.35">
      <c r="A2595" s="7" t="s">
        <v>2625</v>
      </c>
      <c r="B2595" s="8">
        <v>45031</v>
      </c>
      <c r="C2595" s="9" t="s">
        <v>27</v>
      </c>
      <c r="D2595" s="9" t="s">
        <v>22</v>
      </c>
      <c r="E2595" s="9" t="s">
        <v>18</v>
      </c>
      <c r="F2595" s="9">
        <v>120</v>
      </c>
      <c r="G2595" s="9">
        <v>162.78</v>
      </c>
      <c r="H2595" s="9" t="s">
        <v>23</v>
      </c>
      <c r="I2595" s="9">
        <v>58</v>
      </c>
      <c r="J2595" s="10">
        <v>42.78</v>
      </c>
      <c r="K2595" s="9" t="str">
        <f>TEXT(Sales_of_Jordan[[#This Row],[Sale_Date]],"mmm")</f>
        <v>Apr</v>
      </c>
    </row>
    <row r="2596" spans="1:11" x14ac:dyDescent="0.35">
      <c r="A2596" s="7" t="s">
        <v>2626</v>
      </c>
      <c r="B2596" s="8">
        <v>45817</v>
      </c>
      <c r="C2596" s="9" t="s">
        <v>21</v>
      </c>
      <c r="D2596" s="9" t="s">
        <v>53</v>
      </c>
      <c r="E2596" s="9" t="s">
        <v>18</v>
      </c>
      <c r="F2596" s="9">
        <v>219</v>
      </c>
      <c r="G2596" s="9">
        <v>710.32</v>
      </c>
      <c r="H2596" s="9" t="s">
        <v>14</v>
      </c>
      <c r="I2596" s="9">
        <v>12</v>
      </c>
      <c r="J2596" s="10">
        <v>491.32</v>
      </c>
      <c r="K2596" s="9" t="str">
        <f>TEXT(Sales_of_Jordan[[#This Row],[Sale_Date]],"mmm")</f>
        <v>Jun</v>
      </c>
    </row>
    <row r="2597" spans="1:11" x14ac:dyDescent="0.35">
      <c r="A2597" s="7" t="s">
        <v>2627</v>
      </c>
      <c r="B2597" s="8">
        <v>45899</v>
      </c>
      <c r="C2597" s="9" t="s">
        <v>31</v>
      </c>
      <c r="D2597" s="9" t="s">
        <v>46</v>
      </c>
      <c r="E2597" s="9" t="s">
        <v>18</v>
      </c>
      <c r="F2597" s="9">
        <v>200</v>
      </c>
      <c r="G2597" s="9">
        <v>423.83</v>
      </c>
      <c r="H2597" s="9" t="s">
        <v>19</v>
      </c>
      <c r="I2597" s="9">
        <v>1</v>
      </c>
      <c r="J2597" s="10">
        <v>223.82999999999899</v>
      </c>
      <c r="K2597" s="9" t="str">
        <f>TEXT(Sales_of_Jordan[[#This Row],[Sale_Date]],"mmm")</f>
        <v>Aug</v>
      </c>
    </row>
    <row r="2598" spans="1:11" x14ac:dyDescent="0.35">
      <c r="A2598" s="7" t="s">
        <v>2628</v>
      </c>
      <c r="B2598" s="8">
        <v>45212</v>
      </c>
      <c r="C2598" s="9" t="s">
        <v>31</v>
      </c>
      <c r="D2598" s="9" t="s">
        <v>53</v>
      </c>
      <c r="E2598" s="9" t="s">
        <v>29</v>
      </c>
      <c r="F2598" s="9">
        <v>202</v>
      </c>
      <c r="G2598" s="9">
        <v>198.7</v>
      </c>
      <c r="H2598" s="9" t="s">
        <v>23</v>
      </c>
      <c r="I2598" s="9">
        <v>13</v>
      </c>
      <c r="J2598" s="10">
        <v>-3.30000000000001</v>
      </c>
      <c r="K2598" s="9" t="str">
        <f>TEXT(Sales_of_Jordan[[#This Row],[Sale_Date]],"mmm")</f>
        <v>Oct</v>
      </c>
    </row>
    <row r="2599" spans="1:11" x14ac:dyDescent="0.35">
      <c r="A2599" s="7" t="s">
        <v>2629</v>
      </c>
      <c r="B2599" s="8">
        <v>45357</v>
      </c>
      <c r="C2599" s="9" t="s">
        <v>11</v>
      </c>
      <c r="D2599" s="9" t="s">
        <v>55</v>
      </c>
      <c r="E2599" s="9" t="s">
        <v>29</v>
      </c>
      <c r="F2599" s="9">
        <v>226</v>
      </c>
      <c r="G2599" s="9">
        <v>232.47</v>
      </c>
      <c r="H2599" s="9" t="s">
        <v>23</v>
      </c>
      <c r="I2599" s="9">
        <v>26</v>
      </c>
      <c r="J2599" s="10">
        <v>6.46999999999999</v>
      </c>
      <c r="K2599" s="9" t="str">
        <f>TEXT(Sales_of_Jordan[[#This Row],[Sale_Date]],"mmm")</f>
        <v>Mar</v>
      </c>
    </row>
    <row r="2600" spans="1:11" x14ac:dyDescent="0.35">
      <c r="A2600" s="7" t="s">
        <v>2630</v>
      </c>
      <c r="B2600" s="8">
        <v>45265</v>
      </c>
      <c r="C2600" s="9" t="s">
        <v>21</v>
      </c>
      <c r="D2600" s="9" t="s">
        <v>34</v>
      </c>
      <c r="E2600" s="9" t="s">
        <v>13</v>
      </c>
      <c r="F2600" s="9">
        <v>212</v>
      </c>
      <c r="G2600" s="9">
        <v>172.24</v>
      </c>
      <c r="H2600" s="9" t="s">
        <v>14</v>
      </c>
      <c r="I2600" s="9">
        <v>13</v>
      </c>
      <c r="J2600" s="10">
        <v>-39.759999999999899</v>
      </c>
      <c r="K2600" s="9" t="str">
        <f>TEXT(Sales_of_Jordan[[#This Row],[Sale_Date]],"mmm")</f>
        <v>Dec</v>
      </c>
    </row>
    <row r="2601" spans="1:11" x14ac:dyDescent="0.35">
      <c r="A2601" s="7" t="s">
        <v>2631</v>
      </c>
      <c r="B2601" s="8">
        <v>45081</v>
      </c>
      <c r="C2601" s="9" t="s">
        <v>11</v>
      </c>
      <c r="D2601" s="9" t="s">
        <v>17</v>
      </c>
      <c r="E2601" s="9" t="s">
        <v>13</v>
      </c>
      <c r="F2601" s="9">
        <v>228</v>
      </c>
      <c r="G2601" s="9">
        <v>166.13</v>
      </c>
      <c r="H2601" s="9" t="s">
        <v>32</v>
      </c>
      <c r="I2601" s="9">
        <v>7</v>
      </c>
      <c r="J2601" s="10">
        <v>-61.87</v>
      </c>
      <c r="K2601" s="9" t="str">
        <f>TEXT(Sales_of_Jordan[[#This Row],[Sale_Date]],"mmm")</f>
        <v>Jun</v>
      </c>
    </row>
    <row r="2602" spans="1:11" x14ac:dyDescent="0.35">
      <c r="A2602" s="7" t="s">
        <v>2632</v>
      </c>
      <c r="B2602" s="8">
        <v>45544</v>
      </c>
      <c r="C2602" s="9" t="s">
        <v>21</v>
      </c>
      <c r="D2602" s="9" t="s">
        <v>17</v>
      </c>
      <c r="E2602" s="9" t="s">
        <v>13</v>
      </c>
      <c r="F2602" s="9">
        <v>217</v>
      </c>
      <c r="G2602" s="9">
        <v>130.07</v>
      </c>
      <c r="H2602" s="9" t="s">
        <v>23</v>
      </c>
      <c r="I2602" s="9">
        <v>49</v>
      </c>
      <c r="J2602" s="10">
        <v>-86.93</v>
      </c>
      <c r="K2602" s="9" t="str">
        <f>TEXT(Sales_of_Jordan[[#This Row],[Sale_Date]],"mmm")</f>
        <v>Sep</v>
      </c>
    </row>
    <row r="2603" spans="1:11" x14ac:dyDescent="0.35">
      <c r="A2603" s="7" t="s">
        <v>2633</v>
      </c>
      <c r="B2603" s="8">
        <v>45264</v>
      </c>
      <c r="C2603" s="9" t="s">
        <v>21</v>
      </c>
      <c r="D2603" s="9" t="s">
        <v>46</v>
      </c>
      <c r="E2603" s="9" t="s">
        <v>29</v>
      </c>
      <c r="F2603" s="9">
        <v>213</v>
      </c>
      <c r="G2603" s="9">
        <v>297.88</v>
      </c>
      <c r="H2603" s="9" t="s">
        <v>25</v>
      </c>
      <c r="I2603" s="9">
        <v>28</v>
      </c>
      <c r="J2603" s="10">
        <v>84.88</v>
      </c>
      <c r="K2603" s="9" t="str">
        <f>TEXT(Sales_of_Jordan[[#This Row],[Sale_Date]],"mmm")</f>
        <v>Dec</v>
      </c>
    </row>
    <row r="2604" spans="1:11" x14ac:dyDescent="0.35">
      <c r="A2604" s="7" t="s">
        <v>2634</v>
      </c>
      <c r="B2604" s="8">
        <v>45651</v>
      </c>
      <c r="C2604" s="9" t="s">
        <v>11</v>
      </c>
      <c r="D2604" s="9" t="s">
        <v>17</v>
      </c>
      <c r="E2604" s="9" t="s">
        <v>13</v>
      </c>
      <c r="F2604" s="9">
        <v>228</v>
      </c>
      <c r="G2604" s="9">
        <v>116.28</v>
      </c>
      <c r="H2604" s="9" t="s">
        <v>23</v>
      </c>
      <c r="I2604" s="9">
        <v>28</v>
      </c>
      <c r="J2604" s="10">
        <v>-111.72</v>
      </c>
      <c r="K2604" s="9" t="str">
        <f>TEXT(Sales_of_Jordan[[#This Row],[Sale_Date]],"mmm")</f>
        <v>Dec</v>
      </c>
    </row>
    <row r="2605" spans="1:11" x14ac:dyDescent="0.35">
      <c r="A2605" s="7" t="s">
        <v>2635</v>
      </c>
      <c r="B2605" s="8">
        <v>45237</v>
      </c>
      <c r="C2605" s="9" t="s">
        <v>16</v>
      </c>
      <c r="D2605" s="9" t="s">
        <v>22</v>
      </c>
      <c r="E2605" s="9" t="s">
        <v>18</v>
      </c>
      <c r="F2605" s="9">
        <v>185</v>
      </c>
      <c r="G2605" s="9">
        <v>332.7</v>
      </c>
      <c r="H2605" s="9" t="s">
        <v>19</v>
      </c>
      <c r="I2605" s="9">
        <v>7</v>
      </c>
      <c r="J2605" s="10">
        <v>147.69999999999999</v>
      </c>
      <c r="K2605" s="9" t="str">
        <f>TEXT(Sales_of_Jordan[[#This Row],[Sale_Date]],"mmm")</f>
        <v>Nov</v>
      </c>
    </row>
    <row r="2606" spans="1:11" x14ac:dyDescent="0.35">
      <c r="A2606" s="7" t="s">
        <v>2636</v>
      </c>
      <c r="B2606" s="8">
        <v>45350</v>
      </c>
      <c r="C2606" s="9" t="s">
        <v>31</v>
      </c>
      <c r="D2606" s="9" t="s">
        <v>55</v>
      </c>
      <c r="E2606" s="9" t="s">
        <v>18</v>
      </c>
      <c r="F2606" s="9">
        <v>204</v>
      </c>
      <c r="G2606" s="9">
        <v>430.32</v>
      </c>
      <c r="H2606" s="9" t="s">
        <v>23</v>
      </c>
      <c r="I2606" s="9">
        <v>6</v>
      </c>
      <c r="J2606" s="10">
        <v>226.32</v>
      </c>
      <c r="K2606" s="9" t="str">
        <f>TEXT(Sales_of_Jordan[[#This Row],[Sale_Date]],"mmm")</f>
        <v>Feb</v>
      </c>
    </row>
    <row r="2607" spans="1:11" x14ac:dyDescent="0.35">
      <c r="A2607" s="7" t="s">
        <v>2637</v>
      </c>
      <c r="B2607" s="8">
        <v>45416</v>
      </c>
      <c r="C2607" s="9" t="s">
        <v>16</v>
      </c>
      <c r="D2607" s="9" t="s">
        <v>36</v>
      </c>
      <c r="E2607" s="9" t="s">
        <v>29</v>
      </c>
      <c r="F2607" s="9">
        <v>175</v>
      </c>
      <c r="G2607" s="9">
        <v>245.18</v>
      </c>
      <c r="H2607" s="9" t="s">
        <v>14</v>
      </c>
      <c r="I2607" s="9">
        <v>10</v>
      </c>
      <c r="J2607" s="10">
        <v>70.180000000000007</v>
      </c>
      <c r="K2607" s="9" t="str">
        <f>TEXT(Sales_of_Jordan[[#This Row],[Sale_Date]],"mmm")</f>
        <v>May</v>
      </c>
    </row>
    <row r="2608" spans="1:11" x14ac:dyDescent="0.35">
      <c r="A2608" s="7" t="s">
        <v>2638</v>
      </c>
      <c r="B2608" s="8">
        <v>45754</v>
      </c>
      <c r="C2608" s="9" t="s">
        <v>21</v>
      </c>
      <c r="D2608" s="9" t="s">
        <v>46</v>
      </c>
      <c r="E2608" s="9" t="s">
        <v>18</v>
      </c>
      <c r="F2608" s="9">
        <v>213</v>
      </c>
      <c r="G2608" s="9">
        <v>385.46</v>
      </c>
      <c r="H2608" s="9" t="s">
        <v>32</v>
      </c>
      <c r="I2608" s="9">
        <v>59</v>
      </c>
      <c r="J2608" s="10">
        <v>172.45999999999901</v>
      </c>
      <c r="K2608" s="9" t="str">
        <f>TEXT(Sales_of_Jordan[[#This Row],[Sale_Date]],"mmm")</f>
        <v>Apr</v>
      </c>
    </row>
    <row r="2609" spans="1:11" x14ac:dyDescent="0.35">
      <c r="A2609" s="7" t="s">
        <v>2639</v>
      </c>
      <c r="B2609" s="8">
        <v>45201</v>
      </c>
      <c r="C2609" s="9" t="s">
        <v>31</v>
      </c>
      <c r="D2609" s="9" t="s">
        <v>34</v>
      </c>
      <c r="E2609" s="9" t="s">
        <v>13</v>
      </c>
      <c r="F2609" s="9">
        <v>210</v>
      </c>
      <c r="G2609" s="9">
        <v>133.36000000000001</v>
      </c>
      <c r="H2609" s="9" t="s">
        <v>32</v>
      </c>
      <c r="I2609" s="9">
        <v>59</v>
      </c>
      <c r="J2609" s="10">
        <v>-76.639999999999901</v>
      </c>
      <c r="K2609" s="9" t="str">
        <f>TEXT(Sales_of_Jordan[[#This Row],[Sale_Date]],"mmm")</f>
        <v>Oct</v>
      </c>
    </row>
    <row r="2610" spans="1:11" x14ac:dyDescent="0.35">
      <c r="A2610" s="7" t="s">
        <v>2640</v>
      </c>
      <c r="B2610" s="8">
        <v>45248</v>
      </c>
      <c r="C2610" s="9" t="s">
        <v>11</v>
      </c>
      <c r="D2610" s="9" t="s">
        <v>55</v>
      </c>
      <c r="E2610" s="9" t="s">
        <v>29</v>
      </c>
      <c r="F2610" s="9">
        <v>227</v>
      </c>
      <c r="G2610" s="9">
        <v>251.99</v>
      </c>
      <c r="H2610" s="9" t="s">
        <v>32</v>
      </c>
      <c r="I2610" s="9">
        <v>27</v>
      </c>
      <c r="J2610" s="10">
        <v>24.99</v>
      </c>
      <c r="K2610" s="9" t="str">
        <f>TEXT(Sales_of_Jordan[[#This Row],[Sale_Date]],"mmm")</f>
        <v>Nov</v>
      </c>
    </row>
    <row r="2611" spans="1:11" x14ac:dyDescent="0.35">
      <c r="A2611" s="7" t="s">
        <v>2641</v>
      </c>
      <c r="B2611" s="8">
        <v>45737</v>
      </c>
      <c r="C2611" s="9" t="s">
        <v>31</v>
      </c>
      <c r="D2611" s="9" t="s">
        <v>46</v>
      </c>
      <c r="E2611" s="9" t="s">
        <v>18</v>
      </c>
      <c r="F2611" s="9">
        <v>209</v>
      </c>
      <c r="G2611" s="9">
        <v>706.77</v>
      </c>
      <c r="H2611" s="9" t="s">
        <v>23</v>
      </c>
      <c r="I2611" s="9">
        <v>21</v>
      </c>
      <c r="J2611" s="10">
        <v>497.77</v>
      </c>
      <c r="K2611" s="9" t="str">
        <f>TEXT(Sales_of_Jordan[[#This Row],[Sale_Date]],"mmm")</f>
        <v>Mar</v>
      </c>
    </row>
    <row r="2612" spans="1:11" x14ac:dyDescent="0.35">
      <c r="A2612" s="7" t="s">
        <v>2642</v>
      </c>
      <c r="B2612" s="8">
        <v>45073</v>
      </c>
      <c r="C2612" s="9" t="s">
        <v>16</v>
      </c>
      <c r="D2612" s="9" t="s">
        <v>22</v>
      </c>
      <c r="E2612" s="9" t="s">
        <v>18</v>
      </c>
      <c r="F2612" s="9">
        <v>190</v>
      </c>
      <c r="G2612" s="9">
        <v>557.74</v>
      </c>
      <c r="H2612" s="9" t="s">
        <v>32</v>
      </c>
      <c r="I2612" s="9">
        <v>45</v>
      </c>
      <c r="J2612" s="10">
        <v>367.74</v>
      </c>
      <c r="K2612" s="9" t="str">
        <f>TEXT(Sales_of_Jordan[[#This Row],[Sale_Date]],"mmm")</f>
        <v>May</v>
      </c>
    </row>
    <row r="2613" spans="1:11" x14ac:dyDescent="0.35">
      <c r="A2613" s="7" t="s">
        <v>2643</v>
      </c>
      <c r="B2613" s="8">
        <v>45150</v>
      </c>
      <c r="C2613" s="9" t="s">
        <v>11</v>
      </c>
      <c r="D2613" s="9" t="s">
        <v>17</v>
      </c>
      <c r="E2613" s="9" t="s">
        <v>29</v>
      </c>
      <c r="F2613" s="9">
        <v>229</v>
      </c>
      <c r="G2613" s="9">
        <v>257.64999999999998</v>
      </c>
      <c r="H2613" s="9" t="s">
        <v>32</v>
      </c>
      <c r="I2613" s="9">
        <v>43</v>
      </c>
      <c r="J2613" s="10">
        <v>28.649999999999899</v>
      </c>
      <c r="K2613" s="9" t="str">
        <f>TEXT(Sales_of_Jordan[[#This Row],[Sale_Date]],"mmm")</f>
        <v>Aug</v>
      </c>
    </row>
    <row r="2614" spans="1:11" x14ac:dyDescent="0.35">
      <c r="A2614" s="7" t="s">
        <v>2644</v>
      </c>
      <c r="B2614" s="8">
        <v>45670</v>
      </c>
      <c r="C2614" s="9" t="s">
        <v>31</v>
      </c>
      <c r="D2614" s="9" t="s">
        <v>55</v>
      </c>
      <c r="E2614" s="9" t="s">
        <v>13</v>
      </c>
      <c r="F2614" s="9">
        <v>208</v>
      </c>
      <c r="G2614" s="9">
        <v>117.23</v>
      </c>
      <c r="H2614" s="9" t="s">
        <v>32</v>
      </c>
      <c r="I2614" s="9">
        <v>17</v>
      </c>
      <c r="J2614" s="10">
        <v>-90.77</v>
      </c>
      <c r="K2614" s="9" t="str">
        <f>TEXT(Sales_of_Jordan[[#This Row],[Sale_Date]],"mmm")</f>
        <v>Jan</v>
      </c>
    </row>
    <row r="2615" spans="1:11" x14ac:dyDescent="0.35">
      <c r="A2615" s="7" t="s">
        <v>2645</v>
      </c>
      <c r="B2615" s="8">
        <v>45500</v>
      </c>
      <c r="C2615" s="9" t="s">
        <v>27</v>
      </c>
      <c r="D2615" s="9" t="s">
        <v>17</v>
      </c>
      <c r="E2615" s="9" t="s">
        <v>13</v>
      </c>
      <c r="F2615" s="9">
        <v>123</v>
      </c>
      <c r="G2615" s="9">
        <v>107.04</v>
      </c>
      <c r="H2615" s="9" t="s">
        <v>23</v>
      </c>
      <c r="I2615" s="9">
        <v>28</v>
      </c>
      <c r="J2615" s="10">
        <v>-15.9599999999999</v>
      </c>
      <c r="K2615" s="9" t="str">
        <f>TEXT(Sales_of_Jordan[[#This Row],[Sale_Date]],"mmm")</f>
        <v>Jul</v>
      </c>
    </row>
    <row r="2616" spans="1:11" x14ac:dyDescent="0.35">
      <c r="A2616" s="7" t="s">
        <v>2646</v>
      </c>
      <c r="B2616" s="8">
        <v>45101</v>
      </c>
      <c r="C2616" s="9" t="s">
        <v>16</v>
      </c>
      <c r="D2616" s="9" t="s">
        <v>53</v>
      </c>
      <c r="E2616" s="9" t="s">
        <v>29</v>
      </c>
      <c r="F2616" s="9">
        <v>179</v>
      </c>
      <c r="G2616" s="9">
        <v>178.48</v>
      </c>
      <c r="H2616" s="9" t="s">
        <v>32</v>
      </c>
      <c r="I2616" s="9">
        <v>21</v>
      </c>
      <c r="J2616" s="10">
        <v>-0.52000000000001001</v>
      </c>
      <c r="K2616" s="9" t="str">
        <f>TEXT(Sales_of_Jordan[[#This Row],[Sale_Date]],"mmm")</f>
        <v>Jun</v>
      </c>
    </row>
    <row r="2617" spans="1:11" x14ac:dyDescent="0.35">
      <c r="A2617" s="7" t="s">
        <v>2647</v>
      </c>
      <c r="B2617" s="8">
        <v>45361</v>
      </c>
      <c r="C2617" s="9" t="s">
        <v>11</v>
      </c>
      <c r="D2617" s="9" t="s">
        <v>55</v>
      </c>
      <c r="E2617" s="9" t="s">
        <v>13</v>
      </c>
      <c r="F2617" s="9">
        <v>229</v>
      </c>
      <c r="G2617" s="9">
        <v>201.05</v>
      </c>
      <c r="H2617" s="9" t="s">
        <v>19</v>
      </c>
      <c r="I2617" s="9">
        <v>9</v>
      </c>
      <c r="J2617" s="10">
        <v>-27.9499999999999</v>
      </c>
      <c r="K2617" s="9" t="str">
        <f>TEXT(Sales_of_Jordan[[#This Row],[Sale_Date]],"mmm")</f>
        <v>Mar</v>
      </c>
    </row>
    <row r="2618" spans="1:11" x14ac:dyDescent="0.35">
      <c r="A2618" s="7" t="s">
        <v>2648</v>
      </c>
      <c r="B2618" s="8">
        <v>45146</v>
      </c>
      <c r="C2618" s="9" t="s">
        <v>11</v>
      </c>
      <c r="D2618" s="9" t="s">
        <v>46</v>
      </c>
      <c r="E2618" s="9" t="s">
        <v>29</v>
      </c>
      <c r="F2618" s="9">
        <v>227</v>
      </c>
      <c r="G2618" s="9">
        <v>216.75</v>
      </c>
      <c r="H2618" s="9" t="s">
        <v>32</v>
      </c>
      <c r="I2618" s="9">
        <v>54</v>
      </c>
      <c r="J2618" s="10">
        <v>-10.25</v>
      </c>
      <c r="K2618" s="9" t="str">
        <f>TEXT(Sales_of_Jordan[[#This Row],[Sale_Date]],"mmm")</f>
        <v>Aug</v>
      </c>
    </row>
    <row r="2619" spans="1:11" x14ac:dyDescent="0.35">
      <c r="A2619" s="7" t="s">
        <v>2649</v>
      </c>
      <c r="B2619" s="8">
        <v>45102</v>
      </c>
      <c r="C2619" s="9" t="s">
        <v>27</v>
      </c>
      <c r="D2619" s="9" t="s">
        <v>12</v>
      </c>
      <c r="E2619" s="9" t="s">
        <v>13</v>
      </c>
      <c r="F2619" s="9">
        <v>115</v>
      </c>
      <c r="G2619" s="9">
        <v>91.62</v>
      </c>
      <c r="H2619" s="9" t="s">
        <v>14</v>
      </c>
      <c r="I2619" s="9">
        <v>2</v>
      </c>
      <c r="J2619" s="10">
        <v>-23.3799999999999</v>
      </c>
      <c r="K2619" s="9" t="str">
        <f>TEXT(Sales_of_Jordan[[#This Row],[Sale_Date]],"mmm")</f>
        <v>Jun</v>
      </c>
    </row>
    <row r="2620" spans="1:11" x14ac:dyDescent="0.35">
      <c r="A2620" s="7" t="s">
        <v>2650</v>
      </c>
      <c r="B2620" s="8">
        <v>45079</v>
      </c>
      <c r="C2620" s="9" t="s">
        <v>27</v>
      </c>
      <c r="D2620" s="9" t="s">
        <v>39</v>
      </c>
      <c r="E2620" s="9" t="s">
        <v>29</v>
      </c>
      <c r="F2620" s="9">
        <v>131</v>
      </c>
      <c r="G2620" s="9">
        <v>142.07</v>
      </c>
      <c r="H2620" s="9" t="s">
        <v>23</v>
      </c>
      <c r="I2620" s="9">
        <v>8</v>
      </c>
      <c r="J2620" s="10">
        <v>11.069999999999901</v>
      </c>
      <c r="K2620" s="9" t="str">
        <f>TEXT(Sales_of_Jordan[[#This Row],[Sale_Date]],"mmm")</f>
        <v>Jun</v>
      </c>
    </row>
    <row r="2621" spans="1:11" x14ac:dyDescent="0.35">
      <c r="A2621" s="7" t="s">
        <v>2651</v>
      </c>
      <c r="B2621" s="8">
        <v>45453</v>
      </c>
      <c r="C2621" s="9" t="s">
        <v>16</v>
      </c>
      <c r="D2621" s="9" t="s">
        <v>36</v>
      </c>
      <c r="E2621" s="9" t="s">
        <v>18</v>
      </c>
      <c r="F2621" s="9">
        <v>173</v>
      </c>
      <c r="G2621" s="9">
        <v>265.64999999999998</v>
      </c>
      <c r="H2621" s="9" t="s">
        <v>32</v>
      </c>
      <c r="I2621" s="9">
        <v>45</v>
      </c>
      <c r="J2621" s="10">
        <v>92.649999999999906</v>
      </c>
      <c r="K2621" s="9" t="str">
        <f>TEXT(Sales_of_Jordan[[#This Row],[Sale_Date]],"mmm")</f>
        <v>Jun</v>
      </c>
    </row>
    <row r="2622" spans="1:11" x14ac:dyDescent="0.35">
      <c r="A2622" s="7" t="s">
        <v>2652</v>
      </c>
      <c r="B2622" s="8">
        <v>45220</v>
      </c>
      <c r="C2622" s="9" t="s">
        <v>16</v>
      </c>
      <c r="D2622" s="9" t="s">
        <v>36</v>
      </c>
      <c r="E2622" s="9" t="s">
        <v>13</v>
      </c>
      <c r="F2622" s="9">
        <v>187</v>
      </c>
      <c r="G2622" s="9">
        <v>149.62</v>
      </c>
      <c r="H2622" s="9" t="s">
        <v>14</v>
      </c>
      <c r="I2622" s="9">
        <v>4</v>
      </c>
      <c r="J2622" s="10">
        <v>-37.379999999999903</v>
      </c>
      <c r="K2622" s="9" t="str">
        <f>TEXT(Sales_of_Jordan[[#This Row],[Sale_Date]],"mmm")</f>
        <v>Oct</v>
      </c>
    </row>
    <row r="2623" spans="1:11" x14ac:dyDescent="0.35">
      <c r="A2623" s="7" t="s">
        <v>2653</v>
      </c>
      <c r="B2623" s="8">
        <v>45678</v>
      </c>
      <c r="C2623" s="9" t="s">
        <v>27</v>
      </c>
      <c r="D2623" s="9" t="s">
        <v>46</v>
      </c>
      <c r="E2623" s="9" t="s">
        <v>29</v>
      </c>
      <c r="F2623" s="9">
        <v>124</v>
      </c>
      <c r="G2623" s="9">
        <v>129.22</v>
      </c>
      <c r="H2623" s="9" t="s">
        <v>25</v>
      </c>
      <c r="I2623" s="9">
        <v>29</v>
      </c>
      <c r="J2623" s="10">
        <v>5.21999999999999</v>
      </c>
      <c r="K2623" s="9" t="str">
        <f>TEXT(Sales_of_Jordan[[#This Row],[Sale_Date]],"mmm")</f>
        <v>Jan</v>
      </c>
    </row>
    <row r="2624" spans="1:11" x14ac:dyDescent="0.35">
      <c r="A2624" s="7" t="s">
        <v>2654</v>
      </c>
      <c r="B2624" s="8">
        <v>45344</v>
      </c>
      <c r="C2624" s="9" t="s">
        <v>11</v>
      </c>
      <c r="D2624" s="9" t="s">
        <v>36</v>
      </c>
      <c r="E2624" s="9" t="s">
        <v>18</v>
      </c>
      <c r="F2624" s="9">
        <v>225</v>
      </c>
      <c r="G2624" s="9">
        <v>407.17</v>
      </c>
      <c r="H2624" s="9" t="s">
        <v>14</v>
      </c>
      <c r="I2624" s="9">
        <v>14</v>
      </c>
      <c r="J2624" s="10">
        <v>182.17</v>
      </c>
      <c r="K2624" s="9" t="str">
        <f>TEXT(Sales_of_Jordan[[#This Row],[Sale_Date]],"mmm")</f>
        <v>Feb</v>
      </c>
    </row>
    <row r="2625" spans="1:11" x14ac:dyDescent="0.35">
      <c r="A2625" s="7" t="s">
        <v>2655</v>
      </c>
      <c r="B2625" s="8">
        <v>45686</v>
      </c>
      <c r="C2625" s="9" t="s">
        <v>27</v>
      </c>
      <c r="D2625" s="9" t="s">
        <v>17</v>
      </c>
      <c r="E2625" s="9" t="s">
        <v>18</v>
      </c>
      <c r="F2625" s="9">
        <v>112</v>
      </c>
      <c r="G2625" s="9">
        <v>386.04</v>
      </c>
      <c r="H2625" s="9" t="s">
        <v>23</v>
      </c>
      <c r="I2625" s="9">
        <v>41</v>
      </c>
      <c r="J2625" s="10">
        <v>274.04000000000002</v>
      </c>
      <c r="K2625" s="9" t="str">
        <f>TEXT(Sales_of_Jordan[[#This Row],[Sale_Date]],"mmm")</f>
        <v>Jan</v>
      </c>
    </row>
    <row r="2626" spans="1:11" x14ac:dyDescent="0.35">
      <c r="A2626" s="7" t="s">
        <v>2656</v>
      </c>
      <c r="B2626" s="8">
        <v>45649</v>
      </c>
      <c r="C2626" s="9" t="s">
        <v>11</v>
      </c>
      <c r="D2626" s="9" t="s">
        <v>39</v>
      </c>
      <c r="E2626" s="9" t="s">
        <v>18</v>
      </c>
      <c r="F2626" s="9">
        <v>230</v>
      </c>
      <c r="G2626" s="9">
        <v>658.66</v>
      </c>
      <c r="H2626" s="9" t="s">
        <v>14</v>
      </c>
      <c r="I2626" s="9">
        <v>11</v>
      </c>
      <c r="J2626" s="10">
        <v>428.659999999999</v>
      </c>
      <c r="K2626" s="9" t="str">
        <f>TEXT(Sales_of_Jordan[[#This Row],[Sale_Date]],"mmm")</f>
        <v>Dec</v>
      </c>
    </row>
    <row r="2627" spans="1:11" x14ac:dyDescent="0.35">
      <c r="A2627" s="7" t="s">
        <v>2657</v>
      </c>
      <c r="B2627" s="8">
        <v>45588</v>
      </c>
      <c r="C2627" s="9" t="s">
        <v>11</v>
      </c>
      <c r="D2627" s="9" t="s">
        <v>39</v>
      </c>
      <c r="E2627" s="9" t="s">
        <v>18</v>
      </c>
      <c r="F2627" s="9">
        <v>226</v>
      </c>
      <c r="G2627" s="9">
        <v>487.33</v>
      </c>
      <c r="H2627" s="9" t="s">
        <v>23</v>
      </c>
      <c r="I2627" s="9">
        <v>23</v>
      </c>
      <c r="J2627" s="10">
        <v>261.33</v>
      </c>
      <c r="K2627" s="9" t="str">
        <f>TEXT(Sales_of_Jordan[[#This Row],[Sale_Date]],"mmm")</f>
        <v>Oct</v>
      </c>
    </row>
    <row r="2628" spans="1:11" x14ac:dyDescent="0.35">
      <c r="A2628" s="7" t="s">
        <v>2658</v>
      </c>
      <c r="B2628" s="8">
        <v>45896</v>
      </c>
      <c r="C2628" s="9" t="s">
        <v>21</v>
      </c>
      <c r="D2628" s="9" t="s">
        <v>22</v>
      </c>
      <c r="E2628" s="9" t="s">
        <v>13</v>
      </c>
      <c r="F2628" s="9">
        <v>212</v>
      </c>
      <c r="G2628" s="9">
        <v>150.38</v>
      </c>
      <c r="H2628" s="9" t="s">
        <v>32</v>
      </c>
      <c r="I2628" s="9">
        <v>24</v>
      </c>
      <c r="J2628" s="10">
        <v>-61.62</v>
      </c>
      <c r="K2628" s="9" t="str">
        <f>TEXT(Sales_of_Jordan[[#This Row],[Sale_Date]],"mmm")</f>
        <v>Aug</v>
      </c>
    </row>
    <row r="2629" spans="1:11" x14ac:dyDescent="0.35">
      <c r="A2629" s="7" t="s">
        <v>2659</v>
      </c>
      <c r="B2629" s="8">
        <v>45008</v>
      </c>
      <c r="C2629" s="9" t="s">
        <v>16</v>
      </c>
      <c r="D2629" s="9" t="s">
        <v>34</v>
      </c>
      <c r="E2629" s="9" t="s">
        <v>13</v>
      </c>
      <c r="F2629" s="9">
        <v>189</v>
      </c>
      <c r="G2629" s="9">
        <v>167.82</v>
      </c>
      <c r="H2629" s="9" t="s">
        <v>32</v>
      </c>
      <c r="I2629" s="9">
        <v>36</v>
      </c>
      <c r="J2629" s="10">
        <v>-21.18</v>
      </c>
      <c r="K2629" s="9" t="str">
        <f>TEXT(Sales_of_Jordan[[#This Row],[Sale_Date]],"mmm")</f>
        <v>Mar</v>
      </c>
    </row>
    <row r="2630" spans="1:11" x14ac:dyDescent="0.35">
      <c r="A2630" s="7" t="s">
        <v>2660</v>
      </c>
      <c r="B2630" s="8">
        <v>45734</v>
      </c>
      <c r="C2630" s="9" t="s">
        <v>27</v>
      </c>
      <c r="D2630" s="9" t="s">
        <v>22</v>
      </c>
      <c r="E2630" s="9" t="s">
        <v>18</v>
      </c>
      <c r="F2630" s="9">
        <v>131</v>
      </c>
      <c r="G2630" s="9">
        <v>253.78</v>
      </c>
      <c r="H2630" s="9" t="s">
        <v>32</v>
      </c>
      <c r="I2630" s="9">
        <v>35</v>
      </c>
      <c r="J2630" s="10">
        <v>122.78</v>
      </c>
      <c r="K2630" s="9" t="str">
        <f>TEXT(Sales_of_Jordan[[#This Row],[Sale_Date]],"mmm")</f>
        <v>Mar</v>
      </c>
    </row>
    <row r="2631" spans="1:11" x14ac:dyDescent="0.35">
      <c r="A2631" s="7" t="s">
        <v>2661</v>
      </c>
      <c r="B2631" s="8">
        <v>45006</v>
      </c>
      <c r="C2631" s="9" t="s">
        <v>16</v>
      </c>
      <c r="D2631" s="9" t="s">
        <v>39</v>
      </c>
      <c r="E2631" s="9" t="s">
        <v>29</v>
      </c>
      <c r="F2631" s="9">
        <v>174</v>
      </c>
      <c r="G2631" s="9">
        <v>213.33</v>
      </c>
      <c r="H2631" s="9" t="s">
        <v>23</v>
      </c>
      <c r="I2631" s="9">
        <v>50</v>
      </c>
      <c r="J2631" s="10">
        <v>39.33</v>
      </c>
      <c r="K2631" s="9" t="str">
        <f>TEXT(Sales_of_Jordan[[#This Row],[Sale_Date]],"mmm")</f>
        <v>Mar</v>
      </c>
    </row>
    <row r="2632" spans="1:11" x14ac:dyDescent="0.35">
      <c r="A2632" s="7" t="s">
        <v>2662</v>
      </c>
      <c r="B2632" s="8">
        <v>45894</v>
      </c>
      <c r="C2632" s="9" t="s">
        <v>16</v>
      </c>
      <c r="D2632" s="9" t="s">
        <v>39</v>
      </c>
      <c r="E2632" s="9" t="s">
        <v>18</v>
      </c>
      <c r="F2632" s="9">
        <v>181</v>
      </c>
      <c r="G2632" s="9">
        <v>259.62</v>
      </c>
      <c r="H2632" s="9" t="s">
        <v>19</v>
      </c>
      <c r="I2632" s="9">
        <v>14</v>
      </c>
      <c r="J2632" s="10">
        <v>78.62</v>
      </c>
      <c r="K2632" s="9" t="str">
        <f>TEXT(Sales_of_Jordan[[#This Row],[Sale_Date]],"mmm")</f>
        <v>Aug</v>
      </c>
    </row>
    <row r="2633" spans="1:11" x14ac:dyDescent="0.35">
      <c r="A2633" s="7" t="s">
        <v>2663</v>
      </c>
      <c r="B2633" s="8">
        <v>45131</v>
      </c>
      <c r="C2633" s="9" t="s">
        <v>11</v>
      </c>
      <c r="D2633" s="9" t="s">
        <v>39</v>
      </c>
      <c r="E2633" s="9" t="s">
        <v>29</v>
      </c>
      <c r="F2633" s="9">
        <v>230</v>
      </c>
      <c r="G2633" s="9">
        <v>328.77</v>
      </c>
      <c r="H2633" s="9" t="s">
        <v>25</v>
      </c>
      <c r="I2633" s="9">
        <v>57</v>
      </c>
      <c r="J2633" s="10">
        <v>98.769999999999897</v>
      </c>
      <c r="K2633" s="9" t="str">
        <f>TEXT(Sales_of_Jordan[[#This Row],[Sale_Date]],"mmm")</f>
        <v>Jul</v>
      </c>
    </row>
    <row r="2634" spans="1:11" x14ac:dyDescent="0.35">
      <c r="A2634" s="7" t="s">
        <v>2664</v>
      </c>
      <c r="B2634" s="8">
        <v>45288</v>
      </c>
      <c r="C2634" s="9" t="s">
        <v>21</v>
      </c>
      <c r="D2634" s="9" t="s">
        <v>46</v>
      </c>
      <c r="E2634" s="9" t="s">
        <v>13</v>
      </c>
      <c r="F2634" s="9">
        <v>213</v>
      </c>
      <c r="G2634" s="9">
        <v>183.08</v>
      </c>
      <c r="H2634" s="9" t="s">
        <v>14</v>
      </c>
      <c r="I2634" s="9">
        <v>2</v>
      </c>
      <c r="J2634" s="10">
        <v>-29.919999999999899</v>
      </c>
      <c r="K2634" s="9" t="str">
        <f>TEXT(Sales_of_Jordan[[#This Row],[Sale_Date]],"mmm")</f>
        <v>Dec</v>
      </c>
    </row>
    <row r="2635" spans="1:11" x14ac:dyDescent="0.35">
      <c r="A2635" s="7" t="s">
        <v>2665</v>
      </c>
      <c r="B2635" s="8">
        <v>45147</v>
      </c>
      <c r="C2635" s="9" t="s">
        <v>27</v>
      </c>
      <c r="D2635" s="9" t="s">
        <v>36</v>
      </c>
      <c r="E2635" s="9" t="s">
        <v>13</v>
      </c>
      <c r="F2635" s="9">
        <v>126</v>
      </c>
      <c r="G2635" s="9">
        <v>65.95</v>
      </c>
      <c r="H2635" s="9" t="s">
        <v>14</v>
      </c>
      <c r="I2635" s="9">
        <v>7</v>
      </c>
      <c r="J2635" s="10">
        <v>-60.05</v>
      </c>
      <c r="K2635" s="9" t="str">
        <f>TEXT(Sales_of_Jordan[[#This Row],[Sale_Date]],"mmm")</f>
        <v>Aug</v>
      </c>
    </row>
    <row r="2636" spans="1:11" x14ac:dyDescent="0.35">
      <c r="A2636" s="7" t="s">
        <v>2666</v>
      </c>
      <c r="B2636" s="8">
        <v>44932</v>
      </c>
      <c r="C2636" s="9" t="s">
        <v>31</v>
      </c>
      <c r="D2636" s="9" t="s">
        <v>12</v>
      </c>
      <c r="E2636" s="9" t="s">
        <v>29</v>
      </c>
      <c r="F2636" s="9">
        <v>200</v>
      </c>
      <c r="G2636" s="9">
        <v>232.14</v>
      </c>
      <c r="H2636" s="9" t="s">
        <v>23</v>
      </c>
      <c r="I2636" s="9">
        <v>14</v>
      </c>
      <c r="J2636" s="10">
        <v>32.139999999999901</v>
      </c>
      <c r="K2636" s="9" t="str">
        <f>TEXT(Sales_of_Jordan[[#This Row],[Sale_Date]],"mmm")</f>
        <v>Jan</v>
      </c>
    </row>
    <row r="2637" spans="1:11" x14ac:dyDescent="0.35">
      <c r="A2637" s="7" t="s">
        <v>2667</v>
      </c>
      <c r="B2637" s="8">
        <v>45359</v>
      </c>
      <c r="C2637" s="9" t="s">
        <v>16</v>
      </c>
      <c r="D2637" s="9" t="s">
        <v>17</v>
      </c>
      <c r="E2637" s="9" t="s">
        <v>13</v>
      </c>
      <c r="F2637" s="9">
        <v>180</v>
      </c>
      <c r="G2637" s="9">
        <v>155.75</v>
      </c>
      <c r="H2637" s="9" t="s">
        <v>32</v>
      </c>
      <c r="I2637" s="9">
        <v>45</v>
      </c>
      <c r="J2637" s="10">
        <v>-24.25</v>
      </c>
      <c r="K2637" s="9" t="str">
        <f>TEXT(Sales_of_Jordan[[#This Row],[Sale_Date]],"mmm")</f>
        <v>Mar</v>
      </c>
    </row>
    <row r="2638" spans="1:11" x14ac:dyDescent="0.35">
      <c r="A2638" s="7" t="s">
        <v>2668</v>
      </c>
      <c r="B2638" s="8">
        <v>45617</v>
      </c>
      <c r="C2638" s="9" t="s">
        <v>16</v>
      </c>
      <c r="D2638" s="9" t="s">
        <v>22</v>
      </c>
      <c r="E2638" s="9" t="s">
        <v>18</v>
      </c>
      <c r="F2638" s="9">
        <v>188</v>
      </c>
      <c r="G2638" s="9">
        <v>623.83000000000004</v>
      </c>
      <c r="H2638" s="9" t="s">
        <v>32</v>
      </c>
      <c r="I2638" s="9">
        <v>32</v>
      </c>
      <c r="J2638" s="10">
        <v>435.83</v>
      </c>
      <c r="K2638" s="9" t="str">
        <f>TEXT(Sales_of_Jordan[[#This Row],[Sale_Date]],"mmm")</f>
        <v>Nov</v>
      </c>
    </row>
    <row r="2639" spans="1:11" x14ac:dyDescent="0.35">
      <c r="A2639" s="7" t="s">
        <v>2669</v>
      </c>
      <c r="B2639" s="8">
        <v>45484</v>
      </c>
      <c r="C2639" s="9" t="s">
        <v>31</v>
      </c>
      <c r="D2639" s="9" t="s">
        <v>53</v>
      </c>
      <c r="E2639" s="9" t="s">
        <v>13</v>
      </c>
      <c r="F2639" s="9">
        <v>206</v>
      </c>
      <c r="G2639" s="9">
        <v>116.35</v>
      </c>
      <c r="H2639" s="9" t="s">
        <v>19</v>
      </c>
      <c r="I2639" s="9">
        <v>8</v>
      </c>
      <c r="J2639" s="10">
        <v>-89.65</v>
      </c>
      <c r="K2639" s="9" t="str">
        <f>TEXT(Sales_of_Jordan[[#This Row],[Sale_Date]],"mmm")</f>
        <v>Jul</v>
      </c>
    </row>
    <row r="2640" spans="1:11" x14ac:dyDescent="0.35">
      <c r="A2640" s="7" t="s">
        <v>2670</v>
      </c>
      <c r="B2640" s="8">
        <v>45381</v>
      </c>
      <c r="C2640" s="9" t="s">
        <v>31</v>
      </c>
      <c r="D2640" s="9" t="s">
        <v>34</v>
      </c>
      <c r="E2640" s="9" t="s">
        <v>13</v>
      </c>
      <c r="F2640" s="9">
        <v>202</v>
      </c>
      <c r="G2640" s="9">
        <v>140.02000000000001</v>
      </c>
      <c r="H2640" s="9" t="s">
        <v>19</v>
      </c>
      <c r="I2640" s="9">
        <v>8</v>
      </c>
      <c r="J2640" s="10">
        <v>-61.979999999999897</v>
      </c>
      <c r="K2640" s="9" t="str">
        <f>TEXT(Sales_of_Jordan[[#This Row],[Sale_Date]],"mmm")</f>
        <v>Mar</v>
      </c>
    </row>
    <row r="2641" spans="1:11" x14ac:dyDescent="0.35">
      <c r="A2641" s="7" t="s">
        <v>2671</v>
      </c>
      <c r="B2641" s="8">
        <v>45463</v>
      </c>
      <c r="C2641" s="9" t="s">
        <v>27</v>
      </c>
      <c r="D2641" s="9" t="s">
        <v>22</v>
      </c>
      <c r="E2641" s="9" t="s">
        <v>29</v>
      </c>
      <c r="F2641" s="9">
        <v>134</v>
      </c>
      <c r="G2641" s="9">
        <v>143.54</v>
      </c>
      <c r="H2641" s="9" t="s">
        <v>32</v>
      </c>
      <c r="I2641" s="9">
        <v>8</v>
      </c>
      <c r="J2641" s="10">
        <v>9.5399999999999903</v>
      </c>
      <c r="K2641" s="9" t="str">
        <f>TEXT(Sales_of_Jordan[[#This Row],[Sale_Date]],"mmm")</f>
        <v>Jun</v>
      </c>
    </row>
    <row r="2642" spans="1:11" x14ac:dyDescent="0.35">
      <c r="A2642" s="7" t="s">
        <v>2672</v>
      </c>
      <c r="B2642" s="8">
        <v>45903</v>
      </c>
      <c r="C2642" s="9" t="s">
        <v>11</v>
      </c>
      <c r="D2642" s="9" t="s">
        <v>34</v>
      </c>
      <c r="E2642" s="9" t="s">
        <v>29</v>
      </c>
      <c r="F2642" s="9">
        <v>228</v>
      </c>
      <c r="G2642" s="9">
        <v>223.63</v>
      </c>
      <c r="H2642" s="9" t="s">
        <v>25</v>
      </c>
      <c r="I2642" s="9">
        <v>36</v>
      </c>
      <c r="J2642" s="10">
        <v>-4.37</v>
      </c>
      <c r="K2642" s="9" t="str">
        <f>TEXT(Sales_of_Jordan[[#This Row],[Sale_Date]],"mmm")</f>
        <v>Sep</v>
      </c>
    </row>
    <row r="2643" spans="1:11" x14ac:dyDescent="0.35">
      <c r="A2643" s="7" t="s">
        <v>2673</v>
      </c>
      <c r="B2643" s="8">
        <v>45565</v>
      </c>
      <c r="C2643" s="9" t="s">
        <v>16</v>
      </c>
      <c r="D2643" s="9" t="s">
        <v>53</v>
      </c>
      <c r="E2643" s="9" t="s">
        <v>18</v>
      </c>
      <c r="F2643" s="9">
        <v>189</v>
      </c>
      <c r="G2643" s="9">
        <v>570.17999999999995</v>
      </c>
      <c r="H2643" s="9" t="s">
        <v>23</v>
      </c>
      <c r="I2643" s="9">
        <v>50</v>
      </c>
      <c r="J2643" s="10">
        <v>381.17999999999898</v>
      </c>
      <c r="K2643" s="9" t="str">
        <f>TEXT(Sales_of_Jordan[[#This Row],[Sale_Date]],"mmm")</f>
        <v>Sep</v>
      </c>
    </row>
    <row r="2644" spans="1:11" x14ac:dyDescent="0.35">
      <c r="A2644" s="7" t="s">
        <v>2674</v>
      </c>
      <c r="B2644" s="8">
        <v>45014</v>
      </c>
      <c r="C2644" s="9" t="s">
        <v>11</v>
      </c>
      <c r="D2644" s="9" t="s">
        <v>39</v>
      </c>
      <c r="E2644" s="9" t="s">
        <v>29</v>
      </c>
      <c r="F2644" s="9">
        <v>229</v>
      </c>
      <c r="G2644" s="9">
        <v>252.5</v>
      </c>
      <c r="H2644" s="9" t="s">
        <v>19</v>
      </c>
      <c r="I2644" s="9">
        <v>14</v>
      </c>
      <c r="J2644" s="10">
        <v>23.5</v>
      </c>
      <c r="K2644" s="9" t="str">
        <f>TEXT(Sales_of_Jordan[[#This Row],[Sale_Date]],"mmm")</f>
        <v>Mar</v>
      </c>
    </row>
    <row r="2645" spans="1:11" x14ac:dyDescent="0.35">
      <c r="A2645" s="7" t="s">
        <v>2675</v>
      </c>
      <c r="B2645" s="8">
        <v>45189</v>
      </c>
      <c r="C2645" s="9" t="s">
        <v>27</v>
      </c>
      <c r="D2645" s="9" t="s">
        <v>34</v>
      </c>
      <c r="E2645" s="9" t="s">
        <v>13</v>
      </c>
      <c r="F2645" s="9">
        <v>124</v>
      </c>
      <c r="G2645" s="9">
        <v>103.38</v>
      </c>
      <c r="H2645" s="9" t="s">
        <v>23</v>
      </c>
      <c r="I2645" s="9">
        <v>10</v>
      </c>
      <c r="J2645" s="10">
        <v>-20.62</v>
      </c>
      <c r="K2645" s="9" t="str">
        <f>TEXT(Sales_of_Jordan[[#This Row],[Sale_Date]],"mmm")</f>
        <v>Sep</v>
      </c>
    </row>
    <row r="2646" spans="1:11" x14ac:dyDescent="0.35">
      <c r="A2646" s="7" t="s">
        <v>2676</v>
      </c>
      <c r="B2646" s="8">
        <v>45577</v>
      </c>
      <c r="C2646" s="9" t="s">
        <v>21</v>
      </c>
      <c r="D2646" s="9" t="s">
        <v>53</v>
      </c>
      <c r="E2646" s="9" t="s">
        <v>29</v>
      </c>
      <c r="F2646" s="9">
        <v>216</v>
      </c>
      <c r="G2646" s="9">
        <v>259</v>
      </c>
      <c r="H2646" s="9" t="s">
        <v>14</v>
      </c>
      <c r="I2646" s="9">
        <v>9</v>
      </c>
      <c r="J2646" s="10">
        <v>43</v>
      </c>
      <c r="K2646" s="9" t="str">
        <f>TEXT(Sales_of_Jordan[[#This Row],[Sale_Date]],"mmm")</f>
        <v>Oct</v>
      </c>
    </row>
    <row r="2647" spans="1:11" x14ac:dyDescent="0.35">
      <c r="A2647" s="7" t="s">
        <v>2677</v>
      </c>
      <c r="B2647" s="8">
        <v>45161</v>
      </c>
      <c r="C2647" s="9" t="s">
        <v>31</v>
      </c>
      <c r="D2647" s="9" t="s">
        <v>46</v>
      </c>
      <c r="E2647" s="9" t="s">
        <v>18</v>
      </c>
      <c r="F2647" s="9">
        <v>208</v>
      </c>
      <c r="G2647" s="9">
        <v>400.92</v>
      </c>
      <c r="H2647" s="9" t="s">
        <v>14</v>
      </c>
      <c r="I2647" s="9">
        <v>12</v>
      </c>
      <c r="J2647" s="10">
        <v>192.92</v>
      </c>
      <c r="K2647" s="9" t="str">
        <f>TEXT(Sales_of_Jordan[[#This Row],[Sale_Date]],"mmm")</f>
        <v>Aug</v>
      </c>
    </row>
    <row r="2648" spans="1:11" x14ac:dyDescent="0.35">
      <c r="A2648" s="7" t="s">
        <v>2678</v>
      </c>
      <c r="B2648" s="8">
        <v>44994</v>
      </c>
      <c r="C2648" s="9" t="s">
        <v>16</v>
      </c>
      <c r="D2648" s="9" t="s">
        <v>12</v>
      </c>
      <c r="E2648" s="9" t="s">
        <v>13</v>
      </c>
      <c r="F2648" s="9">
        <v>190</v>
      </c>
      <c r="G2648" s="9">
        <v>138.63</v>
      </c>
      <c r="H2648" s="9" t="s">
        <v>19</v>
      </c>
      <c r="I2648" s="9">
        <v>13</v>
      </c>
      <c r="J2648" s="10">
        <v>-51.37</v>
      </c>
      <c r="K2648" s="9" t="str">
        <f>TEXT(Sales_of_Jordan[[#This Row],[Sale_Date]],"mmm")</f>
        <v>Mar</v>
      </c>
    </row>
    <row r="2649" spans="1:11" x14ac:dyDescent="0.35">
      <c r="A2649" s="7" t="s">
        <v>2679</v>
      </c>
      <c r="B2649" s="8">
        <v>45075</v>
      </c>
      <c r="C2649" s="9" t="s">
        <v>31</v>
      </c>
      <c r="D2649" s="9" t="s">
        <v>53</v>
      </c>
      <c r="E2649" s="9" t="s">
        <v>13</v>
      </c>
      <c r="F2649" s="9">
        <v>202</v>
      </c>
      <c r="G2649" s="9">
        <v>130.75</v>
      </c>
      <c r="H2649" s="9" t="s">
        <v>19</v>
      </c>
      <c r="I2649" s="9">
        <v>10</v>
      </c>
      <c r="J2649" s="10">
        <v>-71.25</v>
      </c>
      <c r="K2649" s="9" t="str">
        <f>TEXT(Sales_of_Jordan[[#This Row],[Sale_Date]],"mmm")</f>
        <v>May</v>
      </c>
    </row>
    <row r="2650" spans="1:11" x14ac:dyDescent="0.35">
      <c r="A2650" s="7" t="s">
        <v>2680</v>
      </c>
      <c r="B2650" s="8">
        <v>45523</v>
      </c>
      <c r="C2650" s="9" t="s">
        <v>31</v>
      </c>
      <c r="D2650" s="9" t="s">
        <v>12</v>
      </c>
      <c r="E2650" s="9" t="s">
        <v>29</v>
      </c>
      <c r="F2650" s="9">
        <v>201</v>
      </c>
      <c r="G2650" s="9">
        <v>234.81</v>
      </c>
      <c r="H2650" s="9" t="s">
        <v>23</v>
      </c>
      <c r="I2650" s="9">
        <v>21</v>
      </c>
      <c r="J2650" s="10">
        <v>33.81</v>
      </c>
      <c r="K2650" s="9" t="str">
        <f>TEXT(Sales_of_Jordan[[#This Row],[Sale_Date]],"mmm")</f>
        <v>Aug</v>
      </c>
    </row>
    <row r="2651" spans="1:11" x14ac:dyDescent="0.35">
      <c r="A2651" s="7" t="s">
        <v>2681</v>
      </c>
      <c r="B2651" s="8">
        <v>45112</v>
      </c>
      <c r="C2651" s="9" t="s">
        <v>21</v>
      </c>
      <c r="D2651" s="9" t="s">
        <v>53</v>
      </c>
      <c r="E2651" s="9" t="s">
        <v>13</v>
      </c>
      <c r="F2651" s="9">
        <v>225</v>
      </c>
      <c r="G2651" s="9">
        <v>193.6</v>
      </c>
      <c r="H2651" s="9" t="s">
        <v>32</v>
      </c>
      <c r="I2651" s="9">
        <v>20</v>
      </c>
      <c r="J2651" s="10">
        <v>-31.4</v>
      </c>
      <c r="K2651" s="9" t="str">
        <f>TEXT(Sales_of_Jordan[[#This Row],[Sale_Date]],"mmm")</f>
        <v>Jul</v>
      </c>
    </row>
    <row r="2652" spans="1:11" x14ac:dyDescent="0.35">
      <c r="A2652" s="7" t="s">
        <v>2682</v>
      </c>
      <c r="B2652" s="8">
        <v>45532</v>
      </c>
      <c r="C2652" s="9" t="s">
        <v>21</v>
      </c>
      <c r="D2652" s="9" t="s">
        <v>55</v>
      </c>
      <c r="E2652" s="9" t="s">
        <v>13</v>
      </c>
      <c r="F2652" s="9">
        <v>216</v>
      </c>
      <c r="G2652" s="9">
        <v>191.46</v>
      </c>
      <c r="H2652" s="9" t="s">
        <v>14</v>
      </c>
      <c r="I2652" s="9">
        <v>7</v>
      </c>
      <c r="J2652" s="10">
        <v>-24.5399999999999</v>
      </c>
      <c r="K2652" s="9" t="str">
        <f>TEXT(Sales_of_Jordan[[#This Row],[Sale_Date]],"mmm")</f>
        <v>Aug</v>
      </c>
    </row>
    <row r="2653" spans="1:11" x14ac:dyDescent="0.35">
      <c r="A2653" s="7" t="s">
        <v>2683</v>
      </c>
      <c r="B2653" s="8">
        <v>45324</v>
      </c>
      <c r="C2653" s="9" t="s">
        <v>11</v>
      </c>
      <c r="D2653" s="9" t="s">
        <v>55</v>
      </c>
      <c r="E2653" s="9" t="s">
        <v>18</v>
      </c>
      <c r="F2653" s="9">
        <v>226</v>
      </c>
      <c r="G2653" s="9">
        <v>297.89</v>
      </c>
      <c r="H2653" s="9" t="s">
        <v>23</v>
      </c>
      <c r="I2653" s="9">
        <v>52</v>
      </c>
      <c r="J2653" s="10">
        <v>71.889999999999901</v>
      </c>
      <c r="K2653" s="9" t="str">
        <f>TEXT(Sales_of_Jordan[[#This Row],[Sale_Date]],"mmm")</f>
        <v>Feb</v>
      </c>
    </row>
    <row r="2654" spans="1:11" x14ac:dyDescent="0.35">
      <c r="A2654" s="7" t="s">
        <v>2684</v>
      </c>
      <c r="B2654" s="8">
        <v>45346</v>
      </c>
      <c r="C2654" s="9" t="s">
        <v>27</v>
      </c>
      <c r="D2654" s="9" t="s">
        <v>46</v>
      </c>
      <c r="E2654" s="9" t="s">
        <v>18</v>
      </c>
      <c r="F2654" s="9">
        <v>116</v>
      </c>
      <c r="G2654" s="9">
        <v>366.98</v>
      </c>
      <c r="H2654" s="9" t="s">
        <v>14</v>
      </c>
      <c r="I2654" s="9">
        <v>7</v>
      </c>
      <c r="J2654" s="10">
        <v>250.98</v>
      </c>
      <c r="K2654" s="9" t="str">
        <f>TEXT(Sales_of_Jordan[[#This Row],[Sale_Date]],"mmm")</f>
        <v>Feb</v>
      </c>
    </row>
    <row r="2655" spans="1:11" x14ac:dyDescent="0.35">
      <c r="A2655" s="7" t="s">
        <v>2685</v>
      </c>
      <c r="B2655" s="8">
        <v>45413</v>
      </c>
      <c r="C2655" s="9" t="s">
        <v>11</v>
      </c>
      <c r="D2655" s="9" t="s">
        <v>53</v>
      </c>
      <c r="E2655" s="9" t="s">
        <v>13</v>
      </c>
      <c r="F2655" s="9">
        <v>225</v>
      </c>
      <c r="G2655" s="9">
        <v>170.96</v>
      </c>
      <c r="H2655" s="9" t="s">
        <v>25</v>
      </c>
      <c r="I2655" s="9">
        <v>17</v>
      </c>
      <c r="J2655" s="10">
        <v>-54.0399999999999</v>
      </c>
      <c r="K2655" s="9" t="str">
        <f>TEXT(Sales_of_Jordan[[#This Row],[Sale_Date]],"mmm")</f>
        <v>May</v>
      </c>
    </row>
    <row r="2656" spans="1:11" x14ac:dyDescent="0.35">
      <c r="A2656" s="7" t="s">
        <v>2686</v>
      </c>
      <c r="B2656" s="8">
        <v>45749</v>
      </c>
      <c r="C2656" s="9" t="s">
        <v>27</v>
      </c>
      <c r="D2656" s="9" t="s">
        <v>34</v>
      </c>
      <c r="E2656" s="9" t="s">
        <v>29</v>
      </c>
      <c r="F2656" s="9">
        <v>115</v>
      </c>
      <c r="G2656" s="9">
        <v>171.62</v>
      </c>
      <c r="H2656" s="9" t="s">
        <v>14</v>
      </c>
      <c r="I2656" s="9">
        <v>4</v>
      </c>
      <c r="J2656" s="10">
        <v>56.62</v>
      </c>
      <c r="K2656" s="9" t="str">
        <f>TEXT(Sales_of_Jordan[[#This Row],[Sale_Date]],"mmm")</f>
        <v>Apr</v>
      </c>
    </row>
    <row r="2657" spans="1:11" x14ac:dyDescent="0.35">
      <c r="A2657" s="7" t="s">
        <v>2687</v>
      </c>
      <c r="B2657" s="8">
        <v>45243</v>
      </c>
      <c r="C2657" s="9" t="s">
        <v>16</v>
      </c>
      <c r="D2657" s="9" t="s">
        <v>46</v>
      </c>
      <c r="E2657" s="9" t="s">
        <v>18</v>
      </c>
      <c r="F2657" s="9">
        <v>189</v>
      </c>
      <c r="G2657" s="9">
        <v>469.5</v>
      </c>
      <c r="H2657" s="9" t="s">
        <v>14</v>
      </c>
      <c r="I2657" s="9">
        <v>2</v>
      </c>
      <c r="J2657" s="10">
        <v>280.5</v>
      </c>
      <c r="K2657" s="9" t="str">
        <f>TEXT(Sales_of_Jordan[[#This Row],[Sale_Date]],"mmm")</f>
        <v>Nov</v>
      </c>
    </row>
    <row r="2658" spans="1:11" x14ac:dyDescent="0.35">
      <c r="A2658" s="7" t="s">
        <v>2688</v>
      </c>
      <c r="B2658" s="8">
        <v>45827</v>
      </c>
      <c r="C2658" s="9" t="s">
        <v>27</v>
      </c>
      <c r="D2658" s="9" t="s">
        <v>39</v>
      </c>
      <c r="E2658" s="9" t="s">
        <v>13</v>
      </c>
      <c r="F2658" s="9">
        <v>110</v>
      </c>
      <c r="G2658" s="9">
        <v>70.36</v>
      </c>
      <c r="H2658" s="9" t="s">
        <v>25</v>
      </c>
      <c r="I2658" s="9">
        <v>34</v>
      </c>
      <c r="J2658" s="10">
        <v>-39.64</v>
      </c>
      <c r="K2658" s="9" t="str">
        <f>TEXT(Sales_of_Jordan[[#This Row],[Sale_Date]],"mmm")</f>
        <v>Jun</v>
      </c>
    </row>
    <row r="2659" spans="1:11" x14ac:dyDescent="0.35">
      <c r="A2659" s="7" t="s">
        <v>2689</v>
      </c>
      <c r="B2659" s="8">
        <v>45591</v>
      </c>
      <c r="C2659" s="9" t="s">
        <v>31</v>
      </c>
      <c r="D2659" s="9" t="s">
        <v>53</v>
      </c>
      <c r="E2659" s="9" t="s">
        <v>13</v>
      </c>
      <c r="F2659" s="9">
        <v>210</v>
      </c>
      <c r="G2659" s="9">
        <v>120.08</v>
      </c>
      <c r="H2659" s="9" t="s">
        <v>19</v>
      </c>
      <c r="I2659" s="9">
        <v>2</v>
      </c>
      <c r="J2659" s="10">
        <v>-89.92</v>
      </c>
      <c r="K2659" s="9" t="str">
        <f>TEXT(Sales_of_Jordan[[#This Row],[Sale_Date]],"mmm")</f>
        <v>Oct</v>
      </c>
    </row>
    <row r="2660" spans="1:11" x14ac:dyDescent="0.35">
      <c r="A2660" s="7" t="s">
        <v>2690</v>
      </c>
      <c r="B2660" s="8">
        <v>45657</v>
      </c>
      <c r="C2660" s="9" t="s">
        <v>11</v>
      </c>
      <c r="D2660" s="9" t="s">
        <v>17</v>
      </c>
      <c r="E2660" s="9" t="s">
        <v>13</v>
      </c>
      <c r="F2660" s="9">
        <v>227</v>
      </c>
      <c r="G2660" s="9">
        <v>145.07</v>
      </c>
      <c r="H2660" s="9" t="s">
        <v>19</v>
      </c>
      <c r="I2660" s="9">
        <v>4</v>
      </c>
      <c r="J2660" s="10">
        <v>-81.93</v>
      </c>
      <c r="K2660" s="9" t="str">
        <f>TEXT(Sales_of_Jordan[[#This Row],[Sale_Date]],"mmm")</f>
        <v>Dec</v>
      </c>
    </row>
    <row r="2661" spans="1:11" x14ac:dyDescent="0.35">
      <c r="A2661" s="7" t="s">
        <v>2691</v>
      </c>
      <c r="B2661" s="8">
        <v>45791</v>
      </c>
      <c r="C2661" s="9" t="s">
        <v>21</v>
      </c>
      <c r="D2661" s="9" t="s">
        <v>53</v>
      </c>
      <c r="E2661" s="9" t="s">
        <v>13</v>
      </c>
      <c r="F2661" s="9">
        <v>222</v>
      </c>
      <c r="G2661" s="9">
        <v>143.51</v>
      </c>
      <c r="H2661" s="9" t="s">
        <v>32</v>
      </c>
      <c r="I2661" s="9">
        <v>41</v>
      </c>
      <c r="J2661" s="10">
        <v>-78.489999999999995</v>
      </c>
      <c r="K2661" s="9" t="str">
        <f>TEXT(Sales_of_Jordan[[#This Row],[Sale_Date]],"mmm")</f>
        <v>May</v>
      </c>
    </row>
    <row r="2662" spans="1:11" x14ac:dyDescent="0.35">
      <c r="A2662" s="7" t="s">
        <v>2692</v>
      </c>
      <c r="B2662" s="8">
        <v>45278</v>
      </c>
      <c r="C2662" s="9" t="s">
        <v>21</v>
      </c>
      <c r="D2662" s="9" t="s">
        <v>55</v>
      </c>
      <c r="E2662" s="9" t="s">
        <v>13</v>
      </c>
      <c r="F2662" s="9">
        <v>224</v>
      </c>
      <c r="G2662" s="9">
        <v>185.54</v>
      </c>
      <c r="H2662" s="9" t="s">
        <v>25</v>
      </c>
      <c r="I2662" s="9">
        <v>48</v>
      </c>
      <c r="J2662" s="10">
        <v>-38.46</v>
      </c>
      <c r="K2662" s="9" t="str">
        <f>TEXT(Sales_of_Jordan[[#This Row],[Sale_Date]],"mmm")</f>
        <v>Dec</v>
      </c>
    </row>
    <row r="2663" spans="1:11" x14ac:dyDescent="0.35">
      <c r="A2663" s="7" t="s">
        <v>2693</v>
      </c>
      <c r="B2663" s="8">
        <v>45092</v>
      </c>
      <c r="C2663" s="9" t="s">
        <v>31</v>
      </c>
      <c r="D2663" s="9" t="s">
        <v>34</v>
      </c>
      <c r="E2663" s="9" t="s">
        <v>13</v>
      </c>
      <c r="F2663" s="9">
        <v>204</v>
      </c>
      <c r="G2663" s="9">
        <v>183.36</v>
      </c>
      <c r="H2663" s="9" t="s">
        <v>32</v>
      </c>
      <c r="I2663" s="9">
        <v>44</v>
      </c>
      <c r="J2663" s="10">
        <v>-20.639999999999901</v>
      </c>
      <c r="K2663" s="9" t="str">
        <f>TEXT(Sales_of_Jordan[[#This Row],[Sale_Date]],"mmm")</f>
        <v>Jun</v>
      </c>
    </row>
    <row r="2664" spans="1:11" x14ac:dyDescent="0.35">
      <c r="A2664" s="7" t="s">
        <v>2694</v>
      </c>
      <c r="B2664" s="8">
        <v>45904</v>
      </c>
      <c r="C2664" s="9" t="s">
        <v>16</v>
      </c>
      <c r="D2664" s="9" t="s">
        <v>39</v>
      </c>
      <c r="E2664" s="9" t="s">
        <v>29</v>
      </c>
      <c r="F2664" s="9">
        <v>177</v>
      </c>
      <c r="G2664" s="9">
        <v>230.74</v>
      </c>
      <c r="H2664" s="9" t="s">
        <v>23</v>
      </c>
      <c r="I2664" s="9">
        <v>39</v>
      </c>
      <c r="J2664" s="10">
        <v>53.74</v>
      </c>
      <c r="K2664" s="9" t="str">
        <f>TEXT(Sales_of_Jordan[[#This Row],[Sale_Date]],"mmm")</f>
        <v>Sep</v>
      </c>
    </row>
    <row r="2665" spans="1:11" x14ac:dyDescent="0.35">
      <c r="A2665" s="7" t="s">
        <v>2695</v>
      </c>
      <c r="B2665" s="8">
        <v>45589</v>
      </c>
      <c r="C2665" s="9" t="s">
        <v>27</v>
      </c>
      <c r="D2665" s="9" t="s">
        <v>34</v>
      </c>
      <c r="E2665" s="9" t="s">
        <v>18</v>
      </c>
      <c r="F2665" s="9">
        <v>120</v>
      </c>
      <c r="G2665" s="9">
        <v>378.23</v>
      </c>
      <c r="H2665" s="9" t="s">
        <v>32</v>
      </c>
      <c r="I2665" s="9">
        <v>30</v>
      </c>
      <c r="J2665" s="10">
        <v>258.23</v>
      </c>
      <c r="K2665" s="9" t="str">
        <f>TEXT(Sales_of_Jordan[[#This Row],[Sale_Date]],"mmm")</f>
        <v>Oct</v>
      </c>
    </row>
    <row r="2666" spans="1:11" x14ac:dyDescent="0.35">
      <c r="A2666" s="7" t="s">
        <v>2696</v>
      </c>
      <c r="B2666" s="8">
        <v>45039</v>
      </c>
      <c r="C2666" s="9" t="s">
        <v>11</v>
      </c>
      <c r="D2666" s="9" t="s">
        <v>46</v>
      </c>
      <c r="E2666" s="9" t="s">
        <v>29</v>
      </c>
      <c r="F2666" s="9">
        <v>228</v>
      </c>
      <c r="G2666" s="9">
        <v>320.14</v>
      </c>
      <c r="H2666" s="9" t="s">
        <v>32</v>
      </c>
      <c r="I2666" s="9">
        <v>6</v>
      </c>
      <c r="J2666" s="10">
        <v>92.139999999999901</v>
      </c>
      <c r="K2666" s="9" t="str">
        <f>TEXT(Sales_of_Jordan[[#This Row],[Sale_Date]],"mmm")</f>
        <v>Apr</v>
      </c>
    </row>
    <row r="2667" spans="1:11" x14ac:dyDescent="0.35">
      <c r="A2667" s="7" t="s">
        <v>2697</v>
      </c>
      <c r="B2667" s="8">
        <v>45908</v>
      </c>
      <c r="C2667" s="9" t="s">
        <v>27</v>
      </c>
      <c r="D2667" s="9" t="s">
        <v>34</v>
      </c>
      <c r="E2667" s="9" t="s">
        <v>13</v>
      </c>
      <c r="F2667" s="9">
        <v>114</v>
      </c>
      <c r="G2667" s="9">
        <v>89.37</v>
      </c>
      <c r="H2667" s="9" t="s">
        <v>32</v>
      </c>
      <c r="I2667" s="9">
        <v>12</v>
      </c>
      <c r="J2667" s="10">
        <v>-24.6299999999999</v>
      </c>
      <c r="K2667" s="9" t="str">
        <f>TEXT(Sales_of_Jordan[[#This Row],[Sale_Date]],"mmm")</f>
        <v>Sep</v>
      </c>
    </row>
    <row r="2668" spans="1:11" x14ac:dyDescent="0.35">
      <c r="A2668" s="7" t="s">
        <v>2698</v>
      </c>
      <c r="B2668" s="8">
        <v>45159</v>
      </c>
      <c r="C2668" s="9" t="s">
        <v>16</v>
      </c>
      <c r="D2668" s="9" t="s">
        <v>46</v>
      </c>
      <c r="E2668" s="9" t="s">
        <v>13</v>
      </c>
      <c r="F2668" s="9">
        <v>182</v>
      </c>
      <c r="G2668" s="9">
        <v>139.94</v>
      </c>
      <c r="H2668" s="9" t="s">
        <v>19</v>
      </c>
      <c r="I2668" s="9">
        <v>9</v>
      </c>
      <c r="J2668" s="10">
        <v>-42.06</v>
      </c>
      <c r="K2668" s="9" t="str">
        <f>TEXT(Sales_of_Jordan[[#This Row],[Sale_Date]],"mmm")</f>
        <v>Aug</v>
      </c>
    </row>
    <row r="2669" spans="1:11" x14ac:dyDescent="0.35">
      <c r="A2669" s="7" t="s">
        <v>2699</v>
      </c>
      <c r="B2669" s="8">
        <v>45026</v>
      </c>
      <c r="C2669" s="9" t="s">
        <v>21</v>
      </c>
      <c r="D2669" s="9" t="s">
        <v>53</v>
      </c>
      <c r="E2669" s="9" t="s">
        <v>18</v>
      </c>
      <c r="F2669" s="9">
        <v>218</v>
      </c>
      <c r="G2669" s="9">
        <v>688.9</v>
      </c>
      <c r="H2669" s="9" t="s">
        <v>23</v>
      </c>
      <c r="I2669" s="9">
        <v>45</v>
      </c>
      <c r="J2669" s="10">
        <v>470.9</v>
      </c>
      <c r="K2669" s="9" t="str">
        <f>TEXT(Sales_of_Jordan[[#This Row],[Sale_Date]],"mmm")</f>
        <v>Apr</v>
      </c>
    </row>
    <row r="2670" spans="1:11" x14ac:dyDescent="0.35">
      <c r="A2670" s="7" t="s">
        <v>2700</v>
      </c>
      <c r="B2670" s="8">
        <v>45518</v>
      </c>
      <c r="C2670" s="9" t="s">
        <v>21</v>
      </c>
      <c r="D2670" s="9" t="s">
        <v>53</v>
      </c>
      <c r="E2670" s="9" t="s">
        <v>13</v>
      </c>
      <c r="F2670" s="9">
        <v>224</v>
      </c>
      <c r="G2670" s="9">
        <v>140.85</v>
      </c>
      <c r="H2670" s="9" t="s">
        <v>32</v>
      </c>
      <c r="I2670" s="9">
        <v>10</v>
      </c>
      <c r="J2670" s="10">
        <v>-83.15</v>
      </c>
      <c r="K2670" s="9" t="str">
        <f>TEXT(Sales_of_Jordan[[#This Row],[Sale_Date]],"mmm")</f>
        <v>Aug</v>
      </c>
    </row>
    <row r="2671" spans="1:11" x14ac:dyDescent="0.35">
      <c r="A2671" s="7" t="s">
        <v>2701</v>
      </c>
      <c r="B2671" s="8">
        <v>45519</v>
      </c>
      <c r="C2671" s="9" t="s">
        <v>21</v>
      </c>
      <c r="D2671" s="9" t="s">
        <v>17</v>
      </c>
      <c r="E2671" s="9" t="s">
        <v>29</v>
      </c>
      <c r="F2671" s="9">
        <v>222</v>
      </c>
      <c r="G2671" s="9">
        <v>268.47000000000003</v>
      </c>
      <c r="H2671" s="9" t="s">
        <v>14</v>
      </c>
      <c r="I2671" s="9">
        <v>8</v>
      </c>
      <c r="J2671" s="10">
        <v>46.47</v>
      </c>
      <c r="K2671" s="9" t="str">
        <f>TEXT(Sales_of_Jordan[[#This Row],[Sale_Date]],"mmm")</f>
        <v>Aug</v>
      </c>
    </row>
    <row r="2672" spans="1:11" x14ac:dyDescent="0.35">
      <c r="A2672" s="7" t="s">
        <v>2702</v>
      </c>
      <c r="B2672" s="8">
        <v>45061</v>
      </c>
      <c r="C2672" s="9" t="s">
        <v>21</v>
      </c>
      <c r="D2672" s="9" t="s">
        <v>22</v>
      </c>
      <c r="E2672" s="9" t="s">
        <v>18</v>
      </c>
      <c r="F2672" s="9">
        <v>222</v>
      </c>
      <c r="G2672" s="9">
        <v>534.84</v>
      </c>
      <c r="H2672" s="9" t="s">
        <v>23</v>
      </c>
      <c r="I2672" s="9">
        <v>8</v>
      </c>
      <c r="J2672" s="10">
        <v>312.83999999999997</v>
      </c>
      <c r="K2672" s="9" t="str">
        <f>TEXT(Sales_of_Jordan[[#This Row],[Sale_Date]],"mmm")</f>
        <v>May</v>
      </c>
    </row>
    <row r="2673" spans="1:11" x14ac:dyDescent="0.35">
      <c r="A2673" s="7" t="s">
        <v>2703</v>
      </c>
      <c r="B2673" s="8">
        <v>45670</v>
      </c>
      <c r="C2673" s="9" t="s">
        <v>27</v>
      </c>
      <c r="D2673" s="9" t="s">
        <v>55</v>
      </c>
      <c r="E2673" s="9" t="s">
        <v>29</v>
      </c>
      <c r="F2673" s="9">
        <v>135</v>
      </c>
      <c r="G2673" s="9">
        <v>138.54</v>
      </c>
      <c r="H2673" s="9" t="s">
        <v>32</v>
      </c>
      <c r="I2673" s="9">
        <v>52</v>
      </c>
      <c r="J2673" s="10">
        <v>3.5399999999999898</v>
      </c>
      <c r="K2673" s="9" t="str">
        <f>TEXT(Sales_of_Jordan[[#This Row],[Sale_Date]],"mmm")</f>
        <v>Jan</v>
      </c>
    </row>
    <row r="2674" spans="1:11" x14ac:dyDescent="0.35">
      <c r="A2674" s="7" t="s">
        <v>2704</v>
      </c>
      <c r="B2674" s="8">
        <v>44929</v>
      </c>
      <c r="C2674" s="9" t="s">
        <v>11</v>
      </c>
      <c r="D2674" s="9" t="s">
        <v>12</v>
      </c>
      <c r="E2674" s="9" t="s">
        <v>18</v>
      </c>
      <c r="F2674" s="9">
        <v>228</v>
      </c>
      <c r="G2674" s="9">
        <v>707.94</v>
      </c>
      <c r="H2674" s="9" t="s">
        <v>14</v>
      </c>
      <c r="I2674" s="9">
        <v>2</v>
      </c>
      <c r="J2674" s="10">
        <v>479.94</v>
      </c>
      <c r="K2674" s="9" t="str">
        <f>TEXT(Sales_of_Jordan[[#This Row],[Sale_Date]],"mmm")</f>
        <v>Jan</v>
      </c>
    </row>
    <row r="2675" spans="1:11" x14ac:dyDescent="0.35">
      <c r="A2675" s="7" t="s">
        <v>2705</v>
      </c>
      <c r="B2675" s="8">
        <v>45533</v>
      </c>
      <c r="C2675" s="9" t="s">
        <v>27</v>
      </c>
      <c r="D2675" s="9" t="s">
        <v>46</v>
      </c>
      <c r="E2675" s="9" t="s">
        <v>18</v>
      </c>
      <c r="F2675" s="9">
        <v>115</v>
      </c>
      <c r="G2675" s="9">
        <v>330.56</v>
      </c>
      <c r="H2675" s="9" t="s">
        <v>32</v>
      </c>
      <c r="I2675" s="9">
        <v>47</v>
      </c>
      <c r="J2675" s="10">
        <v>215.56</v>
      </c>
      <c r="K2675" s="9" t="str">
        <f>TEXT(Sales_of_Jordan[[#This Row],[Sale_Date]],"mmm")</f>
        <v>Aug</v>
      </c>
    </row>
    <row r="2676" spans="1:11" x14ac:dyDescent="0.35">
      <c r="A2676" s="7" t="s">
        <v>2706</v>
      </c>
      <c r="B2676" s="8">
        <v>45621</v>
      </c>
      <c r="C2676" s="9" t="s">
        <v>27</v>
      </c>
      <c r="D2676" s="9" t="s">
        <v>53</v>
      </c>
      <c r="E2676" s="9" t="s">
        <v>18</v>
      </c>
      <c r="F2676" s="9">
        <v>119</v>
      </c>
      <c r="G2676" s="9">
        <v>356.94</v>
      </c>
      <c r="H2676" s="9" t="s">
        <v>23</v>
      </c>
      <c r="I2676" s="9">
        <v>59</v>
      </c>
      <c r="J2676" s="10">
        <v>237.94</v>
      </c>
      <c r="K2676" s="9" t="str">
        <f>TEXT(Sales_of_Jordan[[#This Row],[Sale_Date]],"mmm")</f>
        <v>Nov</v>
      </c>
    </row>
    <row r="2677" spans="1:11" x14ac:dyDescent="0.35">
      <c r="A2677" s="7" t="s">
        <v>2707</v>
      </c>
      <c r="B2677" s="8">
        <v>45308</v>
      </c>
      <c r="C2677" s="9" t="s">
        <v>27</v>
      </c>
      <c r="D2677" s="9" t="s">
        <v>17</v>
      </c>
      <c r="E2677" s="9" t="s">
        <v>18</v>
      </c>
      <c r="F2677" s="9">
        <v>123</v>
      </c>
      <c r="G2677" s="9">
        <v>337.92</v>
      </c>
      <c r="H2677" s="9" t="s">
        <v>23</v>
      </c>
      <c r="I2677" s="9">
        <v>7</v>
      </c>
      <c r="J2677" s="10">
        <v>214.92</v>
      </c>
      <c r="K2677" s="9" t="str">
        <f>TEXT(Sales_of_Jordan[[#This Row],[Sale_Date]],"mmm")</f>
        <v>Jan</v>
      </c>
    </row>
    <row r="2678" spans="1:11" x14ac:dyDescent="0.35">
      <c r="A2678" s="7" t="s">
        <v>2708</v>
      </c>
      <c r="B2678" s="8">
        <v>45226</v>
      </c>
      <c r="C2678" s="9" t="s">
        <v>31</v>
      </c>
      <c r="D2678" s="9" t="s">
        <v>55</v>
      </c>
      <c r="E2678" s="9" t="s">
        <v>18</v>
      </c>
      <c r="F2678" s="9">
        <v>206</v>
      </c>
      <c r="G2678" s="9">
        <v>472.75</v>
      </c>
      <c r="H2678" s="9" t="s">
        <v>14</v>
      </c>
      <c r="I2678" s="9">
        <v>3</v>
      </c>
      <c r="J2678" s="10">
        <v>266.75</v>
      </c>
      <c r="K2678" s="9" t="str">
        <f>TEXT(Sales_of_Jordan[[#This Row],[Sale_Date]],"mmm")</f>
        <v>Oct</v>
      </c>
    </row>
    <row r="2679" spans="1:11" x14ac:dyDescent="0.35">
      <c r="A2679" s="7" t="s">
        <v>2709</v>
      </c>
      <c r="B2679" s="8">
        <v>45598</v>
      </c>
      <c r="C2679" s="9" t="s">
        <v>16</v>
      </c>
      <c r="D2679" s="9" t="s">
        <v>55</v>
      </c>
      <c r="E2679" s="9" t="s">
        <v>18</v>
      </c>
      <c r="F2679" s="9">
        <v>173</v>
      </c>
      <c r="G2679" s="9">
        <v>353.58</v>
      </c>
      <c r="H2679" s="9" t="s">
        <v>25</v>
      </c>
      <c r="I2679" s="9">
        <v>54</v>
      </c>
      <c r="J2679" s="10">
        <v>180.57999999999899</v>
      </c>
      <c r="K2679" s="9" t="str">
        <f>TEXT(Sales_of_Jordan[[#This Row],[Sale_Date]],"mmm")</f>
        <v>Nov</v>
      </c>
    </row>
    <row r="2680" spans="1:11" x14ac:dyDescent="0.35">
      <c r="A2680" s="7" t="s">
        <v>2710</v>
      </c>
      <c r="B2680" s="8">
        <v>45272</v>
      </c>
      <c r="C2680" s="9" t="s">
        <v>21</v>
      </c>
      <c r="D2680" s="9" t="s">
        <v>17</v>
      </c>
      <c r="E2680" s="9" t="s">
        <v>29</v>
      </c>
      <c r="F2680" s="9">
        <v>221</v>
      </c>
      <c r="G2680" s="9">
        <v>328.54</v>
      </c>
      <c r="H2680" s="9" t="s">
        <v>32</v>
      </c>
      <c r="I2680" s="9">
        <v>25</v>
      </c>
      <c r="J2680" s="10">
        <v>107.54</v>
      </c>
      <c r="K2680" s="9" t="str">
        <f>TEXT(Sales_of_Jordan[[#This Row],[Sale_Date]],"mmm")</f>
        <v>Dec</v>
      </c>
    </row>
    <row r="2681" spans="1:11" x14ac:dyDescent="0.35">
      <c r="A2681" s="7" t="s">
        <v>2711</v>
      </c>
      <c r="B2681" s="8">
        <v>45439</v>
      </c>
      <c r="C2681" s="9" t="s">
        <v>21</v>
      </c>
      <c r="D2681" s="9" t="s">
        <v>12</v>
      </c>
      <c r="E2681" s="9" t="s">
        <v>29</v>
      </c>
      <c r="F2681" s="9">
        <v>215</v>
      </c>
      <c r="G2681" s="9">
        <v>290.88</v>
      </c>
      <c r="H2681" s="9" t="s">
        <v>25</v>
      </c>
      <c r="I2681" s="9">
        <v>49</v>
      </c>
      <c r="J2681" s="10">
        <v>75.88</v>
      </c>
      <c r="K2681" s="9" t="str">
        <f>TEXT(Sales_of_Jordan[[#This Row],[Sale_Date]],"mmm")</f>
        <v>May</v>
      </c>
    </row>
    <row r="2682" spans="1:11" x14ac:dyDescent="0.35">
      <c r="A2682" s="7" t="s">
        <v>2712</v>
      </c>
      <c r="B2682" s="8">
        <v>45521</v>
      </c>
      <c r="C2682" s="9" t="s">
        <v>31</v>
      </c>
      <c r="D2682" s="9" t="s">
        <v>12</v>
      </c>
      <c r="E2682" s="9" t="s">
        <v>18</v>
      </c>
      <c r="F2682" s="9">
        <v>210</v>
      </c>
      <c r="G2682" s="9">
        <v>324.02999999999997</v>
      </c>
      <c r="H2682" s="9" t="s">
        <v>19</v>
      </c>
      <c r="I2682" s="9">
        <v>8</v>
      </c>
      <c r="J2682" s="10">
        <v>114.02999999999901</v>
      </c>
      <c r="K2682" s="9" t="str">
        <f>TEXT(Sales_of_Jordan[[#This Row],[Sale_Date]],"mmm")</f>
        <v>Aug</v>
      </c>
    </row>
    <row r="2683" spans="1:11" x14ac:dyDescent="0.35">
      <c r="A2683" s="7" t="s">
        <v>2713</v>
      </c>
      <c r="B2683" s="8">
        <v>45873</v>
      </c>
      <c r="C2683" s="9" t="s">
        <v>16</v>
      </c>
      <c r="D2683" s="9" t="s">
        <v>36</v>
      </c>
      <c r="E2683" s="9" t="s">
        <v>18</v>
      </c>
      <c r="F2683" s="9">
        <v>179</v>
      </c>
      <c r="G2683" s="9">
        <v>561.29</v>
      </c>
      <c r="H2683" s="9" t="s">
        <v>14</v>
      </c>
      <c r="I2683" s="9">
        <v>2</v>
      </c>
      <c r="J2683" s="10">
        <v>382.289999999999</v>
      </c>
      <c r="K2683" s="9" t="str">
        <f>TEXT(Sales_of_Jordan[[#This Row],[Sale_Date]],"mmm")</f>
        <v>Aug</v>
      </c>
    </row>
    <row r="2684" spans="1:11" x14ac:dyDescent="0.35">
      <c r="A2684" s="7" t="s">
        <v>2714</v>
      </c>
      <c r="B2684" s="8">
        <v>45797</v>
      </c>
      <c r="C2684" s="9" t="s">
        <v>16</v>
      </c>
      <c r="D2684" s="9" t="s">
        <v>17</v>
      </c>
      <c r="E2684" s="9" t="s">
        <v>13</v>
      </c>
      <c r="F2684" s="9">
        <v>183</v>
      </c>
      <c r="G2684" s="9">
        <v>145.47999999999999</v>
      </c>
      <c r="H2684" s="9" t="s">
        <v>14</v>
      </c>
      <c r="I2684" s="9">
        <v>14</v>
      </c>
      <c r="J2684" s="10">
        <v>-37.520000000000003</v>
      </c>
      <c r="K2684" s="9" t="str">
        <f>TEXT(Sales_of_Jordan[[#This Row],[Sale_Date]],"mmm")</f>
        <v>May</v>
      </c>
    </row>
    <row r="2685" spans="1:11" x14ac:dyDescent="0.35">
      <c r="A2685" s="7" t="s">
        <v>2715</v>
      </c>
      <c r="B2685" s="8">
        <v>45435</v>
      </c>
      <c r="C2685" s="9" t="s">
        <v>31</v>
      </c>
      <c r="D2685" s="9" t="s">
        <v>22</v>
      </c>
      <c r="E2685" s="9" t="s">
        <v>29</v>
      </c>
      <c r="F2685" s="9">
        <v>204</v>
      </c>
      <c r="G2685" s="9">
        <v>184.03</v>
      </c>
      <c r="H2685" s="9" t="s">
        <v>32</v>
      </c>
      <c r="I2685" s="9">
        <v>39</v>
      </c>
      <c r="J2685" s="10">
        <v>-19.97</v>
      </c>
      <c r="K2685" s="9" t="str">
        <f>TEXT(Sales_of_Jordan[[#This Row],[Sale_Date]],"mmm")</f>
        <v>May</v>
      </c>
    </row>
    <row r="2686" spans="1:11" x14ac:dyDescent="0.35">
      <c r="A2686" s="7" t="s">
        <v>2716</v>
      </c>
      <c r="B2686" s="8">
        <v>45052</v>
      </c>
      <c r="C2686" s="9" t="s">
        <v>16</v>
      </c>
      <c r="D2686" s="9" t="s">
        <v>53</v>
      </c>
      <c r="E2686" s="9" t="s">
        <v>18</v>
      </c>
      <c r="F2686" s="9">
        <v>184</v>
      </c>
      <c r="G2686" s="9">
        <v>275.13</v>
      </c>
      <c r="H2686" s="9" t="s">
        <v>25</v>
      </c>
      <c r="I2686" s="9">
        <v>60</v>
      </c>
      <c r="J2686" s="10">
        <v>91.13</v>
      </c>
      <c r="K2686" s="9" t="str">
        <f>TEXT(Sales_of_Jordan[[#This Row],[Sale_Date]],"mmm")</f>
        <v>May</v>
      </c>
    </row>
    <row r="2687" spans="1:11" x14ac:dyDescent="0.35">
      <c r="A2687" s="7" t="s">
        <v>2717</v>
      </c>
      <c r="B2687" s="8">
        <v>45725</v>
      </c>
      <c r="C2687" s="9" t="s">
        <v>16</v>
      </c>
      <c r="D2687" s="9" t="s">
        <v>55</v>
      </c>
      <c r="E2687" s="9" t="s">
        <v>18</v>
      </c>
      <c r="F2687" s="9">
        <v>190</v>
      </c>
      <c r="G2687" s="9">
        <v>624.03</v>
      </c>
      <c r="H2687" s="9" t="s">
        <v>14</v>
      </c>
      <c r="I2687" s="9">
        <v>7</v>
      </c>
      <c r="J2687" s="10">
        <v>434.03</v>
      </c>
      <c r="K2687" s="9" t="str">
        <f>TEXT(Sales_of_Jordan[[#This Row],[Sale_Date]],"mmm")</f>
        <v>Mar</v>
      </c>
    </row>
    <row r="2688" spans="1:11" x14ac:dyDescent="0.35">
      <c r="A2688" s="7" t="s">
        <v>2718</v>
      </c>
      <c r="B2688" s="8">
        <v>45251</v>
      </c>
      <c r="C2688" s="9" t="s">
        <v>31</v>
      </c>
      <c r="D2688" s="9" t="s">
        <v>53</v>
      </c>
      <c r="E2688" s="9" t="s">
        <v>29</v>
      </c>
      <c r="F2688" s="9">
        <v>201</v>
      </c>
      <c r="G2688" s="9">
        <v>190.4</v>
      </c>
      <c r="H2688" s="9" t="s">
        <v>14</v>
      </c>
      <c r="I2688" s="9">
        <v>3</v>
      </c>
      <c r="J2688" s="10">
        <v>-10.5999999999999</v>
      </c>
      <c r="K2688" s="9" t="str">
        <f>TEXT(Sales_of_Jordan[[#This Row],[Sale_Date]],"mmm")</f>
        <v>Nov</v>
      </c>
    </row>
    <row r="2689" spans="1:11" x14ac:dyDescent="0.35">
      <c r="A2689" s="7" t="s">
        <v>2719</v>
      </c>
      <c r="B2689" s="8">
        <v>45284</v>
      </c>
      <c r="C2689" s="9" t="s">
        <v>16</v>
      </c>
      <c r="D2689" s="9" t="s">
        <v>53</v>
      </c>
      <c r="E2689" s="9" t="s">
        <v>29</v>
      </c>
      <c r="F2689" s="9">
        <v>171</v>
      </c>
      <c r="G2689" s="9">
        <v>162.80000000000001</v>
      </c>
      <c r="H2689" s="9" t="s">
        <v>32</v>
      </c>
      <c r="I2689" s="9">
        <v>5</v>
      </c>
      <c r="J2689" s="10">
        <v>-8.1999999999999797</v>
      </c>
      <c r="K2689" s="9" t="str">
        <f>TEXT(Sales_of_Jordan[[#This Row],[Sale_Date]],"mmm")</f>
        <v>Dec</v>
      </c>
    </row>
    <row r="2690" spans="1:11" x14ac:dyDescent="0.35">
      <c r="A2690" s="7" t="s">
        <v>2720</v>
      </c>
      <c r="B2690" s="8">
        <v>45731</v>
      </c>
      <c r="C2690" s="9" t="s">
        <v>27</v>
      </c>
      <c r="D2690" s="9" t="s">
        <v>39</v>
      </c>
      <c r="E2690" s="9" t="s">
        <v>29</v>
      </c>
      <c r="F2690" s="9">
        <v>134</v>
      </c>
      <c r="G2690" s="9">
        <v>127.35</v>
      </c>
      <c r="H2690" s="9" t="s">
        <v>25</v>
      </c>
      <c r="I2690" s="9">
        <v>17</v>
      </c>
      <c r="J2690" s="10">
        <v>-6.65</v>
      </c>
      <c r="K2690" s="9" t="str">
        <f>TEXT(Sales_of_Jordan[[#This Row],[Sale_Date]],"mmm")</f>
        <v>Mar</v>
      </c>
    </row>
    <row r="2691" spans="1:11" x14ac:dyDescent="0.35">
      <c r="A2691" s="7" t="s">
        <v>2721</v>
      </c>
      <c r="B2691" s="8">
        <v>45368</v>
      </c>
      <c r="C2691" s="9" t="s">
        <v>16</v>
      </c>
      <c r="D2691" s="9" t="s">
        <v>39</v>
      </c>
      <c r="E2691" s="9" t="s">
        <v>18</v>
      </c>
      <c r="F2691" s="9">
        <v>184</v>
      </c>
      <c r="G2691" s="9">
        <v>311</v>
      </c>
      <c r="H2691" s="9" t="s">
        <v>23</v>
      </c>
      <c r="I2691" s="9">
        <v>37</v>
      </c>
      <c r="J2691" s="10">
        <v>127</v>
      </c>
      <c r="K2691" s="9" t="str">
        <f>TEXT(Sales_of_Jordan[[#This Row],[Sale_Date]],"mmm")</f>
        <v>Mar</v>
      </c>
    </row>
    <row r="2692" spans="1:11" x14ac:dyDescent="0.35">
      <c r="A2692" s="7" t="s">
        <v>2722</v>
      </c>
      <c r="B2692" s="8">
        <v>45718</v>
      </c>
      <c r="C2692" s="9" t="s">
        <v>27</v>
      </c>
      <c r="D2692" s="9" t="s">
        <v>22</v>
      </c>
      <c r="E2692" s="9" t="s">
        <v>18</v>
      </c>
      <c r="F2692" s="9">
        <v>131</v>
      </c>
      <c r="G2692" s="9">
        <v>288.81</v>
      </c>
      <c r="H2692" s="9" t="s">
        <v>32</v>
      </c>
      <c r="I2692" s="9">
        <v>10</v>
      </c>
      <c r="J2692" s="10">
        <v>157.81</v>
      </c>
      <c r="K2692" s="9" t="str">
        <f>TEXT(Sales_of_Jordan[[#This Row],[Sale_Date]],"mmm")</f>
        <v>Mar</v>
      </c>
    </row>
    <row r="2693" spans="1:11" x14ac:dyDescent="0.35">
      <c r="A2693" s="7" t="s">
        <v>2723</v>
      </c>
      <c r="B2693" s="8">
        <v>45049</v>
      </c>
      <c r="C2693" s="9" t="s">
        <v>11</v>
      </c>
      <c r="D2693" s="9" t="s">
        <v>22</v>
      </c>
      <c r="E2693" s="9" t="s">
        <v>29</v>
      </c>
      <c r="F2693" s="9">
        <v>227</v>
      </c>
      <c r="G2693" s="9">
        <v>260.25</v>
      </c>
      <c r="H2693" s="9" t="s">
        <v>23</v>
      </c>
      <c r="I2693" s="9">
        <v>13</v>
      </c>
      <c r="J2693" s="10">
        <v>33.25</v>
      </c>
      <c r="K2693" s="9" t="str">
        <f>TEXT(Sales_of_Jordan[[#This Row],[Sale_Date]],"mmm")</f>
        <v>May</v>
      </c>
    </row>
    <row r="2694" spans="1:11" x14ac:dyDescent="0.35">
      <c r="A2694" s="7" t="s">
        <v>2724</v>
      </c>
      <c r="B2694" s="8">
        <v>45458</v>
      </c>
      <c r="C2694" s="9" t="s">
        <v>31</v>
      </c>
      <c r="D2694" s="9" t="s">
        <v>55</v>
      </c>
      <c r="E2694" s="9" t="s">
        <v>18</v>
      </c>
      <c r="F2694" s="9">
        <v>207</v>
      </c>
      <c r="G2694" s="9">
        <v>612.83000000000004</v>
      </c>
      <c r="H2694" s="9" t="s">
        <v>25</v>
      </c>
      <c r="I2694" s="9">
        <v>29</v>
      </c>
      <c r="J2694" s="10">
        <v>405.83</v>
      </c>
      <c r="K2694" s="9" t="str">
        <f>TEXT(Sales_of_Jordan[[#This Row],[Sale_Date]],"mmm")</f>
        <v>Jun</v>
      </c>
    </row>
    <row r="2695" spans="1:11" x14ac:dyDescent="0.35">
      <c r="A2695" s="7" t="s">
        <v>2725</v>
      </c>
      <c r="B2695" s="8">
        <v>45890</v>
      </c>
      <c r="C2695" s="9" t="s">
        <v>11</v>
      </c>
      <c r="D2695" s="9" t="s">
        <v>55</v>
      </c>
      <c r="E2695" s="9" t="s">
        <v>18</v>
      </c>
      <c r="F2695" s="9">
        <v>229</v>
      </c>
      <c r="G2695" s="9">
        <v>579.91999999999996</v>
      </c>
      <c r="H2695" s="9" t="s">
        <v>25</v>
      </c>
      <c r="I2695" s="9">
        <v>40</v>
      </c>
      <c r="J2695" s="10">
        <v>350.91999999999899</v>
      </c>
      <c r="K2695" s="9" t="str">
        <f>TEXT(Sales_of_Jordan[[#This Row],[Sale_Date]],"mmm")</f>
        <v>Aug</v>
      </c>
    </row>
    <row r="2696" spans="1:11" x14ac:dyDescent="0.35">
      <c r="A2696" s="7" t="s">
        <v>2726</v>
      </c>
      <c r="B2696" s="8">
        <v>45576</v>
      </c>
      <c r="C2696" s="9" t="s">
        <v>16</v>
      </c>
      <c r="D2696" s="9" t="s">
        <v>39</v>
      </c>
      <c r="E2696" s="9" t="s">
        <v>13</v>
      </c>
      <c r="F2696" s="9">
        <v>170</v>
      </c>
      <c r="G2696" s="9">
        <v>101.21</v>
      </c>
      <c r="H2696" s="9" t="s">
        <v>14</v>
      </c>
      <c r="I2696" s="9">
        <v>5</v>
      </c>
      <c r="J2696" s="10">
        <v>-68.790000000000006</v>
      </c>
      <c r="K2696" s="9" t="str">
        <f>TEXT(Sales_of_Jordan[[#This Row],[Sale_Date]],"mmm")</f>
        <v>Oct</v>
      </c>
    </row>
    <row r="2697" spans="1:11" x14ac:dyDescent="0.35">
      <c r="A2697" s="7" t="s">
        <v>2727</v>
      </c>
      <c r="B2697" s="8">
        <v>45311</v>
      </c>
      <c r="C2697" s="9" t="s">
        <v>27</v>
      </c>
      <c r="D2697" s="9" t="s">
        <v>17</v>
      </c>
      <c r="E2697" s="9" t="s">
        <v>29</v>
      </c>
      <c r="F2697" s="9">
        <v>121</v>
      </c>
      <c r="G2697" s="9">
        <v>130.5</v>
      </c>
      <c r="H2697" s="9" t="s">
        <v>14</v>
      </c>
      <c r="I2697" s="9">
        <v>11</v>
      </c>
      <c r="J2697" s="10">
        <v>9.5</v>
      </c>
      <c r="K2697" s="9" t="str">
        <f>TEXT(Sales_of_Jordan[[#This Row],[Sale_Date]],"mmm")</f>
        <v>Jan</v>
      </c>
    </row>
    <row r="2698" spans="1:11" x14ac:dyDescent="0.35">
      <c r="A2698" s="7" t="s">
        <v>2728</v>
      </c>
      <c r="B2698" s="8">
        <v>45497</v>
      </c>
      <c r="C2698" s="9" t="s">
        <v>31</v>
      </c>
      <c r="D2698" s="9" t="s">
        <v>34</v>
      </c>
      <c r="E2698" s="9" t="s">
        <v>29</v>
      </c>
      <c r="F2698" s="9">
        <v>209</v>
      </c>
      <c r="G2698" s="9">
        <v>250.07</v>
      </c>
      <c r="H2698" s="9" t="s">
        <v>19</v>
      </c>
      <c r="I2698" s="9">
        <v>14</v>
      </c>
      <c r="J2698" s="10">
        <v>41.069999999999901</v>
      </c>
      <c r="K2698" s="9" t="str">
        <f>TEXT(Sales_of_Jordan[[#This Row],[Sale_Date]],"mmm")</f>
        <v>Jul</v>
      </c>
    </row>
    <row r="2699" spans="1:11" x14ac:dyDescent="0.35">
      <c r="A2699" s="7" t="s">
        <v>2729</v>
      </c>
      <c r="B2699" s="8">
        <v>45144</v>
      </c>
      <c r="C2699" s="9" t="s">
        <v>21</v>
      </c>
      <c r="D2699" s="9" t="s">
        <v>17</v>
      </c>
      <c r="E2699" s="9" t="s">
        <v>29</v>
      </c>
      <c r="F2699" s="9">
        <v>224</v>
      </c>
      <c r="G2699" s="9">
        <v>242.8</v>
      </c>
      <c r="H2699" s="9" t="s">
        <v>23</v>
      </c>
      <c r="I2699" s="9">
        <v>45</v>
      </c>
      <c r="J2699" s="10">
        <v>18.8</v>
      </c>
      <c r="K2699" s="9" t="str">
        <f>TEXT(Sales_of_Jordan[[#This Row],[Sale_Date]],"mmm")</f>
        <v>Aug</v>
      </c>
    </row>
    <row r="2700" spans="1:11" x14ac:dyDescent="0.35">
      <c r="A2700" s="7" t="s">
        <v>2730</v>
      </c>
      <c r="B2700" s="8">
        <v>45757</v>
      </c>
      <c r="C2700" s="9" t="s">
        <v>31</v>
      </c>
      <c r="D2700" s="9" t="s">
        <v>17</v>
      </c>
      <c r="E2700" s="9" t="s">
        <v>13</v>
      </c>
      <c r="F2700" s="9">
        <v>202</v>
      </c>
      <c r="G2700" s="9">
        <v>110.04</v>
      </c>
      <c r="H2700" s="9" t="s">
        <v>19</v>
      </c>
      <c r="I2700" s="9">
        <v>1</v>
      </c>
      <c r="J2700" s="10">
        <v>-91.96</v>
      </c>
      <c r="K2700" s="9" t="str">
        <f>TEXT(Sales_of_Jordan[[#This Row],[Sale_Date]],"mmm")</f>
        <v>Apr</v>
      </c>
    </row>
    <row r="2701" spans="1:11" x14ac:dyDescent="0.35">
      <c r="A2701" s="7" t="s">
        <v>2731</v>
      </c>
      <c r="B2701" s="8">
        <v>45194</v>
      </c>
      <c r="C2701" s="9" t="s">
        <v>31</v>
      </c>
      <c r="D2701" s="9" t="s">
        <v>53</v>
      </c>
      <c r="E2701" s="9" t="s">
        <v>13</v>
      </c>
      <c r="F2701" s="9">
        <v>202</v>
      </c>
      <c r="G2701" s="9">
        <v>125.04</v>
      </c>
      <c r="H2701" s="9" t="s">
        <v>25</v>
      </c>
      <c r="I2701" s="9">
        <v>59</v>
      </c>
      <c r="J2701" s="10">
        <v>-76.959999999999994</v>
      </c>
      <c r="K2701" s="9" t="str">
        <f>TEXT(Sales_of_Jordan[[#This Row],[Sale_Date]],"mmm")</f>
        <v>Sep</v>
      </c>
    </row>
    <row r="2702" spans="1:11" x14ac:dyDescent="0.35">
      <c r="A2702" s="7" t="s">
        <v>2732</v>
      </c>
      <c r="B2702" s="8">
        <v>45473</v>
      </c>
      <c r="C2702" s="9" t="s">
        <v>27</v>
      </c>
      <c r="D2702" s="9" t="s">
        <v>46</v>
      </c>
      <c r="E2702" s="9" t="s">
        <v>29</v>
      </c>
      <c r="F2702" s="9">
        <v>131</v>
      </c>
      <c r="G2702" s="9">
        <v>125.45</v>
      </c>
      <c r="H2702" s="9" t="s">
        <v>14</v>
      </c>
      <c r="I2702" s="9">
        <v>10</v>
      </c>
      <c r="J2702" s="10">
        <v>-5.5499999999999901</v>
      </c>
      <c r="K2702" s="9" t="str">
        <f>TEXT(Sales_of_Jordan[[#This Row],[Sale_Date]],"mmm")</f>
        <v>Jun</v>
      </c>
    </row>
    <row r="2703" spans="1:11" x14ac:dyDescent="0.35">
      <c r="A2703" s="7" t="s">
        <v>2733</v>
      </c>
      <c r="B2703" s="8">
        <v>45642</v>
      </c>
      <c r="C2703" s="9" t="s">
        <v>27</v>
      </c>
      <c r="D2703" s="9" t="s">
        <v>22</v>
      </c>
      <c r="E2703" s="9" t="s">
        <v>13</v>
      </c>
      <c r="F2703" s="9">
        <v>132</v>
      </c>
      <c r="G2703" s="9">
        <v>105.22</v>
      </c>
      <c r="H2703" s="9" t="s">
        <v>19</v>
      </c>
      <c r="I2703" s="9">
        <v>2</v>
      </c>
      <c r="J2703" s="10">
        <v>-26.78</v>
      </c>
      <c r="K2703" s="9" t="str">
        <f>TEXT(Sales_of_Jordan[[#This Row],[Sale_Date]],"mmm")</f>
        <v>Dec</v>
      </c>
    </row>
    <row r="2704" spans="1:11" x14ac:dyDescent="0.35">
      <c r="A2704" s="7" t="s">
        <v>2734</v>
      </c>
      <c r="B2704" s="8">
        <v>45806</v>
      </c>
      <c r="C2704" s="9" t="s">
        <v>27</v>
      </c>
      <c r="D2704" s="9" t="s">
        <v>12</v>
      </c>
      <c r="E2704" s="9" t="s">
        <v>29</v>
      </c>
      <c r="F2704" s="9">
        <v>131</v>
      </c>
      <c r="G2704" s="9">
        <v>139.11000000000001</v>
      </c>
      <c r="H2704" s="9" t="s">
        <v>14</v>
      </c>
      <c r="I2704" s="9">
        <v>3</v>
      </c>
      <c r="J2704" s="10">
        <v>8.1100000000000101</v>
      </c>
      <c r="K2704" s="9" t="str">
        <f>TEXT(Sales_of_Jordan[[#This Row],[Sale_Date]],"mmm")</f>
        <v>May</v>
      </c>
    </row>
    <row r="2705" spans="1:11" x14ac:dyDescent="0.35">
      <c r="A2705" s="7" t="s">
        <v>2735</v>
      </c>
      <c r="B2705" s="8">
        <v>45506</v>
      </c>
      <c r="C2705" s="9" t="s">
        <v>31</v>
      </c>
      <c r="D2705" s="9" t="s">
        <v>53</v>
      </c>
      <c r="E2705" s="9" t="s">
        <v>13</v>
      </c>
      <c r="F2705" s="9">
        <v>210</v>
      </c>
      <c r="G2705" s="9">
        <v>176.46</v>
      </c>
      <c r="H2705" s="9" t="s">
        <v>25</v>
      </c>
      <c r="I2705" s="9">
        <v>23</v>
      </c>
      <c r="J2705" s="10">
        <v>-33.5399999999999</v>
      </c>
      <c r="K2705" s="9" t="str">
        <f>TEXT(Sales_of_Jordan[[#This Row],[Sale_Date]],"mmm")</f>
        <v>Aug</v>
      </c>
    </row>
    <row r="2706" spans="1:11" x14ac:dyDescent="0.35">
      <c r="A2706" s="7" t="s">
        <v>2736</v>
      </c>
      <c r="B2706" s="8">
        <v>45161</v>
      </c>
      <c r="C2706" s="9" t="s">
        <v>16</v>
      </c>
      <c r="D2706" s="9" t="s">
        <v>17</v>
      </c>
      <c r="E2706" s="9" t="s">
        <v>18</v>
      </c>
      <c r="F2706" s="9">
        <v>173</v>
      </c>
      <c r="G2706" s="9">
        <v>400.73</v>
      </c>
      <c r="H2706" s="9" t="s">
        <v>25</v>
      </c>
      <c r="I2706" s="9">
        <v>32</v>
      </c>
      <c r="J2706" s="10">
        <v>227.73</v>
      </c>
      <c r="K2706" s="9" t="str">
        <f>TEXT(Sales_of_Jordan[[#This Row],[Sale_Date]],"mmm")</f>
        <v>Aug</v>
      </c>
    </row>
    <row r="2707" spans="1:11" x14ac:dyDescent="0.35">
      <c r="A2707" s="7" t="s">
        <v>2737</v>
      </c>
      <c r="B2707" s="8">
        <v>44949</v>
      </c>
      <c r="C2707" s="9" t="s">
        <v>31</v>
      </c>
      <c r="D2707" s="9" t="s">
        <v>36</v>
      </c>
      <c r="E2707" s="9" t="s">
        <v>13</v>
      </c>
      <c r="F2707" s="9">
        <v>205</v>
      </c>
      <c r="G2707" s="9">
        <v>142</v>
      </c>
      <c r="H2707" s="9" t="s">
        <v>25</v>
      </c>
      <c r="I2707" s="9">
        <v>28</v>
      </c>
      <c r="J2707" s="10">
        <v>-63</v>
      </c>
      <c r="K2707" s="9" t="str">
        <f>TEXT(Sales_of_Jordan[[#This Row],[Sale_Date]],"mmm")</f>
        <v>Jan</v>
      </c>
    </row>
    <row r="2708" spans="1:11" x14ac:dyDescent="0.35">
      <c r="A2708" s="7" t="s">
        <v>2738</v>
      </c>
      <c r="B2708" s="8">
        <v>45701</v>
      </c>
      <c r="C2708" s="9" t="s">
        <v>16</v>
      </c>
      <c r="D2708" s="9" t="s">
        <v>46</v>
      </c>
      <c r="E2708" s="9" t="s">
        <v>13</v>
      </c>
      <c r="F2708" s="9">
        <v>172</v>
      </c>
      <c r="G2708" s="9">
        <v>110.31</v>
      </c>
      <c r="H2708" s="9" t="s">
        <v>14</v>
      </c>
      <c r="I2708" s="9">
        <v>7</v>
      </c>
      <c r="J2708" s="10">
        <v>-61.69</v>
      </c>
      <c r="K2708" s="9" t="str">
        <f>TEXT(Sales_of_Jordan[[#This Row],[Sale_Date]],"mmm")</f>
        <v>Feb</v>
      </c>
    </row>
    <row r="2709" spans="1:11" x14ac:dyDescent="0.35">
      <c r="A2709" s="7" t="s">
        <v>2739</v>
      </c>
      <c r="B2709" s="8">
        <v>45237</v>
      </c>
      <c r="C2709" s="9" t="s">
        <v>16</v>
      </c>
      <c r="D2709" s="9" t="s">
        <v>36</v>
      </c>
      <c r="E2709" s="9" t="s">
        <v>18</v>
      </c>
      <c r="F2709" s="9">
        <v>186</v>
      </c>
      <c r="G2709" s="9">
        <v>402.69</v>
      </c>
      <c r="H2709" s="9" t="s">
        <v>19</v>
      </c>
      <c r="I2709" s="9">
        <v>1</v>
      </c>
      <c r="J2709" s="10">
        <v>216.69</v>
      </c>
      <c r="K2709" s="9" t="str">
        <f>TEXT(Sales_of_Jordan[[#This Row],[Sale_Date]],"mmm")</f>
        <v>Nov</v>
      </c>
    </row>
    <row r="2710" spans="1:11" x14ac:dyDescent="0.35">
      <c r="A2710" s="7" t="s">
        <v>2740</v>
      </c>
      <c r="B2710" s="8">
        <v>45665</v>
      </c>
      <c r="C2710" s="9" t="s">
        <v>31</v>
      </c>
      <c r="D2710" s="9" t="s">
        <v>22</v>
      </c>
      <c r="E2710" s="9" t="s">
        <v>13</v>
      </c>
      <c r="F2710" s="9">
        <v>210</v>
      </c>
      <c r="G2710" s="9">
        <v>175.88</v>
      </c>
      <c r="H2710" s="9" t="s">
        <v>32</v>
      </c>
      <c r="I2710" s="9">
        <v>22</v>
      </c>
      <c r="J2710" s="10">
        <v>-34.119999999999997</v>
      </c>
      <c r="K2710" s="9" t="str">
        <f>TEXT(Sales_of_Jordan[[#This Row],[Sale_Date]],"mmm")</f>
        <v>Jan</v>
      </c>
    </row>
    <row r="2711" spans="1:11" x14ac:dyDescent="0.35">
      <c r="A2711" s="7" t="s">
        <v>2741</v>
      </c>
      <c r="B2711" s="8">
        <v>45681</v>
      </c>
      <c r="C2711" s="9" t="s">
        <v>27</v>
      </c>
      <c r="D2711" s="9" t="s">
        <v>22</v>
      </c>
      <c r="E2711" s="9" t="s">
        <v>29</v>
      </c>
      <c r="F2711" s="9">
        <v>133</v>
      </c>
      <c r="G2711" s="9">
        <v>194.25</v>
      </c>
      <c r="H2711" s="9" t="s">
        <v>32</v>
      </c>
      <c r="I2711" s="9">
        <v>54</v>
      </c>
      <c r="J2711" s="10">
        <v>61.25</v>
      </c>
      <c r="K2711" s="9" t="str">
        <f>TEXT(Sales_of_Jordan[[#This Row],[Sale_Date]],"mmm")</f>
        <v>Jan</v>
      </c>
    </row>
    <row r="2712" spans="1:11" x14ac:dyDescent="0.35">
      <c r="A2712" s="7" t="s">
        <v>2742</v>
      </c>
      <c r="B2712" s="8">
        <v>45830</v>
      </c>
      <c r="C2712" s="9" t="s">
        <v>27</v>
      </c>
      <c r="D2712" s="9" t="s">
        <v>12</v>
      </c>
      <c r="E2712" s="9" t="s">
        <v>13</v>
      </c>
      <c r="F2712" s="9">
        <v>122</v>
      </c>
      <c r="G2712" s="9">
        <v>76.739999999999995</v>
      </c>
      <c r="H2712" s="9" t="s">
        <v>23</v>
      </c>
      <c r="I2712" s="9">
        <v>26</v>
      </c>
      <c r="J2712" s="10">
        <v>-45.26</v>
      </c>
      <c r="K2712" s="9" t="str">
        <f>TEXT(Sales_of_Jordan[[#This Row],[Sale_Date]],"mmm")</f>
        <v>Jun</v>
      </c>
    </row>
    <row r="2713" spans="1:11" x14ac:dyDescent="0.35">
      <c r="A2713" s="7" t="s">
        <v>2743</v>
      </c>
      <c r="B2713" s="8">
        <v>45220</v>
      </c>
      <c r="C2713" s="9" t="s">
        <v>31</v>
      </c>
      <c r="D2713" s="9" t="s">
        <v>53</v>
      </c>
      <c r="E2713" s="9" t="s">
        <v>18</v>
      </c>
      <c r="F2713" s="9">
        <v>208</v>
      </c>
      <c r="G2713" s="9">
        <v>526.64</v>
      </c>
      <c r="H2713" s="9" t="s">
        <v>14</v>
      </c>
      <c r="I2713" s="9">
        <v>8</v>
      </c>
      <c r="J2713" s="10">
        <v>318.64</v>
      </c>
      <c r="K2713" s="9" t="str">
        <f>TEXT(Sales_of_Jordan[[#This Row],[Sale_Date]],"mmm")</f>
        <v>Oct</v>
      </c>
    </row>
    <row r="2714" spans="1:11" x14ac:dyDescent="0.35">
      <c r="A2714" s="7" t="s">
        <v>2744</v>
      </c>
      <c r="B2714" s="8">
        <v>45693</v>
      </c>
      <c r="C2714" s="9" t="s">
        <v>21</v>
      </c>
      <c r="D2714" s="9" t="s">
        <v>34</v>
      </c>
      <c r="E2714" s="9" t="s">
        <v>18</v>
      </c>
      <c r="F2714" s="9">
        <v>223</v>
      </c>
      <c r="G2714" s="9">
        <v>274.67</v>
      </c>
      <c r="H2714" s="9" t="s">
        <v>14</v>
      </c>
      <c r="I2714" s="9">
        <v>5</v>
      </c>
      <c r="J2714" s="10">
        <v>51.67</v>
      </c>
      <c r="K2714" s="9" t="str">
        <f>TEXT(Sales_of_Jordan[[#This Row],[Sale_Date]],"mmm")</f>
        <v>Feb</v>
      </c>
    </row>
    <row r="2715" spans="1:11" x14ac:dyDescent="0.35">
      <c r="A2715" s="7" t="s">
        <v>2745</v>
      </c>
      <c r="B2715" s="8">
        <v>45104</v>
      </c>
      <c r="C2715" s="9" t="s">
        <v>31</v>
      </c>
      <c r="D2715" s="9" t="s">
        <v>36</v>
      </c>
      <c r="E2715" s="9" t="s">
        <v>18</v>
      </c>
      <c r="F2715" s="9">
        <v>208</v>
      </c>
      <c r="G2715" s="9">
        <v>503.2</v>
      </c>
      <c r="H2715" s="9" t="s">
        <v>14</v>
      </c>
      <c r="I2715" s="9">
        <v>2</v>
      </c>
      <c r="J2715" s="10">
        <v>295.2</v>
      </c>
      <c r="K2715" s="9" t="str">
        <f>TEXT(Sales_of_Jordan[[#This Row],[Sale_Date]],"mmm")</f>
        <v>Jun</v>
      </c>
    </row>
    <row r="2716" spans="1:11" x14ac:dyDescent="0.35">
      <c r="A2716" s="7" t="s">
        <v>2746</v>
      </c>
      <c r="B2716" s="8">
        <v>45212</v>
      </c>
      <c r="C2716" s="9" t="s">
        <v>11</v>
      </c>
      <c r="D2716" s="9" t="s">
        <v>36</v>
      </c>
      <c r="E2716" s="9" t="s">
        <v>29</v>
      </c>
      <c r="F2716" s="9">
        <v>230</v>
      </c>
      <c r="G2716" s="9">
        <v>294.44</v>
      </c>
      <c r="H2716" s="9" t="s">
        <v>32</v>
      </c>
      <c r="I2716" s="9">
        <v>53</v>
      </c>
      <c r="J2716" s="10">
        <v>64.44</v>
      </c>
      <c r="K2716" s="9" t="str">
        <f>TEXT(Sales_of_Jordan[[#This Row],[Sale_Date]],"mmm")</f>
        <v>Oct</v>
      </c>
    </row>
    <row r="2717" spans="1:11" x14ac:dyDescent="0.35">
      <c r="A2717" s="7" t="s">
        <v>2747</v>
      </c>
      <c r="B2717" s="8">
        <v>45632</v>
      </c>
      <c r="C2717" s="9" t="s">
        <v>11</v>
      </c>
      <c r="D2717" s="9" t="s">
        <v>12</v>
      </c>
      <c r="E2717" s="9" t="s">
        <v>18</v>
      </c>
      <c r="F2717" s="9">
        <v>228</v>
      </c>
      <c r="G2717" s="9">
        <v>430.17</v>
      </c>
      <c r="H2717" s="9" t="s">
        <v>14</v>
      </c>
      <c r="I2717" s="9">
        <v>6</v>
      </c>
      <c r="J2717" s="10">
        <v>202.17</v>
      </c>
      <c r="K2717" s="9" t="str">
        <f>TEXT(Sales_of_Jordan[[#This Row],[Sale_Date]],"mmm")</f>
        <v>Dec</v>
      </c>
    </row>
    <row r="2718" spans="1:11" x14ac:dyDescent="0.35">
      <c r="A2718" s="7" t="s">
        <v>2748</v>
      </c>
      <c r="B2718" s="8">
        <v>45923</v>
      </c>
      <c r="C2718" s="9" t="s">
        <v>27</v>
      </c>
      <c r="D2718" s="9" t="s">
        <v>46</v>
      </c>
      <c r="E2718" s="9" t="s">
        <v>29</v>
      </c>
      <c r="F2718" s="9">
        <v>127</v>
      </c>
      <c r="G2718" s="9">
        <v>132.97999999999999</v>
      </c>
      <c r="H2718" s="9" t="s">
        <v>23</v>
      </c>
      <c r="I2718" s="9">
        <v>42</v>
      </c>
      <c r="J2718" s="10">
        <v>5.9799999999999898</v>
      </c>
      <c r="K2718" s="9" t="str">
        <f>TEXT(Sales_of_Jordan[[#This Row],[Sale_Date]],"mmm")</f>
        <v>Sep</v>
      </c>
    </row>
    <row r="2719" spans="1:11" x14ac:dyDescent="0.35">
      <c r="A2719" s="7" t="s">
        <v>2749</v>
      </c>
      <c r="B2719" s="8">
        <v>44936</v>
      </c>
      <c r="C2719" s="9" t="s">
        <v>11</v>
      </c>
      <c r="D2719" s="9" t="s">
        <v>22</v>
      </c>
      <c r="E2719" s="9" t="s">
        <v>13</v>
      </c>
      <c r="F2719" s="9">
        <v>228</v>
      </c>
      <c r="G2719" s="9">
        <v>161.84</v>
      </c>
      <c r="H2719" s="9" t="s">
        <v>32</v>
      </c>
      <c r="I2719" s="9">
        <v>32</v>
      </c>
      <c r="J2719" s="10">
        <v>-66.16</v>
      </c>
      <c r="K2719" s="9" t="str">
        <f>TEXT(Sales_of_Jordan[[#This Row],[Sale_Date]],"mmm")</f>
        <v>Jan</v>
      </c>
    </row>
    <row r="2720" spans="1:11" x14ac:dyDescent="0.35">
      <c r="A2720" s="7" t="s">
        <v>2750</v>
      </c>
      <c r="B2720" s="8">
        <v>45362</v>
      </c>
      <c r="C2720" s="9" t="s">
        <v>11</v>
      </c>
      <c r="D2720" s="9" t="s">
        <v>46</v>
      </c>
      <c r="E2720" s="9" t="s">
        <v>18</v>
      </c>
      <c r="F2720" s="9">
        <v>225</v>
      </c>
      <c r="G2720" s="9">
        <v>682.21</v>
      </c>
      <c r="H2720" s="9" t="s">
        <v>32</v>
      </c>
      <c r="I2720" s="9">
        <v>48</v>
      </c>
      <c r="J2720" s="10">
        <v>457.21</v>
      </c>
      <c r="K2720" s="9" t="str">
        <f>TEXT(Sales_of_Jordan[[#This Row],[Sale_Date]],"mmm")</f>
        <v>Mar</v>
      </c>
    </row>
    <row r="2721" spans="1:11" x14ac:dyDescent="0.35">
      <c r="A2721" s="7" t="s">
        <v>2751</v>
      </c>
      <c r="B2721" s="8">
        <v>45087</v>
      </c>
      <c r="C2721" s="9" t="s">
        <v>11</v>
      </c>
      <c r="D2721" s="9" t="s">
        <v>36</v>
      </c>
      <c r="E2721" s="9" t="s">
        <v>13</v>
      </c>
      <c r="F2721" s="9">
        <v>229</v>
      </c>
      <c r="G2721" s="9">
        <v>145.77000000000001</v>
      </c>
      <c r="H2721" s="9" t="s">
        <v>19</v>
      </c>
      <c r="I2721" s="9">
        <v>13</v>
      </c>
      <c r="J2721" s="10">
        <v>-83.229999999999905</v>
      </c>
      <c r="K2721" s="9" t="str">
        <f>TEXT(Sales_of_Jordan[[#This Row],[Sale_Date]],"mmm")</f>
        <v>Jun</v>
      </c>
    </row>
    <row r="2722" spans="1:11" x14ac:dyDescent="0.35">
      <c r="A2722" s="7" t="s">
        <v>2752</v>
      </c>
      <c r="B2722" s="8">
        <v>45348</v>
      </c>
      <c r="C2722" s="9" t="s">
        <v>16</v>
      </c>
      <c r="D2722" s="9" t="s">
        <v>12</v>
      </c>
      <c r="E2722" s="9" t="s">
        <v>18</v>
      </c>
      <c r="F2722" s="9">
        <v>179</v>
      </c>
      <c r="G2722" s="9">
        <v>581.07000000000005</v>
      </c>
      <c r="H2722" s="9" t="s">
        <v>32</v>
      </c>
      <c r="I2722" s="9">
        <v>23</v>
      </c>
      <c r="J2722" s="10">
        <v>402.07</v>
      </c>
      <c r="K2722" s="9" t="str">
        <f>TEXT(Sales_of_Jordan[[#This Row],[Sale_Date]],"mmm")</f>
        <v>Feb</v>
      </c>
    </row>
    <row r="2723" spans="1:11" x14ac:dyDescent="0.35">
      <c r="A2723" s="7" t="s">
        <v>2753</v>
      </c>
      <c r="B2723" s="8">
        <v>45233</v>
      </c>
      <c r="C2723" s="9" t="s">
        <v>21</v>
      </c>
      <c r="D2723" s="9" t="s">
        <v>46</v>
      </c>
      <c r="E2723" s="9" t="s">
        <v>18</v>
      </c>
      <c r="F2723" s="9">
        <v>213</v>
      </c>
      <c r="G2723" s="9">
        <v>334.49</v>
      </c>
      <c r="H2723" s="9" t="s">
        <v>14</v>
      </c>
      <c r="I2723" s="9">
        <v>12</v>
      </c>
      <c r="J2723" s="10">
        <v>121.49</v>
      </c>
      <c r="K2723" s="9" t="str">
        <f>TEXT(Sales_of_Jordan[[#This Row],[Sale_Date]],"mmm")</f>
        <v>Nov</v>
      </c>
    </row>
    <row r="2724" spans="1:11" x14ac:dyDescent="0.35">
      <c r="A2724" s="7" t="s">
        <v>2754</v>
      </c>
      <c r="B2724" s="8">
        <v>45163</v>
      </c>
      <c r="C2724" s="9" t="s">
        <v>11</v>
      </c>
      <c r="D2724" s="9" t="s">
        <v>36</v>
      </c>
      <c r="E2724" s="9" t="s">
        <v>18</v>
      </c>
      <c r="F2724" s="9">
        <v>226</v>
      </c>
      <c r="G2724" s="9">
        <v>407.97</v>
      </c>
      <c r="H2724" s="9" t="s">
        <v>25</v>
      </c>
      <c r="I2724" s="9">
        <v>38</v>
      </c>
      <c r="J2724" s="10">
        <v>181.97</v>
      </c>
      <c r="K2724" s="9" t="str">
        <f>TEXT(Sales_of_Jordan[[#This Row],[Sale_Date]],"mmm")</f>
        <v>Aug</v>
      </c>
    </row>
    <row r="2725" spans="1:11" x14ac:dyDescent="0.35">
      <c r="A2725" s="7" t="s">
        <v>2755</v>
      </c>
      <c r="B2725" s="8">
        <v>45700</v>
      </c>
      <c r="C2725" s="9" t="s">
        <v>31</v>
      </c>
      <c r="D2725" s="9" t="s">
        <v>55</v>
      </c>
      <c r="E2725" s="9" t="s">
        <v>13</v>
      </c>
      <c r="F2725" s="9">
        <v>204</v>
      </c>
      <c r="G2725" s="9">
        <v>155.08000000000001</v>
      </c>
      <c r="H2725" s="9" t="s">
        <v>14</v>
      </c>
      <c r="I2725" s="9">
        <v>5</v>
      </c>
      <c r="J2725" s="10">
        <v>-48.919999999999902</v>
      </c>
      <c r="K2725" s="9" t="str">
        <f>TEXT(Sales_of_Jordan[[#This Row],[Sale_Date]],"mmm")</f>
        <v>Feb</v>
      </c>
    </row>
    <row r="2726" spans="1:11" x14ac:dyDescent="0.35">
      <c r="A2726" s="7" t="s">
        <v>2756</v>
      </c>
      <c r="B2726" s="8">
        <v>45518</v>
      </c>
      <c r="C2726" s="9" t="s">
        <v>27</v>
      </c>
      <c r="D2726" s="9" t="s">
        <v>22</v>
      </c>
      <c r="E2726" s="9" t="s">
        <v>18</v>
      </c>
      <c r="F2726" s="9">
        <v>115</v>
      </c>
      <c r="G2726" s="9">
        <v>352.87</v>
      </c>
      <c r="H2726" s="9" t="s">
        <v>32</v>
      </c>
      <c r="I2726" s="9">
        <v>44</v>
      </c>
      <c r="J2726" s="10">
        <v>237.87</v>
      </c>
      <c r="K2726" s="9" t="str">
        <f>TEXT(Sales_of_Jordan[[#This Row],[Sale_Date]],"mmm")</f>
        <v>Aug</v>
      </c>
    </row>
    <row r="2727" spans="1:11" x14ac:dyDescent="0.35">
      <c r="A2727" s="7" t="s">
        <v>2757</v>
      </c>
      <c r="B2727" s="8">
        <v>45372</v>
      </c>
      <c r="C2727" s="9" t="s">
        <v>16</v>
      </c>
      <c r="D2727" s="9" t="s">
        <v>17</v>
      </c>
      <c r="E2727" s="9" t="s">
        <v>13</v>
      </c>
      <c r="F2727" s="9">
        <v>178</v>
      </c>
      <c r="G2727" s="9">
        <v>101.47</v>
      </c>
      <c r="H2727" s="9" t="s">
        <v>23</v>
      </c>
      <c r="I2727" s="9">
        <v>44</v>
      </c>
      <c r="J2727" s="10">
        <v>-76.53</v>
      </c>
      <c r="K2727" s="9" t="str">
        <f>TEXT(Sales_of_Jordan[[#This Row],[Sale_Date]],"mmm")</f>
        <v>Mar</v>
      </c>
    </row>
    <row r="2728" spans="1:11" x14ac:dyDescent="0.35">
      <c r="A2728" s="7" t="s">
        <v>2758</v>
      </c>
      <c r="B2728" s="8">
        <v>45489</v>
      </c>
      <c r="C2728" s="9" t="s">
        <v>11</v>
      </c>
      <c r="D2728" s="9" t="s">
        <v>53</v>
      </c>
      <c r="E2728" s="9" t="s">
        <v>29</v>
      </c>
      <c r="F2728" s="9">
        <v>229</v>
      </c>
      <c r="G2728" s="9">
        <v>289.87</v>
      </c>
      <c r="H2728" s="9" t="s">
        <v>25</v>
      </c>
      <c r="I2728" s="9">
        <v>44</v>
      </c>
      <c r="J2728" s="10">
        <v>60.87</v>
      </c>
      <c r="K2728" s="9" t="str">
        <f>TEXT(Sales_of_Jordan[[#This Row],[Sale_Date]],"mmm")</f>
        <v>Jul</v>
      </c>
    </row>
    <row r="2729" spans="1:11" x14ac:dyDescent="0.35">
      <c r="A2729" s="7" t="s">
        <v>2759</v>
      </c>
      <c r="B2729" s="8">
        <v>44949</v>
      </c>
      <c r="C2729" s="9" t="s">
        <v>27</v>
      </c>
      <c r="D2729" s="9" t="s">
        <v>46</v>
      </c>
      <c r="E2729" s="9" t="s">
        <v>29</v>
      </c>
      <c r="F2729" s="9">
        <v>127</v>
      </c>
      <c r="G2729" s="9">
        <v>182.87</v>
      </c>
      <c r="H2729" s="9" t="s">
        <v>32</v>
      </c>
      <c r="I2729" s="9">
        <v>15</v>
      </c>
      <c r="J2729" s="10">
        <v>55.87</v>
      </c>
      <c r="K2729" s="9" t="str">
        <f>TEXT(Sales_of_Jordan[[#This Row],[Sale_Date]],"mmm")</f>
        <v>Jan</v>
      </c>
    </row>
    <row r="2730" spans="1:11" x14ac:dyDescent="0.35">
      <c r="A2730" s="7" t="s">
        <v>2760</v>
      </c>
      <c r="B2730" s="8">
        <v>45146</v>
      </c>
      <c r="C2730" s="9" t="s">
        <v>21</v>
      </c>
      <c r="D2730" s="9" t="s">
        <v>46</v>
      </c>
      <c r="E2730" s="9" t="s">
        <v>13</v>
      </c>
      <c r="F2730" s="9">
        <v>212</v>
      </c>
      <c r="G2730" s="9">
        <v>179.45</v>
      </c>
      <c r="H2730" s="9" t="s">
        <v>23</v>
      </c>
      <c r="I2730" s="9">
        <v>26</v>
      </c>
      <c r="J2730" s="10">
        <v>-32.549999999999997</v>
      </c>
      <c r="K2730" s="9" t="str">
        <f>TEXT(Sales_of_Jordan[[#This Row],[Sale_Date]],"mmm")</f>
        <v>Aug</v>
      </c>
    </row>
    <row r="2731" spans="1:11" x14ac:dyDescent="0.35">
      <c r="A2731" s="7" t="s">
        <v>2761</v>
      </c>
      <c r="B2731" s="8">
        <v>45062</v>
      </c>
      <c r="C2731" s="9" t="s">
        <v>21</v>
      </c>
      <c r="D2731" s="9" t="s">
        <v>39</v>
      </c>
      <c r="E2731" s="9" t="s">
        <v>13</v>
      </c>
      <c r="F2731" s="9">
        <v>223</v>
      </c>
      <c r="G2731" s="9">
        <v>171.87</v>
      </c>
      <c r="H2731" s="9" t="s">
        <v>25</v>
      </c>
      <c r="I2731" s="9">
        <v>60</v>
      </c>
      <c r="J2731" s="10">
        <v>-51.129999999999903</v>
      </c>
      <c r="K2731" s="9" t="str">
        <f>TEXT(Sales_of_Jordan[[#This Row],[Sale_Date]],"mmm")</f>
        <v>May</v>
      </c>
    </row>
    <row r="2732" spans="1:11" x14ac:dyDescent="0.35">
      <c r="A2732" s="7" t="s">
        <v>2762</v>
      </c>
      <c r="B2732" s="8">
        <v>45099</v>
      </c>
      <c r="C2732" s="9" t="s">
        <v>27</v>
      </c>
      <c r="D2732" s="9" t="s">
        <v>22</v>
      </c>
      <c r="E2732" s="9" t="s">
        <v>13</v>
      </c>
      <c r="F2732" s="9">
        <v>126</v>
      </c>
      <c r="G2732" s="9">
        <v>71.7</v>
      </c>
      <c r="H2732" s="9" t="s">
        <v>23</v>
      </c>
      <c r="I2732" s="9">
        <v>36</v>
      </c>
      <c r="J2732" s="10">
        <v>-54.3</v>
      </c>
      <c r="K2732" s="9" t="str">
        <f>TEXT(Sales_of_Jordan[[#This Row],[Sale_Date]],"mmm")</f>
        <v>Jun</v>
      </c>
    </row>
    <row r="2733" spans="1:11" x14ac:dyDescent="0.35">
      <c r="A2733" s="7" t="s">
        <v>2763</v>
      </c>
      <c r="B2733" s="8">
        <v>44931</v>
      </c>
      <c r="C2733" s="9" t="s">
        <v>11</v>
      </c>
      <c r="D2733" s="9" t="s">
        <v>36</v>
      </c>
      <c r="E2733" s="9" t="s">
        <v>29</v>
      </c>
      <c r="F2733" s="9">
        <v>226</v>
      </c>
      <c r="G2733" s="9">
        <v>336.86</v>
      </c>
      <c r="H2733" s="9" t="s">
        <v>19</v>
      </c>
      <c r="I2733" s="9">
        <v>8</v>
      </c>
      <c r="J2733" s="10">
        <v>110.86</v>
      </c>
      <c r="K2733" s="9" t="str">
        <f>TEXT(Sales_of_Jordan[[#This Row],[Sale_Date]],"mmm")</f>
        <v>Jan</v>
      </c>
    </row>
    <row r="2734" spans="1:11" x14ac:dyDescent="0.35">
      <c r="A2734" s="7" t="s">
        <v>2764</v>
      </c>
      <c r="B2734" s="8">
        <v>45080</v>
      </c>
      <c r="C2734" s="9" t="s">
        <v>31</v>
      </c>
      <c r="D2734" s="9" t="s">
        <v>53</v>
      </c>
      <c r="E2734" s="9" t="s">
        <v>13</v>
      </c>
      <c r="F2734" s="9">
        <v>201</v>
      </c>
      <c r="G2734" s="9">
        <v>172.11</v>
      </c>
      <c r="H2734" s="9" t="s">
        <v>32</v>
      </c>
      <c r="I2734" s="9">
        <v>26</v>
      </c>
      <c r="J2734" s="10">
        <v>-28.889999999999901</v>
      </c>
      <c r="K2734" s="9" t="str">
        <f>TEXT(Sales_of_Jordan[[#This Row],[Sale_Date]],"mmm")</f>
        <v>Jun</v>
      </c>
    </row>
    <row r="2735" spans="1:11" x14ac:dyDescent="0.35">
      <c r="A2735" s="7" t="s">
        <v>2765</v>
      </c>
      <c r="B2735" s="8">
        <v>45754</v>
      </c>
      <c r="C2735" s="9" t="s">
        <v>31</v>
      </c>
      <c r="D2735" s="9" t="s">
        <v>36</v>
      </c>
      <c r="E2735" s="9" t="s">
        <v>13</v>
      </c>
      <c r="F2735" s="9">
        <v>208</v>
      </c>
      <c r="G2735" s="9">
        <v>168.54</v>
      </c>
      <c r="H2735" s="9" t="s">
        <v>23</v>
      </c>
      <c r="I2735" s="9">
        <v>29</v>
      </c>
      <c r="J2735" s="10">
        <v>-39.46</v>
      </c>
      <c r="K2735" s="9" t="str">
        <f>TEXT(Sales_of_Jordan[[#This Row],[Sale_Date]],"mmm")</f>
        <v>Apr</v>
      </c>
    </row>
    <row r="2736" spans="1:11" x14ac:dyDescent="0.35">
      <c r="A2736" s="7" t="s">
        <v>2766</v>
      </c>
      <c r="B2736" s="8">
        <v>45604</v>
      </c>
      <c r="C2736" s="9" t="s">
        <v>11</v>
      </c>
      <c r="D2736" s="9" t="s">
        <v>39</v>
      </c>
      <c r="E2736" s="9" t="s">
        <v>29</v>
      </c>
      <c r="F2736" s="9">
        <v>227</v>
      </c>
      <c r="G2736" s="9">
        <v>247.98</v>
      </c>
      <c r="H2736" s="9" t="s">
        <v>25</v>
      </c>
      <c r="I2736" s="9">
        <v>5</v>
      </c>
      <c r="J2736" s="10">
        <v>20.979999999999901</v>
      </c>
      <c r="K2736" s="9" t="str">
        <f>TEXT(Sales_of_Jordan[[#This Row],[Sale_Date]],"mmm")</f>
        <v>Nov</v>
      </c>
    </row>
    <row r="2737" spans="1:11" x14ac:dyDescent="0.35">
      <c r="A2737" s="7" t="s">
        <v>2767</v>
      </c>
      <c r="B2737" s="8">
        <v>45835</v>
      </c>
      <c r="C2737" s="9" t="s">
        <v>27</v>
      </c>
      <c r="D2737" s="9" t="s">
        <v>17</v>
      </c>
      <c r="E2737" s="9" t="s">
        <v>13</v>
      </c>
      <c r="F2737" s="9">
        <v>115</v>
      </c>
      <c r="G2737" s="9">
        <v>82.43</v>
      </c>
      <c r="H2737" s="9" t="s">
        <v>23</v>
      </c>
      <c r="I2737" s="9">
        <v>56</v>
      </c>
      <c r="J2737" s="10">
        <v>-32.569999999999901</v>
      </c>
      <c r="K2737" s="9" t="str">
        <f>TEXT(Sales_of_Jordan[[#This Row],[Sale_Date]],"mmm")</f>
        <v>Jun</v>
      </c>
    </row>
    <row r="2738" spans="1:11" x14ac:dyDescent="0.35">
      <c r="A2738" s="7" t="s">
        <v>2768</v>
      </c>
      <c r="B2738" s="8">
        <v>45433</v>
      </c>
      <c r="C2738" s="9" t="s">
        <v>16</v>
      </c>
      <c r="D2738" s="9" t="s">
        <v>12</v>
      </c>
      <c r="E2738" s="9" t="s">
        <v>18</v>
      </c>
      <c r="F2738" s="9">
        <v>180</v>
      </c>
      <c r="G2738" s="9">
        <v>274.58999999999997</v>
      </c>
      <c r="H2738" s="9" t="s">
        <v>14</v>
      </c>
      <c r="I2738" s="9">
        <v>1</v>
      </c>
      <c r="J2738" s="10">
        <v>94.589999999999904</v>
      </c>
      <c r="K2738" s="9" t="str">
        <f>TEXT(Sales_of_Jordan[[#This Row],[Sale_Date]],"mmm")</f>
        <v>May</v>
      </c>
    </row>
    <row r="2739" spans="1:11" x14ac:dyDescent="0.35">
      <c r="A2739" s="7" t="s">
        <v>2769</v>
      </c>
      <c r="B2739" s="8">
        <v>45336</v>
      </c>
      <c r="C2739" s="9" t="s">
        <v>31</v>
      </c>
      <c r="D2739" s="9" t="s">
        <v>46</v>
      </c>
      <c r="E2739" s="9" t="s">
        <v>13</v>
      </c>
      <c r="F2739" s="9">
        <v>205</v>
      </c>
      <c r="G2739" s="9">
        <v>173.24</v>
      </c>
      <c r="H2739" s="9" t="s">
        <v>14</v>
      </c>
      <c r="I2739" s="9">
        <v>10</v>
      </c>
      <c r="J2739" s="10">
        <v>-31.759999999999899</v>
      </c>
      <c r="K2739" s="9" t="str">
        <f>TEXT(Sales_of_Jordan[[#This Row],[Sale_Date]],"mmm")</f>
        <v>Feb</v>
      </c>
    </row>
    <row r="2740" spans="1:11" x14ac:dyDescent="0.35">
      <c r="A2740" s="7" t="s">
        <v>2770</v>
      </c>
      <c r="B2740" s="8">
        <v>45677</v>
      </c>
      <c r="C2740" s="9" t="s">
        <v>31</v>
      </c>
      <c r="D2740" s="9" t="s">
        <v>39</v>
      </c>
      <c r="E2740" s="9" t="s">
        <v>13</v>
      </c>
      <c r="F2740" s="9">
        <v>210</v>
      </c>
      <c r="G2740" s="9">
        <v>138.96</v>
      </c>
      <c r="H2740" s="9" t="s">
        <v>32</v>
      </c>
      <c r="I2740" s="9">
        <v>38</v>
      </c>
      <c r="J2740" s="10">
        <v>-71.039999999999907</v>
      </c>
      <c r="K2740" s="9" t="str">
        <f>TEXT(Sales_of_Jordan[[#This Row],[Sale_Date]],"mmm")</f>
        <v>Jan</v>
      </c>
    </row>
    <row r="2741" spans="1:11" x14ac:dyDescent="0.35">
      <c r="A2741" s="7" t="s">
        <v>2771</v>
      </c>
      <c r="B2741" s="8">
        <v>45130</v>
      </c>
      <c r="C2741" s="9" t="s">
        <v>21</v>
      </c>
      <c r="D2741" s="9" t="s">
        <v>53</v>
      </c>
      <c r="E2741" s="9" t="s">
        <v>18</v>
      </c>
      <c r="F2741" s="9">
        <v>220</v>
      </c>
      <c r="G2741" s="9">
        <v>761.34</v>
      </c>
      <c r="H2741" s="9" t="s">
        <v>23</v>
      </c>
      <c r="I2741" s="9">
        <v>49</v>
      </c>
      <c r="J2741" s="10">
        <v>541.34</v>
      </c>
      <c r="K2741" s="9" t="str">
        <f>TEXT(Sales_of_Jordan[[#This Row],[Sale_Date]],"mmm")</f>
        <v>Jul</v>
      </c>
    </row>
    <row r="2742" spans="1:11" x14ac:dyDescent="0.35">
      <c r="A2742" s="7" t="s">
        <v>2772</v>
      </c>
      <c r="B2742" s="8">
        <v>45658</v>
      </c>
      <c r="C2742" s="9" t="s">
        <v>11</v>
      </c>
      <c r="D2742" s="9" t="s">
        <v>12</v>
      </c>
      <c r="E2742" s="9" t="s">
        <v>13</v>
      </c>
      <c r="F2742" s="9">
        <v>225</v>
      </c>
      <c r="G2742" s="9">
        <v>127.44</v>
      </c>
      <c r="H2742" s="9" t="s">
        <v>25</v>
      </c>
      <c r="I2742" s="9">
        <v>22</v>
      </c>
      <c r="J2742" s="10">
        <v>-97.56</v>
      </c>
      <c r="K2742" s="9" t="str">
        <f>TEXT(Sales_of_Jordan[[#This Row],[Sale_Date]],"mmm")</f>
        <v>Jan</v>
      </c>
    </row>
    <row r="2743" spans="1:11" x14ac:dyDescent="0.35">
      <c r="A2743" s="7" t="s">
        <v>2773</v>
      </c>
      <c r="B2743" s="8">
        <v>45513</v>
      </c>
      <c r="C2743" s="9" t="s">
        <v>21</v>
      </c>
      <c r="D2743" s="9" t="s">
        <v>39</v>
      </c>
      <c r="E2743" s="9" t="s">
        <v>29</v>
      </c>
      <c r="F2743" s="9">
        <v>213</v>
      </c>
      <c r="G2743" s="9">
        <v>295.87</v>
      </c>
      <c r="H2743" s="9" t="s">
        <v>19</v>
      </c>
      <c r="I2743" s="9">
        <v>5</v>
      </c>
      <c r="J2743" s="10">
        <v>82.87</v>
      </c>
      <c r="K2743" s="9" t="str">
        <f>TEXT(Sales_of_Jordan[[#This Row],[Sale_Date]],"mmm")</f>
        <v>Aug</v>
      </c>
    </row>
    <row r="2744" spans="1:11" x14ac:dyDescent="0.35">
      <c r="A2744" s="7" t="s">
        <v>2774</v>
      </c>
      <c r="B2744" s="8">
        <v>45745</v>
      </c>
      <c r="C2744" s="9" t="s">
        <v>27</v>
      </c>
      <c r="D2744" s="9" t="s">
        <v>22</v>
      </c>
      <c r="E2744" s="9" t="s">
        <v>18</v>
      </c>
      <c r="F2744" s="9">
        <v>126</v>
      </c>
      <c r="G2744" s="9">
        <v>359.17</v>
      </c>
      <c r="H2744" s="9" t="s">
        <v>25</v>
      </c>
      <c r="I2744" s="9">
        <v>41</v>
      </c>
      <c r="J2744" s="10">
        <v>233.17</v>
      </c>
      <c r="K2744" s="9" t="str">
        <f>TEXT(Sales_of_Jordan[[#This Row],[Sale_Date]],"mmm")</f>
        <v>Mar</v>
      </c>
    </row>
    <row r="2745" spans="1:11" x14ac:dyDescent="0.35">
      <c r="A2745" s="7" t="s">
        <v>2775</v>
      </c>
      <c r="B2745" s="8">
        <v>45035</v>
      </c>
      <c r="C2745" s="9" t="s">
        <v>21</v>
      </c>
      <c r="D2745" s="9" t="s">
        <v>39</v>
      </c>
      <c r="E2745" s="9" t="s">
        <v>13</v>
      </c>
      <c r="F2745" s="9">
        <v>213</v>
      </c>
      <c r="G2745" s="9">
        <v>182.45</v>
      </c>
      <c r="H2745" s="9" t="s">
        <v>23</v>
      </c>
      <c r="I2745" s="9">
        <v>42</v>
      </c>
      <c r="J2745" s="10">
        <v>-30.55</v>
      </c>
      <c r="K2745" s="9" t="str">
        <f>TEXT(Sales_of_Jordan[[#This Row],[Sale_Date]],"mmm")</f>
        <v>Apr</v>
      </c>
    </row>
    <row r="2746" spans="1:11" x14ac:dyDescent="0.35">
      <c r="A2746" s="7" t="s">
        <v>2776</v>
      </c>
      <c r="B2746" s="8">
        <v>45859</v>
      </c>
      <c r="C2746" s="9" t="s">
        <v>31</v>
      </c>
      <c r="D2746" s="9" t="s">
        <v>12</v>
      </c>
      <c r="E2746" s="9" t="s">
        <v>18</v>
      </c>
      <c r="F2746" s="9">
        <v>200</v>
      </c>
      <c r="G2746" s="9">
        <v>641.94000000000005</v>
      </c>
      <c r="H2746" s="9" t="s">
        <v>19</v>
      </c>
      <c r="I2746" s="9">
        <v>5</v>
      </c>
      <c r="J2746" s="10">
        <v>441.94</v>
      </c>
      <c r="K2746" s="9" t="str">
        <f>TEXT(Sales_of_Jordan[[#This Row],[Sale_Date]],"mmm")</f>
        <v>Jul</v>
      </c>
    </row>
    <row r="2747" spans="1:11" x14ac:dyDescent="0.35">
      <c r="A2747" s="7" t="s">
        <v>2777</v>
      </c>
      <c r="B2747" s="8">
        <v>45133</v>
      </c>
      <c r="C2747" s="9" t="s">
        <v>16</v>
      </c>
      <c r="D2747" s="9" t="s">
        <v>46</v>
      </c>
      <c r="E2747" s="9" t="s">
        <v>18</v>
      </c>
      <c r="F2747" s="9">
        <v>177</v>
      </c>
      <c r="G2747" s="9">
        <v>286.12</v>
      </c>
      <c r="H2747" s="9" t="s">
        <v>19</v>
      </c>
      <c r="I2747" s="9">
        <v>9</v>
      </c>
      <c r="J2747" s="10">
        <v>109.12</v>
      </c>
      <c r="K2747" s="9" t="str">
        <f>TEXT(Sales_of_Jordan[[#This Row],[Sale_Date]],"mmm")</f>
        <v>Jul</v>
      </c>
    </row>
    <row r="2748" spans="1:11" x14ac:dyDescent="0.35">
      <c r="A2748" s="7" t="s">
        <v>2778</v>
      </c>
      <c r="B2748" s="8">
        <v>44943</v>
      </c>
      <c r="C2748" s="9" t="s">
        <v>31</v>
      </c>
      <c r="D2748" s="9" t="s">
        <v>46</v>
      </c>
      <c r="E2748" s="9" t="s">
        <v>18</v>
      </c>
      <c r="F2748" s="9">
        <v>200</v>
      </c>
      <c r="G2748" s="9">
        <v>366.11</v>
      </c>
      <c r="H2748" s="9" t="s">
        <v>23</v>
      </c>
      <c r="I2748" s="9">
        <v>48</v>
      </c>
      <c r="J2748" s="10">
        <v>166.11</v>
      </c>
      <c r="K2748" s="9" t="str">
        <f>TEXT(Sales_of_Jordan[[#This Row],[Sale_Date]],"mmm")</f>
        <v>Jan</v>
      </c>
    </row>
    <row r="2749" spans="1:11" x14ac:dyDescent="0.35">
      <c r="A2749" s="7" t="s">
        <v>2779</v>
      </c>
      <c r="B2749" s="8">
        <v>45695</v>
      </c>
      <c r="C2749" s="9" t="s">
        <v>16</v>
      </c>
      <c r="D2749" s="9" t="s">
        <v>46</v>
      </c>
      <c r="E2749" s="9" t="s">
        <v>13</v>
      </c>
      <c r="F2749" s="9">
        <v>176</v>
      </c>
      <c r="G2749" s="9">
        <v>117.66</v>
      </c>
      <c r="H2749" s="9" t="s">
        <v>32</v>
      </c>
      <c r="I2749" s="9">
        <v>52</v>
      </c>
      <c r="J2749" s="10">
        <v>-58.34</v>
      </c>
      <c r="K2749" s="9" t="str">
        <f>TEXT(Sales_of_Jordan[[#This Row],[Sale_Date]],"mmm")</f>
        <v>Feb</v>
      </c>
    </row>
    <row r="2750" spans="1:11" x14ac:dyDescent="0.35">
      <c r="A2750" s="7" t="s">
        <v>2780</v>
      </c>
      <c r="B2750" s="8">
        <v>45529</v>
      </c>
      <c r="C2750" s="9" t="s">
        <v>11</v>
      </c>
      <c r="D2750" s="9" t="s">
        <v>17</v>
      </c>
      <c r="E2750" s="9" t="s">
        <v>29</v>
      </c>
      <c r="F2750" s="9">
        <v>228</v>
      </c>
      <c r="G2750" s="9">
        <v>290.93</v>
      </c>
      <c r="H2750" s="9" t="s">
        <v>32</v>
      </c>
      <c r="I2750" s="9">
        <v>22</v>
      </c>
      <c r="J2750" s="10">
        <v>62.93</v>
      </c>
      <c r="K2750" s="9" t="str">
        <f>TEXT(Sales_of_Jordan[[#This Row],[Sale_Date]],"mmm")</f>
        <v>Aug</v>
      </c>
    </row>
    <row r="2751" spans="1:11" x14ac:dyDescent="0.35">
      <c r="A2751" s="7" t="s">
        <v>2781</v>
      </c>
      <c r="B2751" s="8">
        <v>45291</v>
      </c>
      <c r="C2751" s="9" t="s">
        <v>31</v>
      </c>
      <c r="D2751" s="9" t="s">
        <v>53</v>
      </c>
      <c r="E2751" s="9" t="s">
        <v>18</v>
      </c>
      <c r="F2751" s="9">
        <v>210</v>
      </c>
      <c r="G2751" s="9">
        <v>525.27</v>
      </c>
      <c r="H2751" s="9" t="s">
        <v>14</v>
      </c>
      <c r="I2751" s="9">
        <v>1</v>
      </c>
      <c r="J2751" s="10">
        <v>315.27</v>
      </c>
      <c r="K2751" s="9" t="str">
        <f>TEXT(Sales_of_Jordan[[#This Row],[Sale_Date]],"mmm")</f>
        <v>Dec</v>
      </c>
    </row>
    <row r="2752" spans="1:11" x14ac:dyDescent="0.35">
      <c r="A2752" s="7" t="s">
        <v>2782</v>
      </c>
      <c r="B2752" s="8">
        <v>45779</v>
      </c>
      <c r="C2752" s="9" t="s">
        <v>21</v>
      </c>
      <c r="D2752" s="9" t="s">
        <v>22</v>
      </c>
      <c r="E2752" s="9" t="s">
        <v>13</v>
      </c>
      <c r="F2752" s="9">
        <v>224</v>
      </c>
      <c r="G2752" s="9">
        <v>168.75</v>
      </c>
      <c r="H2752" s="9" t="s">
        <v>14</v>
      </c>
      <c r="I2752" s="9">
        <v>4</v>
      </c>
      <c r="J2752" s="10">
        <v>-55.25</v>
      </c>
      <c r="K2752" s="9" t="str">
        <f>TEXT(Sales_of_Jordan[[#This Row],[Sale_Date]],"mmm")</f>
        <v>May</v>
      </c>
    </row>
    <row r="2753" spans="1:11" x14ac:dyDescent="0.35">
      <c r="A2753" s="7" t="s">
        <v>2783</v>
      </c>
      <c r="B2753" s="8">
        <v>45631</v>
      </c>
      <c r="C2753" s="9" t="s">
        <v>21</v>
      </c>
      <c r="D2753" s="9" t="s">
        <v>46</v>
      </c>
      <c r="E2753" s="9" t="s">
        <v>29</v>
      </c>
      <c r="F2753" s="9">
        <v>216</v>
      </c>
      <c r="G2753" s="9">
        <v>210.99</v>
      </c>
      <c r="H2753" s="9" t="s">
        <v>32</v>
      </c>
      <c r="I2753" s="9">
        <v>58</v>
      </c>
      <c r="J2753" s="10">
        <v>-5.00999999999999</v>
      </c>
      <c r="K2753" s="9" t="str">
        <f>TEXT(Sales_of_Jordan[[#This Row],[Sale_Date]],"mmm")</f>
        <v>Dec</v>
      </c>
    </row>
    <row r="2754" spans="1:11" x14ac:dyDescent="0.35">
      <c r="A2754" s="7" t="s">
        <v>2784</v>
      </c>
      <c r="B2754" s="8">
        <v>45492</v>
      </c>
      <c r="C2754" s="9" t="s">
        <v>21</v>
      </c>
      <c r="D2754" s="9" t="s">
        <v>12</v>
      </c>
      <c r="E2754" s="9" t="s">
        <v>18</v>
      </c>
      <c r="F2754" s="9">
        <v>220</v>
      </c>
      <c r="G2754" s="9">
        <v>322.95</v>
      </c>
      <c r="H2754" s="9" t="s">
        <v>32</v>
      </c>
      <c r="I2754" s="9">
        <v>51</v>
      </c>
      <c r="J2754" s="10">
        <v>102.94999999999899</v>
      </c>
      <c r="K2754" s="9" t="str">
        <f>TEXT(Sales_of_Jordan[[#This Row],[Sale_Date]],"mmm")</f>
        <v>Jul</v>
      </c>
    </row>
    <row r="2755" spans="1:11" x14ac:dyDescent="0.35">
      <c r="A2755" s="7" t="s">
        <v>2785</v>
      </c>
      <c r="B2755" s="8">
        <v>45901</v>
      </c>
      <c r="C2755" s="9" t="s">
        <v>16</v>
      </c>
      <c r="D2755" s="9" t="s">
        <v>22</v>
      </c>
      <c r="E2755" s="9" t="s">
        <v>29</v>
      </c>
      <c r="F2755" s="9">
        <v>183</v>
      </c>
      <c r="G2755" s="9">
        <v>270.64</v>
      </c>
      <c r="H2755" s="9" t="s">
        <v>32</v>
      </c>
      <c r="I2755" s="9">
        <v>36</v>
      </c>
      <c r="J2755" s="10">
        <v>87.639999999999901</v>
      </c>
      <c r="K2755" s="9" t="str">
        <f>TEXT(Sales_of_Jordan[[#This Row],[Sale_Date]],"mmm")</f>
        <v>Sep</v>
      </c>
    </row>
    <row r="2756" spans="1:11" x14ac:dyDescent="0.35">
      <c r="A2756" s="7" t="s">
        <v>2786</v>
      </c>
      <c r="B2756" s="8">
        <v>45243</v>
      </c>
      <c r="C2756" s="9" t="s">
        <v>16</v>
      </c>
      <c r="D2756" s="9" t="s">
        <v>36</v>
      </c>
      <c r="E2756" s="9" t="s">
        <v>18</v>
      </c>
      <c r="F2756" s="9">
        <v>175</v>
      </c>
      <c r="G2756" s="9">
        <v>422.92</v>
      </c>
      <c r="H2756" s="9" t="s">
        <v>14</v>
      </c>
      <c r="I2756" s="9">
        <v>11</v>
      </c>
      <c r="J2756" s="10">
        <v>247.92</v>
      </c>
      <c r="K2756" s="9" t="str">
        <f>TEXT(Sales_of_Jordan[[#This Row],[Sale_Date]],"mmm")</f>
        <v>Nov</v>
      </c>
    </row>
    <row r="2757" spans="1:11" x14ac:dyDescent="0.35">
      <c r="A2757" s="7" t="s">
        <v>2787</v>
      </c>
      <c r="B2757" s="8">
        <v>45195</v>
      </c>
      <c r="C2757" s="9" t="s">
        <v>27</v>
      </c>
      <c r="D2757" s="9" t="s">
        <v>36</v>
      </c>
      <c r="E2757" s="9" t="s">
        <v>29</v>
      </c>
      <c r="F2757" s="9">
        <v>136</v>
      </c>
      <c r="G2757" s="9">
        <v>126.21</v>
      </c>
      <c r="H2757" s="9" t="s">
        <v>25</v>
      </c>
      <c r="I2757" s="9">
        <v>44</v>
      </c>
      <c r="J2757" s="10">
        <v>-9.7899999999999991</v>
      </c>
      <c r="K2757" s="9" t="str">
        <f>TEXT(Sales_of_Jordan[[#This Row],[Sale_Date]],"mmm")</f>
        <v>Sep</v>
      </c>
    </row>
    <row r="2758" spans="1:11" x14ac:dyDescent="0.35">
      <c r="A2758" s="7" t="s">
        <v>2788</v>
      </c>
      <c r="B2758" s="8">
        <v>45194</v>
      </c>
      <c r="C2758" s="9" t="s">
        <v>21</v>
      </c>
      <c r="D2758" s="9" t="s">
        <v>34</v>
      </c>
      <c r="E2758" s="9" t="s">
        <v>18</v>
      </c>
      <c r="F2758" s="9">
        <v>216</v>
      </c>
      <c r="G2758" s="9">
        <v>561.88</v>
      </c>
      <c r="H2758" s="9" t="s">
        <v>25</v>
      </c>
      <c r="I2758" s="9">
        <v>60</v>
      </c>
      <c r="J2758" s="10">
        <v>345.88</v>
      </c>
      <c r="K2758" s="9" t="str">
        <f>TEXT(Sales_of_Jordan[[#This Row],[Sale_Date]],"mmm")</f>
        <v>Sep</v>
      </c>
    </row>
    <row r="2759" spans="1:11" x14ac:dyDescent="0.35">
      <c r="A2759" s="7" t="s">
        <v>2789</v>
      </c>
      <c r="B2759" s="8">
        <v>45665</v>
      </c>
      <c r="C2759" s="9" t="s">
        <v>21</v>
      </c>
      <c r="D2759" s="9" t="s">
        <v>46</v>
      </c>
      <c r="E2759" s="9" t="s">
        <v>18</v>
      </c>
      <c r="F2759" s="9">
        <v>217</v>
      </c>
      <c r="G2759" s="9">
        <v>498.82</v>
      </c>
      <c r="H2759" s="9" t="s">
        <v>19</v>
      </c>
      <c r="I2759" s="9">
        <v>8</v>
      </c>
      <c r="J2759" s="10">
        <v>281.82</v>
      </c>
      <c r="K2759" s="9" t="str">
        <f>TEXT(Sales_of_Jordan[[#This Row],[Sale_Date]],"mmm")</f>
        <v>Jan</v>
      </c>
    </row>
    <row r="2760" spans="1:11" x14ac:dyDescent="0.35">
      <c r="A2760" s="7" t="s">
        <v>2790</v>
      </c>
      <c r="B2760" s="8">
        <v>45734</v>
      </c>
      <c r="C2760" s="9" t="s">
        <v>27</v>
      </c>
      <c r="D2760" s="9" t="s">
        <v>55</v>
      </c>
      <c r="E2760" s="9" t="s">
        <v>29</v>
      </c>
      <c r="F2760" s="9">
        <v>133</v>
      </c>
      <c r="G2760" s="9">
        <v>184.37</v>
      </c>
      <c r="H2760" s="9" t="s">
        <v>32</v>
      </c>
      <c r="I2760" s="9">
        <v>13</v>
      </c>
      <c r="J2760" s="10">
        <v>51.37</v>
      </c>
      <c r="K2760" s="9" t="str">
        <f>TEXT(Sales_of_Jordan[[#This Row],[Sale_Date]],"mmm")</f>
        <v>Mar</v>
      </c>
    </row>
    <row r="2761" spans="1:11" x14ac:dyDescent="0.35">
      <c r="A2761" s="7" t="s">
        <v>2791</v>
      </c>
      <c r="B2761" s="8">
        <v>45465</v>
      </c>
      <c r="C2761" s="9" t="s">
        <v>11</v>
      </c>
      <c r="D2761" s="9" t="s">
        <v>17</v>
      </c>
      <c r="E2761" s="9" t="s">
        <v>13</v>
      </c>
      <c r="F2761" s="9">
        <v>227</v>
      </c>
      <c r="G2761" s="9">
        <v>160.75</v>
      </c>
      <c r="H2761" s="9" t="s">
        <v>14</v>
      </c>
      <c r="I2761" s="9">
        <v>6</v>
      </c>
      <c r="J2761" s="10">
        <v>-66.25</v>
      </c>
      <c r="K2761" s="9" t="str">
        <f>TEXT(Sales_of_Jordan[[#This Row],[Sale_Date]],"mmm")</f>
        <v>Jun</v>
      </c>
    </row>
    <row r="2762" spans="1:11" x14ac:dyDescent="0.35">
      <c r="A2762" s="7" t="s">
        <v>2792</v>
      </c>
      <c r="B2762" s="8">
        <v>45207</v>
      </c>
      <c r="C2762" s="9" t="s">
        <v>27</v>
      </c>
      <c r="D2762" s="9" t="s">
        <v>22</v>
      </c>
      <c r="E2762" s="9" t="s">
        <v>13</v>
      </c>
      <c r="F2762" s="9">
        <v>135</v>
      </c>
      <c r="G2762" s="9">
        <v>87.27</v>
      </c>
      <c r="H2762" s="9" t="s">
        <v>32</v>
      </c>
      <c r="I2762" s="9">
        <v>43</v>
      </c>
      <c r="J2762" s="10">
        <v>-47.73</v>
      </c>
      <c r="K2762" s="9" t="str">
        <f>TEXT(Sales_of_Jordan[[#This Row],[Sale_Date]],"mmm")</f>
        <v>Oct</v>
      </c>
    </row>
    <row r="2763" spans="1:11" x14ac:dyDescent="0.35">
      <c r="A2763" s="7" t="s">
        <v>2793</v>
      </c>
      <c r="B2763" s="8">
        <v>45597</v>
      </c>
      <c r="C2763" s="9" t="s">
        <v>21</v>
      </c>
      <c r="D2763" s="9" t="s">
        <v>12</v>
      </c>
      <c r="E2763" s="9" t="s">
        <v>29</v>
      </c>
      <c r="F2763" s="9">
        <v>213</v>
      </c>
      <c r="G2763" s="9">
        <v>308.14999999999998</v>
      </c>
      <c r="H2763" s="9" t="s">
        <v>25</v>
      </c>
      <c r="I2763" s="9">
        <v>14</v>
      </c>
      <c r="J2763" s="10">
        <v>95.149999999999906</v>
      </c>
      <c r="K2763" s="9" t="str">
        <f>TEXT(Sales_of_Jordan[[#This Row],[Sale_Date]],"mmm")</f>
        <v>Nov</v>
      </c>
    </row>
    <row r="2764" spans="1:11" x14ac:dyDescent="0.35">
      <c r="A2764" s="7" t="s">
        <v>2794</v>
      </c>
      <c r="B2764" s="8">
        <v>45443</v>
      </c>
      <c r="C2764" s="9" t="s">
        <v>21</v>
      </c>
      <c r="D2764" s="9" t="s">
        <v>36</v>
      </c>
      <c r="E2764" s="9" t="s">
        <v>13</v>
      </c>
      <c r="F2764" s="9">
        <v>224</v>
      </c>
      <c r="G2764" s="9">
        <v>116.96</v>
      </c>
      <c r="H2764" s="9" t="s">
        <v>19</v>
      </c>
      <c r="I2764" s="9">
        <v>3</v>
      </c>
      <c r="J2764" s="10">
        <v>-107.04</v>
      </c>
      <c r="K2764" s="9" t="str">
        <f>TEXT(Sales_of_Jordan[[#This Row],[Sale_Date]],"mmm")</f>
        <v>May</v>
      </c>
    </row>
    <row r="2765" spans="1:11" x14ac:dyDescent="0.35">
      <c r="A2765" s="7" t="s">
        <v>2795</v>
      </c>
      <c r="B2765" s="8">
        <v>45407</v>
      </c>
      <c r="C2765" s="9" t="s">
        <v>27</v>
      </c>
      <c r="D2765" s="9" t="s">
        <v>39</v>
      </c>
      <c r="E2765" s="9" t="s">
        <v>29</v>
      </c>
      <c r="F2765" s="9">
        <v>122</v>
      </c>
      <c r="G2765" s="9">
        <v>122.19</v>
      </c>
      <c r="H2765" s="9" t="s">
        <v>25</v>
      </c>
      <c r="I2765" s="9">
        <v>56</v>
      </c>
      <c r="J2765" s="10">
        <v>0.189999999999997</v>
      </c>
      <c r="K2765" s="9" t="str">
        <f>TEXT(Sales_of_Jordan[[#This Row],[Sale_Date]],"mmm")</f>
        <v>Apr</v>
      </c>
    </row>
    <row r="2766" spans="1:11" x14ac:dyDescent="0.35">
      <c r="A2766" s="7" t="s">
        <v>2796</v>
      </c>
      <c r="B2766" s="8">
        <v>45437</v>
      </c>
      <c r="C2766" s="9" t="s">
        <v>21</v>
      </c>
      <c r="D2766" s="9" t="s">
        <v>34</v>
      </c>
      <c r="E2766" s="9" t="s">
        <v>18</v>
      </c>
      <c r="F2766" s="9">
        <v>220</v>
      </c>
      <c r="G2766" s="9">
        <v>722.05</v>
      </c>
      <c r="H2766" s="9" t="s">
        <v>23</v>
      </c>
      <c r="I2766" s="9">
        <v>50</v>
      </c>
      <c r="J2766" s="10">
        <v>502.04999999999899</v>
      </c>
      <c r="K2766" s="9" t="str">
        <f>TEXT(Sales_of_Jordan[[#This Row],[Sale_Date]],"mmm")</f>
        <v>May</v>
      </c>
    </row>
    <row r="2767" spans="1:11" x14ac:dyDescent="0.35">
      <c r="A2767" s="7" t="s">
        <v>2797</v>
      </c>
      <c r="B2767" s="8">
        <v>45849</v>
      </c>
      <c r="C2767" s="9" t="s">
        <v>11</v>
      </c>
      <c r="D2767" s="9" t="s">
        <v>55</v>
      </c>
      <c r="E2767" s="9" t="s">
        <v>18</v>
      </c>
      <c r="F2767" s="9">
        <v>227</v>
      </c>
      <c r="G2767" s="9">
        <v>474.96</v>
      </c>
      <c r="H2767" s="9" t="s">
        <v>32</v>
      </c>
      <c r="I2767" s="9">
        <v>7</v>
      </c>
      <c r="J2767" s="10">
        <v>247.95999999999901</v>
      </c>
      <c r="K2767" s="9" t="str">
        <f>TEXT(Sales_of_Jordan[[#This Row],[Sale_Date]],"mmm")</f>
        <v>Jul</v>
      </c>
    </row>
    <row r="2768" spans="1:11" x14ac:dyDescent="0.35">
      <c r="A2768" s="7" t="s">
        <v>2798</v>
      </c>
      <c r="B2768" s="8">
        <v>45852</v>
      </c>
      <c r="C2768" s="9" t="s">
        <v>16</v>
      </c>
      <c r="D2768" s="9" t="s">
        <v>46</v>
      </c>
      <c r="E2768" s="9" t="s">
        <v>13</v>
      </c>
      <c r="F2768" s="9">
        <v>182</v>
      </c>
      <c r="G2768" s="9">
        <v>94.5</v>
      </c>
      <c r="H2768" s="9" t="s">
        <v>19</v>
      </c>
      <c r="I2768" s="9">
        <v>11</v>
      </c>
      <c r="J2768" s="10">
        <v>-87.5</v>
      </c>
      <c r="K2768" s="9" t="str">
        <f>TEXT(Sales_of_Jordan[[#This Row],[Sale_Date]],"mmm")</f>
        <v>Jul</v>
      </c>
    </row>
    <row r="2769" spans="1:11" x14ac:dyDescent="0.35">
      <c r="A2769" s="7" t="s">
        <v>2799</v>
      </c>
      <c r="B2769" s="8">
        <v>45276</v>
      </c>
      <c r="C2769" s="9" t="s">
        <v>27</v>
      </c>
      <c r="D2769" s="9" t="s">
        <v>39</v>
      </c>
      <c r="E2769" s="9" t="s">
        <v>29</v>
      </c>
      <c r="F2769" s="9">
        <v>134</v>
      </c>
      <c r="G2769" s="9">
        <v>140.69</v>
      </c>
      <c r="H2769" s="9" t="s">
        <v>32</v>
      </c>
      <c r="I2769" s="9">
        <v>43</v>
      </c>
      <c r="J2769" s="10">
        <v>6.6899999999999897</v>
      </c>
      <c r="K2769" s="9" t="str">
        <f>TEXT(Sales_of_Jordan[[#This Row],[Sale_Date]],"mmm")</f>
        <v>Dec</v>
      </c>
    </row>
    <row r="2770" spans="1:11" x14ac:dyDescent="0.35">
      <c r="A2770" s="7" t="s">
        <v>2800</v>
      </c>
      <c r="B2770" s="8">
        <v>45371</v>
      </c>
      <c r="C2770" s="9" t="s">
        <v>21</v>
      </c>
      <c r="D2770" s="9" t="s">
        <v>55</v>
      </c>
      <c r="E2770" s="9" t="s">
        <v>13</v>
      </c>
      <c r="F2770" s="9">
        <v>223</v>
      </c>
      <c r="G2770" s="9">
        <v>159.01</v>
      </c>
      <c r="H2770" s="9" t="s">
        <v>23</v>
      </c>
      <c r="I2770" s="9">
        <v>49</v>
      </c>
      <c r="J2770" s="10">
        <v>-63.99</v>
      </c>
      <c r="K2770" s="9" t="str">
        <f>TEXT(Sales_of_Jordan[[#This Row],[Sale_Date]],"mmm")</f>
        <v>Mar</v>
      </c>
    </row>
    <row r="2771" spans="1:11" x14ac:dyDescent="0.35">
      <c r="A2771" s="7" t="s">
        <v>2801</v>
      </c>
      <c r="B2771" s="8">
        <v>45474</v>
      </c>
      <c r="C2771" s="9" t="s">
        <v>11</v>
      </c>
      <c r="D2771" s="9" t="s">
        <v>53</v>
      </c>
      <c r="E2771" s="9" t="s">
        <v>13</v>
      </c>
      <c r="F2771" s="9">
        <v>228</v>
      </c>
      <c r="G2771" s="9">
        <v>165.88</v>
      </c>
      <c r="H2771" s="9" t="s">
        <v>23</v>
      </c>
      <c r="I2771" s="9">
        <v>44</v>
      </c>
      <c r="J2771" s="10">
        <v>-62.12</v>
      </c>
      <c r="K2771" s="9" t="str">
        <f>TEXT(Sales_of_Jordan[[#This Row],[Sale_Date]],"mmm")</f>
        <v>Jul</v>
      </c>
    </row>
    <row r="2772" spans="1:11" x14ac:dyDescent="0.35">
      <c r="A2772" s="7" t="s">
        <v>2802</v>
      </c>
      <c r="B2772" s="8">
        <v>45042</v>
      </c>
      <c r="C2772" s="9" t="s">
        <v>16</v>
      </c>
      <c r="D2772" s="9" t="s">
        <v>22</v>
      </c>
      <c r="E2772" s="9" t="s">
        <v>18</v>
      </c>
      <c r="F2772" s="9">
        <v>181</v>
      </c>
      <c r="G2772" s="9">
        <v>411.96</v>
      </c>
      <c r="H2772" s="9" t="s">
        <v>32</v>
      </c>
      <c r="I2772" s="9">
        <v>45</v>
      </c>
      <c r="J2772" s="10">
        <v>230.95999999999901</v>
      </c>
      <c r="K2772" s="9" t="str">
        <f>TEXT(Sales_of_Jordan[[#This Row],[Sale_Date]],"mmm")</f>
        <v>Apr</v>
      </c>
    </row>
    <row r="2773" spans="1:11" x14ac:dyDescent="0.35">
      <c r="A2773" s="7" t="s">
        <v>2803</v>
      </c>
      <c r="B2773" s="8">
        <v>45869</v>
      </c>
      <c r="C2773" s="9" t="s">
        <v>21</v>
      </c>
      <c r="D2773" s="9" t="s">
        <v>34</v>
      </c>
      <c r="E2773" s="9" t="s">
        <v>18</v>
      </c>
      <c r="F2773" s="9">
        <v>218</v>
      </c>
      <c r="G2773" s="9">
        <v>518.6</v>
      </c>
      <c r="H2773" s="9" t="s">
        <v>19</v>
      </c>
      <c r="I2773" s="9">
        <v>6</v>
      </c>
      <c r="J2773" s="10">
        <v>300.60000000000002</v>
      </c>
      <c r="K2773" s="9" t="str">
        <f>TEXT(Sales_of_Jordan[[#This Row],[Sale_Date]],"mmm")</f>
        <v>Jul</v>
      </c>
    </row>
    <row r="2774" spans="1:11" x14ac:dyDescent="0.35">
      <c r="A2774" s="7" t="s">
        <v>2804</v>
      </c>
      <c r="B2774" s="8">
        <v>45273</v>
      </c>
      <c r="C2774" s="9" t="s">
        <v>31</v>
      </c>
      <c r="D2774" s="9" t="s">
        <v>55</v>
      </c>
      <c r="E2774" s="9" t="s">
        <v>13</v>
      </c>
      <c r="F2774" s="9">
        <v>202</v>
      </c>
      <c r="G2774" s="9">
        <v>105.99</v>
      </c>
      <c r="H2774" s="9" t="s">
        <v>25</v>
      </c>
      <c r="I2774" s="9">
        <v>49</v>
      </c>
      <c r="J2774" s="10">
        <v>-96.01</v>
      </c>
      <c r="K2774" s="9" t="str">
        <f>TEXT(Sales_of_Jordan[[#This Row],[Sale_Date]],"mmm")</f>
        <v>Dec</v>
      </c>
    </row>
    <row r="2775" spans="1:11" x14ac:dyDescent="0.35">
      <c r="A2775" s="7" t="s">
        <v>2805</v>
      </c>
      <c r="B2775" s="8">
        <v>44954</v>
      </c>
      <c r="C2775" s="9" t="s">
        <v>11</v>
      </c>
      <c r="D2775" s="9" t="s">
        <v>36</v>
      </c>
      <c r="E2775" s="9" t="s">
        <v>29</v>
      </c>
      <c r="F2775" s="9">
        <v>229</v>
      </c>
      <c r="G2775" s="9">
        <v>254.65</v>
      </c>
      <c r="H2775" s="9" t="s">
        <v>19</v>
      </c>
      <c r="I2775" s="9">
        <v>7</v>
      </c>
      <c r="J2775" s="10">
        <v>25.65</v>
      </c>
      <c r="K2775" s="9" t="str">
        <f>TEXT(Sales_of_Jordan[[#This Row],[Sale_Date]],"mmm")</f>
        <v>Jan</v>
      </c>
    </row>
    <row r="2776" spans="1:11" x14ac:dyDescent="0.35">
      <c r="A2776" s="7" t="s">
        <v>2806</v>
      </c>
      <c r="B2776" s="8">
        <v>45608</v>
      </c>
      <c r="C2776" s="9" t="s">
        <v>11</v>
      </c>
      <c r="D2776" s="9" t="s">
        <v>34</v>
      </c>
      <c r="E2776" s="9" t="s">
        <v>18</v>
      </c>
      <c r="F2776" s="9">
        <v>229</v>
      </c>
      <c r="G2776" s="9">
        <v>281.11</v>
      </c>
      <c r="H2776" s="9" t="s">
        <v>19</v>
      </c>
      <c r="I2776" s="9">
        <v>5</v>
      </c>
      <c r="J2776" s="10">
        <v>52.11</v>
      </c>
      <c r="K2776" s="9" t="str">
        <f>TEXT(Sales_of_Jordan[[#This Row],[Sale_Date]],"mmm")</f>
        <v>Nov</v>
      </c>
    </row>
    <row r="2777" spans="1:11" x14ac:dyDescent="0.35">
      <c r="A2777" s="7" t="s">
        <v>2807</v>
      </c>
      <c r="B2777" s="8">
        <v>45178</v>
      </c>
      <c r="C2777" s="9" t="s">
        <v>21</v>
      </c>
      <c r="D2777" s="9" t="s">
        <v>53</v>
      </c>
      <c r="E2777" s="9" t="s">
        <v>29</v>
      </c>
      <c r="F2777" s="9">
        <v>216</v>
      </c>
      <c r="G2777" s="9">
        <v>258.8</v>
      </c>
      <c r="H2777" s="9" t="s">
        <v>25</v>
      </c>
      <c r="I2777" s="9">
        <v>52</v>
      </c>
      <c r="J2777" s="10">
        <v>42.8</v>
      </c>
      <c r="K2777" s="9" t="str">
        <f>TEXT(Sales_of_Jordan[[#This Row],[Sale_Date]],"mmm")</f>
        <v>Sep</v>
      </c>
    </row>
    <row r="2778" spans="1:11" x14ac:dyDescent="0.35">
      <c r="A2778" s="7" t="s">
        <v>2808</v>
      </c>
      <c r="B2778" s="8">
        <v>45687</v>
      </c>
      <c r="C2778" s="9" t="s">
        <v>27</v>
      </c>
      <c r="D2778" s="9" t="s">
        <v>36</v>
      </c>
      <c r="E2778" s="9" t="s">
        <v>29</v>
      </c>
      <c r="F2778" s="9">
        <v>124</v>
      </c>
      <c r="G2778" s="9">
        <v>157.09</v>
      </c>
      <c r="H2778" s="9" t="s">
        <v>23</v>
      </c>
      <c r="I2778" s="9">
        <v>10</v>
      </c>
      <c r="J2778" s="10">
        <v>33.090000000000003</v>
      </c>
      <c r="K2778" s="9" t="str">
        <f>TEXT(Sales_of_Jordan[[#This Row],[Sale_Date]],"mmm")</f>
        <v>Jan</v>
      </c>
    </row>
    <row r="2779" spans="1:11" x14ac:dyDescent="0.35">
      <c r="A2779" s="7" t="s">
        <v>2809</v>
      </c>
      <c r="B2779" s="8">
        <v>45915</v>
      </c>
      <c r="C2779" s="9" t="s">
        <v>21</v>
      </c>
      <c r="D2779" s="9" t="s">
        <v>22</v>
      </c>
      <c r="E2779" s="9" t="s">
        <v>13</v>
      </c>
      <c r="F2779" s="9">
        <v>213</v>
      </c>
      <c r="G2779" s="9">
        <v>170.07</v>
      </c>
      <c r="H2779" s="9" t="s">
        <v>14</v>
      </c>
      <c r="I2779" s="9">
        <v>4</v>
      </c>
      <c r="J2779" s="10">
        <v>-42.93</v>
      </c>
      <c r="K2779" s="9" t="str">
        <f>TEXT(Sales_of_Jordan[[#This Row],[Sale_Date]],"mmm")</f>
        <v>Sep</v>
      </c>
    </row>
    <row r="2780" spans="1:11" x14ac:dyDescent="0.35">
      <c r="A2780" s="7" t="s">
        <v>2810</v>
      </c>
      <c r="B2780" s="8">
        <v>45041</v>
      </c>
      <c r="C2780" s="9" t="s">
        <v>27</v>
      </c>
      <c r="D2780" s="9" t="s">
        <v>36</v>
      </c>
      <c r="E2780" s="9" t="s">
        <v>13</v>
      </c>
      <c r="F2780" s="9">
        <v>137</v>
      </c>
      <c r="G2780" s="9">
        <v>78.06</v>
      </c>
      <c r="H2780" s="9" t="s">
        <v>19</v>
      </c>
      <c r="I2780" s="9">
        <v>8</v>
      </c>
      <c r="J2780" s="10">
        <v>-58.94</v>
      </c>
      <c r="K2780" s="9" t="str">
        <f>TEXT(Sales_of_Jordan[[#This Row],[Sale_Date]],"mmm")</f>
        <v>Apr</v>
      </c>
    </row>
    <row r="2781" spans="1:11" x14ac:dyDescent="0.35">
      <c r="A2781" s="7" t="s">
        <v>2811</v>
      </c>
      <c r="B2781" s="8">
        <v>45037</v>
      </c>
      <c r="C2781" s="9" t="s">
        <v>11</v>
      </c>
      <c r="D2781" s="9" t="s">
        <v>12</v>
      </c>
      <c r="E2781" s="9" t="s">
        <v>13</v>
      </c>
      <c r="F2781" s="9">
        <v>225</v>
      </c>
      <c r="G2781" s="9">
        <v>130.84</v>
      </c>
      <c r="H2781" s="9" t="s">
        <v>25</v>
      </c>
      <c r="I2781" s="9">
        <v>38</v>
      </c>
      <c r="J2781" s="10">
        <v>-94.16</v>
      </c>
      <c r="K2781" s="9" t="str">
        <f>TEXT(Sales_of_Jordan[[#This Row],[Sale_Date]],"mmm")</f>
        <v>Apr</v>
      </c>
    </row>
    <row r="2782" spans="1:11" x14ac:dyDescent="0.35">
      <c r="A2782" s="7" t="s">
        <v>2812</v>
      </c>
      <c r="B2782" s="8">
        <v>45566</v>
      </c>
      <c r="C2782" s="9" t="s">
        <v>11</v>
      </c>
      <c r="D2782" s="9" t="s">
        <v>36</v>
      </c>
      <c r="E2782" s="9" t="s">
        <v>29</v>
      </c>
      <c r="F2782" s="9">
        <v>225</v>
      </c>
      <c r="G2782" s="9">
        <v>306.25</v>
      </c>
      <c r="H2782" s="9" t="s">
        <v>14</v>
      </c>
      <c r="I2782" s="9">
        <v>8</v>
      </c>
      <c r="J2782" s="10">
        <v>81.25</v>
      </c>
      <c r="K2782" s="9" t="str">
        <f>TEXT(Sales_of_Jordan[[#This Row],[Sale_Date]],"mmm")</f>
        <v>Oct</v>
      </c>
    </row>
    <row r="2783" spans="1:11" x14ac:dyDescent="0.35">
      <c r="A2783" s="7" t="s">
        <v>2813</v>
      </c>
      <c r="B2783" s="8">
        <v>45261</v>
      </c>
      <c r="C2783" s="9" t="s">
        <v>21</v>
      </c>
      <c r="D2783" s="9" t="s">
        <v>55</v>
      </c>
      <c r="E2783" s="9" t="s">
        <v>29</v>
      </c>
      <c r="F2783" s="9">
        <v>221</v>
      </c>
      <c r="G2783" s="9">
        <v>264.97000000000003</v>
      </c>
      <c r="H2783" s="9" t="s">
        <v>14</v>
      </c>
      <c r="I2783" s="9">
        <v>8</v>
      </c>
      <c r="J2783" s="10">
        <v>43.97</v>
      </c>
      <c r="K2783" s="9" t="str">
        <f>TEXT(Sales_of_Jordan[[#This Row],[Sale_Date]],"mmm")</f>
        <v>Dec</v>
      </c>
    </row>
    <row r="2784" spans="1:11" x14ac:dyDescent="0.35">
      <c r="A2784" s="7" t="s">
        <v>2814</v>
      </c>
      <c r="B2784" s="8">
        <v>44951</v>
      </c>
      <c r="C2784" s="9" t="s">
        <v>27</v>
      </c>
      <c r="D2784" s="9" t="s">
        <v>39</v>
      </c>
      <c r="E2784" s="9" t="s">
        <v>18</v>
      </c>
      <c r="F2784" s="9">
        <v>140</v>
      </c>
      <c r="G2784" s="9">
        <v>471.06</v>
      </c>
      <c r="H2784" s="9" t="s">
        <v>32</v>
      </c>
      <c r="I2784" s="9">
        <v>57</v>
      </c>
      <c r="J2784" s="10">
        <v>331.06</v>
      </c>
      <c r="K2784" s="9" t="str">
        <f>TEXT(Sales_of_Jordan[[#This Row],[Sale_Date]],"mmm")</f>
        <v>Jan</v>
      </c>
    </row>
    <row r="2785" spans="1:11" x14ac:dyDescent="0.35">
      <c r="A2785" s="7" t="s">
        <v>2815</v>
      </c>
      <c r="B2785" s="8">
        <v>45217</v>
      </c>
      <c r="C2785" s="9" t="s">
        <v>21</v>
      </c>
      <c r="D2785" s="9" t="s">
        <v>17</v>
      </c>
      <c r="E2785" s="9" t="s">
        <v>13</v>
      </c>
      <c r="F2785" s="9">
        <v>220</v>
      </c>
      <c r="G2785" s="9">
        <v>129.94</v>
      </c>
      <c r="H2785" s="9" t="s">
        <v>25</v>
      </c>
      <c r="I2785" s="9">
        <v>34</v>
      </c>
      <c r="J2785" s="10">
        <v>-90.06</v>
      </c>
      <c r="K2785" s="9" t="str">
        <f>TEXT(Sales_of_Jordan[[#This Row],[Sale_Date]],"mmm")</f>
        <v>Oct</v>
      </c>
    </row>
    <row r="2786" spans="1:11" x14ac:dyDescent="0.35">
      <c r="A2786" s="7" t="s">
        <v>2816</v>
      </c>
      <c r="B2786" s="8">
        <v>45877</v>
      </c>
      <c r="C2786" s="9" t="s">
        <v>21</v>
      </c>
      <c r="D2786" s="9" t="s">
        <v>36</v>
      </c>
      <c r="E2786" s="9" t="s">
        <v>13</v>
      </c>
      <c r="F2786" s="9">
        <v>224</v>
      </c>
      <c r="G2786" s="9">
        <v>133.24</v>
      </c>
      <c r="H2786" s="9" t="s">
        <v>25</v>
      </c>
      <c r="I2786" s="9">
        <v>29</v>
      </c>
      <c r="J2786" s="10">
        <v>-90.759999999999906</v>
      </c>
      <c r="K2786" s="9" t="str">
        <f>TEXT(Sales_of_Jordan[[#This Row],[Sale_Date]],"mmm")</f>
        <v>Aug</v>
      </c>
    </row>
    <row r="2787" spans="1:11" x14ac:dyDescent="0.35">
      <c r="A2787" s="7" t="s">
        <v>2817</v>
      </c>
      <c r="B2787" s="8">
        <v>45496</v>
      </c>
      <c r="C2787" s="9" t="s">
        <v>27</v>
      </c>
      <c r="D2787" s="9" t="s">
        <v>22</v>
      </c>
      <c r="E2787" s="9" t="s">
        <v>13</v>
      </c>
      <c r="F2787" s="9">
        <v>124</v>
      </c>
      <c r="G2787" s="9">
        <v>94.65</v>
      </c>
      <c r="H2787" s="9" t="s">
        <v>14</v>
      </c>
      <c r="I2787" s="9">
        <v>7</v>
      </c>
      <c r="J2787" s="10">
        <v>-29.349999999999898</v>
      </c>
      <c r="K2787" s="9" t="str">
        <f>TEXT(Sales_of_Jordan[[#This Row],[Sale_Date]],"mmm")</f>
        <v>Jul</v>
      </c>
    </row>
    <row r="2788" spans="1:11" x14ac:dyDescent="0.35">
      <c r="A2788" s="7" t="s">
        <v>2818</v>
      </c>
      <c r="B2788" s="8">
        <v>45127</v>
      </c>
      <c r="C2788" s="9" t="s">
        <v>16</v>
      </c>
      <c r="D2788" s="9" t="s">
        <v>39</v>
      </c>
      <c r="E2788" s="9" t="s">
        <v>13</v>
      </c>
      <c r="F2788" s="9">
        <v>178</v>
      </c>
      <c r="G2788" s="9">
        <v>118.75</v>
      </c>
      <c r="H2788" s="9" t="s">
        <v>19</v>
      </c>
      <c r="I2788" s="9">
        <v>7</v>
      </c>
      <c r="J2788" s="10">
        <v>-59.25</v>
      </c>
      <c r="K2788" s="9" t="str">
        <f>TEXT(Sales_of_Jordan[[#This Row],[Sale_Date]],"mmm")</f>
        <v>Jul</v>
      </c>
    </row>
    <row r="2789" spans="1:11" x14ac:dyDescent="0.35">
      <c r="A2789" s="7" t="s">
        <v>2819</v>
      </c>
      <c r="B2789" s="8">
        <v>45013</v>
      </c>
      <c r="C2789" s="9" t="s">
        <v>11</v>
      </c>
      <c r="D2789" s="9" t="s">
        <v>12</v>
      </c>
      <c r="E2789" s="9" t="s">
        <v>29</v>
      </c>
      <c r="F2789" s="9">
        <v>225</v>
      </c>
      <c r="G2789" s="9">
        <v>215.42</v>
      </c>
      <c r="H2789" s="9" t="s">
        <v>25</v>
      </c>
      <c r="I2789" s="9">
        <v>8</v>
      </c>
      <c r="J2789" s="10">
        <v>-9.5800000000000107</v>
      </c>
      <c r="K2789" s="9" t="str">
        <f>TEXT(Sales_of_Jordan[[#This Row],[Sale_Date]],"mmm")</f>
        <v>Mar</v>
      </c>
    </row>
    <row r="2790" spans="1:11" x14ac:dyDescent="0.35">
      <c r="A2790" s="7" t="s">
        <v>2820</v>
      </c>
      <c r="B2790" s="8">
        <v>45396</v>
      </c>
      <c r="C2790" s="9" t="s">
        <v>21</v>
      </c>
      <c r="D2790" s="9" t="s">
        <v>53</v>
      </c>
      <c r="E2790" s="9" t="s">
        <v>13</v>
      </c>
      <c r="F2790" s="9">
        <v>221</v>
      </c>
      <c r="G2790" s="9">
        <v>171.56</v>
      </c>
      <c r="H2790" s="9" t="s">
        <v>32</v>
      </c>
      <c r="I2790" s="9">
        <v>14</v>
      </c>
      <c r="J2790" s="10">
        <v>-49.44</v>
      </c>
      <c r="K2790" s="9" t="str">
        <f>TEXT(Sales_of_Jordan[[#This Row],[Sale_Date]],"mmm")</f>
        <v>Apr</v>
      </c>
    </row>
    <row r="2791" spans="1:11" x14ac:dyDescent="0.35">
      <c r="A2791" s="7" t="s">
        <v>2821</v>
      </c>
      <c r="B2791" s="8">
        <v>45172</v>
      </c>
      <c r="C2791" s="9" t="s">
        <v>21</v>
      </c>
      <c r="D2791" s="9" t="s">
        <v>17</v>
      </c>
      <c r="E2791" s="9" t="s">
        <v>18</v>
      </c>
      <c r="F2791" s="9">
        <v>219</v>
      </c>
      <c r="G2791" s="9">
        <v>473.5</v>
      </c>
      <c r="H2791" s="9" t="s">
        <v>32</v>
      </c>
      <c r="I2791" s="9">
        <v>56</v>
      </c>
      <c r="J2791" s="10">
        <v>254.5</v>
      </c>
      <c r="K2791" s="9" t="str">
        <f>TEXT(Sales_of_Jordan[[#This Row],[Sale_Date]],"mmm")</f>
        <v>Sep</v>
      </c>
    </row>
    <row r="2792" spans="1:11" x14ac:dyDescent="0.35">
      <c r="A2792" s="7" t="s">
        <v>2822</v>
      </c>
      <c r="B2792" s="8">
        <v>45219</v>
      </c>
      <c r="C2792" s="9" t="s">
        <v>31</v>
      </c>
      <c r="D2792" s="9" t="s">
        <v>12</v>
      </c>
      <c r="E2792" s="9" t="s">
        <v>29</v>
      </c>
      <c r="F2792" s="9">
        <v>200</v>
      </c>
      <c r="G2792" s="9">
        <v>221.25</v>
      </c>
      <c r="H2792" s="9" t="s">
        <v>23</v>
      </c>
      <c r="I2792" s="9">
        <v>5</v>
      </c>
      <c r="J2792" s="10">
        <v>21.25</v>
      </c>
      <c r="K2792" s="9" t="str">
        <f>TEXT(Sales_of_Jordan[[#This Row],[Sale_Date]],"mmm")</f>
        <v>Oct</v>
      </c>
    </row>
    <row r="2793" spans="1:11" x14ac:dyDescent="0.35">
      <c r="A2793" s="7" t="s">
        <v>2823</v>
      </c>
      <c r="B2793" s="8">
        <v>45121</v>
      </c>
      <c r="C2793" s="9" t="s">
        <v>27</v>
      </c>
      <c r="D2793" s="9" t="s">
        <v>22</v>
      </c>
      <c r="E2793" s="9" t="s">
        <v>18</v>
      </c>
      <c r="F2793" s="9">
        <v>126</v>
      </c>
      <c r="G2793" s="9">
        <v>417.81</v>
      </c>
      <c r="H2793" s="9" t="s">
        <v>23</v>
      </c>
      <c r="I2793" s="9">
        <v>34</v>
      </c>
      <c r="J2793" s="10">
        <v>291.81</v>
      </c>
      <c r="K2793" s="9" t="str">
        <f>TEXT(Sales_of_Jordan[[#This Row],[Sale_Date]],"mmm")</f>
        <v>Jul</v>
      </c>
    </row>
    <row r="2794" spans="1:11" x14ac:dyDescent="0.35">
      <c r="A2794" s="7" t="s">
        <v>2824</v>
      </c>
      <c r="B2794" s="8">
        <v>45110</v>
      </c>
      <c r="C2794" s="9" t="s">
        <v>21</v>
      </c>
      <c r="D2794" s="9" t="s">
        <v>22</v>
      </c>
      <c r="E2794" s="9" t="s">
        <v>13</v>
      </c>
      <c r="F2794" s="9">
        <v>211</v>
      </c>
      <c r="G2794" s="9">
        <v>165.66</v>
      </c>
      <c r="H2794" s="9" t="s">
        <v>19</v>
      </c>
      <c r="I2794" s="9">
        <v>9</v>
      </c>
      <c r="J2794" s="10">
        <v>-45.34</v>
      </c>
      <c r="K2794" s="9" t="str">
        <f>TEXT(Sales_of_Jordan[[#This Row],[Sale_Date]],"mmm")</f>
        <v>Jul</v>
      </c>
    </row>
    <row r="2795" spans="1:11" x14ac:dyDescent="0.35">
      <c r="A2795" s="7" t="s">
        <v>2825</v>
      </c>
      <c r="B2795" s="8">
        <v>45213</v>
      </c>
      <c r="C2795" s="9" t="s">
        <v>31</v>
      </c>
      <c r="D2795" s="9" t="s">
        <v>17</v>
      </c>
      <c r="E2795" s="9" t="s">
        <v>29</v>
      </c>
      <c r="F2795" s="9">
        <v>205</v>
      </c>
      <c r="G2795" s="9">
        <v>281.05</v>
      </c>
      <c r="H2795" s="9" t="s">
        <v>14</v>
      </c>
      <c r="I2795" s="9">
        <v>12</v>
      </c>
      <c r="J2795" s="10">
        <v>76.05</v>
      </c>
      <c r="K2795" s="9" t="str">
        <f>TEXT(Sales_of_Jordan[[#This Row],[Sale_Date]],"mmm")</f>
        <v>Oct</v>
      </c>
    </row>
    <row r="2796" spans="1:11" x14ac:dyDescent="0.35">
      <c r="A2796" s="7" t="s">
        <v>2826</v>
      </c>
      <c r="B2796" s="8">
        <v>45322</v>
      </c>
      <c r="C2796" s="9" t="s">
        <v>31</v>
      </c>
      <c r="D2796" s="9" t="s">
        <v>55</v>
      </c>
      <c r="E2796" s="9" t="s">
        <v>13</v>
      </c>
      <c r="F2796" s="9">
        <v>210</v>
      </c>
      <c r="G2796" s="9">
        <v>136.82</v>
      </c>
      <c r="H2796" s="9" t="s">
        <v>25</v>
      </c>
      <c r="I2796" s="9">
        <v>57</v>
      </c>
      <c r="J2796" s="10">
        <v>-73.180000000000007</v>
      </c>
      <c r="K2796" s="9" t="str">
        <f>TEXT(Sales_of_Jordan[[#This Row],[Sale_Date]],"mmm")</f>
        <v>Jan</v>
      </c>
    </row>
    <row r="2797" spans="1:11" x14ac:dyDescent="0.35">
      <c r="A2797" s="7" t="s">
        <v>2827</v>
      </c>
      <c r="B2797" s="8">
        <v>45458</v>
      </c>
      <c r="C2797" s="9" t="s">
        <v>16</v>
      </c>
      <c r="D2797" s="9" t="s">
        <v>46</v>
      </c>
      <c r="E2797" s="9" t="s">
        <v>13</v>
      </c>
      <c r="F2797" s="9">
        <v>174</v>
      </c>
      <c r="G2797" s="9">
        <v>122.27</v>
      </c>
      <c r="H2797" s="9" t="s">
        <v>25</v>
      </c>
      <c r="I2797" s="9">
        <v>35</v>
      </c>
      <c r="J2797" s="10">
        <v>-51.73</v>
      </c>
      <c r="K2797" s="9" t="str">
        <f>TEXT(Sales_of_Jordan[[#This Row],[Sale_Date]],"mmm")</f>
        <v>Jun</v>
      </c>
    </row>
    <row r="2798" spans="1:11" x14ac:dyDescent="0.35">
      <c r="A2798" s="7" t="s">
        <v>2828</v>
      </c>
      <c r="B2798" s="8">
        <v>45667</v>
      </c>
      <c r="C2798" s="9" t="s">
        <v>27</v>
      </c>
      <c r="D2798" s="9" t="s">
        <v>36</v>
      </c>
      <c r="E2798" s="9" t="s">
        <v>18</v>
      </c>
      <c r="F2798" s="9">
        <v>121</v>
      </c>
      <c r="G2798" s="9">
        <v>258.12</v>
      </c>
      <c r="H2798" s="9" t="s">
        <v>14</v>
      </c>
      <c r="I2798" s="9">
        <v>4</v>
      </c>
      <c r="J2798" s="10">
        <v>137.12</v>
      </c>
      <c r="K2798" s="9" t="str">
        <f>TEXT(Sales_of_Jordan[[#This Row],[Sale_Date]],"mmm")</f>
        <v>Jan</v>
      </c>
    </row>
    <row r="2799" spans="1:11" x14ac:dyDescent="0.35">
      <c r="A2799" s="7" t="s">
        <v>2829</v>
      </c>
      <c r="B2799" s="8">
        <v>45010</v>
      </c>
      <c r="C2799" s="9" t="s">
        <v>21</v>
      </c>
      <c r="D2799" s="9" t="s">
        <v>53</v>
      </c>
      <c r="E2799" s="9" t="s">
        <v>18</v>
      </c>
      <c r="F2799" s="9">
        <v>212</v>
      </c>
      <c r="G2799" s="9">
        <v>585.28</v>
      </c>
      <c r="H2799" s="9" t="s">
        <v>32</v>
      </c>
      <c r="I2799" s="9">
        <v>5</v>
      </c>
      <c r="J2799" s="10">
        <v>373.28</v>
      </c>
      <c r="K2799" s="9" t="str">
        <f>TEXT(Sales_of_Jordan[[#This Row],[Sale_Date]],"mmm")</f>
        <v>Mar</v>
      </c>
    </row>
    <row r="2800" spans="1:11" x14ac:dyDescent="0.35">
      <c r="A2800" s="7" t="s">
        <v>2830</v>
      </c>
      <c r="B2800" s="8">
        <v>45440</v>
      </c>
      <c r="C2800" s="9" t="s">
        <v>27</v>
      </c>
      <c r="D2800" s="9" t="s">
        <v>22</v>
      </c>
      <c r="E2800" s="9" t="s">
        <v>18</v>
      </c>
      <c r="F2800" s="9">
        <v>112</v>
      </c>
      <c r="G2800" s="9">
        <v>290.58</v>
      </c>
      <c r="H2800" s="9" t="s">
        <v>32</v>
      </c>
      <c r="I2800" s="9">
        <v>14</v>
      </c>
      <c r="J2800" s="10">
        <v>178.57999999999899</v>
      </c>
      <c r="K2800" s="9" t="str">
        <f>TEXT(Sales_of_Jordan[[#This Row],[Sale_Date]],"mmm")</f>
        <v>May</v>
      </c>
    </row>
    <row r="2801" spans="1:11" x14ac:dyDescent="0.35">
      <c r="A2801" s="7" t="s">
        <v>2831</v>
      </c>
      <c r="B2801" s="8">
        <v>45504</v>
      </c>
      <c r="C2801" s="9" t="s">
        <v>16</v>
      </c>
      <c r="D2801" s="9" t="s">
        <v>55</v>
      </c>
      <c r="E2801" s="9" t="s">
        <v>13</v>
      </c>
      <c r="F2801" s="9">
        <v>170</v>
      </c>
      <c r="G2801" s="9">
        <v>133.22999999999999</v>
      </c>
      <c r="H2801" s="9" t="s">
        <v>23</v>
      </c>
      <c r="I2801" s="9">
        <v>54</v>
      </c>
      <c r="J2801" s="10">
        <v>-36.770000000000003</v>
      </c>
      <c r="K2801" s="9" t="str">
        <f>TEXT(Sales_of_Jordan[[#This Row],[Sale_Date]],"mmm")</f>
        <v>Jul</v>
      </c>
    </row>
    <row r="2802" spans="1:11" x14ac:dyDescent="0.35">
      <c r="A2802" s="7" t="s">
        <v>2832</v>
      </c>
      <c r="B2802" s="8">
        <v>44992</v>
      </c>
      <c r="C2802" s="9" t="s">
        <v>16</v>
      </c>
      <c r="D2802" s="9" t="s">
        <v>22</v>
      </c>
      <c r="E2802" s="9" t="s">
        <v>13</v>
      </c>
      <c r="F2802" s="9">
        <v>173</v>
      </c>
      <c r="G2802" s="9">
        <v>152.26</v>
      </c>
      <c r="H2802" s="9" t="s">
        <v>19</v>
      </c>
      <c r="I2802" s="9">
        <v>1</v>
      </c>
      <c r="J2802" s="10">
        <v>-20.74</v>
      </c>
      <c r="K2802" s="9" t="str">
        <f>TEXT(Sales_of_Jordan[[#This Row],[Sale_Date]],"mmm")</f>
        <v>Mar</v>
      </c>
    </row>
    <row r="2803" spans="1:11" x14ac:dyDescent="0.35">
      <c r="A2803" s="7" t="s">
        <v>2833</v>
      </c>
      <c r="B2803" s="8">
        <v>45031</v>
      </c>
      <c r="C2803" s="9" t="s">
        <v>21</v>
      </c>
      <c r="D2803" s="9" t="s">
        <v>46</v>
      </c>
      <c r="E2803" s="9" t="s">
        <v>18</v>
      </c>
      <c r="F2803" s="9">
        <v>224</v>
      </c>
      <c r="G2803" s="9">
        <v>272.83999999999997</v>
      </c>
      <c r="H2803" s="9" t="s">
        <v>14</v>
      </c>
      <c r="I2803" s="9">
        <v>5</v>
      </c>
      <c r="J2803" s="10">
        <v>48.839999999999897</v>
      </c>
      <c r="K2803" s="9" t="str">
        <f>TEXT(Sales_of_Jordan[[#This Row],[Sale_Date]],"mmm")</f>
        <v>Apr</v>
      </c>
    </row>
    <row r="2804" spans="1:11" x14ac:dyDescent="0.35">
      <c r="A2804" s="7" t="s">
        <v>2834</v>
      </c>
      <c r="B2804" s="8">
        <v>45523</v>
      </c>
      <c r="C2804" s="9" t="s">
        <v>31</v>
      </c>
      <c r="D2804" s="9" t="s">
        <v>12</v>
      </c>
      <c r="E2804" s="9" t="s">
        <v>29</v>
      </c>
      <c r="F2804" s="9">
        <v>201</v>
      </c>
      <c r="G2804" s="9">
        <v>279.60000000000002</v>
      </c>
      <c r="H2804" s="9" t="s">
        <v>32</v>
      </c>
      <c r="I2804" s="9">
        <v>21</v>
      </c>
      <c r="J2804" s="10">
        <v>78.599999999999994</v>
      </c>
      <c r="K2804" s="9" t="str">
        <f>TEXT(Sales_of_Jordan[[#This Row],[Sale_Date]],"mmm")</f>
        <v>Aug</v>
      </c>
    </row>
    <row r="2805" spans="1:11" x14ac:dyDescent="0.35">
      <c r="A2805" s="7" t="s">
        <v>2835</v>
      </c>
      <c r="B2805" s="8">
        <v>44941</v>
      </c>
      <c r="C2805" s="9" t="s">
        <v>16</v>
      </c>
      <c r="D2805" s="9" t="s">
        <v>53</v>
      </c>
      <c r="E2805" s="9" t="s">
        <v>18</v>
      </c>
      <c r="F2805" s="9">
        <v>183</v>
      </c>
      <c r="G2805" s="9">
        <v>535.52</v>
      </c>
      <c r="H2805" s="9" t="s">
        <v>25</v>
      </c>
      <c r="I2805" s="9">
        <v>35</v>
      </c>
      <c r="J2805" s="10">
        <v>352.52</v>
      </c>
      <c r="K2805" s="9" t="str">
        <f>TEXT(Sales_of_Jordan[[#This Row],[Sale_Date]],"mmm")</f>
        <v>Jan</v>
      </c>
    </row>
    <row r="2806" spans="1:11" x14ac:dyDescent="0.35">
      <c r="A2806" s="7" t="s">
        <v>2836</v>
      </c>
      <c r="B2806" s="8">
        <v>45556</v>
      </c>
      <c r="C2806" s="9" t="s">
        <v>27</v>
      </c>
      <c r="D2806" s="9" t="s">
        <v>34</v>
      </c>
      <c r="E2806" s="9" t="s">
        <v>13</v>
      </c>
      <c r="F2806" s="9">
        <v>124</v>
      </c>
      <c r="G2806" s="9">
        <v>87.22</v>
      </c>
      <c r="H2806" s="9" t="s">
        <v>32</v>
      </c>
      <c r="I2806" s="9">
        <v>56</v>
      </c>
      <c r="J2806" s="10">
        <v>-36.78</v>
      </c>
      <c r="K2806" s="9" t="str">
        <f>TEXT(Sales_of_Jordan[[#This Row],[Sale_Date]],"mmm")</f>
        <v>Sep</v>
      </c>
    </row>
    <row r="2807" spans="1:11" x14ac:dyDescent="0.35">
      <c r="A2807" s="7" t="s">
        <v>2837</v>
      </c>
      <c r="B2807" s="8">
        <v>45634</v>
      </c>
      <c r="C2807" s="9" t="s">
        <v>27</v>
      </c>
      <c r="D2807" s="9" t="s">
        <v>22</v>
      </c>
      <c r="E2807" s="9" t="s">
        <v>29</v>
      </c>
      <c r="F2807" s="9">
        <v>138</v>
      </c>
      <c r="G2807" s="9">
        <v>143.21</v>
      </c>
      <c r="H2807" s="9" t="s">
        <v>19</v>
      </c>
      <c r="I2807" s="9">
        <v>2</v>
      </c>
      <c r="J2807" s="10">
        <v>5.21</v>
      </c>
      <c r="K2807" s="9" t="str">
        <f>TEXT(Sales_of_Jordan[[#This Row],[Sale_Date]],"mmm")</f>
        <v>Dec</v>
      </c>
    </row>
    <row r="2808" spans="1:11" x14ac:dyDescent="0.35">
      <c r="A2808" s="7" t="s">
        <v>2838</v>
      </c>
      <c r="B2808" s="8">
        <v>45895</v>
      </c>
      <c r="C2808" s="9" t="s">
        <v>16</v>
      </c>
      <c r="D2808" s="9" t="s">
        <v>12</v>
      </c>
      <c r="E2808" s="9" t="s">
        <v>29</v>
      </c>
      <c r="F2808" s="9">
        <v>172</v>
      </c>
      <c r="G2808" s="9">
        <v>168.23</v>
      </c>
      <c r="H2808" s="9" t="s">
        <v>14</v>
      </c>
      <c r="I2808" s="9">
        <v>5</v>
      </c>
      <c r="J2808" s="10">
        <v>-3.7700000000000098</v>
      </c>
      <c r="K2808" s="9" t="str">
        <f>TEXT(Sales_of_Jordan[[#This Row],[Sale_Date]],"mmm")</f>
        <v>Aug</v>
      </c>
    </row>
    <row r="2809" spans="1:11" x14ac:dyDescent="0.35">
      <c r="A2809" s="7" t="s">
        <v>2839</v>
      </c>
      <c r="B2809" s="8">
        <v>45631</v>
      </c>
      <c r="C2809" s="9" t="s">
        <v>31</v>
      </c>
      <c r="D2809" s="9" t="s">
        <v>17</v>
      </c>
      <c r="E2809" s="9" t="s">
        <v>13</v>
      </c>
      <c r="F2809" s="9">
        <v>210</v>
      </c>
      <c r="G2809" s="9">
        <v>125.31</v>
      </c>
      <c r="H2809" s="9" t="s">
        <v>19</v>
      </c>
      <c r="I2809" s="9">
        <v>7</v>
      </c>
      <c r="J2809" s="10">
        <v>-84.69</v>
      </c>
      <c r="K2809" s="9" t="str">
        <f>TEXT(Sales_of_Jordan[[#This Row],[Sale_Date]],"mmm")</f>
        <v>Dec</v>
      </c>
    </row>
    <row r="2810" spans="1:11" x14ac:dyDescent="0.35">
      <c r="A2810" s="7" t="s">
        <v>2840</v>
      </c>
      <c r="B2810" s="8">
        <v>45508</v>
      </c>
      <c r="C2810" s="9" t="s">
        <v>16</v>
      </c>
      <c r="D2810" s="9" t="s">
        <v>55</v>
      </c>
      <c r="E2810" s="9" t="s">
        <v>13</v>
      </c>
      <c r="F2810" s="9">
        <v>174</v>
      </c>
      <c r="G2810" s="9">
        <v>130.4</v>
      </c>
      <c r="H2810" s="9" t="s">
        <v>23</v>
      </c>
      <c r="I2810" s="9">
        <v>35</v>
      </c>
      <c r="J2810" s="10">
        <v>-43.599999999999902</v>
      </c>
      <c r="K2810" s="9" t="str">
        <f>TEXT(Sales_of_Jordan[[#This Row],[Sale_Date]],"mmm")</f>
        <v>Aug</v>
      </c>
    </row>
    <row r="2811" spans="1:11" x14ac:dyDescent="0.35">
      <c r="A2811" s="7" t="s">
        <v>2841</v>
      </c>
      <c r="B2811" s="8">
        <v>45626</v>
      </c>
      <c r="C2811" s="9" t="s">
        <v>21</v>
      </c>
      <c r="D2811" s="9" t="s">
        <v>39</v>
      </c>
      <c r="E2811" s="9" t="s">
        <v>29</v>
      </c>
      <c r="F2811" s="9">
        <v>213</v>
      </c>
      <c r="G2811" s="9">
        <v>264.85000000000002</v>
      </c>
      <c r="H2811" s="9" t="s">
        <v>14</v>
      </c>
      <c r="I2811" s="9">
        <v>11</v>
      </c>
      <c r="J2811" s="10">
        <v>51.85</v>
      </c>
      <c r="K2811" s="9" t="str">
        <f>TEXT(Sales_of_Jordan[[#This Row],[Sale_Date]],"mmm")</f>
        <v>Nov</v>
      </c>
    </row>
    <row r="2812" spans="1:11" x14ac:dyDescent="0.35">
      <c r="A2812" s="7" t="s">
        <v>2842</v>
      </c>
      <c r="B2812" s="8">
        <v>45540</v>
      </c>
      <c r="C2812" s="9" t="s">
        <v>31</v>
      </c>
      <c r="D2812" s="9" t="s">
        <v>53</v>
      </c>
      <c r="E2812" s="9" t="s">
        <v>29</v>
      </c>
      <c r="F2812" s="9">
        <v>207</v>
      </c>
      <c r="G2812" s="9">
        <v>306.05</v>
      </c>
      <c r="H2812" s="9" t="s">
        <v>19</v>
      </c>
      <c r="I2812" s="9">
        <v>10</v>
      </c>
      <c r="J2812" s="10">
        <v>99.05</v>
      </c>
      <c r="K2812" s="9" t="str">
        <f>TEXT(Sales_of_Jordan[[#This Row],[Sale_Date]],"mmm")</f>
        <v>Sep</v>
      </c>
    </row>
    <row r="2813" spans="1:11" x14ac:dyDescent="0.35">
      <c r="A2813" s="7" t="s">
        <v>2843</v>
      </c>
      <c r="B2813" s="8">
        <v>45671</v>
      </c>
      <c r="C2813" s="9" t="s">
        <v>27</v>
      </c>
      <c r="D2813" s="9" t="s">
        <v>17</v>
      </c>
      <c r="E2813" s="9" t="s">
        <v>29</v>
      </c>
      <c r="F2813" s="9">
        <v>117</v>
      </c>
      <c r="G2813" s="9">
        <v>142.22999999999999</v>
      </c>
      <c r="H2813" s="9" t="s">
        <v>14</v>
      </c>
      <c r="I2813" s="9">
        <v>2</v>
      </c>
      <c r="J2813" s="10">
        <v>25.229999999999901</v>
      </c>
      <c r="K2813" s="9" t="str">
        <f>TEXT(Sales_of_Jordan[[#This Row],[Sale_Date]],"mmm")</f>
        <v>Jan</v>
      </c>
    </row>
    <row r="2814" spans="1:11" x14ac:dyDescent="0.35">
      <c r="A2814" s="7" t="s">
        <v>2844</v>
      </c>
      <c r="B2814" s="8">
        <v>45492</v>
      </c>
      <c r="C2814" s="9" t="s">
        <v>21</v>
      </c>
      <c r="D2814" s="9" t="s">
        <v>22</v>
      </c>
      <c r="E2814" s="9" t="s">
        <v>13</v>
      </c>
      <c r="F2814" s="9">
        <v>219</v>
      </c>
      <c r="G2814" s="9">
        <v>153.52000000000001</v>
      </c>
      <c r="H2814" s="9" t="s">
        <v>23</v>
      </c>
      <c r="I2814" s="9">
        <v>22</v>
      </c>
      <c r="J2814" s="10">
        <v>-65.479999999999905</v>
      </c>
      <c r="K2814" s="9" t="str">
        <f>TEXT(Sales_of_Jordan[[#This Row],[Sale_Date]],"mmm")</f>
        <v>Jul</v>
      </c>
    </row>
    <row r="2815" spans="1:11" x14ac:dyDescent="0.35">
      <c r="A2815" s="7" t="s">
        <v>2845</v>
      </c>
      <c r="B2815" s="8">
        <v>45052</v>
      </c>
      <c r="C2815" s="9" t="s">
        <v>21</v>
      </c>
      <c r="D2815" s="9" t="s">
        <v>53</v>
      </c>
      <c r="E2815" s="9" t="s">
        <v>18</v>
      </c>
      <c r="F2815" s="9">
        <v>222</v>
      </c>
      <c r="G2815" s="9">
        <v>468.57</v>
      </c>
      <c r="H2815" s="9" t="s">
        <v>25</v>
      </c>
      <c r="I2815" s="9">
        <v>58</v>
      </c>
      <c r="J2815" s="10">
        <v>246.57</v>
      </c>
      <c r="K2815" s="9" t="str">
        <f>TEXT(Sales_of_Jordan[[#This Row],[Sale_Date]],"mmm")</f>
        <v>May</v>
      </c>
    </row>
    <row r="2816" spans="1:11" x14ac:dyDescent="0.35">
      <c r="A2816" s="7" t="s">
        <v>2846</v>
      </c>
      <c r="B2816" s="8">
        <v>45328</v>
      </c>
      <c r="C2816" s="9" t="s">
        <v>11</v>
      </c>
      <c r="D2816" s="9" t="s">
        <v>39</v>
      </c>
      <c r="E2816" s="9" t="s">
        <v>18</v>
      </c>
      <c r="F2816" s="9">
        <v>227</v>
      </c>
      <c r="G2816" s="9">
        <v>345.74</v>
      </c>
      <c r="H2816" s="9" t="s">
        <v>32</v>
      </c>
      <c r="I2816" s="9">
        <v>39</v>
      </c>
      <c r="J2816" s="10">
        <v>118.74</v>
      </c>
      <c r="K2816" s="9" t="str">
        <f>TEXT(Sales_of_Jordan[[#This Row],[Sale_Date]],"mmm")</f>
        <v>Feb</v>
      </c>
    </row>
    <row r="2817" spans="1:11" x14ac:dyDescent="0.35">
      <c r="A2817" s="7" t="s">
        <v>2847</v>
      </c>
      <c r="B2817" s="8">
        <v>45035</v>
      </c>
      <c r="C2817" s="9" t="s">
        <v>27</v>
      </c>
      <c r="D2817" s="9" t="s">
        <v>22</v>
      </c>
      <c r="E2817" s="9" t="s">
        <v>13</v>
      </c>
      <c r="F2817" s="9">
        <v>134</v>
      </c>
      <c r="G2817" s="9">
        <v>85.8</v>
      </c>
      <c r="H2817" s="9" t="s">
        <v>25</v>
      </c>
      <c r="I2817" s="9">
        <v>30</v>
      </c>
      <c r="J2817" s="10">
        <v>-48.2</v>
      </c>
      <c r="K2817" s="9" t="str">
        <f>TEXT(Sales_of_Jordan[[#This Row],[Sale_Date]],"mmm")</f>
        <v>Apr</v>
      </c>
    </row>
    <row r="2818" spans="1:11" x14ac:dyDescent="0.35">
      <c r="A2818" s="7" t="s">
        <v>2848</v>
      </c>
      <c r="B2818" s="8">
        <v>45036</v>
      </c>
      <c r="C2818" s="9" t="s">
        <v>21</v>
      </c>
      <c r="D2818" s="9" t="s">
        <v>36</v>
      </c>
      <c r="E2818" s="9" t="s">
        <v>18</v>
      </c>
      <c r="F2818" s="9">
        <v>221</v>
      </c>
      <c r="G2818" s="9">
        <v>657.33</v>
      </c>
      <c r="H2818" s="9" t="s">
        <v>14</v>
      </c>
      <c r="I2818" s="9">
        <v>12</v>
      </c>
      <c r="J2818" s="10">
        <v>436.33</v>
      </c>
      <c r="K2818" s="9" t="str">
        <f>TEXT(Sales_of_Jordan[[#This Row],[Sale_Date]],"mmm")</f>
        <v>Apr</v>
      </c>
    </row>
    <row r="2819" spans="1:11" x14ac:dyDescent="0.35">
      <c r="A2819" s="7" t="s">
        <v>2849</v>
      </c>
      <c r="B2819" s="8">
        <v>45090</v>
      </c>
      <c r="C2819" s="9" t="s">
        <v>11</v>
      </c>
      <c r="D2819" s="9" t="s">
        <v>53</v>
      </c>
      <c r="E2819" s="9" t="s">
        <v>18</v>
      </c>
      <c r="F2819" s="9">
        <v>229</v>
      </c>
      <c r="G2819" s="9">
        <v>319.91000000000003</v>
      </c>
      <c r="H2819" s="9" t="s">
        <v>25</v>
      </c>
      <c r="I2819" s="9">
        <v>8</v>
      </c>
      <c r="J2819" s="10">
        <v>90.91</v>
      </c>
      <c r="K2819" s="9" t="str">
        <f>TEXT(Sales_of_Jordan[[#This Row],[Sale_Date]],"mmm")</f>
        <v>Jun</v>
      </c>
    </row>
    <row r="2820" spans="1:11" x14ac:dyDescent="0.35">
      <c r="A2820" s="7" t="s">
        <v>2850</v>
      </c>
      <c r="B2820" s="8">
        <v>45248</v>
      </c>
      <c r="C2820" s="9" t="s">
        <v>27</v>
      </c>
      <c r="D2820" s="9" t="s">
        <v>55</v>
      </c>
      <c r="E2820" s="9" t="s">
        <v>18</v>
      </c>
      <c r="F2820" s="9">
        <v>135</v>
      </c>
      <c r="G2820" s="9">
        <v>317.72000000000003</v>
      </c>
      <c r="H2820" s="9" t="s">
        <v>23</v>
      </c>
      <c r="I2820" s="9">
        <v>36</v>
      </c>
      <c r="J2820" s="10">
        <v>182.72</v>
      </c>
      <c r="K2820" s="9" t="str">
        <f>TEXT(Sales_of_Jordan[[#This Row],[Sale_Date]],"mmm")</f>
        <v>Nov</v>
      </c>
    </row>
    <row r="2821" spans="1:11" x14ac:dyDescent="0.35">
      <c r="A2821" s="7" t="s">
        <v>2851</v>
      </c>
      <c r="B2821" s="8">
        <v>45609</v>
      </c>
      <c r="C2821" s="9" t="s">
        <v>21</v>
      </c>
      <c r="D2821" s="9" t="s">
        <v>34</v>
      </c>
      <c r="E2821" s="9" t="s">
        <v>18</v>
      </c>
      <c r="F2821" s="9">
        <v>212</v>
      </c>
      <c r="G2821" s="9">
        <v>636.72</v>
      </c>
      <c r="H2821" s="9" t="s">
        <v>32</v>
      </c>
      <c r="I2821" s="9">
        <v>58</v>
      </c>
      <c r="J2821" s="10">
        <v>424.72</v>
      </c>
      <c r="K2821" s="9" t="str">
        <f>TEXT(Sales_of_Jordan[[#This Row],[Sale_Date]],"mmm")</f>
        <v>Nov</v>
      </c>
    </row>
    <row r="2822" spans="1:11" x14ac:dyDescent="0.35">
      <c r="A2822" s="7" t="s">
        <v>2852</v>
      </c>
      <c r="B2822" s="8">
        <v>45291</v>
      </c>
      <c r="C2822" s="9" t="s">
        <v>27</v>
      </c>
      <c r="D2822" s="9" t="s">
        <v>34</v>
      </c>
      <c r="E2822" s="9" t="s">
        <v>18</v>
      </c>
      <c r="F2822" s="9">
        <v>124</v>
      </c>
      <c r="G2822" s="9">
        <v>298.3</v>
      </c>
      <c r="H2822" s="9" t="s">
        <v>14</v>
      </c>
      <c r="I2822" s="9">
        <v>6</v>
      </c>
      <c r="J2822" s="10">
        <v>174.3</v>
      </c>
      <c r="K2822" s="9" t="str">
        <f>TEXT(Sales_of_Jordan[[#This Row],[Sale_Date]],"mmm")</f>
        <v>Dec</v>
      </c>
    </row>
    <row r="2823" spans="1:11" x14ac:dyDescent="0.35">
      <c r="A2823" s="7" t="s">
        <v>2853</v>
      </c>
      <c r="B2823" s="8">
        <v>45470</v>
      </c>
      <c r="C2823" s="9" t="s">
        <v>31</v>
      </c>
      <c r="D2823" s="9" t="s">
        <v>39</v>
      </c>
      <c r="E2823" s="9" t="s">
        <v>29</v>
      </c>
      <c r="F2823" s="9">
        <v>203</v>
      </c>
      <c r="G2823" s="9">
        <v>207.81</v>
      </c>
      <c r="H2823" s="9" t="s">
        <v>14</v>
      </c>
      <c r="I2823" s="9">
        <v>12</v>
      </c>
      <c r="J2823" s="10">
        <v>4.8099999999999996</v>
      </c>
      <c r="K2823" s="9" t="str">
        <f>TEXT(Sales_of_Jordan[[#This Row],[Sale_Date]],"mmm")</f>
        <v>Jun</v>
      </c>
    </row>
    <row r="2824" spans="1:11" x14ac:dyDescent="0.35">
      <c r="A2824" s="7" t="s">
        <v>2854</v>
      </c>
      <c r="B2824" s="8">
        <v>45035</v>
      </c>
      <c r="C2824" s="9" t="s">
        <v>11</v>
      </c>
      <c r="D2824" s="9" t="s">
        <v>12</v>
      </c>
      <c r="E2824" s="9" t="s">
        <v>18</v>
      </c>
      <c r="F2824" s="9">
        <v>225</v>
      </c>
      <c r="G2824" s="9">
        <v>450.31</v>
      </c>
      <c r="H2824" s="9" t="s">
        <v>32</v>
      </c>
      <c r="I2824" s="9">
        <v>46</v>
      </c>
      <c r="J2824" s="10">
        <v>225.31</v>
      </c>
      <c r="K2824" s="9" t="str">
        <f>TEXT(Sales_of_Jordan[[#This Row],[Sale_Date]],"mmm")</f>
        <v>Apr</v>
      </c>
    </row>
    <row r="2825" spans="1:11" x14ac:dyDescent="0.35">
      <c r="A2825" s="7" t="s">
        <v>2855</v>
      </c>
      <c r="B2825" s="8">
        <v>45648</v>
      </c>
      <c r="C2825" s="9" t="s">
        <v>21</v>
      </c>
      <c r="D2825" s="9" t="s">
        <v>46</v>
      </c>
      <c r="E2825" s="9" t="s">
        <v>13</v>
      </c>
      <c r="F2825" s="9">
        <v>224</v>
      </c>
      <c r="G2825" s="9">
        <v>131.37</v>
      </c>
      <c r="H2825" s="9" t="s">
        <v>19</v>
      </c>
      <c r="I2825" s="9">
        <v>8</v>
      </c>
      <c r="J2825" s="10">
        <v>-92.63</v>
      </c>
      <c r="K2825" s="9" t="str">
        <f>TEXT(Sales_of_Jordan[[#This Row],[Sale_Date]],"mmm")</f>
        <v>Dec</v>
      </c>
    </row>
    <row r="2826" spans="1:11" x14ac:dyDescent="0.35">
      <c r="A2826" s="7" t="s">
        <v>2856</v>
      </c>
      <c r="B2826" s="8">
        <v>45008</v>
      </c>
      <c r="C2826" s="9" t="s">
        <v>27</v>
      </c>
      <c r="D2826" s="9" t="s">
        <v>22</v>
      </c>
      <c r="E2826" s="9" t="s">
        <v>13</v>
      </c>
      <c r="F2826" s="9">
        <v>124</v>
      </c>
      <c r="G2826" s="9">
        <v>94.72</v>
      </c>
      <c r="H2826" s="9" t="s">
        <v>25</v>
      </c>
      <c r="I2826" s="9">
        <v>10</v>
      </c>
      <c r="J2826" s="10">
        <v>-29.28</v>
      </c>
      <c r="K2826" s="9" t="str">
        <f>TEXT(Sales_of_Jordan[[#This Row],[Sale_Date]],"mmm")</f>
        <v>Mar</v>
      </c>
    </row>
    <row r="2827" spans="1:11" x14ac:dyDescent="0.35">
      <c r="A2827" s="7" t="s">
        <v>2857</v>
      </c>
      <c r="B2827" s="8">
        <v>45781</v>
      </c>
      <c r="C2827" s="9" t="s">
        <v>31</v>
      </c>
      <c r="D2827" s="9" t="s">
        <v>55</v>
      </c>
      <c r="E2827" s="9" t="s">
        <v>29</v>
      </c>
      <c r="F2827" s="9">
        <v>200</v>
      </c>
      <c r="G2827" s="9">
        <v>252.29</v>
      </c>
      <c r="H2827" s="9" t="s">
        <v>14</v>
      </c>
      <c r="I2827" s="9">
        <v>6</v>
      </c>
      <c r="J2827" s="10">
        <v>52.2899999999999</v>
      </c>
      <c r="K2827" s="9" t="str">
        <f>TEXT(Sales_of_Jordan[[#This Row],[Sale_Date]],"mmm")</f>
        <v>May</v>
      </c>
    </row>
    <row r="2828" spans="1:11" x14ac:dyDescent="0.35">
      <c r="A2828" s="7" t="s">
        <v>2858</v>
      </c>
      <c r="B2828" s="8">
        <v>45852</v>
      </c>
      <c r="C2828" s="9" t="s">
        <v>27</v>
      </c>
      <c r="D2828" s="9" t="s">
        <v>22</v>
      </c>
      <c r="E2828" s="9" t="s">
        <v>13</v>
      </c>
      <c r="F2828" s="9">
        <v>115</v>
      </c>
      <c r="G2828" s="9">
        <v>71.33</v>
      </c>
      <c r="H2828" s="9" t="s">
        <v>32</v>
      </c>
      <c r="I2828" s="9">
        <v>38</v>
      </c>
      <c r="J2828" s="10">
        <v>-43.67</v>
      </c>
      <c r="K2828" s="9" t="str">
        <f>TEXT(Sales_of_Jordan[[#This Row],[Sale_Date]],"mmm")</f>
        <v>Jul</v>
      </c>
    </row>
    <row r="2829" spans="1:11" x14ac:dyDescent="0.35">
      <c r="A2829" s="7" t="s">
        <v>2859</v>
      </c>
      <c r="B2829" s="8">
        <v>45151</v>
      </c>
      <c r="C2829" s="9" t="s">
        <v>27</v>
      </c>
      <c r="D2829" s="9" t="s">
        <v>36</v>
      </c>
      <c r="E2829" s="9" t="s">
        <v>29</v>
      </c>
      <c r="F2829" s="9">
        <v>138</v>
      </c>
      <c r="G2829" s="9">
        <v>181.71</v>
      </c>
      <c r="H2829" s="9" t="s">
        <v>23</v>
      </c>
      <c r="I2829" s="9">
        <v>28</v>
      </c>
      <c r="J2829" s="10">
        <v>43.71</v>
      </c>
      <c r="K2829" s="9" t="str">
        <f>TEXT(Sales_of_Jordan[[#This Row],[Sale_Date]],"mmm")</f>
        <v>Aug</v>
      </c>
    </row>
    <row r="2830" spans="1:11" x14ac:dyDescent="0.35">
      <c r="A2830" s="7" t="s">
        <v>2860</v>
      </c>
      <c r="B2830" s="8">
        <v>45377</v>
      </c>
      <c r="C2830" s="9" t="s">
        <v>31</v>
      </c>
      <c r="D2830" s="9" t="s">
        <v>55</v>
      </c>
      <c r="E2830" s="9" t="s">
        <v>18</v>
      </c>
      <c r="F2830" s="9">
        <v>205</v>
      </c>
      <c r="G2830" s="9">
        <v>533.26</v>
      </c>
      <c r="H2830" s="9" t="s">
        <v>25</v>
      </c>
      <c r="I2830" s="9">
        <v>50</v>
      </c>
      <c r="J2830" s="10">
        <v>328.26</v>
      </c>
      <c r="K2830" s="9" t="str">
        <f>TEXT(Sales_of_Jordan[[#This Row],[Sale_Date]],"mmm")</f>
        <v>Mar</v>
      </c>
    </row>
    <row r="2831" spans="1:11" x14ac:dyDescent="0.35">
      <c r="A2831" s="7" t="s">
        <v>2861</v>
      </c>
      <c r="B2831" s="8">
        <v>45525</v>
      </c>
      <c r="C2831" s="9" t="s">
        <v>27</v>
      </c>
      <c r="D2831" s="9" t="s">
        <v>22</v>
      </c>
      <c r="E2831" s="9" t="s">
        <v>18</v>
      </c>
      <c r="F2831" s="9">
        <v>120</v>
      </c>
      <c r="G2831" s="9">
        <v>247.47</v>
      </c>
      <c r="H2831" s="9" t="s">
        <v>14</v>
      </c>
      <c r="I2831" s="9">
        <v>12</v>
      </c>
      <c r="J2831" s="10">
        <v>127.47</v>
      </c>
      <c r="K2831" s="9" t="str">
        <f>TEXT(Sales_of_Jordan[[#This Row],[Sale_Date]],"mmm")</f>
        <v>Aug</v>
      </c>
    </row>
    <row r="2832" spans="1:11" x14ac:dyDescent="0.35">
      <c r="A2832" s="7" t="s">
        <v>2862</v>
      </c>
      <c r="B2832" s="8">
        <v>45850</v>
      </c>
      <c r="C2832" s="9" t="s">
        <v>16</v>
      </c>
      <c r="D2832" s="9" t="s">
        <v>53</v>
      </c>
      <c r="E2832" s="9" t="s">
        <v>18</v>
      </c>
      <c r="F2832" s="9">
        <v>186</v>
      </c>
      <c r="G2832" s="9">
        <v>619.16999999999996</v>
      </c>
      <c r="H2832" s="9" t="s">
        <v>25</v>
      </c>
      <c r="I2832" s="9">
        <v>55</v>
      </c>
      <c r="J2832" s="10">
        <v>433.16999999999899</v>
      </c>
      <c r="K2832" s="9" t="str">
        <f>TEXT(Sales_of_Jordan[[#This Row],[Sale_Date]],"mmm")</f>
        <v>Jul</v>
      </c>
    </row>
    <row r="2833" spans="1:11" x14ac:dyDescent="0.35">
      <c r="A2833" s="7" t="s">
        <v>2863</v>
      </c>
      <c r="B2833" s="8">
        <v>45169</v>
      </c>
      <c r="C2833" s="9" t="s">
        <v>31</v>
      </c>
      <c r="D2833" s="9" t="s">
        <v>46</v>
      </c>
      <c r="E2833" s="9" t="s">
        <v>29</v>
      </c>
      <c r="F2833" s="9">
        <v>205</v>
      </c>
      <c r="G2833" s="9">
        <v>239.95</v>
      </c>
      <c r="H2833" s="9" t="s">
        <v>14</v>
      </c>
      <c r="I2833" s="9">
        <v>6</v>
      </c>
      <c r="J2833" s="10">
        <v>34.949999999999903</v>
      </c>
      <c r="K2833" s="9" t="str">
        <f>TEXT(Sales_of_Jordan[[#This Row],[Sale_Date]],"mmm")</f>
        <v>Aug</v>
      </c>
    </row>
    <row r="2834" spans="1:11" x14ac:dyDescent="0.35">
      <c r="A2834" s="7" t="s">
        <v>2864</v>
      </c>
      <c r="B2834" s="8">
        <v>45374</v>
      </c>
      <c r="C2834" s="9" t="s">
        <v>31</v>
      </c>
      <c r="D2834" s="9" t="s">
        <v>12</v>
      </c>
      <c r="E2834" s="9" t="s">
        <v>18</v>
      </c>
      <c r="F2834" s="9">
        <v>207</v>
      </c>
      <c r="G2834" s="9">
        <v>286.55</v>
      </c>
      <c r="H2834" s="9" t="s">
        <v>32</v>
      </c>
      <c r="I2834" s="9">
        <v>51</v>
      </c>
      <c r="J2834" s="10">
        <v>79.55</v>
      </c>
      <c r="K2834" s="9" t="str">
        <f>TEXT(Sales_of_Jordan[[#This Row],[Sale_Date]],"mmm")</f>
        <v>Mar</v>
      </c>
    </row>
    <row r="2835" spans="1:11" x14ac:dyDescent="0.35">
      <c r="A2835" s="7" t="s">
        <v>2865</v>
      </c>
      <c r="B2835" s="8">
        <v>44933</v>
      </c>
      <c r="C2835" s="9" t="s">
        <v>27</v>
      </c>
      <c r="D2835" s="9" t="s">
        <v>22</v>
      </c>
      <c r="E2835" s="9" t="s">
        <v>18</v>
      </c>
      <c r="F2835" s="9">
        <v>132</v>
      </c>
      <c r="G2835" s="9">
        <v>279.27999999999997</v>
      </c>
      <c r="H2835" s="9" t="s">
        <v>23</v>
      </c>
      <c r="I2835" s="9">
        <v>37</v>
      </c>
      <c r="J2835" s="10">
        <v>147.27999999999901</v>
      </c>
      <c r="K2835" s="9" t="str">
        <f>TEXT(Sales_of_Jordan[[#This Row],[Sale_Date]],"mmm")</f>
        <v>Jan</v>
      </c>
    </row>
    <row r="2836" spans="1:11" x14ac:dyDescent="0.35">
      <c r="A2836" s="7" t="s">
        <v>2866</v>
      </c>
      <c r="B2836" s="8">
        <v>44967</v>
      </c>
      <c r="C2836" s="9" t="s">
        <v>11</v>
      </c>
      <c r="D2836" s="9" t="s">
        <v>17</v>
      </c>
      <c r="E2836" s="9" t="s">
        <v>29</v>
      </c>
      <c r="F2836" s="9">
        <v>228</v>
      </c>
      <c r="G2836" s="9">
        <v>245.72</v>
      </c>
      <c r="H2836" s="9" t="s">
        <v>23</v>
      </c>
      <c r="I2836" s="9">
        <v>20</v>
      </c>
      <c r="J2836" s="10">
        <v>17.72</v>
      </c>
      <c r="K2836" s="9" t="str">
        <f>TEXT(Sales_of_Jordan[[#This Row],[Sale_Date]],"mmm")</f>
        <v>Feb</v>
      </c>
    </row>
    <row r="2837" spans="1:11" x14ac:dyDescent="0.35">
      <c r="A2837" s="7" t="s">
        <v>2867</v>
      </c>
      <c r="B2837" s="8">
        <v>45719</v>
      </c>
      <c r="C2837" s="9" t="s">
        <v>21</v>
      </c>
      <c r="D2837" s="9" t="s">
        <v>34</v>
      </c>
      <c r="E2837" s="9" t="s">
        <v>18</v>
      </c>
      <c r="F2837" s="9">
        <v>219</v>
      </c>
      <c r="G2837" s="9">
        <v>462.45</v>
      </c>
      <c r="H2837" s="9" t="s">
        <v>32</v>
      </c>
      <c r="I2837" s="9">
        <v>60</v>
      </c>
      <c r="J2837" s="10">
        <v>243.45</v>
      </c>
      <c r="K2837" s="9" t="str">
        <f>TEXT(Sales_of_Jordan[[#This Row],[Sale_Date]],"mmm")</f>
        <v>Mar</v>
      </c>
    </row>
    <row r="2838" spans="1:11" x14ac:dyDescent="0.35">
      <c r="A2838" s="7" t="s">
        <v>2868</v>
      </c>
      <c r="B2838" s="8">
        <v>45574</v>
      </c>
      <c r="C2838" s="9" t="s">
        <v>31</v>
      </c>
      <c r="D2838" s="9" t="s">
        <v>36</v>
      </c>
      <c r="E2838" s="9" t="s">
        <v>18</v>
      </c>
      <c r="F2838" s="9">
        <v>203</v>
      </c>
      <c r="G2838" s="9">
        <v>265.18</v>
      </c>
      <c r="H2838" s="9" t="s">
        <v>19</v>
      </c>
      <c r="I2838" s="9">
        <v>6</v>
      </c>
      <c r="J2838" s="10">
        <v>62.18</v>
      </c>
      <c r="K2838" s="9" t="str">
        <f>TEXT(Sales_of_Jordan[[#This Row],[Sale_Date]],"mmm")</f>
        <v>Oct</v>
      </c>
    </row>
    <row r="2839" spans="1:11" x14ac:dyDescent="0.35">
      <c r="A2839" s="7" t="s">
        <v>2869</v>
      </c>
      <c r="B2839" s="8">
        <v>45243</v>
      </c>
      <c r="C2839" s="9" t="s">
        <v>31</v>
      </c>
      <c r="D2839" s="9" t="s">
        <v>17</v>
      </c>
      <c r="E2839" s="9" t="s">
        <v>18</v>
      </c>
      <c r="F2839" s="9">
        <v>209</v>
      </c>
      <c r="G2839" s="9">
        <v>492.69</v>
      </c>
      <c r="H2839" s="9" t="s">
        <v>32</v>
      </c>
      <c r="I2839" s="9">
        <v>14</v>
      </c>
      <c r="J2839" s="10">
        <v>283.69</v>
      </c>
      <c r="K2839" s="9" t="str">
        <f>TEXT(Sales_of_Jordan[[#This Row],[Sale_Date]],"mmm")</f>
        <v>Nov</v>
      </c>
    </row>
    <row r="2840" spans="1:11" x14ac:dyDescent="0.35">
      <c r="A2840" s="7" t="s">
        <v>2870</v>
      </c>
      <c r="B2840" s="8">
        <v>45384</v>
      </c>
      <c r="C2840" s="9" t="s">
        <v>16</v>
      </c>
      <c r="D2840" s="9" t="s">
        <v>55</v>
      </c>
      <c r="E2840" s="9" t="s">
        <v>29</v>
      </c>
      <c r="F2840" s="9">
        <v>187</v>
      </c>
      <c r="G2840" s="9">
        <v>186.64</v>
      </c>
      <c r="H2840" s="9" t="s">
        <v>23</v>
      </c>
      <c r="I2840" s="9">
        <v>24</v>
      </c>
      <c r="J2840" s="10">
        <v>-0.36000000000001298</v>
      </c>
      <c r="K2840" s="9" t="str">
        <f>TEXT(Sales_of_Jordan[[#This Row],[Sale_Date]],"mmm")</f>
        <v>Apr</v>
      </c>
    </row>
    <row r="2841" spans="1:11" x14ac:dyDescent="0.35">
      <c r="A2841" s="7" t="s">
        <v>2871</v>
      </c>
      <c r="B2841" s="8">
        <v>45207</v>
      </c>
      <c r="C2841" s="9" t="s">
        <v>27</v>
      </c>
      <c r="D2841" s="9" t="s">
        <v>17</v>
      </c>
      <c r="E2841" s="9" t="s">
        <v>29</v>
      </c>
      <c r="F2841" s="9">
        <v>117</v>
      </c>
      <c r="G2841" s="9">
        <v>132.69999999999999</v>
      </c>
      <c r="H2841" s="9" t="s">
        <v>23</v>
      </c>
      <c r="I2841" s="9">
        <v>32</v>
      </c>
      <c r="J2841" s="10">
        <v>15.6999999999999</v>
      </c>
      <c r="K2841" s="9" t="str">
        <f>TEXT(Sales_of_Jordan[[#This Row],[Sale_Date]],"mmm")</f>
        <v>Oct</v>
      </c>
    </row>
    <row r="2842" spans="1:11" x14ac:dyDescent="0.35">
      <c r="A2842" s="7" t="s">
        <v>2872</v>
      </c>
      <c r="B2842" s="8">
        <v>45926</v>
      </c>
      <c r="C2842" s="9" t="s">
        <v>21</v>
      </c>
      <c r="D2842" s="9" t="s">
        <v>39</v>
      </c>
      <c r="E2842" s="9" t="s">
        <v>29</v>
      </c>
      <c r="F2842" s="9">
        <v>212</v>
      </c>
      <c r="G2842" s="9">
        <v>244.48</v>
      </c>
      <c r="H2842" s="9" t="s">
        <v>32</v>
      </c>
      <c r="I2842" s="9">
        <v>13</v>
      </c>
      <c r="J2842" s="10">
        <v>32.479999999999897</v>
      </c>
      <c r="K2842" s="9" t="str">
        <f>TEXT(Sales_of_Jordan[[#This Row],[Sale_Date]],"mmm")</f>
        <v>Sep</v>
      </c>
    </row>
    <row r="2843" spans="1:11" x14ac:dyDescent="0.35">
      <c r="A2843" s="7" t="s">
        <v>2873</v>
      </c>
      <c r="B2843" s="8">
        <v>45475</v>
      </c>
      <c r="C2843" s="9" t="s">
        <v>27</v>
      </c>
      <c r="D2843" s="9" t="s">
        <v>34</v>
      </c>
      <c r="E2843" s="9" t="s">
        <v>29</v>
      </c>
      <c r="F2843" s="9">
        <v>131</v>
      </c>
      <c r="G2843" s="9">
        <v>186.02</v>
      </c>
      <c r="H2843" s="9" t="s">
        <v>19</v>
      </c>
      <c r="I2843" s="9">
        <v>3</v>
      </c>
      <c r="J2843" s="10">
        <v>55.02</v>
      </c>
      <c r="K2843" s="9" t="str">
        <f>TEXT(Sales_of_Jordan[[#This Row],[Sale_Date]],"mmm")</f>
        <v>Jul</v>
      </c>
    </row>
    <row r="2844" spans="1:11" x14ac:dyDescent="0.35">
      <c r="A2844" s="7" t="s">
        <v>2874</v>
      </c>
      <c r="B2844" s="8">
        <v>45786</v>
      </c>
      <c r="C2844" s="9" t="s">
        <v>16</v>
      </c>
      <c r="D2844" s="9" t="s">
        <v>53</v>
      </c>
      <c r="E2844" s="9" t="s">
        <v>13</v>
      </c>
      <c r="F2844" s="9">
        <v>175</v>
      </c>
      <c r="G2844" s="9">
        <v>94.14</v>
      </c>
      <c r="H2844" s="9" t="s">
        <v>23</v>
      </c>
      <c r="I2844" s="9">
        <v>37</v>
      </c>
      <c r="J2844" s="10">
        <v>-80.86</v>
      </c>
      <c r="K2844" s="9" t="str">
        <f>TEXT(Sales_of_Jordan[[#This Row],[Sale_Date]],"mmm")</f>
        <v>May</v>
      </c>
    </row>
    <row r="2845" spans="1:11" x14ac:dyDescent="0.35">
      <c r="A2845" s="7" t="s">
        <v>2875</v>
      </c>
      <c r="B2845" s="8">
        <v>45913</v>
      </c>
      <c r="C2845" s="9" t="s">
        <v>21</v>
      </c>
      <c r="D2845" s="9" t="s">
        <v>36</v>
      </c>
      <c r="E2845" s="9" t="s">
        <v>13</v>
      </c>
      <c r="F2845" s="9">
        <v>222</v>
      </c>
      <c r="G2845" s="9">
        <v>191.37</v>
      </c>
      <c r="H2845" s="9" t="s">
        <v>32</v>
      </c>
      <c r="I2845" s="9">
        <v>38</v>
      </c>
      <c r="J2845" s="10">
        <v>-30.6299999999999</v>
      </c>
      <c r="K2845" s="9" t="str">
        <f>TEXT(Sales_of_Jordan[[#This Row],[Sale_Date]],"mmm")</f>
        <v>Sep</v>
      </c>
    </row>
    <row r="2846" spans="1:11" x14ac:dyDescent="0.35">
      <c r="A2846" s="7" t="s">
        <v>2876</v>
      </c>
      <c r="B2846" s="8">
        <v>45277</v>
      </c>
      <c r="C2846" s="9" t="s">
        <v>27</v>
      </c>
      <c r="D2846" s="9" t="s">
        <v>17</v>
      </c>
      <c r="E2846" s="9" t="s">
        <v>13</v>
      </c>
      <c r="F2846" s="9">
        <v>116</v>
      </c>
      <c r="G2846" s="9">
        <v>80.069999999999993</v>
      </c>
      <c r="H2846" s="9" t="s">
        <v>32</v>
      </c>
      <c r="I2846" s="9">
        <v>23</v>
      </c>
      <c r="J2846" s="10">
        <v>-35.93</v>
      </c>
      <c r="K2846" s="9" t="str">
        <f>TEXT(Sales_of_Jordan[[#This Row],[Sale_Date]],"mmm")</f>
        <v>Dec</v>
      </c>
    </row>
    <row r="2847" spans="1:11" x14ac:dyDescent="0.35">
      <c r="A2847" s="7" t="s">
        <v>2877</v>
      </c>
      <c r="B2847" s="8">
        <v>45694</v>
      </c>
      <c r="C2847" s="9" t="s">
        <v>16</v>
      </c>
      <c r="D2847" s="9" t="s">
        <v>36</v>
      </c>
      <c r="E2847" s="9" t="s">
        <v>13</v>
      </c>
      <c r="F2847" s="9">
        <v>187</v>
      </c>
      <c r="G2847" s="9">
        <v>107.36</v>
      </c>
      <c r="H2847" s="9" t="s">
        <v>23</v>
      </c>
      <c r="I2847" s="9">
        <v>57</v>
      </c>
      <c r="J2847" s="10">
        <v>-79.64</v>
      </c>
      <c r="K2847" s="9" t="str">
        <f>TEXT(Sales_of_Jordan[[#This Row],[Sale_Date]],"mmm")</f>
        <v>Feb</v>
      </c>
    </row>
    <row r="2848" spans="1:11" x14ac:dyDescent="0.35">
      <c r="A2848" s="7" t="s">
        <v>2878</v>
      </c>
      <c r="B2848" s="8">
        <v>45676</v>
      </c>
      <c r="C2848" s="9" t="s">
        <v>11</v>
      </c>
      <c r="D2848" s="9" t="s">
        <v>39</v>
      </c>
      <c r="E2848" s="9" t="s">
        <v>13</v>
      </c>
      <c r="F2848" s="9">
        <v>228</v>
      </c>
      <c r="G2848" s="9">
        <v>143.68</v>
      </c>
      <c r="H2848" s="9" t="s">
        <v>23</v>
      </c>
      <c r="I2848" s="9">
        <v>52</v>
      </c>
      <c r="J2848" s="10">
        <v>-84.32</v>
      </c>
      <c r="K2848" s="9" t="str">
        <f>TEXT(Sales_of_Jordan[[#This Row],[Sale_Date]],"mmm")</f>
        <v>Jan</v>
      </c>
    </row>
    <row r="2849" spans="1:11" x14ac:dyDescent="0.35">
      <c r="A2849" s="7" t="s">
        <v>2879</v>
      </c>
      <c r="B2849" s="8">
        <v>45020</v>
      </c>
      <c r="C2849" s="9" t="s">
        <v>21</v>
      </c>
      <c r="D2849" s="9" t="s">
        <v>22</v>
      </c>
      <c r="E2849" s="9" t="s">
        <v>13</v>
      </c>
      <c r="F2849" s="9">
        <v>216</v>
      </c>
      <c r="G2849" s="9">
        <v>179.17</v>
      </c>
      <c r="H2849" s="9" t="s">
        <v>19</v>
      </c>
      <c r="I2849" s="9">
        <v>7</v>
      </c>
      <c r="J2849" s="10">
        <v>-36.83</v>
      </c>
      <c r="K2849" s="9" t="str">
        <f>TEXT(Sales_of_Jordan[[#This Row],[Sale_Date]],"mmm")</f>
        <v>Apr</v>
      </c>
    </row>
    <row r="2850" spans="1:11" x14ac:dyDescent="0.35">
      <c r="A2850" s="7" t="s">
        <v>2880</v>
      </c>
      <c r="B2850" s="8">
        <v>45791</v>
      </c>
      <c r="C2850" s="9" t="s">
        <v>21</v>
      </c>
      <c r="D2850" s="9" t="s">
        <v>22</v>
      </c>
      <c r="E2850" s="9" t="s">
        <v>18</v>
      </c>
      <c r="F2850" s="9">
        <v>217</v>
      </c>
      <c r="G2850" s="9">
        <v>672.24</v>
      </c>
      <c r="H2850" s="9" t="s">
        <v>23</v>
      </c>
      <c r="I2850" s="9">
        <v>60</v>
      </c>
      <c r="J2850" s="10">
        <v>455.24</v>
      </c>
      <c r="K2850" s="9" t="str">
        <f>TEXT(Sales_of_Jordan[[#This Row],[Sale_Date]],"mmm")</f>
        <v>May</v>
      </c>
    </row>
    <row r="2851" spans="1:11" x14ac:dyDescent="0.35">
      <c r="A2851" s="7" t="s">
        <v>2881</v>
      </c>
      <c r="B2851" s="8">
        <v>45188</v>
      </c>
      <c r="C2851" s="9" t="s">
        <v>31</v>
      </c>
      <c r="D2851" s="9" t="s">
        <v>46</v>
      </c>
      <c r="E2851" s="9" t="s">
        <v>29</v>
      </c>
      <c r="F2851" s="9">
        <v>203</v>
      </c>
      <c r="G2851" s="9">
        <v>234.83</v>
      </c>
      <c r="H2851" s="9" t="s">
        <v>19</v>
      </c>
      <c r="I2851" s="9">
        <v>11</v>
      </c>
      <c r="J2851" s="10">
        <v>31.83</v>
      </c>
      <c r="K2851" s="9" t="str">
        <f>TEXT(Sales_of_Jordan[[#This Row],[Sale_Date]],"mmm")</f>
        <v>Sep</v>
      </c>
    </row>
    <row r="2852" spans="1:11" x14ac:dyDescent="0.35">
      <c r="A2852" s="7" t="s">
        <v>2882</v>
      </c>
      <c r="B2852" s="8">
        <v>45321</v>
      </c>
      <c r="C2852" s="9" t="s">
        <v>31</v>
      </c>
      <c r="D2852" s="9" t="s">
        <v>55</v>
      </c>
      <c r="E2852" s="9" t="s">
        <v>18</v>
      </c>
      <c r="F2852" s="9">
        <v>205</v>
      </c>
      <c r="G2852" s="9">
        <v>714.35</v>
      </c>
      <c r="H2852" s="9" t="s">
        <v>25</v>
      </c>
      <c r="I2852" s="9">
        <v>56</v>
      </c>
      <c r="J2852" s="10">
        <v>509.35</v>
      </c>
      <c r="K2852" s="9" t="str">
        <f>TEXT(Sales_of_Jordan[[#This Row],[Sale_Date]],"mmm")</f>
        <v>Jan</v>
      </c>
    </row>
    <row r="2853" spans="1:11" x14ac:dyDescent="0.35">
      <c r="A2853" s="7" t="s">
        <v>2883</v>
      </c>
      <c r="B2853" s="8">
        <v>44977</v>
      </c>
      <c r="C2853" s="9" t="s">
        <v>31</v>
      </c>
      <c r="D2853" s="9" t="s">
        <v>12</v>
      </c>
      <c r="E2853" s="9" t="s">
        <v>18</v>
      </c>
      <c r="F2853" s="9">
        <v>203</v>
      </c>
      <c r="G2853" s="9">
        <v>385.63</v>
      </c>
      <c r="H2853" s="9" t="s">
        <v>19</v>
      </c>
      <c r="I2853" s="9">
        <v>10</v>
      </c>
      <c r="J2853" s="10">
        <v>182.63</v>
      </c>
      <c r="K2853" s="9" t="str">
        <f>TEXT(Sales_of_Jordan[[#This Row],[Sale_Date]],"mmm")</f>
        <v>Feb</v>
      </c>
    </row>
    <row r="2854" spans="1:11" x14ac:dyDescent="0.35">
      <c r="A2854" s="7" t="s">
        <v>2884</v>
      </c>
      <c r="B2854" s="8">
        <v>45824</v>
      </c>
      <c r="C2854" s="9" t="s">
        <v>27</v>
      </c>
      <c r="D2854" s="9" t="s">
        <v>17</v>
      </c>
      <c r="E2854" s="9" t="s">
        <v>29</v>
      </c>
      <c r="F2854" s="9">
        <v>119</v>
      </c>
      <c r="G2854" s="9">
        <v>164.52</v>
      </c>
      <c r="H2854" s="9" t="s">
        <v>25</v>
      </c>
      <c r="I2854" s="9">
        <v>56</v>
      </c>
      <c r="J2854" s="10">
        <v>45.52</v>
      </c>
      <c r="K2854" s="9" t="str">
        <f>TEXT(Sales_of_Jordan[[#This Row],[Sale_Date]],"mmm")</f>
        <v>Jun</v>
      </c>
    </row>
    <row r="2855" spans="1:11" x14ac:dyDescent="0.35">
      <c r="A2855" s="7" t="s">
        <v>2885</v>
      </c>
      <c r="B2855" s="8">
        <v>45067</v>
      </c>
      <c r="C2855" s="9" t="s">
        <v>27</v>
      </c>
      <c r="D2855" s="9" t="s">
        <v>55</v>
      </c>
      <c r="E2855" s="9" t="s">
        <v>18</v>
      </c>
      <c r="F2855" s="9">
        <v>140</v>
      </c>
      <c r="G2855" s="9">
        <v>181.02</v>
      </c>
      <c r="H2855" s="9" t="s">
        <v>25</v>
      </c>
      <c r="I2855" s="9">
        <v>30</v>
      </c>
      <c r="J2855" s="10">
        <v>41.02</v>
      </c>
      <c r="K2855" s="9" t="str">
        <f>TEXT(Sales_of_Jordan[[#This Row],[Sale_Date]],"mmm")</f>
        <v>May</v>
      </c>
    </row>
    <row r="2856" spans="1:11" x14ac:dyDescent="0.35">
      <c r="A2856" s="7" t="s">
        <v>2886</v>
      </c>
      <c r="B2856" s="8">
        <v>45892</v>
      </c>
      <c r="C2856" s="9" t="s">
        <v>27</v>
      </c>
      <c r="D2856" s="9" t="s">
        <v>22</v>
      </c>
      <c r="E2856" s="9" t="s">
        <v>13</v>
      </c>
      <c r="F2856" s="9">
        <v>127</v>
      </c>
      <c r="G2856" s="9">
        <v>111.23</v>
      </c>
      <c r="H2856" s="9" t="s">
        <v>14</v>
      </c>
      <c r="I2856" s="9">
        <v>10</v>
      </c>
      <c r="J2856" s="10">
        <v>-15.7699999999999</v>
      </c>
      <c r="K2856" s="9" t="str">
        <f>TEXT(Sales_of_Jordan[[#This Row],[Sale_Date]],"mmm")</f>
        <v>Aug</v>
      </c>
    </row>
    <row r="2857" spans="1:11" x14ac:dyDescent="0.35">
      <c r="A2857" s="7" t="s">
        <v>2887</v>
      </c>
      <c r="B2857" s="8">
        <v>45678</v>
      </c>
      <c r="C2857" s="9" t="s">
        <v>21</v>
      </c>
      <c r="D2857" s="9" t="s">
        <v>53</v>
      </c>
      <c r="E2857" s="9" t="s">
        <v>18</v>
      </c>
      <c r="F2857" s="9">
        <v>225</v>
      </c>
      <c r="G2857" s="9">
        <v>610.17999999999995</v>
      </c>
      <c r="H2857" s="9" t="s">
        <v>23</v>
      </c>
      <c r="I2857" s="9">
        <v>25</v>
      </c>
      <c r="J2857" s="10">
        <v>385.17999999999898</v>
      </c>
      <c r="K2857" s="9" t="str">
        <f>TEXT(Sales_of_Jordan[[#This Row],[Sale_Date]],"mmm")</f>
        <v>Jan</v>
      </c>
    </row>
    <row r="2858" spans="1:11" x14ac:dyDescent="0.35">
      <c r="A2858" s="7" t="s">
        <v>2888</v>
      </c>
      <c r="B2858" s="8">
        <v>45126</v>
      </c>
      <c r="C2858" s="9" t="s">
        <v>31</v>
      </c>
      <c r="D2858" s="9" t="s">
        <v>12</v>
      </c>
      <c r="E2858" s="9" t="s">
        <v>13</v>
      </c>
      <c r="F2858" s="9">
        <v>204</v>
      </c>
      <c r="G2858" s="9">
        <v>148.76</v>
      </c>
      <c r="H2858" s="9" t="s">
        <v>25</v>
      </c>
      <c r="I2858" s="9">
        <v>24</v>
      </c>
      <c r="J2858" s="10">
        <v>-55.24</v>
      </c>
      <c r="K2858" s="9" t="str">
        <f>TEXT(Sales_of_Jordan[[#This Row],[Sale_Date]],"mmm")</f>
        <v>Jul</v>
      </c>
    </row>
    <row r="2859" spans="1:11" x14ac:dyDescent="0.35">
      <c r="A2859" s="7" t="s">
        <v>2889</v>
      </c>
      <c r="B2859" s="8">
        <v>45459</v>
      </c>
      <c r="C2859" s="9" t="s">
        <v>21</v>
      </c>
      <c r="D2859" s="9" t="s">
        <v>12</v>
      </c>
      <c r="E2859" s="9" t="s">
        <v>13</v>
      </c>
      <c r="F2859" s="9">
        <v>215</v>
      </c>
      <c r="G2859" s="9">
        <v>137.21</v>
      </c>
      <c r="H2859" s="9" t="s">
        <v>19</v>
      </c>
      <c r="I2859" s="9">
        <v>10</v>
      </c>
      <c r="J2859" s="10">
        <v>-77.789999999999907</v>
      </c>
      <c r="K2859" s="9" t="str">
        <f>TEXT(Sales_of_Jordan[[#This Row],[Sale_Date]],"mmm")</f>
        <v>Jun</v>
      </c>
    </row>
    <row r="2860" spans="1:11" x14ac:dyDescent="0.35">
      <c r="A2860" s="7" t="s">
        <v>2890</v>
      </c>
      <c r="B2860" s="8">
        <v>44973</v>
      </c>
      <c r="C2860" s="9" t="s">
        <v>31</v>
      </c>
      <c r="D2860" s="9" t="s">
        <v>55</v>
      </c>
      <c r="E2860" s="9" t="s">
        <v>29</v>
      </c>
      <c r="F2860" s="9">
        <v>207</v>
      </c>
      <c r="G2860" s="9">
        <v>279.77</v>
      </c>
      <c r="H2860" s="9" t="s">
        <v>19</v>
      </c>
      <c r="I2860" s="9">
        <v>9</v>
      </c>
      <c r="J2860" s="10">
        <v>72.769999999999897</v>
      </c>
      <c r="K2860" s="9" t="str">
        <f>TEXT(Sales_of_Jordan[[#This Row],[Sale_Date]],"mmm")</f>
        <v>Feb</v>
      </c>
    </row>
    <row r="2861" spans="1:11" x14ac:dyDescent="0.35">
      <c r="A2861" s="7" t="s">
        <v>2891</v>
      </c>
      <c r="B2861" s="8">
        <v>45573</v>
      </c>
      <c r="C2861" s="9" t="s">
        <v>31</v>
      </c>
      <c r="D2861" s="9" t="s">
        <v>46</v>
      </c>
      <c r="E2861" s="9" t="s">
        <v>18</v>
      </c>
      <c r="F2861" s="9">
        <v>204</v>
      </c>
      <c r="G2861" s="9">
        <v>628.14</v>
      </c>
      <c r="H2861" s="9" t="s">
        <v>23</v>
      </c>
      <c r="I2861" s="9">
        <v>38</v>
      </c>
      <c r="J2861" s="10">
        <v>424.14</v>
      </c>
      <c r="K2861" s="9" t="str">
        <f>TEXT(Sales_of_Jordan[[#This Row],[Sale_Date]],"mmm")</f>
        <v>Oct</v>
      </c>
    </row>
    <row r="2862" spans="1:11" x14ac:dyDescent="0.35">
      <c r="A2862" s="7" t="s">
        <v>2892</v>
      </c>
      <c r="B2862" s="8">
        <v>45119</v>
      </c>
      <c r="C2862" s="9" t="s">
        <v>21</v>
      </c>
      <c r="D2862" s="9" t="s">
        <v>22</v>
      </c>
      <c r="E2862" s="9" t="s">
        <v>29</v>
      </c>
      <c r="F2862" s="9">
        <v>212</v>
      </c>
      <c r="G2862" s="9">
        <v>288.04000000000002</v>
      </c>
      <c r="H2862" s="9" t="s">
        <v>19</v>
      </c>
      <c r="I2862" s="9">
        <v>13</v>
      </c>
      <c r="J2862" s="10">
        <v>76.040000000000006</v>
      </c>
      <c r="K2862" s="9" t="str">
        <f>TEXT(Sales_of_Jordan[[#This Row],[Sale_Date]],"mmm")</f>
        <v>Jul</v>
      </c>
    </row>
    <row r="2863" spans="1:11" x14ac:dyDescent="0.35">
      <c r="A2863" s="7" t="s">
        <v>2893</v>
      </c>
      <c r="B2863" s="8">
        <v>45851</v>
      </c>
      <c r="C2863" s="9" t="s">
        <v>31</v>
      </c>
      <c r="D2863" s="9" t="s">
        <v>12</v>
      </c>
      <c r="E2863" s="9" t="s">
        <v>29</v>
      </c>
      <c r="F2863" s="9">
        <v>206</v>
      </c>
      <c r="G2863" s="9">
        <v>253.68</v>
      </c>
      <c r="H2863" s="9" t="s">
        <v>19</v>
      </c>
      <c r="I2863" s="9">
        <v>9</v>
      </c>
      <c r="J2863" s="10">
        <v>47.68</v>
      </c>
      <c r="K2863" s="9" t="str">
        <f>TEXT(Sales_of_Jordan[[#This Row],[Sale_Date]],"mmm")</f>
        <v>Jul</v>
      </c>
    </row>
    <row r="2864" spans="1:11" x14ac:dyDescent="0.35">
      <c r="A2864" s="7" t="s">
        <v>2894</v>
      </c>
      <c r="B2864" s="8">
        <v>45735</v>
      </c>
      <c r="C2864" s="9" t="s">
        <v>31</v>
      </c>
      <c r="D2864" s="9" t="s">
        <v>12</v>
      </c>
      <c r="E2864" s="9" t="s">
        <v>18</v>
      </c>
      <c r="F2864" s="9">
        <v>206</v>
      </c>
      <c r="G2864" s="9">
        <v>250.17</v>
      </c>
      <c r="H2864" s="9" t="s">
        <v>23</v>
      </c>
      <c r="I2864" s="9">
        <v>33</v>
      </c>
      <c r="J2864" s="10">
        <v>44.169999999999902</v>
      </c>
      <c r="K2864" s="9" t="str">
        <f>TEXT(Sales_of_Jordan[[#This Row],[Sale_Date]],"mmm")</f>
        <v>Mar</v>
      </c>
    </row>
    <row r="2865" spans="1:11" x14ac:dyDescent="0.35">
      <c r="A2865" s="7" t="s">
        <v>2895</v>
      </c>
      <c r="B2865" s="8">
        <v>45754</v>
      </c>
      <c r="C2865" s="9" t="s">
        <v>31</v>
      </c>
      <c r="D2865" s="9" t="s">
        <v>55</v>
      </c>
      <c r="E2865" s="9" t="s">
        <v>18</v>
      </c>
      <c r="F2865" s="9">
        <v>208</v>
      </c>
      <c r="G2865" s="9">
        <v>540.42999999999995</v>
      </c>
      <c r="H2865" s="9" t="s">
        <v>14</v>
      </c>
      <c r="I2865" s="9">
        <v>10</v>
      </c>
      <c r="J2865" s="10">
        <v>332.42999999999898</v>
      </c>
      <c r="K2865" s="9" t="str">
        <f>TEXT(Sales_of_Jordan[[#This Row],[Sale_Date]],"mmm")</f>
        <v>Apr</v>
      </c>
    </row>
    <row r="2866" spans="1:11" x14ac:dyDescent="0.35">
      <c r="A2866" s="7" t="s">
        <v>2896</v>
      </c>
      <c r="B2866" s="8">
        <v>45431</v>
      </c>
      <c r="C2866" s="9" t="s">
        <v>11</v>
      </c>
      <c r="D2866" s="9" t="s">
        <v>17</v>
      </c>
      <c r="E2866" s="9" t="s">
        <v>29</v>
      </c>
      <c r="F2866" s="9">
        <v>227</v>
      </c>
      <c r="G2866" s="9">
        <v>292.36</v>
      </c>
      <c r="H2866" s="9" t="s">
        <v>32</v>
      </c>
      <c r="I2866" s="9">
        <v>10</v>
      </c>
      <c r="J2866" s="10">
        <v>65.36</v>
      </c>
      <c r="K2866" s="9" t="str">
        <f>TEXT(Sales_of_Jordan[[#This Row],[Sale_Date]],"mmm")</f>
        <v>May</v>
      </c>
    </row>
    <row r="2867" spans="1:11" x14ac:dyDescent="0.35">
      <c r="A2867" s="7" t="s">
        <v>2897</v>
      </c>
      <c r="B2867" s="8">
        <v>45499</v>
      </c>
      <c r="C2867" s="9" t="s">
        <v>31</v>
      </c>
      <c r="D2867" s="9" t="s">
        <v>39</v>
      </c>
      <c r="E2867" s="9" t="s">
        <v>18</v>
      </c>
      <c r="F2867" s="9">
        <v>208</v>
      </c>
      <c r="G2867" s="9">
        <v>487.37</v>
      </c>
      <c r="H2867" s="9" t="s">
        <v>23</v>
      </c>
      <c r="I2867" s="9">
        <v>57</v>
      </c>
      <c r="J2867" s="10">
        <v>279.37</v>
      </c>
      <c r="K2867" s="9" t="str">
        <f>TEXT(Sales_of_Jordan[[#This Row],[Sale_Date]],"mmm")</f>
        <v>Jul</v>
      </c>
    </row>
    <row r="2868" spans="1:11" x14ac:dyDescent="0.35">
      <c r="A2868" s="7" t="s">
        <v>2898</v>
      </c>
      <c r="B2868" s="8">
        <v>45606</v>
      </c>
      <c r="C2868" s="9" t="s">
        <v>11</v>
      </c>
      <c r="D2868" s="9" t="s">
        <v>36</v>
      </c>
      <c r="E2868" s="9" t="s">
        <v>18</v>
      </c>
      <c r="F2868" s="9">
        <v>228</v>
      </c>
      <c r="G2868" s="9">
        <v>689.65</v>
      </c>
      <c r="H2868" s="9" t="s">
        <v>19</v>
      </c>
      <c r="I2868" s="9">
        <v>3</v>
      </c>
      <c r="J2868" s="10">
        <v>461.65</v>
      </c>
      <c r="K2868" s="9" t="str">
        <f>TEXT(Sales_of_Jordan[[#This Row],[Sale_Date]],"mmm")</f>
        <v>Nov</v>
      </c>
    </row>
    <row r="2869" spans="1:11" x14ac:dyDescent="0.35">
      <c r="A2869" s="7" t="s">
        <v>2899</v>
      </c>
      <c r="B2869" s="8">
        <v>45524</v>
      </c>
      <c r="C2869" s="9" t="s">
        <v>31</v>
      </c>
      <c r="D2869" s="9" t="s">
        <v>36</v>
      </c>
      <c r="E2869" s="9" t="s">
        <v>13</v>
      </c>
      <c r="F2869" s="9">
        <v>208</v>
      </c>
      <c r="G2869" s="9">
        <v>130.37</v>
      </c>
      <c r="H2869" s="9" t="s">
        <v>23</v>
      </c>
      <c r="I2869" s="9">
        <v>37</v>
      </c>
      <c r="J2869" s="10">
        <v>-77.63</v>
      </c>
      <c r="K2869" s="9" t="str">
        <f>TEXT(Sales_of_Jordan[[#This Row],[Sale_Date]],"mmm")</f>
        <v>Aug</v>
      </c>
    </row>
    <row r="2870" spans="1:11" x14ac:dyDescent="0.35">
      <c r="A2870" s="7" t="s">
        <v>2900</v>
      </c>
      <c r="B2870" s="8">
        <v>45921</v>
      </c>
      <c r="C2870" s="9" t="s">
        <v>31</v>
      </c>
      <c r="D2870" s="9" t="s">
        <v>55</v>
      </c>
      <c r="E2870" s="9" t="s">
        <v>18</v>
      </c>
      <c r="F2870" s="9">
        <v>210</v>
      </c>
      <c r="G2870" s="9">
        <v>467.16</v>
      </c>
      <c r="H2870" s="9" t="s">
        <v>25</v>
      </c>
      <c r="I2870" s="9">
        <v>14</v>
      </c>
      <c r="J2870" s="10">
        <v>257.16000000000003</v>
      </c>
      <c r="K2870" s="9" t="str">
        <f>TEXT(Sales_of_Jordan[[#This Row],[Sale_Date]],"mmm")</f>
        <v>Sep</v>
      </c>
    </row>
    <row r="2871" spans="1:11" x14ac:dyDescent="0.35">
      <c r="A2871" s="7" t="s">
        <v>2901</v>
      </c>
      <c r="B2871" s="8">
        <v>45196</v>
      </c>
      <c r="C2871" s="9" t="s">
        <v>16</v>
      </c>
      <c r="D2871" s="9" t="s">
        <v>55</v>
      </c>
      <c r="E2871" s="9" t="s">
        <v>29</v>
      </c>
      <c r="F2871" s="9">
        <v>187</v>
      </c>
      <c r="G2871" s="9">
        <v>278.33999999999997</v>
      </c>
      <c r="H2871" s="9" t="s">
        <v>19</v>
      </c>
      <c r="I2871" s="9">
        <v>9</v>
      </c>
      <c r="J2871" s="10">
        <v>91.339999999999904</v>
      </c>
      <c r="K2871" s="9" t="str">
        <f>TEXT(Sales_of_Jordan[[#This Row],[Sale_Date]],"mmm")</f>
        <v>Sep</v>
      </c>
    </row>
    <row r="2872" spans="1:11" x14ac:dyDescent="0.35">
      <c r="A2872" s="7" t="s">
        <v>2902</v>
      </c>
      <c r="B2872" s="8">
        <v>45769</v>
      </c>
      <c r="C2872" s="9" t="s">
        <v>21</v>
      </c>
      <c r="D2872" s="9" t="s">
        <v>39</v>
      </c>
      <c r="E2872" s="9" t="s">
        <v>29</v>
      </c>
      <c r="F2872" s="9">
        <v>225</v>
      </c>
      <c r="G2872" s="9">
        <v>212.52</v>
      </c>
      <c r="H2872" s="9" t="s">
        <v>32</v>
      </c>
      <c r="I2872" s="9">
        <v>25</v>
      </c>
      <c r="J2872" s="10">
        <v>-12.479999999999899</v>
      </c>
      <c r="K2872" s="9" t="str">
        <f>TEXT(Sales_of_Jordan[[#This Row],[Sale_Date]],"mmm")</f>
        <v>Apr</v>
      </c>
    </row>
    <row r="2873" spans="1:11" x14ac:dyDescent="0.35">
      <c r="A2873" s="7" t="s">
        <v>2903</v>
      </c>
      <c r="B2873" s="8">
        <v>45380</v>
      </c>
      <c r="C2873" s="9" t="s">
        <v>31</v>
      </c>
      <c r="D2873" s="9" t="s">
        <v>12</v>
      </c>
      <c r="E2873" s="9" t="s">
        <v>13</v>
      </c>
      <c r="F2873" s="9">
        <v>201</v>
      </c>
      <c r="G2873" s="9">
        <v>145.35</v>
      </c>
      <c r="H2873" s="9" t="s">
        <v>19</v>
      </c>
      <c r="I2873" s="9">
        <v>11</v>
      </c>
      <c r="J2873" s="10">
        <v>-55.65</v>
      </c>
      <c r="K2873" s="9" t="str">
        <f>TEXT(Sales_of_Jordan[[#This Row],[Sale_Date]],"mmm")</f>
        <v>Mar</v>
      </c>
    </row>
    <row r="2874" spans="1:11" x14ac:dyDescent="0.35">
      <c r="A2874" s="7" t="s">
        <v>2904</v>
      </c>
      <c r="B2874" s="8">
        <v>45387</v>
      </c>
      <c r="C2874" s="9" t="s">
        <v>21</v>
      </c>
      <c r="D2874" s="9" t="s">
        <v>36</v>
      </c>
      <c r="E2874" s="9" t="s">
        <v>29</v>
      </c>
      <c r="F2874" s="9">
        <v>217</v>
      </c>
      <c r="G2874" s="9">
        <v>289.05</v>
      </c>
      <c r="H2874" s="9" t="s">
        <v>25</v>
      </c>
      <c r="I2874" s="9">
        <v>49</v>
      </c>
      <c r="J2874" s="10">
        <v>72.05</v>
      </c>
      <c r="K2874" s="9" t="str">
        <f>TEXT(Sales_of_Jordan[[#This Row],[Sale_Date]],"mmm")</f>
        <v>Apr</v>
      </c>
    </row>
    <row r="2875" spans="1:11" x14ac:dyDescent="0.35">
      <c r="A2875" s="7" t="s">
        <v>2905</v>
      </c>
      <c r="B2875" s="8">
        <v>45183</v>
      </c>
      <c r="C2875" s="9" t="s">
        <v>21</v>
      </c>
      <c r="D2875" s="9" t="s">
        <v>34</v>
      </c>
      <c r="E2875" s="9" t="s">
        <v>13</v>
      </c>
      <c r="F2875" s="9">
        <v>222</v>
      </c>
      <c r="G2875" s="9">
        <v>117.75</v>
      </c>
      <c r="H2875" s="9" t="s">
        <v>14</v>
      </c>
      <c r="I2875" s="9">
        <v>10</v>
      </c>
      <c r="J2875" s="10">
        <v>-104.25</v>
      </c>
      <c r="K2875" s="9" t="str">
        <f>TEXT(Sales_of_Jordan[[#This Row],[Sale_Date]],"mmm")</f>
        <v>Sep</v>
      </c>
    </row>
    <row r="2876" spans="1:11" x14ac:dyDescent="0.35">
      <c r="A2876" s="7" t="s">
        <v>2906</v>
      </c>
      <c r="B2876" s="8">
        <v>45387</v>
      </c>
      <c r="C2876" s="9" t="s">
        <v>21</v>
      </c>
      <c r="D2876" s="9" t="s">
        <v>39</v>
      </c>
      <c r="E2876" s="9" t="s">
        <v>18</v>
      </c>
      <c r="F2876" s="9">
        <v>225</v>
      </c>
      <c r="G2876" s="9">
        <v>468.42</v>
      </c>
      <c r="H2876" s="9" t="s">
        <v>14</v>
      </c>
      <c r="I2876" s="9">
        <v>12</v>
      </c>
      <c r="J2876" s="10">
        <v>243.42</v>
      </c>
      <c r="K2876" s="9" t="str">
        <f>TEXT(Sales_of_Jordan[[#This Row],[Sale_Date]],"mmm")</f>
        <v>Apr</v>
      </c>
    </row>
    <row r="2877" spans="1:11" x14ac:dyDescent="0.35">
      <c r="A2877" s="7" t="s">
        <v>2907</v>
      </c>
      <c r="B2877" s="8">
        <v>45160</v>
      </c>
      <c r="C2877" s="9" t="s">
        <v>21</v>
      </c>
      <c r="D2877" s="9" t="s">
        <v>39</v>
      </c>
      <c r="E2877" s="9" t="s">
        <v>13</v>
      </c>
      <c r="F2877" s="9">
        <v>212</v>
      </c>
      <c r="G2877" s="9">
        <v>151.79</v>
      </c>
      <c r="H2877" s="9" t="s">
        <v>23</v>
      </c>
      <c r="I2877" s="9">
        <v>6</v>
      </c>
      <c r="J2877" s="10">
        <v>-60.21</v>
      </c>
      <c r="K2877" s="9" t="str">
        <f>TEXT(Sales_of_Jordan[[#This Row],[Sale_Date]],"mmm")</f>
        <v>Aug</v>
      </c>
    </row>
    <row r="2878" spans="1:11" x14ac:dyDescent="0.35">
      <c r="A2878" s="7" t="s">
        <v>2908</v>
      </c>
      <c r="B2878" s="8">
        <v>45042</v>
      </c>
      <c r="C2878" s="9" t="s">
        <v>11</v>
      </c>
      <c r="D2878" s="9" t="s">
        <v>46</v>
      </c>
      <c r="E2878" s="9" t="s">
        <v>13</v>
      </c>
      <c r="F2878" s="9">
        <v>227</v>
      </c>
      <c r="G2878" s="9">
        <v>156.75</v>
      </c>
      <c r="H2878" s="9" t="s">
        <v>32</v>
      </c>
      <c r="I2878" s="9">
        <v>8</v>
      </c>
      <c r="J2878" s="10">
        <v>-70.25</v>
      </c>
      <c r="K2878" s="9" t="str">
        <f>TEXT(Sales_of_Jordan[[#This Row],[Sale_Date]],"mmm")</f>
        <v>Apr</v>
      </c>
    </row>
    <row r="2879" spans="1:11" x14ac:dyDescent="0.35">
      <c r="A2879" s="7" t="s">
        <v>2909</v>
      </c>
      <c r="B2879" s="8">
        <v>45323</v>
      </c>
      <c r="C2879" s="9" t="s">
        <v>27</v>
      </c>
      <c r="D2879" s="9" t="s">
        <v>36</v>
      </c>
      <c r="E2879" s="9" t="s">
        <v>13</v>
      </c>
      <c r="F2879" s="9">
        <v>132</v>
      </c>
      <c r="G2879" s="9">
        <v>107.55</v>
      </c>
      <c r="H2879" s="9" t="s">
        <v>14</v>
      </c>
      <c r="I2879" s="9">
        <v>4</v>
      </c>
      <c r="J2879" s="10">
        <v>-24.45</v>
      </c>
      <c r="K2879" s="9" t="str">
        <f>TEXT(Sales_of_Jordan[[#This Row],[Sale_Date]],"mmm")</f>
        <v>Feb</v>
      </c>
    </row>
    <row r="2880" spans="1:11" x14ac:dyDescent="0.35">
      <c r="A2880" s="7" t="s">
        <v>2910</v>
      </c>
      <c r="B2880" s="8">
        <v>45885</v>
      </c>
      <c r="C2880" s="9" t="s">
        <v>16</v>
      </c>
      <c r="D2880" s="9" t="s">
        <v>12</v>
      </c>
      <c r="E2880" s="9" t="s">
        <v>29</v>
      </c>
      <c r="F2880" s="9">
        <v>177</v>
      </c>
      <c r="G2880" s="9">
        <v>178.75</v>
      </c>
      <c r="H2880" s="9" t="s">
        <v>19</v>
      </c>
      <c r="I2880" s="9">
        <v>13</v>
      </c>
      <c r="J2880" s="10">
        <v>1.75</v>
      </c>
      <c r="K2880" s="9" t="str">
        <f>TEXT(Sales_of_Jordan[[#This Row],[Sale_Date]],"mmm")</f>
        <v>Aug</v>
      </c>
    </row>
    <row r="2881" spans="1:11" x14ac:dyDescent="0.35">
      <c r="A2881" s="7" t="s">
        <v>2911</v>
      </c>
      <c r="B2881" s="8">
        <v>45597</v>
      </c>
      <c r="C2881" s="9" t="s">
        <v>21</v>
      </c>
      <c r="D2881" s="9" t="s">
        <v>39</v>
      </c>
      <c r="E2881" s="9" t="s">
        <v>18</v>
      </c>
      <c r="F2881" s="9">
        <v>212</v>
      </c>
      <c r="G2881" s="9">
        <v>474.6</v>
      </c>
      <c r="H2881" s="9" t="s">
        <v>14</v>
      </c>
      <c r="I2881" s="9">
        <v>10</v>
      </c>
      <c r="J2881" s="10">
        <v>262.60000000000002</v>
      </c>
      <c r="K2881" s="9" t="str">
        <f>TEXT(Sales_of_Jordan[[#This Row],[Sale_Date]],"mmm")</f>
        <v>Nov</v>
      </c>
    </row>
    <row r="2882" spans="1:11" x14ac:dyDescent="0.35">
      <c r="A2882" s="7" t="s">
        <v>2912</v>
      </c>
      <c r="B2882" s="8">
        <v>45883</v>
      </c>
      <c r="C2882" s="9" t="s">
        <v>21</v>
      </c>
      <c r="D2882" s="9" t="s">
        <v>12</v>
      </c>
      <c r="E2882" s="9" t="s">
        <v>29</v>
      </c>
      <c r="F2882" s="9">
        <v>220</v>
      </c>
      <c r="G2882" s="9">
        <v>223.37</v>
      </c>
      <c r="H2882" s="9" t="s">
        <v>32</v>
      </c>
      <c r="I2882" s="9">
        <v>59</v>
      </c>
      <c r="J2882" s="10">
        <v>3.37</v>
      </c>
      <c r="K2882" s="9" t="str">
        <f>TEXT(Sales_of_Jordan[[#This Row],[Sale_Date]],"mmm")</f>
        <v>Aug</v>
      </c>
    </row>
    <row r="2883" spans="1:11" x14ac:dyDescent="0.35">
      <c r="A2883" s="7" t="s">
        <v>2913</v>
      </c>
      <c r="B2883" s="8">
        <v>45493</v>
      </c>
      <c r="C2883" s="9" t="s">
        <v>21</v>
      </c>
      <c r="D2883" s="9" t="s">
        <v>55</v>
      </c>
      <c r="E2883" s="9" t="s">
        <v>29</v>
      </c>
      <c r="F2883" s="9">
        <v>211</v>
      </c>
      <c r="G2883" s="9">
        <v>210.94</v>
      </c>
      <c r="H2883" s="9" t="s">
        <v>25</v>
      </c>
      <c r="I2883" s="9">
        <v>37</v>
      </c>
      <c r="J2883" s="10">
        <v>-6.0000000000002197E-2</v>
      </c>
      <c r="K2883" s="9" t="str">
        <f>TEXT(Sales_of_Jordan[[#This Row],[Sale_Date]],"mmm")</f>
        <v>Jul</v>
      </c>
    </row>
    <row r="2884" spans="1:11" x14ac:dyDescent="0.35">
      <c r="A2884" s="7" t="s">
        <v>2914</v>
      </c>
      <c r="B2884" s="8">
        <v>45333</v>
      </c>
      <c r="C2884" s="9" t="s">
        <v>31</v>
      </c>
      <c r="D2884" s="9" t="s">
        <v>12</v>
      </c>
      <c r="E2884" s="9" t="s">
        <v>18</v>
      </c>
      <c r="F2884" s="9">
        <v>206</v>
      </c>
      <c r="G2884" s="9">
        <v>403.98</v>
      </c>
      <c r="H2884" s="9" t="s">
        <v>25</v>
      </c>
      <c r="I2884" s="9">
        <v>25</v>
      </c>
      <c r="J2884" s="10">
        <v>197.98</v>
      </c>
      <c r="K2884" s="9" t="str">
        <f>TEXT(Sales_of_Jordan[[#This Row],[Sale_Date]],"mmm")</f>
        <v>Feb</v>
      </c>
    </row>
    <row r="2885" spans="1:11" x14ac:dyDescent="0.35">
      <c r="A2885" s="7" t="s">
        <v>2915</v>
      </c>
      <c r="B2885" s="8">
        <v>45619</v>
      </c>
      <c r="C2885" s="9" t="s">
        <v>31</v>
      </c>
      <c r="D2885" s="9" t="s">
        <v>12</v>
      </c>
      <c r="E2885" s="9" t="s">
        <v>18</v>
      </c>
      <c r="F2885" s="9">
        <v>210</v>
      </c>
      <c r="G2885" s="9">
        <v>484.7</v>
      </c>
      <c r="H2885" s="9" t="s">
        <v>14</v>
      </c>
      <c r="I2885" s="9">
        <v>3</v>
      </c>
      <c r="J2885" s="10">
        <v>274.7</v>
      </c>
      <c r="K2885" s="9" t="str">
        <f>TEXT(Sales_of_Jordan[[#This Row],[Sale_Date]],"mmm")</f>
        <v>Nov</v>
      </c>
    </row>
    <row r="2886" spans="1:11" x14ac:dyDescent="0.35">
      <c r="A2886" s="7" t="s">
        <v>2916</v>
      </c>
      <c r="B2886" s="8">
        <v>45183</v>
      </c>
      <c r="C2886" s="9" t="s">
        <v>27</v>
      </c>
      <c r="D2886" s="9" t="s">
        <v>12</v>
      </c>
      <c r="E2886" s="9" t="s">
        <v>18</v>
      </c>
      <c r="F2886" s="9">
        <v>133</v>
      </c>
      <c r="G2886" s="9">
        <v>193.57</v>
      </c>
      <c r="H2886" s="9" t="s">
        <v>25</v>
      </c>
      <c r="I2886" s="9">
        <v>27</v>
      </c>
      <c r="J2886" s="10">
        <v>60.569999999999901</v>
      </c>
      <c r="K2886" s="9" t="str">
        <f>TEXT(Sales_of_Jordan[[#This Row],[Sale_Date]],"mmm")</f>
        <v>Sep</v>
      </c>
    </row>
    <row r="2887" spans="1:11" x14ac:dyDescent="0.35">
      <c r="A2887" s="7" t="s">
        <v>2917</v>
      </c>
      <c r="B2887" s="8">
        <v>45731</v>
      </c>
      <c r="C2887" s="9" t="s">
        <v>16</v>
      </c>
      <c r="D2887" s="9" t="s">
        <v>53</v>
      </c>
      <c r="E2887" s="9" t="s">
        <v>29</v>
      </c>
      <c r="F2887" s="9">
        <v>172</v>
      </c>
      <c r="G2887" s="9">
        <v>237.88</v>
      </c>
      <c r="H2887" s="9" t="s">
        <v>23</v>
      </c>
      <c r="I2887" s="9">
        <v>39</v>
      </c>
      <c r="J2887" s="10">
        <v>65.88</v>
      </c>
      <c r="K2887" s="9" t="str">
        <f>TEXT(Sales_of_Jordan[[#This Row],[Sale_Date]],"mmm")</f>
        <v>Mar</v>
      </c>
    </row>
    <row r="2888" spans="1:11" x14ac:dyDescent="0.35">
      <c r="A2888" s="7" t="s">
        <v>2918</v>
      </c>
      <c r="B2888" s="8">
        <v>45525</v>
      </c>
      <c r="C2888" s="9" t="s">
        <v>21</v>
      </c>
      <c r="D2888" s="9" t="s">
        <v>12</v>
      </c>
      <c r="E2888" s="9" t="s">
        <v>13</v>
      </c>
      <c r="F2888" s="9">
        <v>218</v>
      </c>
      <c r="G2888" s="9">
        <v>159.32</v>
      </c>
      <c r="H2888" s="9" t="s">
        <v>25</v>
      </c>
      <c r="I2888" s="9">
        <v>53</v>
      </c>
      <c r="J2888" s="10">
        <v>-58.68</v>
      </c>
      <c r="K2888" s="9" t="str">
        <f>TEXT(Sales_of_Jordan[[#This Row],[Sale_Date]],"mmm")</f>
        <v>Aug</v>
      </c>
    </row>
    <row r="2889" spans="1:11" x14ac:dyDescent="0.35">
      <c r="A2889" s="7" t="s">
        <v>2919</v>
      </c>
      <c r="B2889" s="8">
        <v>45792</v>
      </c>
      <c r="C2889" s="9" t="s">
        <v>31</v>
      </c>
      <c r="D2889" s="9" t="s">
        <v>39</v>
      </c>
      <c r="E2889" s="9" t="s">
        <v>18</v>
      </c>
      <c r="F2889" s="9">
        <v>210</v>
      </c>
      <c r="G2889" s="9">
        <v>467.71</v>
      </c>
      <c r="H2889" s="9" t="s">
        <v>32</v>
      </c>
      <c r="I2889" s="9">
        <v>41</v>
      </c>
      <c r="J2889" s="10">
        <v>257.70999999999998</v>
      </c>
      <c r="K2889" s="9" t="str">
        <f>TEXT(Sales_of_Jordan[[#This Row],[Sale_Date]],"mmm")</f>
        <v>May</v>
      </c>
    </row>
    <row r="2890" spans="1:11" x14ac:dyDescent="0.35">
      <c r="A2890" s="7" t="s">
        <v>2920</v>
      </c>
      <c r="B2890" s="8">
        <v>45047</v>
      </c>
      <c r="C2890" s="9" t="s">
        <v>11</v>
      </c>
      <c r="D2890" s="9" t="s">
        <v>36</v>
      </c>
      <c r="E2890" s="9" t="s">
        <v>29</v>
      </c>
      <c r="F2890" s="9">
        <v>227</v>
      </c>
      <c r="G2890" s="9">
        <v>314.01</v>
      </c>
      <c r="H2890" s="9" t="s">
        <v>23</v>
      </c>
      <c r="I2890" s="9">
        <v>21</v>
      </c>
      <c r="J2890" s="10">
        <v>87.009999999999906</v>
      </c>
      <c r="K2890" s="9" t="str">
        <f>TEXT(Sales_of_Jordan[[#This Row],[Sale_Date]],"mmm")</f>
        <v>May</v>
      </c>
    </row>
    <row r="2891" spans="1:11" x14ac:dyDescent="0.35">
      <c r="A2891" s="7" t="s">
        <v>2921</v>
      </c>
      <c r="B2891" s="8">
        <v>45124</v>
      </c>
      <c r="C2891" s="9" t="s">
        <v>16</v>
      </c>
      <c r="D2891" s="9" t="s">
        <v>53</v>
      </c>
      <c r="E2891" s="9" t="s">
        <v>13</v>
      </c>
      <c r="F2891" s="9">
        <v>185</v>
      </c>
      <c r="G2891" s="9">
        <v>94.86</v>
      </c>
      <c r="H2891" s="9" t="s">
        <v>25</v>
      </c>
      <c r="I2891" s="9">
        <v>34</v>
      </c>
      <c r="J2891" s="10">
        <v>-90.14</v>
      </c>
      <c r="K2891" s="9" t="str">
        <f>TEXT(Sales_of_Jordan[[#This Row],[Sale_Date]],"mmm")</f>
        <v>Jul</v>
      </c>
    </row>
    <row r="2892" spans="1:11" x14ac:dyDescent="0.35">
      <c r="A2892" s="7" t="s">
        <v>2922</v>
      </c>
      <c r="B2892" s="8">
        <v>45376</v>
      </c>
      <c r="C2892" s="9" t="s">
        <v>16</v>
      </c>
      <c r="D2892" s="9" t="s">
        <v>39</v>
      </c>
      <c r="E2892" s="9" t="s">
        <v>13</v>
      </c>
      <c r="F2892" s="9">
        <v>184</v>
      </c>
      <c r="G2892" s="9">
        <v>160.88</v>
      </c>
      <c r="H2892" s="9" t="s">
        <v>19</v>
      </c>
      <c r="I2892" s="9">
        <v>5</v>
      </c>
      <c r="J2892" s="10">
        <v>-23.12</v>
      </c>
      <c r="K2892" s="9" t="str">
        <f>TEXT(Sales_of_Jordan[[#This Row],[Sale_Date]],"mmm")</f>
        <v>Mar</v>
      </c>
    </row>
    <row r="2893" spans="1:11" x14ac:dyDescent="0.35">
      <c r="A2893" s="7" t="s">
        <v>2923</v>
      </c>
      <c r="B2893" s="8">
        <v>45707</v>
      </c>
      <c r="C2893" s="9" t="s">
        <v>16</v>
      </c>
      <c r="D2893" s="9" t="s">
        <v>46</v>
      </c>
      <c r="E2893" s="9" t="s">
        <v>13</v>
      </c>
      <c r="F2893" s="9">
        <v>170</v>
      </c>
      <c r="G2893" s="9">
        <v>112.04</v>
      </c>
      <c r="H2893" s="9" t="s">
        <v>19</v>
      </c>
      <c r="I2893" s="9">
        <v>3</v>
      </c>
      <c r="J2893" s="10">
        <v>-57.959999999999901</v>
      </c>
      <c r="K2893" s="9" t="str">
        <f>TEXT(Sales_of_Jordan[[#This Row],[Sale_Date]],"mmm")</f>
        <v>Feb</v>
      </c>
    </row>
    <row r="2894" spans="1:11" x14ac:dyDescent="0.35">
      <c r="A2894" s="7" t="s">
        <v>2924</v>
      </c>
      <c r="B2894" s="8">
        <v>45911</v>
      </c>
      <c r="C2894" s="9" t="s">
        <v>16</v>
      </c>
      <c r="D2894" s="9" t="s">
        <v>53</v>
      </c>
      <c r="E2894" s="9" t="s">
        <v>18</v>
      </c>
      <c r="F2894" s="9">
        <v>181</v>
      </c>
      <c r="G2894" s="9">
        <v>491.17</v>
      </c>
      <c r="H2894" s="9" t="s">
        <v>14</v>
      </c>
      <c r="I2894" s="9">
        <v>8</v>
      </c>
      <c r="J2894" s="10">
        <v>310.17</v>
      </c>
      <c r="K2894" s="9" t="str">
        <f>TEXT(Sales_of_Jordan[[#This Row],[Sale_Date]],"mmm")</f>
        <v>Sep</v>
      </c>
    </row>
    <row r="2895" spans="1:11" x14ac:dyDescent="0.35">
      <c r="A2895" s="7" t="s">
        <v>2925</v>
      </c>
      <c r="B2895" s="8">
        <v>45460</v>
      </c>
      <c r="C2895" s="9" t="s">
        <v>21</v>
      </c>
      <c r="D2895" s="9" t="s">
        <v>17</v>
      </c>
      <c r="E2895" s="9" t="s">
        <v>13</v>
      </c>
      <c r="F2895" s="9">
        <v>220</v>
      </c>
      <c r="G2895" s="9">
        <v>118.68</v>
      </c>
      <c r="H2895" s="9" t="s">
        <v>23</v>
      </c>
      <c r="I2895" s="9">
        <v>58</v>
      </c>
      <c r="J2895" s="10">
        <v>-101.32</v>
      </c>
      <c r="K2895" s="9" t="str">
        <f>TEXT(Sales_of_Jordan[[#This Row],[Sale_Date]],"mmm")</f>
        <v>Jun</v>
      </c>
    </row>
    <row r="2896" spans="1:11" x14ac:dyDescent="0.35">
      <c r="A2896" s="7" t="s">
        <v>2926</v>
      </c>
      <c r="B2896" s="8">
        <v>45556</v>
      </c>
      <c r="C2896" s="9" t="s">
        <v>31</v>
      </c>
      <c r="D2896" s="9" t="s">
        <v>22</v>
      </c>
      <c r="E2896" s="9" t="s">
        <v>29</v>
      </c>
      <c r="F2896" s="9">
        <v>210</v>
      </c>
      <c r="G2896" s="9">
        <v>278.56</v>
      </c>
      <c r="H2896" s="9" t="s">
        <v>19</v>
      </c>
      <c r="I2896" s="9">
        <v>1</v>
      </c>
      <c r="J2896" s="10">
        <v>68.56</v>
      </c>
      <c r="K2896" s="9" t="str">
        <f>TEXT(Sales_of_Jordan[[#This Row],[Sale_Date]],"mmm")</f>
        <v>Sep</v>
      </c>
    </row>
    <row r="2897" spans="1:11" x14ac:dyDescent="0.35">
      <c r="A2897" s="7" t="s">
        <v>2927</v>
      </c>
      <c r="B2897" s="8">
        <v>45150</v>
      </c>
      <c r="C2897" s="9" t="s">
        <v>31</v>
      </c>
      <c r="D2897" s="9" t="s">
        <v>34</v>
      </c>
      <c r="E2897" s="9" t="s">
        <v>18</v>
      </c>
      <c r="F2897" s="9">
        <v>206</v>
      </c>
      <c r="G2897" s="9">
        <v>696.12</v>
      </c>
      <c r="H2897" s="9" t="s">
        <v>32</v>
      </c>
      <c r="I2897" s="9">
        <v>19</v>
      </c>
      <c r="J2897" s="10">
        <v>490.12</v>
      </c>
      <c r="K2897" s="9" t="str">
        <f>TEXT(Sales_of_Jordan[[#This Row],[Sale_Date]],"mmm")</f>
        <v>Aug</v>
      </c>
    </row>
    <row r="2898" spans="1:11" x14ac:dyDescent="0.35">
      <c r="A2898" s="7" t="s">
        <v>2928</v>
      </c>
      <c r="B2898" s="8">
        <v>45358</v>
      </c>
      <c r="C2898" s="9" t="s">
        <v>21</v>
      </c>
      <c r="D2898" s="9" t="s">
        <v>53</v>
      </c>
      <c r="E2898" s="9" t="s">
        <v>29</v>
      </c>
      <c r="F2898" s="9">
        <v>213</v>
      </c>
      <c r="G2898" s="9">
        <v>261.91000000000003</v>
      </c>
      <c r="H2898" s="9" t="s">
        <v>14</v>
      </c>
      <c r="I2898" s="9">
        <v>9</v>
      </c>
      <c r="J2898" s="10">
        <v>48.91</v>
      </c>
      <c r="K2898" s="9" t="str">
        <f>TEXT(Sales_of_Jordan[[#This Row],[Sale_Date]],"mmm")</f>
        <v>Mar</v>
      </c>
    </row>
    <row r="2899" spans="1:11" x14ac:dyDescent="0.35">
      <c r="A2899" s="7" t="s">
        <v>2929</v>
      </c>
      <c r="B2899" s="8">
        <v>45781</v>
      </c>
      <c r="C2899" s="9" t="s">
        <v>11</v>
      </c>
      <c r="D2899" s="9" t="s">
        <v>34</v>
      </c>
      <c r="E2899" s="9" t="s">
        <v>18</v>
      </c>
      <c r="F2899" s="9">
        <v>225</v>
      </c>
      <c r="G2899" s="9">
        <v>290.14999999999998</v>
      </c>
      <c r="H2899" s="9" t="s">
        <v>19</v>
      </c>
      <c r="I2899" s="9">
        <v>13</v>
      </c>
      <c r="J2899" s="10">
        <v>65.149999999999906</v>
      </c>
      <c r="K2899" s="9" t="str">
        <f>TEXT(Sales_of_Jordan[[#This Row],[Sale_Date]],"mmm")</f>
        <v>May</v>
      </c>
    </row>
    <row r="2900" spans="1:11" x14ac:dyDescent="0.35">
      <c r="A2900" s="7" t="s">
        <v>2930</v>
      </c>
      <c r="B2900" s="8">
        <v>45927</v>
      </c>
      <c r="C2900" s="9" t="s">
        <v>16</v>
      </c>
      <c r="D2900" s="9" t="s">
        <v>55</v>
      </c>
      <c r="E2900" s="9" t="s">
        <v>29</v>
      </c>
      <c r="F2900" s="9">
        <v>170</v>
      </c>
      <c r="G2900" s="9">
        <v>154.72999999999999</v>
      </c>
      <c r="H2900" s="9" t="s">
        <v>23</v>
      </c>
      <c r="I2900" s="9">
        <v>44</v>
      </c>
      <c r="J2900" s="10">
        <v>-15.27</v>
      </c>
      <c r="K2900" s="9" t="str">
        <f>TEXT(Sales_of_Jordan[[#This Row],[Sale_Date]],"mmm")</f>
        <v>Sep</v>
      </c>
    </row>
    <row r="2901" spans="1:11" x14ac:dyDescent="0.35">
      <c r="A2901" s="7" t="s">
        <v>2931</v>
      </c>
      <c r="B2901" s="8">
        <v>45826</v>
      </c>
      <c r="C2901" s="9" t="s">
        <v>21</v>
      </c>
      <c r="D2901" s="9" t="s">
        <v>22</v>
      </c>
      <c r="E2901" s="9" t="s">
        <v>13</v>
      </c>
      <c r="F2901" s="9">
        <v>218</v>
      </c>
      <c r="G2901" s="9">
        <v>132.32</v>
      </c>
      <c r="H2901" s="9" t="s">
        <v>19</v>
      </c>
      <c r="I2901" s="9">
        <v>2</v>
      </c>
      <c r="J2901" s="10">
        <v>-85.68</v>
      </c>
      <c r="K2901" s="9" t="str">
        <f>TEXT(Sales_of_Jordan[[#This Row],[Sale_Date]],"mmm")</f>
        <v>Jun</v>
      </c>
    </row>
    <row r="2902" spans="1:11" x14ac:dyDescent="0.35">
      <c r="A2902" s="7" t="s">
        <v>2932</v>
      </c>
      <c r="B2902" s="8">
        <v>45665</v>
      </c>
      <c r="C2902" s="9" t="s">
        <v>21</v>
      </c>
      <c r="D2902" s="9" t="s">
        <v>22</v>
      </c>
      <c r="E2902" s="9" t="s">
        <v>18</v>
      </c>
      <c r="F2902" s="9">
        <v>225</v>
      </c>
      <c r="G2902" s="9">
        <v>704.68</v>
      </c>
      <c r="H2902" s="9" t="s">
        <v>25</v>
      </c>
      <c r="I2902" s="9">
        <v>5</v>
      </c>
      <c r="J2902" s="10">
        <v>479.67999999999898</v>
      </c>
      <c r="K2902" s="9" t="str">
        <f>TEXT(Sales_of_Jordan[[#This Row],[Sale_Date]],"mmm")</f>
        <v>Jan</v>
      </c>
    </row>
    <row r="2903" spans="1:11" x14ac:dyDescent="0.35">
      <c r="A2903" s="7" t="s">
        <v>2933</v>
      </c>
      <c r="B2903" s="8">
        <v>45098</v>
      </c>
      <c r="C2903" s="9" t="s">
        <v>11</v>
      </c>
      <c r="D2903" s="9" t="s">
        <v>46</v>
      </c>
      <c r="E2903" s="9" t="s">
        <v>29</v>
      </c>
      <c r="F2903" s="9">
        <v>227</v>
      </c>
      <c r="G2903" s="9">
        <v>222.25</v>
      </c>
      <c r="H2903" s="9" t="s">
        <v>25</v>
      </c>
      <c r="I2903" s="9">
        <v>57</v>
      </c>
      <c r="J2903" s="10">
        <v>-4.75</v>
      </c>
      <c r="K2903" s="9" t="str">
        <f>TEXT(Sales_of_Jordan[[#This Row],[Sale_Date]],"mmm")</f>
        <v>Jun</v>
      </c>
    </row>
    <row r="2904" spans="1:11" x14ac:dyDescent="0.35">
      <c r="A2904" s="7" t="s">
        <v>2934</v>
      </c>
      <c r="B2904" s="8">
        <v>45016</v>
      </c>
      <c r="C2904" s="9" t="s">
        <v>27</v>
      </c>
      <c r="D2904" s="9" t="s">
        <v>46</v>
      </c>
      <c r="E2904" s="9" t="s">
        <v>29</v>
      </c>
      <c r="F2904" s="9">
        <v>116</v>
      </c>
      <c r="G2904" s="9">
        <v>133.74</v>
      </c>
      <c r="H2904" s="9" t="s">
        <v>32</v>
      </c>
      <c r="I2904" s="9">
        <v>34</v>
      </c>
      <c r="J2904" s="10">
        <v>17.739999999999998</v>
      </c>
      <c r="K2904" s="9" t="str">
        <f>TEXT(Sales_of_Jordan[[#This Row],[Sale_Date]],"mmm")</f>
        <v>Mar</v>
      </c>
    </row>
    <row r="2905" spans="1:11" x14ac:dyDescent="0.35">
      <c r="A2905" s="7" t="s">
        <v>2935</v>
      </c>
      <c r="B2905" s="8">
        <v>45256</v>
      </c>
      <c r="C2905" s="9" t="s">
        <v>31</v>
      </c>
      <c r="D2905" s="9" t="s">
        <v>12</v>
      </c>
      <c r="E2905" s="9" t="s">
        <v>29</v>
      </c>
      <c r="F2905" s="9">
        <v>203</v>
      </c>
      <c r="G2905" s="9">
        <v>295.06</v>
      </c>
      <c r="H2905" s="9" t="s">
        <v>14</v>
      </c>
      <c r="I2905" s="9">
        <v>7</v>
      </c>
      <c r="J2905" s="10">
        <v>92.06</v>
      </c>
      <c r="K2905" s="9" t="str">
        <f>TEXT(Sales_of_Jordan[[#This Row],[Sale_Date]],"mmm")</f>
        <v>Nov</v>
      </c>
    </row>
    <row r="2906" spans="1:11" x14ac:dyDescent="0.35">
      <c r="A2906" s="7" t="s">
        <v>2936</v>
      </c>
      <c r="B2906" s="8">
        <v>45605</v>
      </c>
      <c r="C2906" s="9" t="s">
        <v>16</v>
      </c>
      <c r="D2906" s="9" t="s">
        <v>34</v>
      </c>
      <c r="E2906" s="9" t="s">
        <v>18</v>
      </c>
      <c r="F2906" s="9">
        <v>184</v>
      </c>
      <c r="G2906" s="9">
        <v>438.73</v>
      </c>
      <c r="H2906" s="9" t="s">
        <v>32</v>
      </c>
      <c r="I2906" s="9">
        <v>33</v>
      </c>
      <c r="J2906" s="10">
        <v>254.73</v>
      </c>
      <c r="K2906" s="9" t="str">
        <f>TEXT(Sales_of_Jordan[[#This Row],[Sale_Date]],"mmm")</f>
        <v>Nov</v>
      </c>
    </row>
    <row r="2907" spans="1:11" x14ac:dyDescent="0.35">
      <c r="A2907" s="7" t="s">
        <v>2937</v>
      </c>
      <c r="B2907" s="8">
        <v>45317</v>
      </c>
      <c r="C2907" s="9" t="s">
        <v>11</v>
      </c>
      <c r="D2907" s="9" t="s">
        <v>53</v>
      </c>
      <c r="E2907" s="9" t="s">
        <v>13</v>
      </c>
      <c r="F2907" s="9">
        <v>226</v>
      </c>
      <c r="G2907" s="9">
        <v>193.6</v>
      </c>
      <c r="H2907" s="9" t="s">
        <v>14</v>
      </c>
      <c r="I2907" s="9">
        <v>2</v>
      </c>
      <c r="J2907" s="10">
        <v>-32.4</v>
      </c>
      <c r="K2907" s="9" t="str">
        <f>TEXT(Sales_of_Jordan[[#This Row],[Sale_Date]],"mmm")</f>
        <v>Jan</v>
      </c>
    </row>
    <row r="2908" spans="1:11" x14ac:dyDescent="0.35">
      <c r="A2908" s="7" t="s">
        <v>2938</v>
      </c>
      <c r="B2908" s="8">
        <v>45069</v>
      </c>
      <c r="C2908" s="9" t="s">
        <v>21</v>
      </c>
      <c r="D2908" s="9" t="s">
        <v>39</v>
      </c>
      <c r="E2908" s="9" t="s">
        <v>29</v>
      </c>
      <c r="F2908" s="9">
        <v>221</v>
      </c>
      <c r="G2908" s="9">
        <v>212.66</v>
      </c>
      <c r="H2908" s="9" t="s">
        <v>19</v>
      </c>
      <c r="I2908" s="9">
        <v>14</v>
      </c>
      <c r="J2908" s="10">
        <v>-8.34</v>
      </c>
      <c r="K2908" s="9" t="str">
        <f>TEXT(Sales_of_Jordan[[#This Row],[Sale_Date]],"mmm")</f>
        <v>May</v>
      </c>
    </row>
    <row r="2909" spans="1:11" x14ac:dyDescent="0.35">
      <c r="A2909" s="7" t="s">
        <v>2939</v>
      </c>
      <c r="B2909" s="8">
        <v>45581</v>
      </c>
      <c r="C2909" s="9" t="s">
        <v>31</v>
      </c>
      <c r="D2909" s="9" t="s">
        <v>34</v>
      </c>
      <c r="E2909" s="9" t="s">
        <v>13</v>
      </c>
      <c r="F2909" s="9">
        <v>200</v>
      </c>
      <c r="G2909" s="9">
        <v>167.61</v>
      </c>
      <c r="H2909" s="9" t="s">
        <v>32</v>
      </c>
      <c r="I2909" s="9">
        <v>41</v>
      </c>
      <c r="J2909" s="10">
        <v>-32.389999999999901</v>
      </c>
      <c r="K2909" s="9" t="str">
        <f>TEXT(Sales_of_Jordan[[#This Row],[Sale_Date]],"mmm")</f>
        <v>Oct</v>
      </c>
    </row>
    <row r="2910" spans="1:11" x14ac:dyDescent="0.35">
      <c r="A2910" s="7" t="s">
        <v>2940</v>
      </c>
      <c r="B2910" s="8">
        <v>45590</v>
      </c>
      <c r="C2910" s="9" t="s">
        <v>21</v>
      </c>
      <c r="D2910" s="9" t="s">
        <v>34</v>
      </c>
      <c r="E2910" s="9" t="s">
        <v>18</v>
      </c>
      <c r="F2910" s="9">
        <v>211</v>
      </c>
      <c r="G2910" s="9">
        <v>692.96</v>
      </c>
      <c r="H2910" s="9" t="s">
        <v>25</v>
      </c>
      <c r="I2910" s="9">
        <v>22</v>
      </c>
      <c r="J2910" s="10">
        <v>481.96</v>
      </c>
      <c r="K2910" s="9" t="str">
        <f>TEXT(Sales_of_Jordan[[#This Row],[Sale_Date]],"mmm")</f>
        <v>Oct</v>
      </c>
    </row>
    <row r="2911" spans="1:11" x14ac:dyDescent="0.35">
      <c r="A2911" s="7" t="s">
        <v>2941</v>
      </c>
      <c r="B2911" s="8">
        <v>45242</v>
      </c>
      <c r="C2911" s="9" t="s">
        <v>31</v>
      </c>
      <c r="D2911" s="9" t="s">
        <v>46</v>
      </c>
      <c r="E2911" s="9" t="s">
        <v>29</v>
      </c>
      <c r="F2911" s="9">
        <v>201</v>
      </c>
      <c r="G2911" s="9">
        <v>245.89</v>
      </c>
      <c r="H2911" s="9" t="s">
        <v>19</v>
      </c>
      <c r="I2911" s="9">
        <v>4</v>
      </c>
      <c r="J2911" s="10">
        <v>44.889999999999901</v>
      </c>
      <c r="K2911" s="9" t="str">
        <f>TEXT(Sales_of_Jordan[[#This Row],[Sale_Date]],"mmm")</f>
        <v>Nov</v>
      </c>
    </row>
    <row r="2912" spans="1:11" x14ac:dyDescent="0.35">
      <c r="A2912" s="7" t="s">
        <v>2942</v>
      </c>
      <c r="B2912" s="8">
        <v>45378</v>
      </c>
      <c r="C2912" s="9" t="s">
        <v>11</v>
      </c>
      <c r="D2912" s="9" t="s">
        <v>46</v>
      </c>
      <c r="E2912" s="9" t="s">
        <v>13</v>
      </c>
      <c r="F2912" s="9">
        <v>229</v>
      </c>
      <c r="G2912" s="9">
        <v>127.34</v>
      </c>
      <c r="H2912" s="9" t="s">
        <v>14</v>
      </c>
      <c r="I2912" s="9">
        <v>2</v>
      </c>
      <c r="J2912" s="10">
        <v>-101.66</v>
      </c>
      <c r="K2912" s="9" t="str">
        <f>TEXT(Sales_of_Jordan[[#This Row],[Sale_Date]],"mmm")</f>
        <v>Mar</v>
      </c>
    </row>
    <row r="2913" spans="1:11" x14ac:dyDescent="0.35">
      <c r="A2913" s="7" t="s">
        <v>2943</v>
      </c>
      <c r="B2913" s="8">
        <v>45022</v>
      </c>
      <c r="C2913" s="9" t="s">
        <v>27</v>
      </c>
      <c r="D2913" s="9" t="s">
        <v>12</v>
      </c>
      <c r="E2913" s="9" t="s">
        <v>13</v>
      </c>
      <c r="F2913" s="9">
        <v>132</v>
      </c>
      <c r="G2913" s="9">
        <v>70.239999999999995</v>
      </c>
      <c r="H2913" s="9" t="s">
        <v>25</v>
      </c>
      <c r="I2913" s="9">
        <v>47</v>
      </c>
      <c r="J2913" s="10">
        <v>-61.76</v>
      </c>
      <c r="K2913" s="9" t="str">
        <f>TEXT(Sales_of_Jordan[[#This Row],[Sale_Date]],"mmm")</f>
        <v>Apr</v>
      </c>
    </row>
    <row r="2914" spans="1:11" x14ac:dyDescent="0.35">
      <c r="A2914" s="7" t="s">
        <v>2944</v>
      </c>
      <c r="B2914" s="8">
        <v>45402</v>
      </c>
      <c r="C2914" s="9" t="s">
        <v>27</v>
      </c>
      <c r="D2914" s="9" t="s">
        <v>46</v>
      </c>
      <c r="E2914" s="9" t="s">
        <v>18</v>
      </c>
      <c r="F2914" s="9">
        <v>124</v>
      </c>
      <c r="G2914" s="9">
        <v>242.18</v>
      </c>
      <c r="H2914" s="9" t="s">
        <v>14</v>
      </c>
      <c r="I2914" s="9">
        <v>9</v>
      </c>
      <c r="J2914" s="10">
        <v>118.18</v>
      </c>
      <c r="K2914" s="9" t="str">
        <f>TEXT(Sales_of_Jordan[[#This Row],[Sale_Date]],"mmm")</f>
        <v>Apr</v>
      </c>
    </row>
    <row r="2915" spans="1:11" x14ac:dyDescent="0.35">
      <c r="A2915" s="7" t="s">
        <v>2945</v>
      </c>
      <c r="B2915" s="8">
        <v>45811</v>
      </c>
      <c r="C2915" s="9" t="s">
        <v>27</v>
      </c>
      <c r="D2915" s="9" t="s">
        <v>12</v>
      </c>
      <c r="E2915" s="9" t="s">
        <v>29</v>
      </c>
      <c r="F2915" s="9">
        <v>130</v>
      </c>
      <c r="G2915" s="9">
        <v>132.46</v>
      </c>
      <c r="H2915" s="9" t="s">
        <v>14</v>
      </c>
      <c r="I2915" s="9">
        <v>10</v>
      </c>
      <c r="J2915" s="10">
        <v>2.46</v>
      </c>
      <c r="K2915" s="9" t="str">
        <f>TEXT(Sales_of_Jordan[[#This Row],[Sale_Date]],"mmm")</f>
        <v>Jun</v>
      </c>
    </row>
    <row r="2916" spans="1:11" x14ac:dyDescent="0.35">
      <c r="A2916" s="7" t="s">
        <v>2946</v>
      </c>
      <c r="B2916" s="8">
        <v>45816</v>
      </c>
      <c r="C2916" s="9" t="s">
        <v>11</v>
      </c>
      <c r="D2916" s="9" t="s">
        <v>55</v>
      </c>
      <c r="E2916" s="9" t="s">
        <v>18</v>
      </c>
      <c r="F2916" s="9">
        <v>229</v>
      </c>
      <c r="G2916" s="9">
        <v>283.97000000000003</v>
      </c>
      <c r="H2916" s="9" t="s">
        <v>19</v>
      </c>
      <c r="I2916" s="9">
        <v>6</v>
      </c>
      <c r="J2916" s="10">
        <v>54.97</v>
      </c>
      <c r="K2916" s="9" t="str">
        <f>TEXT(Sales_of_Jordan[[#This Row],[Sale_Date]],"mmm")</f>
        <v>Jun</v>
      </c>
    </row>
    <row r="2917" spans="1:11" x14ac:dyDescent="0.35">
      <c r="A2917" s="7" t="s">
        <v>2947</v>
      </c>
      <c r="B2917" s="8">
        <v>45110</v>
      </c>
      <c r="C2917" s="9" t="s">
        <v>31</v>
      </c>
      <c r="D2917" s="9" t="s">
        <v>39</v>
      </c>
      <c r="E2917" s="9" t="s">
        <v>18</v>
      </c>
      <c r="F2917" s="9">
        <v>202</v>
      </c>
      <c r="G2917" s="9">
        <v>460.4</v>
      </c>
      <c r="H2917" s="9" t="s">
        <v>19</v>
      </c>
      <c r="I2917" s="9">
        <v>3</v>
      </c>
      <c r="J2917" s="10">
        <v>258.39999999999998</v>
      </c>
      <c r="K2917" s="9" t="str">
        <f>TEXT(Sales_of_Jordan[[#This Row],[Sale_Date]],"mmm")</f>
        <v>Jul</v>
      </c>
    </row>
    <row r="2918" spans="1:11" x14ac:dyDescent="0.35">
      <c r="A2918" s="7" t="s">
        <v>2948</v>
      </c>
      <c r="B2918" s="8">
        <v>45021</v>
      </c>
      <c r="C2918" s="9" t="s">
        <v>27</v>
      </c>
      <c r="D2918" s="9" t="s">
        <v>53</v>
      </c>
      <c r="E2918" s="9" t="s">
        <v>29</v>
      </c>
      <c r="F2918" s="9">
        <v>131</v>
      </c>
      <c r="G2918" s="9">
        <v>135.33000000000001</v>
      </c>
      <c r="H2918" s="9" t="s">
        <v>25</v>
      </c>
      <c r="I2918" s="9">
        <v>20</v>
      </c>
      <c r="J2918" s="10">
        <v>4.3300000000000098</v>
      </c>
      <c r="K2918" s="9" t="str">
        <f>TEXT(Sales_of_Jordan[[#This Row],[Sale_Date]],"mmm")</f>
        <v>Apr</v>
      </c>
    </row>
    <row r="2919" spans="1:11" x14ac:dyDescent="0.35">
      <c r="A2919" s="7" t="s">
        <v>2949</v>
      </c>
      <c r="B2919" s="8">
        <v>45842</v>
      </c>
      <c r="C2919" s="9" t="s">
        <v>16</v>
      </c>
      <c r="D2919" s="9" t="s">
        <v>53</v>
      </c>
      <c r="E2919" s="9" t="s">
        <v>13</v>
      </c>
      <c r="F2919" s="9">
        <v>185</v>
      </c>
      <c r="G2919" s="9">
        <v>110.23</v>
      </c>
      <c r="H2919" s="9" t="s">
        <v>23</v>
      </c>
      <c r="I2919" s="9">
        <v>21</v>
      </c>
      <c r="J2919" s="10">
        <v>-74.77</v>
      </c>
      <c r="K2919" s="9" t="str">
        <f>TEXT(Sales_of_Jordan[[#This Row],[Sale_Date]],"mmm")</f>
        <v>Jul</v>
      </c>
    </row>
    <row r="2920" spans="1:11" x14ac:dyDescent="0.35">
      <c r="A2920" s="7" t="s">
        <v>2950</v>
      </c>
      <c r="B2920" s="8">
        <v>45305</v>
      </c>
      <c r="C2920" s="9" t="s">
        <v>16</v>
      </c>
      <c r="D2920" s="9" t="s">
        <v>17</v>
      </c>
      <c r="E2920" s="9" t="s">
        <v>18</v>
      </c>
      <c r="F2920" s="9">
        <v>185</v>
      </c>
      <c r="G2920" s="9">
        <v>379.95</v>
      </c>
      <c r="H2920" s="9" t="s">
        <v>23</v>
      </c>
      <c r="I2920" s="9">
        <v>31</v>
      </c>
      <c r="J2920" s="10">
        <v>194.95</v>
      </c>
      <c r="K2920" s="9" t="str">
        <f>TEXT(Sales_of_Jordan[[#This Row],[Sale_Date]],"mmm")</f>
        <v>Jan</v>
      </c>
    </row>
    <row r="2921" spans="1:11" x14ac:dyDescent="0.35">
      <c r="A2921" s="7" t="s">
        <v>2951</v>
      </c>
      <c r="B2921" s="8">
        <v>45628</v>
      </c>
      <c r="C2921" s="9" t="s">
        <v>16</v>
      </c>
      <c r="D2921" s="9" t="s">
        <v>22</v>
      </c>
      <c r="E2921" s="9" t="s">
        <v>18</v>
      </c>
      <c r="F2921" s="9">
        <v>178</v>
      </c>
      <c r="G2921" s="9">
        <v>216.39</v>
      </c>
      <c r="H2921" s="9" t="s">
        <v>32</v>
      </c>
      <c r="I2921" s="9">
        <v>32</v>
      </c>
      <c r="J2921" s="10">
        <v>38.389999999999901</v>
      </c>
      <c r="K2921" s="9" t="str">
        <f>TEXT(Sales_of_Jordan[[#This Row],[Sale_Date]],"mmm")</f>
        <v>Dec</v>
      </c>
    </row>
    <row r="2922" spans="1:11" x14ac:dyDescent="0.35">
      <c r="A2922" s="7" t="s">
        <v>2952</v>
      </c>
      <c r="B2922" s="8">
        <v>45076</v>
      </c>
      <c r="C2922" s="9" t="s">
        <v>31</v>
      </c>
      <c r="D2922" s="9" t="s">
        <v>46</v>
      </c>
      <c r="E2922" s="9" t="s">
        <v>13</v>
      </c>
      <c r="F2922" s="9">
        <v>209</v>
      </c>
      <c r="G2922" s="9">
        <v>137.97999999999999</v>
      </c>
      <c r="H2922" s="9" t="s">
        <v>32</v>
      </c>
      <c r="I2922" s="9">
        <v>52</v>
      </c>
      <c r="J2922" s="10">
        <v>-71.02</v>
      </c>
      <c r="K2922" s="9" t="str">
        <f>TEXT(Sales_of_Jordan[[#This Row],[Sale_Date]],"mmm")</f>
        <v>May</v>
      </c>
    </row>
    <row r="2923" spans="1:11" x14ac:dyDescent="0.35">
      <c r="A2923" s="7" t="s">
        <v>2953</v>
      </c>
      <c r="B2923" s="8">
        <v>45570</v>
      </c>
      <c r="C2923" s="9" t="s">
        <v>27</v>
      </c>
      <c r="D2923" s="9" t="s">
        <v>22</v>
      </c>
      <c r="E2923" s="9" t="s">
        <v>13</v>
      </c>
      <c r="F2923" s="9">
        <v>132</v>
      </c>
      <c r="G2923" s="9">
        <v>87.34</v>
      </c>
      <c r="H2923" s="9" t="s">
        <v>14</v>
      </c>
      <c r="I2923" s="9">
        <v>11</v>
      </c>
      <c r="J2923" s="10">
        <v>-44.66</v>
      </c>
      <c r="K2923" s="9" t="str">
        <f>TEXT(Sales_of_Jordan[[#This Row],[Sale_Date]],"mmm")</f>
        <v>Oct</v>
      </c>
    </row>
    <row r="2924" spans="1:11" x14ac:dyDescent="0.35">
      <c r="A2924" s="7" t="s">
        <v>2954</v>
      </c>
      <c r="B2924" s="8">
        <v>45302</v>
      </c>
      <c r="C2924" s="9" t="s">
        <v>11</v>
      </c>
      <c r="D2924" s="9" t="s">
        <v>34</v>
      </c>
      <c r="E2924" s="9" t="s">
        <v>29</v>
      </c>
      <c r="F2924" s="9">
        <v>225</v>
      </c>
      <c r="G2924" s="9">
        <v>336.97</v>
      </c>
      <c r="H2924" s="9" t="s">
        <v>14</v>
      </c>
      <c r="I2924" s="9">
        <v>11</v>
      </c>
      <c r="J2924" s="10">
        <v>111.97</v>
      </c>
      <c r="K2924" s="9" t="str">
        <f>TEXT(Sales_of_Jordan[[#This Row],[Sale_Date]],"mmm")</f>
        <v>Jan</v>
      </c>
    </row>
    <row r="2925" spans="1:11" x14ac:dyDescent="0.35">
      <c r="A2925" s="7" t="s">
        <v>2955</v>
      </c>
      <c r="B2925" s="8">
        <v>45106</v>
      </c>
      <c r="C2925" s="9" t="s">
        <v>21</v>
      </c>
      <c r="D2925" s="9" t="s">
        <v>55</v>
      </c>
      <c r="E2925" s="9" t="s">
        <v>29</v>
      </c>
      <c r="F2925" s="9">
        <v>212</v>
      </c>
      <c r="G2925" s="9">
        <v>283.89</v>
      </c>
      <c r="H2925" s="9" t="s">
        <v>14</v>
      </c>
      <c r="I2925" s="9">
        <v>1</v>
      </c>
      <c r="J2925" s="10">
        <v>71.889999999999901</v>
      </c>
      <c r="K2925" s="9" t="str">
        <f>TEXT(Sales_of_Jordan[[#This Row],[Sale_Date]],"mmm")</f>
        <v>Jun</v>
      </c>
    </row>
    <row r="2926" spans="1:11" x14ac:dyDescent="0.35">
      <c r="A2926" s="7" t="s">
        <v>2956</v>
      </c>
      <c r="B2926" s="8">
        <v>45797</v>
      </c>
      <c r="C2926" s="9" t="s">
        <v>16</v>
      </c>
      <c r="D2926" s="9" t="s">
        <v>55</v>
      </c>
      <c r="E2926" s="9" t="s">
        <v>13</v>
      </c>
      <c r="F2926" s="9">
        <v>180</v>
      </c>
      <c r="G2926" s="9">
        <v>149.56</v>
      </c>
      <c r="H2926" s="9" t="s">
        <v>23</v>
      </c>
      <c r="I2926" s="9">
        <v>28</v>
      </c>
      <c r="J2926" s="10">
        <v>-30.439999999999898</v>
      </c>
      <c r="K2926" s="9" t="str">
        <f>TEXT(Sales_of_Jordan[[#This Row],[Sale_Date]],"mmm")</f>
        <v>May</v>
      </c>
    </row>
    <row r="2927" spans="1:11" x14ac:dyDescent="0.35">
      <c r="A2927" s="7" t="s">
        <v>2957</v>
      </c>
      <c r="B2927" s="8">
        <v>45582</v>
      </c>
      <c r="C2927" s="9" t="s">
        <v>31</v>
      </c>
      <c r="D2927" s="9" t="s">
        <v>17</v>
      </c>
      <c r="E2927" s="9" t="s">
        <v>13</v>
      </c>
      <c r="F2927" s="9">
        <v>200</v>
      </c>
      <c r="G2927" s="9">
        <v>145.16999999999999</v>
      </c>
      <c r="H2927" s="9" t="s">
        <v>23</v>
      </c>
      <c r="I2927" s="9">
        <v>36</v>
      </c>
      <c r="J2927" s="10">
        <v>-54.83</v>
      </c>
      <c r="K2927" s="9" t="str">
        <f>TEXT(Sales_of_Jordan[[#This Row],[Sale_Date]],"mmm")</f>
        <v>Oct</v>
      </c>
    </row>
    <row r="2928" spans="1:11" x14ac:dyDescent="0.35">
      <c r="A2928" s="7" t="s">
        <v>2958</v>
      </c>
      <c r="B2928" s="8">
        <v>45244</v>
      </c>
      <c r="C2928" s="9" t="s">
        <v>27</v>
      </c>
      <c r="D2928" s="9" t="s">
        <v>36</v>
      </c>
      <c r="E2928" s="9" t="s">
        <v>29</v>
      </c>
      <c r="F2928" s="9">
        <v>137</v>
      </c>
      <c r="G2928" s="9">
        <v>133.91999999999999</v>
      </c>
      <c r="H2928" s="9" t="s">
        <v>25</v>
      </c>
      <c r="I2928" s="9">
        <v>18</v>
      </c>
      <c r="J2928" s="10">
        <v>-3.0800000000000098</v>
      </c>
      <c r="K2928" s="9" t="str">
        <f>TEXT(Sales_of_Jordan[[#This Row],[Sale_Date]],"mmm")</f>
        <v>Nov</v>
      </c>
    </row>
    <row r="2929" spans="1:11" x14ac:dyDescent="0.35">
      <c r="A2929" s="7" t="s">
        <v>2959</v>
      </c>
      <c r="B2929" s="8">
        <v>45313</v>
      </c>
      <c r="C2929" s="9" t="s">
        <v>21</v>
      </c>
      <c r="D2929" s="9" t="s">
        <v>46</v>
      </c>
      <c r="E2929" s="9" t="s">
        <v>18</v>
      </c>
      <c r="F2929" s="9">
        <v>217</v>
      </c>
      <c r="G2929" s="9">
        <v>531.91</v>
      </c>
      <c r="H2929" s="9" t="s">
        <v>32</v>
      </c>
      <c r="I2929" s="9">
        <v>60</v>
      </c>
      <c r="J2929" s="10">
        <v>314.909999999999</v>
      </c>
      <c r="K2929" s="9" t="str">
        <f>TEXT(Sales_of_Jordan[[#This Row],[Sale_Date]],"mmm")</f>
        <v>Jan</v>
      </c>
    </row>
    <row r="2930" spans="1:11" x14ac:dyDescent="0.35">
      <c r="A2930" s="7" t="s">
        <v>2960</v>
      </c>
      <c r="B2930" s="8">
        <v>45759</v>
      </c>
      <c r="C2930" s="9" t="s">
        <v>21</v>
      </c>
      <c r="D2930" s="9" t="s">
        <v>55</v>
      </c>
      <c r="E2930" s="9" t="s">
        <v>29</v>
      </c>
      <c r="F2930" s="9">
        <v>215</v>
      </c>
      <c r="G2930" s="9">
        <v>195.09</v>
      </c>
      <c r="H2930" s="9" t="s">
        <v>25</v>
      </c>
      <c r="I2930" s="9">
        <v>29</v>
      </c>
      <c r="J2930" s="10">
        <v>-19.909999999999901</v>
      </c>
      <c r="K2930" s="9" t="str">
        <f>TEXT(Sales_of_Jordan[[#This Row],[Sale_Date]],"mmm")</f>
        <v>Apr</v>
      </c>
    </row>
    <row r="2931" spans="1:11" x14ac:dyDescent="0.35">
      <c r="A2931" s="7" t="s">
        <v>2961</v>
      </c>
      <c r="B2931" s="8">
        <v>45847</v>
      </c>
      <c r="C2931" s="9" t="s">
        <v>31</v>
      </c>
      <c r="D2931" s="9" t="s">
        <v>53</v>
      </c>
      <c r="E2931" s="9" t="s">
        <v>13</v>
      </c>
      <c r="F2931" s="9">
        <v>208</v>
      </c>
      <c r="G2931" s="9">
        <v>146.72999999999999</v>
      </c>
      <c r="H2931" s="9" t="s">
        <v>32</v>
      </c>
      <c r="I2931" s="9">
        <v>22</v>
      </c>
      <c r="J2931" s="10">
        <v>-61.27</v>
      </c>
      <c r="K2931" s="9" t="str">
        <f>TEXT(Sales_of_Jordan[[#This Row],[Sale_Date]],"mmm")</f>
        <v>Jul</v>
      </c>
    </row>
    <row r="2932" spans="1:11" x14ac:dyDescent="0.35">
      <c r="A2932" s="7" t="s">
        <v>2962</v>
      </c>
      <c r="B2932" s="8">
        <v>44949</v>
      </c>
      <c r="C2932" s="9" t="s">
        <v>31</v>
      </c>
      <c r="D2932" s="9" t="s">
        <v>39</v>
      </c>
      <c r="E2932" s="9" t="s">
        <v>13</v>
      </c>
      <c r="F2932" s="9">
        <v>206</v>
      </c>
      <c r="G2932" s="9">
        <v>155.99</v>
      </c>
      <c r="H2932" s="9" t="s">
        <v>14</v>
      </c>
      <c r="I2932" s="9">
        <v>13</v>
      </c>
      <c r="J2932" s="10">
        <v>-50.009999999999899</v>
      </c>
      <c r="K2932" s="9" t="str">
        <f>TEXT(Sales_of_Jordan[[#This Row],[Sale_Date]],"mmm")</f>
        <v>Jan</v>
      </c>
    </row>
    <row r="2933" spans="1:11" x14ac:dyDescent="0.35">
      <c r="A2933" s="7" t="s">
        <v>2963</v>
      </c>
      <c r="B2933" s="8">
        <v>45279</v>
      </c>
      <c r="C2933" s="9" t="s">
        <v>16</v>
      </c>
      <c r="D2933" s="9" t="s">
        <v>17</v>
      </c>
      <c r="E2933" s="9" t="s">
        <v>18</v>
      </c>
      <c r="F2933" s="9">
        <v>185</v>
      </c>
      <c r="G2933" s="9">
        <v>241.33</v>
      </c>
      <c r="H2933" s="9" t="s">
        <v>19</v>
      </c>
      <c r="I2933" s="9">
        <v>2</v>
      </c>
      <c r="J2933" s="10">
        <v>56.33</v>
      </c>
      <c r="K2933" s="9" t="str">
        <f>TEXT(Sales_of_Jordan[[#This Row],[Sale_Date]],"mmm")</f>
        <v>Dec</v>
      </c>
    </row>
    <row r="2934" spans="1:11" x14ac:dyDescent="0.35">
      <c r="A2934" s="7" t="s">
        <v>2964</v>
      </c>
      <c r="B2934" s="8">
        <v>45254</v>
      </c>
      <c r="C2934" s="9" t="s">
        <v>11</v>
      </c>
      <c r="D2934" s="9" t="s">
        <v>36</v>
      </c>
      <c r="E2934" s="9" t="s">
        <v>29</v>
      </c>
      <c r="F2934" s="9">
        <v>228</v>
      </c>
      <c r="G2934" s="9">
        <v>206.2</v>
      </c>
      <c r="H2934" s="9" t="s">
        <v>19</v>
      </c>
      <c r="I2934" s="9">
        <v>13</v>
      </c>
      <c r="J2934" s="10">
        <v>-21.8</v>
      </c>
      <c r="K2934" s="9" t="str">
        <f>TEXT(Sales_of_Jordan[[#This Row],[Sale_Date]],"mmm")</f>
        <v>Nov</v>
      </c>
    </row>
    <row r="2935" spans="1:11" x14ac:dyDescent="0.35">
      <c r="A2935" s="7" t="s">
        <v>2965</v>
      </c>
      <c r="B2935" s="8">
        <v>45765</v>
      </c>
      <c r="C2935" s="9" t="s">
        <v>16</v>
      </c>
      <c r="D2935" s="9" t="s">
        <v>36</v>
      </c>
      <c r="E2935" s="9" t="s">
        <v>18</v>
      </c>
      <c r="F2935" s="9">
        <v>189</v>
      </c>
      <c r="G2935" s="9">
        <v>379.79</v>
      </c>
      <c r="H2935" s="9" t="s">
        <v>14</v>
      </c>
      <c r="I2935" s="9">
        <v>3</v>
      </c>
      <c r="J2935" s="10">
        <v>190.79</v>
      </c>
      <c r="K2935" s="9" t="str">
        <f>TEXT(Sales_of_Jordan[[#This Row],[Sale_Date]],"mmm")</f>
        <v>Apr</v>
      </c>
    </row>
    <row r="2936" spans="1:11" x14ac:dyDescent="0.35">
      <c r="A2936" s="7" t="s">
        <v>2966</v>
      </c>
      <c r="B2936" s="8">
        <v>45138</v>
      </c>
      <c r="C2936" s="9" t="s">
        <v>31</v>
      </c>
      <c r="D2936" s="9" t="s">
        <v>17</v>
      </c>
      <c r="E2936" s="9" t="s">
        <v>18</v>
      </c>
      <c r="F2936" s="9">
        <v>201</v>
      </c>
      <c r="G2936" s="9">
        <v>676.73</v>
      </c>
      <c r="H2936" s="9" t="s">
        <v>32</v>
      </c>
      <c r="I2936" s="9">
        <v>37</v>
      </c>
      <c r="J2936" s="10">
        <v>475.73</v>
      </c>
      <c r="K2936" s="9" t="str">
        <f>TEXT(Sales_of_Jordan[[#This Row],[Sale_Date]],"mmm")</f>
        <v>Jul</v>
      </c>
    </row>
    <row r="2937" spans="1:11" x14ac:dyDescent="0.35">
      <c r="A2937" s="7" t="s">
        <v>2967</v>
      </c>
      <c r="B2937" s="8">
        <v>45819</v>
      </c>
      <c r="C2937" s="9" t="s">
        <v>11</v>
      </c>
      <c r="D2937" s="9" t="s">
        <v>17</v>
      </c>
      <c r="E2937" s="9" t="s">
        <v>18</v>
      </c>
      <c r="F2937" s="9">
        <v>228</v>
      </c>
      <c r="G2937" s="9">
        <v>692.05</v>
      </c>
      <c r="H2937" s="9" t="s">
        <v>23</v>
      </c>
      <c r="I2937" s="9">
        <v>53</v>
      </c>
      <c r="J2937" s="10">
        <v>464.04999999999899</v>
      </c>
      <c r="K2937" s="9" t="str">
        <f>TEXT(Sales_of_Jordan[[#This Row],[Sale_Date]],"mmm")</f>
        <v>Jun</v>
      </c>
    </row>
    <row r="2938" spans="1:11" x14ac:dyDescent="0.35">
      <c r="A2938" s="7" t="s">
        <v>2968</v>
      </c>
      <c r="B2938" s="8">
        <v>45601</v>
      </c>
      <c r="C2938" s="9" t="s">
        <v>11</v>
      </c>
      <c r="D2938" s="9" t="s">
        <v>12</v>
      </c>
      <c r="E2938" s="9" t="s">
        <v>18</v>
      </c>
      <c r="F2938" s="9">
        <v>230</v>
      </c>
      <c r="G2938" s="9">
        <v>322.76</v>
      </c>
      <c r="H2938" s="9" t="s">
        <v>19</v>
      </c>
      <c r="I2938" s="9">
        <v>11</v>
      </c>
      <c r="J2938" s="10">
        <v>92.759999999999906</v>
      </c>
      <c r="K2938" s="9" t="str">
        <f>TEXT(Sales_of_Jordan[[#This Row],[Sale_Date]],"mmm")</f>
        <v>Nov</v>
      </c>
    </row>
    <row r="2939" spans="1:11" x14ac:dyDescent="0.35">
      <c r="A2939" s="7" t="s">
        <v>2969</v>
      </c>
      <c r="B2939" s="8">
        <v>45266</v>
      </c>
      <c r="C2939" s="9" t="s">
        <v>31</v>
      </c>
      <c r="D2939" s="9" t="s">
        <v>12</v>
      </c>
      <c r="E2939" s="9" t="s">
        <v>13</v>
      </c>
      <c r="F2939" s="9">
        <v>203</v>
      </c>
      <c r="G2939" s="9">
        <v>155.36000000000001</v>
      </c>
      <c r="H2939" s="9" t="s">
        <v>19</v>
      </c>
      <c r="I2939" s="9">
        <v>4</v>
      </c>
      <c r="J2939" s="10">
        <v>-47.639999999999901</v>
      </c>
      <c r="K2939" s="9" t="str">
        <f>TEXT(Sales_of_Jordan[[#This Row],[Sale_Date]],"mmm")</f>
        <v>Dec</v>
      </c>
    </row>
    <row r="2940" spans="1:11" x14ac:dyDescent="0.35">
      <c r="A2940" s="7" t="s">
        <v>2970</v>
      </c>
      <c r="B2940" s="8">
        <v>45412</v>
      </c>
      <c r="C2940" s="9" t="s">
        <v>11</v>
      </c>
      <c r="D2940" s="9" t="s">
        <v>34</v>
      </c>
      <c r="E2940" s="9" t="s">
        <v>13</v>
      </c>
      <c r="F2940" s="9">
        <v>228</v>
      </c>
      <c r="G2940" s="9">
        <v>155.81</v>
      </c>
      <c r="H2940" s="9" t="s">
        <v>32</v>
      </c>
      <c r="I2940" s="9">
        <v>40</v>
      </c>
      <c r="J2940" s="10">
        <v>-72.19</v>
      </c>
      <c r="K2940" s="9" t="str">
        <f>TEXT(Sales_of_Jordan[[#This Row],[Sale_Date]],"mmm")</f>
        <v>Apr</v>
      </c>
    </row>
    <row r="2941" spans="1:11" x14ac:dyDescent="0.35">
      <c r="A2941" s="7" t="s">
        <v>2971</v>
      </c>
      <c r="B2941" s="8">
        <v>45678</v>
      </c>
      <c r="C2941" s="9" t="s">
        <v>21</v>
      </c>
      <c r="D2941" s="9" t="s">
        <v>53</v>
      </c>
      <c r="E2941" s="9" t="s">
        <v>18</v>
      </c>
      <c r="F2941" s="9">
        <v>220</v>
      </c>
      <c r="G2941" s="9">
        <v>360.86</v>
      </c>
      <c r="H2941" s="9" t="s">
        <v>14</v>
      </c>
      <c r="I2941" s="9">
        <v>10</v>
      </c>
      <c r="J2941" s="10">
        <v>140.86000000000001</v>
      </c>
      <c r="K2941" s="9" t="str">
        <f>TEXT(Sales_of_Jordan[[#This Row],[Sale_Date]],"mmm")</f>
        <v>Jan</v>
      </c>
    </row>
    <row r="2942" spans="1:11" x14ac:dyDescent="0.35">
      <c r="A2942" s="7" t="s">
        <v>2972</v>
      </c>
      <c r="B2942" s="8">
        <v>45370</v>
      </c>
      <c r="C2942" s="9" t="s">
        <v>21</v>
      </c>
      <c r="D2942" s="9" t="s">
        <v>12</v>
      </c>
      <c r="E2942" s="9" t="s">
        <v>18</v>
      </c>
      <c r="F2942" s="9">
        <v>211</v>
      </c>
      <c r="G2942" s="9">
        <v>470.7</v>
      </c>
      <c r="H2942" s="9" t="s">
        <v>23</v>
      </c>
      <c r="I2942" s="9">
        <v>41</v>
      </c>
      <c r="J2942" s="10">
        <v>259.7</v>
      </c>
      <c r="K2942" s="9" t="str">
        <f>TEXT(Sales_of_Jordan[[#This Row],[Sale_Date]],"mmm")</f>
        <v>Mar</v>
      </c>
    </row>
    <row r="2943" spans="1:11" x14ac:dyDescent="0.35">
      <c r="A2943" s="7" t="s">
        <v>2973</v>
      </c>
      <c r="B2943" s="8">
        <v>45347</v>
      </c>
      <c r="C2943" s="9" t="s">
        <v>11</v>
      </c>
      <c r="D2943" s="9" t="s">
        <v>17</v>
      </c>
      <c r="E2943" s="9" t="s">
        <v>13</v>
      </c>
      <c r="F2943" s="9">
        <v>225</v>
      </c>
      <c r="G2943" s="9">
        <v>198.96</v>
      </c>
      <c r="H2943" s="9" t="s">
        <v>23</v>
      </c>
      <c r="I2943" s="9">
        <v>52</v>
      </c>
      <c r="J2943" s="10">
        <v>-26.0399999999999</v>
      </c>
      <c r="K2943" s="9" t="str">
        <f>TEXT(Sales_of_Jordan[[#This Row],[Sale_Date]],"mmm")</f>
        <v>Feb</v>
      </c>
    </row>
    <row r="2944" spans="1:11" x14ac:dyDescent="0.35">
      <c r="A2944" s="7" t="s">
        <v>2974</v>
      </c>
      <c r="B2944" s="8">
        <v>45817</v>
      </c>
      <c r="C2944" s="9" t="s">
        <v>27</v>
      </c>
      <c r="D2944" s="9" t="s">
        <v>12</v>
      </c>
      <c r="E2944" s="9" t="s">
        <v>29</v>
      </c>
      <c r="F2944" s="9">
        <v>130</v>
      </c>
      <c r="G2944" s="9">
        <v>179.35</v>
      </c>
      <c r="H2944" s="9" t="s">
        <v>19</v>
      </c>
      <c r="I2944" s="9">
        <v>8</v>
      </c>
      <c r="J2944" s="10">
        <v>49.349999999999902</v>
      </c>
      <c r="K2944" s="9" t="str">
        <f>TEXT(Sales_of_Jordan[[#This Row],[Sale_Date]],"mmm")</f>
        <v>Jun</v>
      </c>
    </row>
    <row r="2945" spans="1:11" x14ac:dyDescent="0.35">
      <c r="A2945" s="7" t="s">
        <v>2975</v>
      </c>
      <c r="B2945" s="8">
        <v>45906</v>
      </c>
      <c r="C2945" s="9" t="s">
        <v>21</v>
      </c>
      <c r="D2945" s="9" t="s">
        <v>55</v>
      </c>
      <c r="E2945" s="9" t="s">
        <v>18</v>
      </c>
      <c r="F2945" s="9">
        <v>220</v>
      </c>
      <c r="G2945" s="9">
        <v>571.08000000000004</v>
      </c>
      <c r="H2945" s="9" t="s">
        <v>14</v>
      </c>
      <c r="I2945" s="9">
        <v>11</v>
      </c>
      <c r="J2945" s="10">
        <v>351.08</v>
      </c>
      <c r="K2945" s="9" t="str">
        <f>TEXT(Sales_of_Jordan[[#This Row],[Sale_Date]],"mmm")</f>
        <v>Sep</v>
      </c>
    </row>
    <row r="2946" spans="1:11" x14ac:dyDescent="0.35">
      <c r="A2946" s="7" t="s">
        <v>2976</v>
      </c>
      <c r="B2946" s="8">
        <v>45503</v>
      </c>
      <c r="C2946" s="9" t="s">
        <v>11</v>
      </c>
      <c r="D2946" s="9" t="s">
        <v>34</v>
      </c>
      <c r="E2946" s="9" t="s">
        <v>13</v>
      </c>
      <c r="F2946" s="9">
        <v>226</v>
      </c>
      <c r="G2946" s="9">
        <v>173.6</v>
      </c>
      <c r="H2946" s="9" t="s">
        <v>25</v>
      </c>
      <c r="I2946" s="9">
        <v>7</v>
      </c>
      <c r="J2946" s="10">
        <v>-52.4</v>
      </c>
      <c r="K2946" s="9" t="str">
        <f>TEXT(Sales_of_Jordan[[#This Row],[Sale_Date]],"mmm")</f>
        <v>Jul</v>
      </c>
    </row>
    <row r="2947" spans="1:11" x14ac:dyDescent="0.35">
      <c r="A2947" s="7" t="s">
        <v>2977</v>
      </c>
      <c r="B2947" s="8">
        <v>45063</v>
      </c>
      <c r="C2947" s="9" t="s">
        <v>11</v>
      </c>
      <c r="D2947" s="9" t="s">
        <v>17</v>
      </c>
      <c r="E2947" s="9" t="s">
        <v>29</v>
      </c>
      <c r="F2947" s="9">
        <v>226</v>
      </c>
      <c r="G2947" s="9">
        <v>280.7</v>
      </c>
      <c r="H2947" s="9" t="s">
        <v>19</v>
      </c>
      <c r="I2947" s="9">
        <v>8</v>
      </c>
      <c r="J2947" s="10">
        <v>54.699999999999903</v>
      </c>
      <c r="K2947" s="9" t="str">
        <f>TEXT(Sales_of_Jordan[[#This Row],[Sale_Date]],"mmm")</f>
        <v>May</v>
      </c>
    </row>
    <row r="2948" spans="1:11" x14ac:dyDescent="0.35">
      <c r="A2948" s="7" t="s">
        <v>2978</v>
      </c>
      <c r="B2948" s="8">
        <v>45005</v>
      </c>
      <c r="C2948" s="9" t="s">
        <v>31</v>
      </c>
      <c r="D2948" s="9" t="s">
        <v>34</v>
      </c>
      <c r="E2948" s="9" t="s">
        <v>18</v>
      </c>
      <c r="F2948" s="9">
        <v>204</v>
      </c>
      <c r="G2948" s="9">
        <v>601.66</v>
      </c>
      <c r="H2948" s="9" t="s">
        <v>19</v>
      </c>
      <c r="I2948" s="9">
        <v>8</v>
      </c>
      <c r="J2948" s="10">
        <v>397.659999999999</v>
      </c>
      <c r="K2948" s="9" t="str">
        <f>TEXT(Sales_of_Jordan[[#This Row],[Sale_Date]],"mmm")</f>
        <v>Mar</v>
      </c>
    </row>
    <row r="2949" spans="1:11" x14ac:dyDescent="0.35">
      <c r="A2949" s="7" t="s">
        <v>2979</v>
      </c>
      <c r="B2949" s="8">
        <v>45412</v>
      </c>
      <c r="C2949" s="9" t="s">
        <v>21</v>
      </c>
      <c r="D2949" s="9" t="s">
        <v>12</v>
      </c>
      <c r="E2949" s="9" t="s">
        <v>18</v>
      </c>
      <c r="F2949" s="9">
        <v>220</v>
      </c>
      <c r="G2949" s="9">
        <v>574.79999999999995</v>
      </c>
      <c r="H2949" s="9" t="s">
        <v>23</v>
      </c>
      <c r="I2949" s="9">
        <v>51</v>
      </c>
      <c r="J2949" s="10">
        <v>354.79999999999899</v>
      </c>
      <c r="K2949" s="9" t="str">
        <f>TEXT(Sales_of_Jordan[[#This Row],[Sale_Date]],"mmm")</f>
        <v>Apr</v>
      </c>
    </row>
    <row r="2950" spans="1:11" x14ac:dyDescent="0.35">
      <c r="A2950" s="7" t="s">
        <v>2980</v>
      </c>
      <c r="B2950" s="8">
        <v>45670</v>
      </c>
      <c r="C2950" s="9" t="s">
        <v>21</v>
      </c>
      <c r="D2950" s="9" t="s">
        <v>53</v>
      </c>
      <c r="E2950" s="9" t="s">
        <v>13</v>
      </c>
      <c r="F2950" s="9">
        <v>221</v>
      </c>
      <c r="G2950" s="9">
        <v>153.13</v>
      </c>
      <c r="H2950" s="9" t="s">
        <v>23</v>
      </c>
      <c r="I2950" s="9">
        <v>34</v>
      </c>
      <c r="J2950" s="10">
        <v>-67.87</v>
      </c>
      <c r="K2950" s="9" t="str">
        <f>TEXT(Sales_of_Jordan[[#This Row],[Sale_Date]],"mmm")</f>
        <v>Jan</v>
      </c>
    </row>
    <row r="2951" spans="1:11" x14ac:dyDescent="0.35">
      <c r="A2951" s="7" t="s">
        <v>2981</v>
      </c>
      <c r="B2951" s="8">
        <v>45413</v>
      </c>
      <c r="C2951" s="9" t="s">
        <v>16</v>
      </c>
      <c r="D2951" s="9" t="s">
        <v>39</v>
      </c>
      <c r="E2951" s="9" t="s">
        <v>29</v>
      </c>
      <c r="F2951" s="9">
        <v>185</v>
      </c>
      <c r="G2951" s="9">
        <v>202.52</v>
      </c>
      <c r="H2951" s="9" t="s">
        <v>25</v>
      </c>
      <c r="I2951" s="9">
        <v>34</v>
      </c>
      <c r="J2951" s="10">
        <v>17.52</v>
      </c>
      <c r="K2951" s="9" t="str">
        <f>TEXT(Sales_of_Jordan[[#This Row],[Sale_Date]],"mmm")</f>
        <v>May</v>
      </c>
    </row>
    <row r="2952" spans="1:11" x14ac:dyDescent="0.35">
      <c r="A2952" s="7" t="s">
        <v>2982</v>
      </c>
      <c r="B2952" s="8">
        <v>45654</v>
      </c>
      <c r="C2952" s="9" t="s">
        <v>16</v>
      </c>
      <c r="D2952" s="9" t="s">
        <v>36</v>
      </c>
      <c r="E2952" s="9" t="s">
        <v>29</v>
      </c>
      <c r="F2952" s="9">
        <v>189</v>
      </c>
      <c r="G2952" s="9">
        <v>278.55</v>
      </c>
      <c r="H2952" s="9" t="s">
        <v>25</v>
      </c>
      <c r="I2952" s="9">
        <v>17</v>
      </c>
      <c r="J2952" s="10">
        <v>89.55</v>
      </c>
      <c r="K2952" s="9" t="str">
        <f>TEXT(Sales_of_Jordan[[#This Row],[Sale_Date]],"mmm")</f>
        <v>Dec</v>
      </c>
    </row>
    <row r="2953" spans="1:11" x14ac:dyDescent="0.35">
      <c r="A2953" s="7" t="s">
        <v>2983</v>
      </c>
      <c r="B2953" s="8">
        <v>45561</v>
      </c>
      <c r="C2953" s="9" t="s">
        <v>16</v>
      </c>
      <c r="D2953" s="9" t="s">
        <v>36</v>
      </c>
      <c r="E2953" s="9" t="s">
        <v>29</v>
      </c>
      <c r="F2953" s="9">
        <v>170</v>
      </c>
      <c r="G2953" s="9">
        <v>160.30000000000001</v>
      </c>
      <c r="H2953" s="9" t="s">
        <v>19</v>
      </c>
      <c r="I2953" s="9">
        <v>1</v>
      </c>
      <c r="J2953" s="10">
        <v>-9.6999999999999797</v>
      </c>
      <c r="K2953" s="9" t="str">
        <f>TEXT(Sales_of_Jordan[[#This Row],[Sale_Date]],"mmm")</f>
        <v>Sep</v>
      </c>
    </row>
    <row r="2954" spans="1:11" x14ac:dyDescent="0.35">
      <c r="A2954" s="7" t="s">
        <v>2984</v>
      </c>
      <c r="B2954" s="8">
        <v>45029</v>
      </c>
      <c r="C2954" s="9" t="s">
        <v>27</v>
      </c>
      <c r="D2954" s="9" t="s">
        <v>36</v>
      </c>
      <c r="E2954" s="9" t="s">
        <v>13</v>
      </c>
      <c r="F2954" s="9">
        <v>121</v>
      </c>
      <c r="G2954" s="9">
        <v>83.01</v>
      </c>
      <c r="H2954" s="9" t="s">
        <v>23</v>
      </c>
      <c r="I2954" s="9">
        <v>44</v>
      </c>
      <c r="J2954" s="10">
        <v>-37.989999999999903</v>
      </c>
      <c r="K2954" s="9" t="str">
        <f>TEXT(Sales_of_Jordan[[#This Row],[Sale_Date]],"mmm")</f>
        <v>Apr</v>
      </c>
    </row>
    <row r="2955" spans="1:11" x14ac:dyDescent="0.35">
      <c r="A2955" s="7" t="s">
        <v>2985</v>
      </c>
      <c r="B2955" s="8">
        <v>45212</v>
      </c>
      <c r="C2955" s="9" t="s">
        <v>16</v>
      </c>
      <c r="D2955" s="9" t="s">
        <v>55</v>
      </c>
      <c r="E2955" s="9" t="s">
        <v>18</v>
      </c>
      <c r="F2955" s="9">
        <v>186</v>
      </c>
      <c r="G2955" s="9">
        <v>273.93</v>
      </c>
      <c r="H2955" s="9" t="s">
        <v>19</v>
      </c>
      <c r="I2955" s="9">
        <v>2</v>
      </c>
      <c r="J2955" s="10">
        <v>87.93</v>
      </c>
      <c r="K2955" s="9" t="str">
        <f>TEXT(Sales_of_Jordan[[#This Row],[Sale_Date]],"mmm")</f>
        <v>Oct</v>
      </c>
    </row>
    <row r="2956" spans="1:11" x14ac:dyDescent="0.35">
      <c r="A2956" s="7" t="s">
        <v>2986</v>
      </c>
      <c r="B2956" s="8">
        <v>45683</v>
      </c>
      <c r="C2956" s="9" t="s">
        <v>11</v>
      </c>
      <c r="D2956" s="9" t="s">
        <v>34</v>
      </c>
      <c r="E2956" s="9" t="s">
        <v>13</v>
      </c>
      <c r="F2956" s="9">
        <v>227</v>
      </c>
      <c r="G2956" s="9">
        <v>183.68</v>
      </c>
      <c r="H2956" s="9" t="s">
        <v>19</v>
      </c>
      <c r="I2956" s="9">
        <v>9</v>
      </c>
      <c r="J2956" s="10">
        <v>-43.319999999999901</v>
      </c>
      <c r="K2956" s="9" t="str">
        <f>TEXT(Sales_of_Jordan[[#This Row],[Sale_Date]],"mmm")</f>
        <v>Jan</v>
      </c>
    </row>
    <row r="2957" spans="1:11" x14ac:dyDescent="0.35">
      <c r="A2957" s="7" t="s">
        <v>2987</v>
      </c>
      <c r="B2957" s="8">
        <v>45221</v>
      </c>
      <c r="C2957" s="9" t="s">
        <v>31</v>
      </c>
      <c r="D2957" s="9" t="s">
        <v>34</v>
      </c>
      <c r="E2957" s="9" t="s">
        <v>18</v>
      </c>
      <c r="F2957" s="9">
        <v>206</v>
      </c>
      <c r="G2957" s="9">
        <v>672.16</v>
      </c>
      <c r="H2957" s="9" t="s">
        <v>23</v>
      </c>
      <c r="I2957" s="9">
        <v>52</v>
      </c>
      <c r="J2957" s="10">
        <v>466.159999999999</v>
      </c>
      <c r="K2957" s="9" t="str">
        <f>TEXT(Sales_of_Jordan[[#This Row],[Sale_Date]],"mmm")</f>
        <v>Oct</v>
      </c>
    </row>
    <row r="2958" spans="1:11" x14ac:dyDescent="0.35">
      <c r="A2958" s="7" t="s">
        <v>2988</v>
      </c>
      <c r="B2958" s="8">
        <v>45109</v>
      </c>
      <c r="C2958" s="9" t="s">
        <v>27</v>
      </c>
      <c r="D2958" s="9" t="s">
        <v>53</v>
      </c>
      <c r="E2958" s="9" t="s">
        <v>13</v>
      </c>
      <c r="F2958" s="9">
        <v>124</v>
      </c>
      <c r="G2958" s="9">
        <v>77.12</v>
      </c>
      <c r="H2958" s="9" t="s">
        <v>32</v>
      </c>
      <c r="I2958" s="9">
        <v>32</v>
      </c>
      <c r="J2958" s="10">
        <v>-46.879999999999903</v>
      </c>
      <c r="K2958" s="9" t="str">
        <f>TEXT(Sales_of_Jordan[[#This Row],[Sale_Date]],"mmm")</f>
        <v>Jul</v>
      </c>
    </row>
    <row r="2959" spans="1:11" x14ac:dyDescent="0.35">
      <c r="A2959" s="7" t="s">
        <v>2989</v>
      </c>
      <c r="B2959" s="8">
        <v>45411</v>
      </c>
      <c r="C2959" s="9" t="s">
        <v>21</v>
      </c>
      <c r="D2959" s="9" t="s">
        <v>55</v>
      </c>
      <c r="E2959" s="9" t="s">
        <v>13</v>
      </c>
      <c r="F2959" s="9">
        <v>218</v>
      </c>
      <c r="G2959" s="9">
        <v>179.3</v>
      </c>
      <c r="H2959" s="9" t="s">
        <v>19</v>
      </c>
      <c r="I2959" s="9">
        <v>13</v>
      </c>
      <c r="J2959" s="10">
        <v>-38.699999999999903</v>
      </c>
      <c r="K2959" s="9" t="str">
        <f>TEXT(Sales_of_Jordan[[#This Row],[Sale_Date]],"mmm")</f>
        <v>Apr</v>
      </c>
    </row>
    <row r="2960" spans="1:11" x14ac:dyDescent="0.35">
      <c r="A2960" s="7" t="s">
        <v>2990</v>
      </c>
      <c r="B2960" s="8">
        <v>45764</v>
      </c>
      <c r="C2960" s="9" t="s">
        <v>21</v>
      </c>
      <c r="D2960" s="9" t="s">
        <v>46</v>
      </c>
      <c r="E2960" s="9" t="s">
        <v>29</v>
      </c>
      <c r="F2960" s="9">
        <v>210</v>
      </c>
      <c r="G2960" s="9">
        <v>298.45999999999998</v>
      </c>
      <c r="H2960" s="9" t="s">
        <v>19</v>
      </c>
      <c r="I2960" s="9">
        <v>11</v>
      </c>
      <c r="J2960" s="10">
        <v>88.459999999999894</v>
      </c>
      <c r="K2960" s="9" t="str">
        <f>TEXT(Sales_of_Jordan[[#This Row],[Sale_Date]],"mmm")</f>
        <v>Apr</v>
      </c>
    </row>
    <row r="2961" spans="1:11" x14ac:dyDescent="0.35">
      <c r="A2961" s="7" t="s">
        <v>2991</v>
      </c>
      <c r="B2961" s="8">
        <v>45002</v>
      </c>
      <c r="C2961" s="9" t="s">
        <v>27</v>
      </c>
      <c r="D2961" s="9" t="s">
        <v>36</v>
      </c>
      <c r="E2961" s="9" t="s">
        <v>29</v>
      </c>
      <c r="F2961" s="9">
        <v>122</v>
      </c>
      <c r="G2961" s="9">
        <v>177.13</v>
      </c>
      <c r="H2961" s="9" t="s">
        <v>23</v>
      </c>
      <c r="I2961" s="9">
        <v>11</v>
      </c>
      <c r="J2961" s="10">
        <v>55.129999999999903</v>
      </c>
      <c r="K2961" s="9" t="str">
        <f>TEXT(Sales_of_Jordan[[#This Row],[Sale_Date]],"mmm")</f>
        <v>Mar</v>
      </c>
    </row>
    <row r="2962" spans="1:11" x14ac:dyDescent="0.35">
      <c r="A2962" s="7" t="s">
        <v>2992</v>
      </c>
      <c r="B2962" s="8">
        <v>45244</v>
      </c>
      <c r="C2962" s="9" t="s">
        <v>21</v>
      </c>
      <c r="D2962" s="9" t="s">
        <v>46</v>
      </c>
      <c r="E2962" s="9" t="s">
        <v>18</v>
      </c>
      <c r="F2962" s="9">
        <v>214</v>
      </c>
      <c r="G2962" s="9">
        <v>656.5</v>
      </c>
      <c r="H2962" s="9" t="s">
        <v>32</v>
      </c>
      <c r="I2962" s="9">
        <v>55</v>
      </c>
      <c r="J2962" s="10">
        <v>442.5</v>
      </c>
      <c r="K2962" s="9" t="str">
        <f>TEXT(Sales_of_Jordan[[#This Row],[Sale_Date]],"mmm")</f>
        <v>Nov</v>
      </c>
    </row>
    <row r="2963" spans="1:11" x14ac:dyDescent="0.35">
      <c r="A2963" s="7" t="s">
        <v>2993</v>
      </c>
      <c r="B2963" s="8">
        <v>45747</v>
      </c>
      <c r="C2963" s="9" t="s">
        <v>11</v>
      </c>
      <c r="D2963" s="9" t="s">
        <v>12</v>
      </c>
      <c r="E2963" s="9" t="s">
        <v>13</v>
      </c>
      <c r="F2963" s="9">
        <v>229</v>
      </c>
      <c r="G2963" s="9">
        <v>175.27</v>
      </c>
      <c r="H2963" s="9" t="s">
        <v>25</v>
      </c>
      <c r="I2963" s="9">
        <v>58</v>
      </c>
      <c r="J2963" s="10">
        <v>-53.729999999999897</v>
      </c>
      <c r="K2963" s="9" t="str">
        <f>TEXT(Sales_of_Jordan[[#This Row],[Sale_Date]],"mmm")</f>
        <v>Mar</v>
      </c>
    </row>
    <row r="2964" spans="1:11" x14ac:dyDescent="0.35">
      <c r="A2964" s="7" t="s">
        <v>2994</v>
      </c>
      <c r="B2964" s="8">
        <v>45582</v>
      </c>
      <c r="C2964" s="9" t="s">
        <v>31</v>
      </c>
      <c r="D2964" s="9" t="s">
        <v>22</v>
      </c>
      <c r="E2964" s="9" t="s">
        <v>13</v>
      </c>
      <c r="F2964" s="9">
        <v>200</v>
      </c>
      <c r="G2964" s="9">
        <v>106.17</v>
      </c>
      <c r="H2964" s="9" t="s">
        <v>14</v>
      </c>
      <c r="I2964" s="9">
        <v>3</v>
      </c>
      <c r="J2964" s="10">
        <v>-93.83</v>
      </c>
      <c r="K2964" s="9" t="str">
        <f>TEXT(Sales_of_Jordan[[#This Row],[Sale_Date]],"mmm")</f>
        <v>Oct</v>
      </c>
    </row>
    <row r="2965" spans="1:11" x14ac:dyDescent="0.35">
      <c r="A2965" s="7" t="s">
        <v>2995</v>
      </c>
      <c r="B2965" s="8">
        <v>45893</v>
      </c>
      <c r="C2965" s="9" t="s">
        <v>31</v>
      </c>
      <c r="D2965" s="9" t="s">
        <v>46</v>
      </c>
      <c r="E2965" s="9" t="s">
        <v>18</v>
      </c>
      <c r="F2965" s="9">
        <v>209</v>
      </c>
      <c r="G2965" s="9">
        <v>441.94</v>
      </c>
      <c r="H2965" s="9" t="s">
        <v>23</v>
      </c>
      <c r="I2965" s="9">
        <v>23</v>
      </c>
      <c r="J2965" s="10">
        <v>232.94</v>
      </c>
      <c r="K2965" s="9" t="str">
        <f>TEXT(Sales_of_Jordan[[#This Row],[Sale_Date]],"mmm")</f>
        <v>Aug</v>
      </c>
    </row>
    <row r="2966" spans="1:11" x14ac:dyDescent="0.35">
      <c r="A2966" s="7" t="s">
        <v>2996</v>
      </c>
      <c r="B2966" s="8">
        <v>45193</v>
      </c>
      <c r="C2966" s="9" t="s">
        <v>11</v>
      </c>
      <c r="D2966" s="9" t="s">
        <v>17</v>
      </c>
      <c r="E2966" s="9" t="s">
        <v>18</v>
      </c>
      <c r="F2966" s="9">
        <v>227</v>
      </c>
      <c r="G2966" s="9">
        <v>395.39</v>
      </c>
      <c r="H2966" s="9" t="s">
        <v>14</v>
      </c>
      <c r="I2966" s="9">
        <v>2</v>
      </c>
      <c r="J2966" s="10">
        <v>168.39</v>
      </c>
      <c r="K2966" s="9" t="str">
        <f>TEXT(Sales_of_Jordan[[#This Row],[Sale_Date]],"mmm")</f>
        <v>Sep</v>
      </c>
    </row>
    <row r="2967" spans="1:11" x14ac:dyDescent="0.35">
      <c r="A2967" s="7" t="s">
        <v>2997</v>
      </c>
      <c r="B2967" s="8">
        <v>45594</v>
      </c>
      <c r="C2967" s="9" t="s">
        <v>31</v>
      </c>
      <c r="D2967" s="9" t="s">
        <v>34</v>
      </c>
      <c r="E2967" s="9" t="s">
        <v>29</v>
      </c>
      <c r="F2967" s="9">
        <v>206</v>
      </c>
      <c r="G2967" s="9">
        <v>256.24</v>
      </c>
      <c r="H2967" s="9" t="s">
        <v>32</v>
      </c>
      <c r="I2967" s="9">
        <v>42</v>
      </c>
      <c r="J2967" s="10">
        <v>50.24</v>
      </c>
      <c r="K2967" s="9" t="str">
        <f>TEXT(Sales_of_Jordan[[#This Row],[Sale_Date]],"mmm")</f>
        <v>Oct</v>
      </c>
    </row>
    <row r="2968" spans="1:11" x14ac:dyDescent="0.35">
      <c r="A2968" s="7" t="s">
        <v>2998</v>
      </c>
      <c r="B2968" s="8">
        <v>45819</v>
      </c>
      <c r="C2968" s="9" t="s">
        <v>27</v>
      </c>
      <c r="D2968" s="9" t="s">
        <v>39</v>
      </c>
      <c r="E2968" s="9" t="s">
        <v>13</v>
      </c>
      <c r="F2968" s="9">
        <v>119</v>
      </c>
      <c r="G2968" s="9">
        <v>105.83</v>
      </c>
      <c r="H2968" s="9" t="s">
        <v>23</v>
      </c>
      <c r="I2968" s="9">
        <v>23</v>
      </c>
      <c r="J2968" s="10">
        <v>-13.17</v>
      </c>
      <c r="K2968" s="9" t="str">
        <f>TEXT(Sales_of_Jordan[[#This Row],[Sale_Date]],"mmm")</f>
        <v>Jun</v>
      </c>
    </row>
    <row r="2969" spans="1:11" x14ac:dyDescent="0.35">
      <c r="A2969" s="7" t="s">
        <v>2999</v>
      </c>
      <c r="B2969" s="8">
        <v>44974</v>
      </c>
      <c r="C2969" s="9" t="s">
        <v>21</v>
      </c>
      <c r="D2969" s="9" t="s">
        <v>39</v>
      </c>
      <c r="E2969" s="9" t="s">
        <v>18</v>
      </c>
      <c r="F2969" s="9">
        <v>217</v>
      </c>
      <c r="G2969" s="9">
        <v>375.12</v>
      </c>
      <c r="H2969" s="9" t="s">
        <v>19</v>
      </c>
      <c r="I2969" s="9">
        <v>6</v>
      </c>
      <c r="J2969" s="10">
        <v>158.12</v>
      </c>
      <c r="K2969" s="9" t="str">
        <f>TEXT(Sales_of_Jordan[[#This Row],[Sale_Date]],"mmm")</f>
        <v>Feb</v>
      </c>
    </row>
    <row r="2970" spans="1:11" x14ac:dyDescent="0.35">
      <c r="A2970" s="7" t="s">
        <v>3000</v>
      </c>
      <c r="B2970" s="8">
        <v>45323</v>
      </c>
      <c r="C2970" s="9" t="s">
        <v>27</v>
      </c>
      <c r="D2970" s="9" t="s">
        <v>36</v>
      </c>
      <c r="E2970" s="9" t="s">
        <v>13</v>
      </c>
      <c r="F2970" s="9">
        <v>136</v>
      </c>
      <c r="G2970" s="9">
        <v>73.53</v>
      </c>
      <c r="H2970" s="9" t="s">
        <v>25</v>
      </c>
      <c r="I2970" s="9">
        <v>16</v>
      </c>
      <c r="J2970" s="10">
        <v>-62.47</v>
      </c>
      <c r="K2970" s="9" t="str">
        <f>TEXT(Sales_of_Jordan[[#This Row],[Sale_Date]],"mmm")</f>
        <v>Feb</v>
      </c>
    </row>
    <row r="2971" spans="1:11" x14ac:dyDescent="0.35">
      <c r="A2971" s="7" t="s">
        <v>3001</v>
      </c>
      <c r="B2971" s="8">
        <v>45387</v>
      </c>
      <c r="C2971" s="9" t="s">
        <v>11</v>
      </c>
      <c r="D2971" s="9" t="s">
        <v>34</v>
      </c>
      <c r="E2971" s="9" t="s">
        <v>29</v>
      </c>
      <c r="F2971" s="9">
        <v>227</v>
      </c>
      <c r="G2971" s="9">
        <v>220.74</v>
      </c>
      <c r="H2971" s="9" t="s">
        <v>14</v>
      </c>
      <c r="I2971" s="9">
        <v>5</v>
      </c>
      <c r="J2971" s="10">
        <v>-6.25999999999999</v>
      </c>
      <c r="K2971" s="9" t="str">
        <f>TEXT(Sales_of_Jordan[[#This Row],[Sale_Date]],"mmm")</f>
        <v>Apr</v>
      </c>
    </row>
    <row r="2972" spans="1:11" x14ac:dyDescent="0.35">
      <c r="A2972" s="7" t="s">
        <v>3002</v>
      </c>
      <c r="B2972" s="8">
        <v>45618</v>
      </c>
      <c r="C2972" s="9" t="s">
        <v>21</v>
      </c>
      <c r="D2972" s="9" t="s">
        <v>39</v>
      </c>
      <c r="E2972" s="9" t="s">
        <v>29</v>
      </c>
      <c r="F2972" s="9">
        <v>212</v>
      </c>
      <c r="G2972" s="9">
        <v>204.08</v>
      </c>
      <c r="H2972" s="9" t="s">
        <v>25</v>
      </c>
      <c r="I2972" s="9">
        <v>13</v>
      </c>
      <c r="J2972" s="10">
        <v>-7.9199999999999804</v>
      </c>
      <c r="K2972" s="9" t="str">
        <f>TEXT(Sales_of_Jordan[[#This Row],[Sale_Date]],"mmm")</f>
        <v>Nov</v>
      </c>
    </row>
    <row r="2973" spans="1:11" x14ac:dyDescent="0.35">
      <c r="A2973" s="7" t="s">
        <v>3003</v>
      </c>
      <c r="B2973" s="8">
        <v>45182</v>
      </c>
      <c r="C2973" s="9" t="s">
        <v>21</v>
      </c>
      <c r="D2973" s="9" t="s">
        <v>46</v>
      </c>
      <c r="E2973" s="9" t="s">
        <v>29</v>
      </c>
      <c r="F2973" s="9">
        <v>221</v>
      </c>
      <c r="G2973" s="9">
        <v>296.27</v>
      </c>
      <c r="H2973" s="9" t="s">
        <v>32</v>
      </c>
      <c r="I2973" s="9">
        <v>20</v>
      </c>
      <c r="J2973" s="10">
        <v>75.269999999999897</v>
      </c>
      <c r="K2973" s="9" t="str">
        <f>TEXT(Sales_of_Jordan[[#This Row],[Sale_Date]],"mmm")</f>
        <v>Sep</v>
      </c>
    </row>
    <row r="2974" spans="1:11" x14ac:dyDescent="0.35">
      <c r="A2974" s="7" t="s">
        <v>3004</v>
      </c>
      <c r="B2974" s="8">
        <v>45111</v>
      </c>
      <c r="C2974" s="9" t="s">
        <v>11</v>
      </c>
      <c r="D2974" s="9" t="s">
        <v>46</v>
      </c>
      <c r="E2974" s="9" t="s">
        <v>18</v>
      </c>
      <c r="F2974" s="9">
        <v>229</v>
      </c>
      <c r="G2974" s="9">
        <v>723.52</v>
      </c>
      <c r="H2974" s="9" t="s">
        <v>14</v>
      </c>
      <c r="I2974" s="9">
        <v>7</v>
      </c>
      <c r="J2974" s="10">
        <v>494.52</v>
      </c>
      <c r="K2974" s="9" t="str">
        <f>TEXT(Sales_of_Jordan[[#This Row],[Sale_Date]],"mmm")</f>
        <v>Jul</v>
      </c>
    </row>
    <row r="2975" spans="1:11" x14ac:dyDescent="0.35">
      <c r="A2975" s="7" t="s">
        <v>3005</v>
      </c>
      <c r="B2975" s="8">
        <v>45462</v>
      </c>
      <c r="C2975" s="9" t="s">
        <v>27</v>
      </c>
      <c r="D2975" s="9" t="s">
        <v>39</v>
      </c>
      <c r="E2975" s="9" t="s">
        <v>13</v>
      </c>
      <c r="F2975" s="9">
        <v>135</v>
      </c>
      <c r="G2975" s="9">
        <v>112.83</v>
      </c>
      <c r="H2975" s="9" t="s">
        <v>23</v>
      </c>
      <c r="I2975" s="9">
        <v>58</v>
      </c>
      <c r="J2975" s="10">
        <v>-22.17</v>
      </c>
      <c r="K2975" s="9" t="str">
        <f>TEXT(Sales_of_Jordan[[#This Row],[Sale_Date]],"mmm")</f>
        <v>Jun</v>
      </c>
    </row>
    <row r="2976" spans="1:11" x14ac:dyDescent="0.35">
      <c r="A2976" s="7" t="s">
        <v>3006</v>
      </c>
      <c r="B2976" s="8">
        <v>45718</v>
      </c>
      <c r="C2976" s="9" t="s">
        <v>31</v>
      </c>
      <c r="D2976" s="9" t="s">
        <v>22</v>
      </c>
      <c r="E2976" s="9" t="s">
        <v>18</v>
      </c>
      <c r="F2976" s="9">
        <v>204</v>
      </c>
      <c r="G2976" s="9">
        <v>363.79</v>
      </c>
      <c r="H2976" s="9" t="s">
        <v>32</v>
      </c>
      <c r="I2976" s="9">
        <v>34</v>
      </c>
      <c r="J2976" s="10">
        <v>159.79</v>
      </c>
      <c r="K2976" s="9" t="str">
        <f>TEXT(Sales_of_Jordan[[#This Row],[Sale_Date]],"mmm")</f>
        <v>Mar</v>
      </c>
    </row>
    <row r="2977" spans="1:11" x14ac:dyDescent="0.35">
      <c r="A2977" s="7" t="s">
        <v>3007</v>
      </c>
      <c r="B2977" s="8">
        <v>44984</v>
      </c>
      <c r="C2977" s="9" t="s">
        <v>21</v>
      </c>
      <c r="D2977" s="9" t="s">
        <v>22</v>
      </c>
      <c r="E2977" s="9" t="s">
        <v>29</v>
      </c>
      <c r="F2977" s="9">
        <v>220</v>
      </c>
      <c r="G2977" s="9">
        <v>206.87</v>
      </c>
      <c r="H2977" s="9" t="s">
        <v>32</v>
      </c>
      <c r="I2977" s="9">
        <v>11</v>
      </c>
      <c r="J2977" s="10">
        <v>-13.1299999999999</v>
      </c>
      <c r="K2977" s="9" t="str">
        <f>TEXT(Sales_of_Jordan[[#This Row],[Sale_Date]],"mmm")</f>
        <v>Feb</v>
      </c>
    </row>
    <row r="2978" spans="1:11" x14ac:dyDescent="0.35">
      <c r="A2978" s="7" t="s">
        <v>3008</v>
      </c>
      <c r="B2978" s="8">
        <v>45184</v>
      </c>
      <c r="C2978" s="9" t="s">
        <v>11</v>
      </c>
      <c r="D2978" s="9" t="s">
        <v>34</v>
      </c>
      <c r="E2978" s="9" t="s">
        <v>13</v>
      </c>
      <c r="F2978" s="9">
        <v>228</v>
      </c>
      <c r="G2978" s="9">
        <v>197.35</v>
      </c>
      <c r="H2978" s="9" t="s">
        <v>23</v>
      </c>
      <c r="I2978" s="9">
        <v>46</v>
      </c>
      <c r="J2978" s="10">
        <v>-30.65</v>
      </c>
      <c r="K2978" s="9" t="str">
        <f>TEXT(Sales_of_Jordan[[#This Row],[Sale_Date]],"mmm")</f>
        <v>Sep</v>
      </c>
    </row>
    <row r="2979" spans="1:11" x14ac:dyDescent="0.35">
      <c r="A2979" s="7" t="s">
        <v>3009</v>
      </c>
      <c r="B2979" s="8">
        <v>45779</v>
      </c>
      <c r="C2979" s="9" t="s">
        <v>31</v>
      </c>
      <c r="D2979" s="9" t="s">
        <v>12</v>
      </c>
      <c r="E2979" s="9" t="s">
        <v>29</v>
      </c>
      <c r="F2979" s="9">
        <v>209</v>
      </c>
      <c r="G2979" s="9">
        <v>295.08999999999997</v>
      </c>
      <c r="H2979" s="9" t="s">
        <v>23</v>
      </c>
      <c r="I2979" s="9">
        <v>8</v>
      </c>
      <c r="J2979" s="10">
        <v>86.089999999999904</v>
      </c>
      <c r="K2979" s="9" t="str">
        <f>TEXT(Sales_of_Jordan[[#This Row],[Sale_Date]],"mmm")</f>
        <v>May</v>
      </c>
    </row>
    <row r="2980" spans="1:11" x14ac:dyDescent="0.35">
      <c r="A2980" s="7" t="s">
        <v>3010</v>
      </c>
      <c r="B2980" s="8">
        <v>45607</v>
      </c>
      <c r="C2980" s="9" t="s">
        <v>31</v>
      </c>
      <c r="D2980" s="9" t="s">
        <v>22</v>
      </c>
      <c r="E2980" s="9" t="s">
        <v>13</v>
      </c>
      <c r="F2980" s="9">
        <v>208</v>
      </c>
      <c r="G2980" s="9">
        <v>110.67</v>
      </c>
      <c r="H2980" s="9" t="s">
        <v>23</v>
      </c>
      <c r="I2980" s="9">
        <v>55</v>
      </c>
      <c r="J2980" s="10">
        <v>-97.33</v>
      </c>
      <c r="K2980" s="9" t="str">
        <f>TEXT(Sales_of_Jordan[[#This Row],[Sale_Date]],"mmm")</f>
        <v>Nov</v>
      </c>
    </row>
    <row r="2981" spans="1:11" x14ac:dyDescent="0.35">
      <c r="A2981" s="7" t="s">
        <v>3011</v>
      </c>
      <c r="B2981" s="8">
        <v>45248</v>
      </c>
      <c r="C2981" s="9" t="s">
        <v>21</v>
      </c>
      <c r="D2981" s="9" t="s">
        <v>53</v>
      </c>
      <c r="E2981" s="9" t="s">
        <v>29</v>
      </c>
      <c r="F2981" s="9">
        <v>218</v>
      </c>
      <c r="G2981" s="9">
        <v>283.89999999999998</v>
      </c>
      <c r="H2981" s="9" t="s">
        <v>25</v>
      </c>
      <c r="I2981" s="9">
        <v>45</v>
      </c>
      <c r="J2981" s="10">
        <v>65.899999999999906</v>
      </c>
      <c r="K2981" s="9" t="str">
        <f>TEXT(Sales_of_Jordan[[#This Row],[Sale_Date]],"mmm")</f>
        <v>Nov</v>
      </c>
    </row>
    <row r="2982" spans="1:11" x14ac:dyDescent="0.35">
      <c r="A2982" s="7" t="s">
        <v>3012</v>
      </c>
      <c r="B2982" s="8">
        <v>44971</v>
      </c>
      <c r="C2982" s="9" t="s">
        <v>21</v>
      </c>
      <c r="D2982" s="9" t="s">
        <v>39</v>
      </c>
      <c r="E2982" s="9" t="s">
        <v>29</v>
      </c>
      <c r="F2982" s="9">
        <v>224</v>
      </c>
      <c r="G2982" s="9">
        <v>226.94</v>
      </c>
      <c r="H2982" s="9" t="s">
        <v>23</v>
      </c>
      <c r="I2982" s="9">
        <v>43</v>
      </c>
      <c r="J2982" s="10">
        <v>2.9399999999999902</v>
      </c>
      <c r="K2982" s="9" t="str">
        <f>TEXT(Sales_of_Jordan[[#This Row],[Sale_Date]],"mmm")</f>
        <v>Feb</v>
      </c>
    </row>
    <row r="2983" spans="1:11" x14ac:dyDescent="0.35">
      <c r="A2983" s="7" t="s">
        <v>3013</v>
      </c>
      <c r="B2983" s="8">
        <v>45450</v>
      </c>
      <c r="C2983" s="9" t="s">
        <v>27</v>
      </c>
      <c r="D2983" s="9" t="s">
        <v>39</v>
      </c>
      <c r="E2983" s="9" t="s">
        <v>13</v>
      </c>
      <c r="F2983" s="9">
        <v>117</v>
      </c>
      <c r="G2983" s="9">
        <v>91.24</v>
      </c>
      <c r="H2983" s="9" t="s">
        <v>32</v>
      </c>
      <c r="I2983" s="9">
        <v>25</v>
      </c>
      <c r="J2983" s="10">
        <v>-25.76</v>
      </c>
      <c r="K2983" s="9" t="str">
        <f>TEXT(Sales_of_Jordan[[#This Row],[Sale_Date]],"mmm")</f>
        <v>Jun</v>
      </c>
    </row>
    <row r="2984" spans="1:11" x14ac:dyDescent="0.35">
      <c r="A2984" s="7" t="s">
        <v>3014</v>
      </c>
      <c r="B2984" s="8">
        <v>45619</v>
      </c>
      <c r="C2984" s="9" t="s">
        <v>11</v>
      </c>
      <c r="D2984" s="9" t="s">
        <v>34</v>
      </c>
      <c r="E2984" s="9" t="s">
        <v>29</v>
      </c>
      <c r="F2984" s="9">
        <v>228</v>
      </c>
      <c r="G2984" s="9">
        <v>331.93</v>
      </c>
      <c r="H2984" s="9" t="s">
        <v>32</v>
      </c>
      <c r="I2984" s="9">
        <v>22</v>
      </c>
      <c r="J2984" s="10">
        <v>103.93</v>
      </c>
      <c r="K2984" s="9" t="str">
        <f>TEXT(Sales_of_Jordan[[#This Row],[Sale_Date]],"mmm")</f>
        <v>Nov</v>
      </c>
    </row>
    <row r="2985" spans="1:11" x14ac:dyDescent="0.35">
      <c r="A2985" s="7" t="s">
        <v>3015</v>
      </c>
      <c r="B2985" s="8">
        <v>45277</v>
      </c>
      <c r="C2985" s="9" t="s">
        <v>27</v>
      </c>
      <c r="D2985" s="9" t="s">
        <v>12</v>
      </c>
      <c r="E2985" s="9" t="s">
        <v>18</v>
      </c>
      <c r="F2985" s="9">
        <v>112</v>
      </c>
      <c r="G2985" s="9">
        <v>377.99</v>
      </c>
      <c r="H2985" s="9" t="s">
        <v>19</v>
      </c>
      <c r="I2985" s="9">
        <v>11</v>
      </c>
      <c r="J2985" s="10">
        <v>265.99</v>
      </c>
      <c r="K2985" s="9" t="str">
        <f>TEXT(Sales_of_Jordan[[#This Row],[Sale_Date]],"mmm")</f>
        <v>Dec</v>
      </c>
    </row>
    <row r="2986" spans="1:11" x14ac:dyDescent="0.35">
      <c r="A2986" s="7" t="s">
        <v>3016</v>
      </c>
      <c r="B2986" s="8">
        <v>45176</v>
      </c>
      <c r="C2986" s="9" t="s">
        <v>16</v>
      </c>
      <c r="D2986" s="9" t="s">
        <v>46</v>
      </c>
      <c r="E2986" s="9" t="s">
        <v>13</v>
      </c>
      <c r="F2986" s="9">
        <v>179</v>
      </c>
      <c r="G2986" s="9">
        <v>122.37</v>
      </c>
      <c r="H2986" s="9" t="s">
        <v>25</v>
      </c>
      <c r="I2986" s="9">
        <v>11</v>
      </c>
      <c r="J2986" s="10">
        <v>-56.629999999999903</v>
      </c>
      <c r="K2986" s="9" t="str">
        <f>TEXT(Sales_of_Jordan[[#This Row],[Sale_Date]],"mmm")</f>
        <v>Sep</v>
      </c>
    </row>
    <row r="2987" spans="1:11" x14ac:dyDescent="0.35">
      <c r="A2987" s="7" t="s">
        <v>3017</v>
      </c>
      <c r="B2987" s="8">
        <v>45350</v>
      </c>
      <c r="C2987" s="9" t="s">
        <v>11</v>
      </c>
      <c r="D2987" s="9" t="s">
        <v>36</v>
      </c>
      <c r="E2987" s="9" t="s">
        <v>18</v>
      </c>
      <c r="F2987" s="9">
        <v>227</v>
      </c>
      <c r="G2987" s="9">
        <v>482.95</v>
      </c>
      <c r="H2987" s="9" t="s">
        <v>32</v>
      </c>
      <c r="I2987" s="9">
        <v>23</v>
      </c>
      <c r="J2987" s="10">
        <v>255.95</v>
      </c>
      <c r="K2987" s="9" t="str">
        <f>TEXT(Sales_of_Jordan[[#This Row],[Sale_Date]],"mmm")</f>
        <v>Feb</v>
      </c>
    </row>
    <row r="2988" spans="1:11" x14ac:dyDescent="0.35">
      <c r="A2988" s="7" t="s">
        <v>3018</v>
      </c>
      <c r="B2988" s="8">
        <v>45074</v>
      </c>
      <c r="C2988" s="9" t="s">
        <v>16</v>
      </c>
      <c r="D2988" s="9" t="s">
        <v>55</v>
      </c>
      <c r="E2988" s="9" t="s">
        <v>18</v>
      </c>
      <c r="F2988" s="9">
        <v>171</v>
      </c>
      <c r="G2988" s="9">
        <v>472.68</v>
      </c>
      <c r="H2988" s="9" t="s">
        <v>25</v>
      </c>
      <c r="I2988" s="9">
        <v>52</v>
      </c>
      <c r="J2988" s="10">
        <v>301.68</v>
      </c>
      <c r="K2988" s="9" t="str">
        <f>TEXT(Sales_of_Jordan[[#This Row],[Sale_Date]],"mmm")</f>
        <v>May</v>
      </c>
    </row>
    <row r="2989" spans="1:11" x14ac:dyDescent="0.35">
      <c r="A2989" s="7" t="s">
        <v>3019</v>
      </c>
      <c r="B2989" s="8">
        <v>45203</v>
      </c>
      <c r="C2989" s="9" t="s">
        <v>31</v>
      </c>
      <c r="D2989" s="9" t="s">
        <v>22</v>
      </c>
      <c r="E2989" s="9" t="s">
        <v>29</v>
      </c>
      <c r="F2989" s="9">
        <v>208</v>
      </c>
      <c r="G2989" s="9">
        <v>213.43</v>
      </c>
      <c r="H2989" s="9" t="s">
        <v>25</v>
      </c>
      <c r="I2989" s="9">
        <v>26</v>
      </c>
      <c r="J2989" s="10">
        <v>5.43</v>
      </c>
      <c r="K2989" s="9" t="str">
        <f>TEXT(Sales_of_Jordan[[#This Row],[Sale_Date]],"mmm")</f>
        <v>Oct</v>
      </c>
    </row>
    <row r="2990" spans="1:11" x14ac:dyDescent="0.35">
      <c r="A2990" s="7" t="s">
        <v>3020</v>
      </c>
      <c r="B2990" s="8">
        <v>45346</v>
      </c>
      <c r="C2990" s="9" t="s">
        <v>11</v>
      </c>
      <c r="D2990" s="9" t="s">
        <v>22</v>
      </c>
      <c r="E2990" s="9" t="s">
        <v>18</v>
      </c>
      <c r="F2990" s="9">
        <v>226</v>
      </c>
      <c r="G2990" s="9">
        <v>535.33000000000004</v>
      </c>
      <c r="H2990" s="9" t="s">
        <v>14</v>
      </c>
      <c r="I2990" s="9">
        <v>12</v>
      </c>
      <c r="J2990" s="10">
        <v>309.33</v>
      </c>
      <c r="K2990" s="9" t="str">
        <f>TEXT(Sales_of_Jordan[[#This Row],[Sale_Date]],"mmm")</f>
        <v>Feb</v>
      </c>
    </row>
    <row r="2991" spans="1:11" x14ac:dyDescent="0.35">
      <c r="A2991" s="7" t="s">
        <v>3021</v>
      </c>
      <c r="B2991" s="8">
        <v>45343</v>
      </c>
      <c r="C2991" s="9" t="s">
        <v>11</v>
      </c>
      <c r="D2991" s="9" t="s">
        <v>53</v>
      </c>
      <c r="E2991" s="9" t="s">
        <v>18</v>
      </c>
      <c r="F2991" s="9">
        <v>225</v>
      </c>
      <c r="G2991" s="9">
        <v>363.61</v>
      </c>
      <c r="H2991" s="9" t="s">
        <v>19</v>
      </c>
      <c r="I2991" s="9">
        <v>12</v>
      </c>
      <c r="J2991" s="10">
        <v>138.61000000000001</v>
      </c>
      <c r="K2991" s="9" t="str">
        <f>TEXT(Sales_of_Jordan[[#This Row],[Sale_Date]],"mmm")</f>
        <v>Feb</v>
      </c>
    </row>
    <row r="2992" spans="1:11" x14ac:dyDescent="0.35">
      <c r="A2992" s="7" t="s">
        <v>3022</v>
      </c>
      <c r="B2992" s="8">
        <v>45483</v>
      </c>
      <c r="C2992" s="9" t="s">
        <v>27</v>
      </c>
      <c r="D2992" s="9" t="s">
        <v>39</v>
      </c>
      <c r="E2992" s="9" t="s">
        <v>18</v>
      </c>
      <c r="F2992" s="9">
        <v>115</v>
      </c>
      <c r="G2992" s="9">
        <v>222.1</v>
      </c>
      <c r="H2992" s="9" t="s">
        <v>23</v>
      </c>
      <c r="I2992" s="9">
        <v>36</v>
      </c>
      <c r="J2992" s="10">
        <v>107.1</v>
      </c>
      <c r="K2992" s="9" t="str">
        <f>TEXT(Sales_of_Jordan[[#This Row],[Sale_Date]],"mmm")</f>
        <v>Jul</v>
      </c>
    </row>
    <row r="2993" spans="1:11" x14ac:dyDescent="0.35">
      <c r="A2993" s="7" t="s">
        <v>3023</v>
      </c>
      <c r="B2993" s="8">
        <v>45183</v>
      </c>
      <c r="C2993" s="9" t="s">
        <v>31</v>
      </c>
      <c r="D2993" s="9" t="s">
        <v>22</v>
      </c>
      <c r="E2993" s="9" t="s">
        <v>29</v>
      </c>
      <c r="F2993" s="9">
        <v>203</v>
      </c>
      <c r="G2993" s="9">
        <v>212.61</v>
      </c>
      <c r="H2993" s="9" t="s">
        <v>14</v>
      </c>
      <c r="I2993" s="9">
        <v>10</v>
      </c>
      <c r="J2993" s="10">
        <v>9.6100000000000101</v>
      </c>
      <c r="K2993" s="9" t="str">
        <f>TEXT(Sales_of_Jordan[[#This Row],[Sale_Date]],"mmm")</f>
        <v>Sep</v>
      </c>
    </row>
    <row r="2994" spans="1:11" x14ac:dyDescent="0.35">
      <c r="A2994" s="7" t="s">
        <v>3024</v>
      </c>
      <c r="B2994" s="8">
        <v>45396</v>
      </c>
      <c r="C2994" s="9" t="s">
        <v>16</v>
      </c>
      <c r="D2994" s="9" t="s">
        <v>53</v>
      </c>
      <c r="E2994" s="9" t="s">
        <v>29</v>
      </c>
      <c r="F2994" s="9">
        <v>178</v>
      </c>
      <c r="G2994" s="9">
        <v>235.14</v>
      </c>
      <c r="H2994" s="9" t="s">
        <v>23</v>
      </c>
      <c r="I2994" s="9">
        <v>37</v>
      </c>
      <c r="J2994" s="10">
        <v>57.139999999999901</v>
      </c>
      <c r="K2994" s="9" t="str">
        <f>TEXT(Sales_of_Jordan[[#This Row],[Sale_Date]],"mmm")</f>
        <v>Apr</v>
      </c>
    </row>
    <row r="2995" spans="1:11" x14ac:dyDescent="0.35">
      <c r="A2995" s="7" t="s">
        <v>3025</v>
      </c>
      <c r="B2995" s="8">
        <v>45336</v>
      </c>
      <c r="C2995" s="9" t="s">
        <v>27</v>
      </c>
      <c r="D2995" s="9" t="s">
        <v>12</v>
      </c>
      <c r="E2995" s="9" t="s">
        <v>18</v>
      </c>
      <c r="F2995" s="9">
        <v>113</v>
      </c>
      <c r="G2995" s="9">
        <v>230.16</v>
      </c>
      <c r="H2995" s="9" t="s">
        <v>23</v>
      </c>
      <c r="I2995" s="9">
        <v>56</v>
      </c>
      <c r="J2995" s="10">
        <v>117.16</v>
      </c>
      <c r="K2995" s="9" t="str">
        <f>TEXT(Sales_of_Jordan[[#This Row],[Sale_Date]],"mmm")</f>
        <v>Feb</v>
      </c>
    </row>
    <row r="2996" spans="1:11" x14ac:dyDescent="0.35">
      <c r="A2996" s="7" t="s">
        <v>3026</v>
      </c>
      <c r="B2996" s="8">
        <v>45316</v>
      </c>
      <c r="C2996" s="9" t="s">
        <v>11</v>
      </c>
      <c r="D2996" s="9" t="s">
        <v>46</v>
      </c>
      <c r="E2996" s="9" t="s">
        <v>18</v>
      </c>
      <c r="F2996" s="9">
        <v>225</v>
      </c>
      <c r="G2996" s="9">
        <v>445.75</v>
      </c>
      <c r="H2996" s="9" t="s">
        <v>19</v>
      </c>
      <c r="I2996" s="9">
        <v>3</v>
      </c>
      <c r="J2996" s="10">
        <v>220.75</v>
      </c>
      <c r="K2996" s="9" t="str">
        <f>TEXT(Sales_of_Jordan[[#This Row],[Sale_Date]],"mmm")</f>
        <v>Jan</v>
      </c>
    </row>
    <row r="2997" spans="1:11" x14ac:dyDescent="0.35">
      <c r="A2997" s="7" t="s">
        <v>3027</v>
      </c>
      <c r="B2997" s="8">
        <v>45205</v>
      </c>
      <c r="C2997" s="9" t="s">
        <v>31</v>
      </c>
      <c r="D2997" s="9" t="s">
        <v>36</v>
      </c>
      <c r="E2997" s="9" t="s">
        <v>13</v>
      </c>
      <c r="F2997" s="9">
        <v>206</v>
      </c>
      <c r="G2997" s="9">
        <v>124.46</v>
      </c>
      <c r="H2997" s="9" t="s">
        <v>14</v>
      </c>
      <c r="I2997" s="9">
        <v>5</v>
      </c>
      <c r="J2997" s="10">
        <v>-81.540000000000006</v>
      </c>
      <c r="K2997" s="9" t="str">
        <f>TEXT(Sales_of_Jordan[[#This Row],[Sale_Date]],"mmm")</f>
        <v>Oct</v>
      </c>
    </row>
    <row r="2998" spans="1:11" x14ac:dyDescent="0.35">
      <c r="A2998" s="7" t="s">
        <v>3028</v>
      </c>
      <c r="B2998" s="8">
        <v>45161</v>
      </c>
      <c r="C2998" s="9" t="s">
        <v>21</v>
      </c>
      <c r="D2998" s="9" t="s">
        <v>53</v>
      </c>
      <c r="E2998" s="9" t="s">
        <v>18</v>
      </c>
      <c r="F2998" s="9">
        <v>221</v>
      </c>
      <c r="G2998" s="9">
        <v>621.16</v>
      </c>
      <c r="H2998" s="9" t="s">
        <v>14</v>
      </c>
      <c r="I2998" s="9">
        <v>3</v>
      </c>
      <c r="J2998" s="10">
        <v>400.159999999999</v>
      </c>
      <c r="K2998" s="9" t="str">
        <f>TEXT(Sales_of_Jordan[[#This Row],[Sale_Date]],"mmm")</f>
        <v>Aug</v>
      </c>
    </row>
    <row r="2999" spans="1:11" x14ac:dyDescent="0.35">
      <c r="A2999" s="7" t="s">
        <v>3029</v>
      </c>
      <c r="B2999" s="8">
        <v>45758</v>
      </c>
      <c r="C2999" s="9" t="s">
        <v>27</v>
      </c>
      <c r="D2999" s="9" t="s">
        <v>22</v>
      </c>
      <c r="E2999" s="9" t="s">
        <v>29</v>
      </c>
      <c r="F2999" s="9">
        <v>119</v>
      </c>
      <c r="G2999" s="9">
        <v>147.66</v>
      </c>
      <c r="H2999" s="9" t="s">
        <v>25</v>
      </c>
      <c r="I2999" s="9">
        <v>29</v>
      </c>
      <c r="J2999" s="10">
        <v>28.659999999999901</v>
      </c>
      <c r="K2999" s="9" t="str">
        <f>TEXT(Sales_of_Jordan[[#This Row],[Sale_Date]],"mmm")</f>
        <v>Apr</v>
      </c>
    </row>
    <row r="3000" spans="1:11" x14ac:dyDescent="0.35">
      <c r="A3000" s="7" t="s">
        <v>3030</v>
      </c>
      <c r="B3000" s="8">
        <v>45399</v>
      </c>
      <c r="C3000" s="9" t="s">
        <v>21</v>
      </c>
      <c r="D3000" s="9" t="s">
        <v>36</v>
      </c>
      <c r="E3000" s="9" t="s">
        <v>29</v>
      </c>
      <c r="F3000" s="9">
        <v>212</v>
      </c>
      <c r="G3000" s="9">
        <v>309.58999999999997</v>
      </c>
      <c r="H3000" s="9" t="s">
        <v>14</v>
      </c>
      <c r="I3000" s="9">
        <v>9</v>
      </c>
      <c r="J3000" s="10">
        <v>97.589999999999904</v>
      </c>
      <c r="K3000" s="9" t="str">
        <f>TEXT(Sales_of_Jordan[[#This Row],[Sale_Date]],"mmm")</f>
        <v>Apr</v>
      </c>
    </row>
    <row r="3001" spans="1:11" x14ac:dyDescent="0.35">
      <c r="A3001" s="7" t="s">
        <v>3031</v>
      </c>
      <c r="B3001" s="8">
        <v>45647</v>
      </c>
      <c r="C3001" s="9" t="s">
        <v>21</v>
      </c>
      <c r="D3001" s="9" t="s">
        <v>34</v>
      </c>
      <c r="E3001" s="9" t="s">
        <v>13</v>
      </c>
      <c r="F3001" s="9">
        <v>224</v>
      </c>
      <c r="G3001" s="9">
        <v>134.99</v>
      </c>
      <c r="H3001" s="9" t="s">
        <v>32</v>
      </c>
      <c r="I3001" s="9">
        <v>58</v>
      </c>
      <c r="J3001" s="10">
        <v>-89.009999999999906</v>
      </c>
      <c r="K3001" s="9" t="str">
        <f>TEXT(Sales_of_Jordan[[#This Row],[Sale_Date]],"mmm")</f>
        <v>Dec</v>
      </c>
    </row>
    <row r="3002" spans="1:11" x14ac:dyDescent="0.35">
      <c r="A3002" s="7" t="s">
        <v>3032</v>
      </c>
      <c r="B3002" s="8">
        <v>45267</v>
      </c>
      <c r="C3002" s="9" t="s">
        <v>21</v>
      </c>
      <c r="D3002" s="9" t="s">
        <v>36</v>
      </c>
      <c r="E3002" s="9" t="s">
        <v>29</v>
      </c>
      <c r="F3002" s="9">
        <v>212</v>
      </c>
      <c r="G3002" s="9">
        <v>228.85</v>
      </c>
      <c r="H3002" s="9" t="s">
        <v>19</v>
      </c>
      <c r="I3002" s="9">
        <v>6</v>
      </c>
      <c r="J3002" s="10">
        <v>16.849999999999898</v>
      </c>
      <c r="K3002" s="9" t="str">
        <f>TEXT(Sales_of_Jordan[[#This Row],[Sale_Date]],"mmm")</f>
        <v>Dec</v>
      </c>
    </row>
    <row r="3003" spans="1:11" x14ac:dyDescent="0.35">
      <c r="A3003" s="7" t="s">
        <v>3033</v>
      </c>
      <c r="B3003" s="8">
        <v>45219</v>
      </c>
      <c r="C3003" s="9" t="s">
        <v>21</v>
      </c>
      <c r="D3003" s="9" t="s">
        <v>39</v>
      </c>
      <c r="E3003" s="9" t="s">
        <v>29</v>
      </c>
      <c r="F3003" s="9">
        <v>217</v>
      </c>
      <c r="G3003" s="9">
        <v>250.76</v>
      </c>
      <c r="H3003" s="9" t="s">
        <v>32</v>
      </c>
      <c r="I3003" s="9">
        <v>21</v>
      </c>
      <c r="J3003" s="10">
        <v>33.759999999999899</v>
      </c>
      <c r="K3003" s="9" t="str">
        <f>TEXT(Sales_of_Jordan[[#This Row],[Sale_Date]],"mmm")</f>
        <v>Oct</v>
      </c>
    </row>
    <row r="3004" spans="1:11" x14ac:dyDescent="0.35">
      <c r="A3004" s="7" t="s">
        <v>3034</v>
      </c>
      <c r="B3004" s="8">
        <v>45863</v>
      </c>
      <c r="C3004" s="9" t="s">
        <v>27</v>
      </c>
      <c r="D3004" s="9" t="s">
        <v>39</v>
      </c>
      <c r="E3004" s="9" t="s">
        <v>29</v>
      </c>
      <c r="F3004" s="9">
        <v>127</v>
      </c>
      <c r="G3004" s="9">
        <v>142.07</v>
      </c>
      <c r="H3004" s="9" t="s">
        <v>32</v>
      </c>
      <c r="I3004" s="9">
        <v>53</v>
      </c>
      <c r="J3004" s="10">
        <v>15.069999999999901</v>
      </c>
      <c r="K3004" s="9" t="str">
        <f>TEXT(Sales_of_Jordan[[#This Row],[Sale_Date]],"mmm")</f>
        <v>Jul</v>
      </c>
    </row>
    <row r="3005" spans="1:11" x14ac:dyDescent="0.35">
      <c r="A3005" s="7" t="s">
        <v>3035</v>
      </c>
      <c r="B3005" s="8">
        <v>45460</v>
      </c>
      <c r="C3005" s="9" t="s">
        <v>31</v>
      </c>
      <c r="D3005" s="9" t="s">
        <v>39</v>
      </c>
      <c r="E3005" s="9" t="s">
        <v>29</v>
      </c>
      <c r="F3005" s="9">
        <v>207</v>
      </c>
      <c r="G3005" s="9">
        <v>186.77</v>
      </c>
      <c r="H3005" s="9" t="s">
        <v>25</v>
      </c>
      <c r="I3005" s="9">
        <v>37</v>
      </c>
      <c r="J3005" s="10">
        <v>-20.229999999999901</v>
      </c>
      <c r="K3005" s="9" t="str">
        <f>TEXT(Sales_of_Jordan[[#This Row],[Sale_Date]],"mmm")</f>
        <v>Jun</v>
      </c>
    </row>
    <row r="3006" spans="1:11" x14ac:dyDescent="0.35">
      <c r="A3006" s="7" t="s">
        <v>3036</v>
      </c>
      <c r="B3006" s="8">
        <v>45054</v>
      </c>
      <c r="C3006" s="9" t="s">
        <v>31</v>
      </c>
      <c r="D3006" s="9" t="s">
        <v>53</v>
      </c>
      <c r="E3006" s="9" t="s">
        <v>29</v>
      </c>
      <c r="F3006" s="9">
        <v>206</v>
      </c>
      <c r="G3006" s="9">
        <v>291.7</v>
      </c>
      <c r="H3006" s="9" t="s">
        <v>25</v>
      </c>
      <c r="I3006" s="9">
        <v>16</v>
      </c>
      <c r="J3006" s="10">
        <v>85.699999999999903</v>
      </c>
      <c r="K3006" s="9" t="str">
        <f>TEXT(Sales_of_Jordan[[#This Row],[Sale_Date]],"mmm")</f>
        <v>May</v>
      </c>
    </row>
    <row r="3007" spans="1:11" x14ac:dyDescent="0.35">
      <c r="A3007" s="7" t="s">
        <v>3037</v>
      </c>
      <c r="B3007" s="8">
        <v>45266</v>
      </c>
      <c r="C3007" s="9" t="s">
        <v>27</v>
      </c>
      <c r="D3007" s="9" t="s">
        <v>36</v>
      </c>
      <c r="E3007" s="9" t="s">
        <v>29</v>
      </c>
      <c r="F3007" s="9">
        <v>110</v>
      </c>
      <c r="G3007" s="9">
        <v>124.13</v>
      </c>
      <c r="H3007" s="9" t="s">
        <v>32</v>
      </c>
      <c r="I3007" s="9">
        <v>21</v>
      </c>
      <c r="J3007" s="10">
        <v>14.1299999999999</v>
      </c>
      <c r="K3007" s="9" t="str">
        <f>TEXT(Sales_of_Jordan[[#This Row],[Sale_Date]],"mmm")</f>
        <v>Dec</v>
      </c>
    </row>
    <row r="3008" spans="1:11" x14ac:dyDescent="0.35">
      <c r="A3008" s="7" t="s">
        <v>3038</v>
      </c>
      <c r="B3008" s="8">
        <v>45057</v>
      </c>
      <c r="C3008" s="9" t="s">
        <v>21</v>
      </c>
      <c r="D3008" s="9" t="s">
        <v>36</v>
      </c>
      <c r="E3008" s="9" t="s">
        <v>18</v>
      </c>
      <c r="F3008" s="9">
        <v>219</v>
      </c>
      <c r="G3008" s="9">
        <v>438.01</v>
      </c>
      <c r="H3008" s="9" t="s">
        <v>19</v>
      </c>
      <c r="I3008" s="9">
        <v>4</v>
      </c>
      <c r="J3008" s="10">
        <v>219.01</v>
      </c>
      <c r="K3008" s="9" t="str">
        <f>TEXT(Sales_of_Jordan[[#This Row],[Sale_Date]],"mmm")</f>
        <v>May</v>
      </c>
    </row>
    <row r="3009" spans="1:11" x14ac:dyDescent="0.35">
      <c r="A3009" s="7" t="s">
        <v>3039</v>
      </c>
      <c r="B3009" s="8">
        <v>45506</v>
      </c>
      <c r="C3009" s="9" t="s">
        <v>31</v>
      </c>
      <c r="D3009" s="9" t="s">
        <v>36</v>
      </c>
      <c r="E3009" s="9" t="s">
        <v>13</v>
      </c>
      <c r="F3009" s="9">
        <v>204</v>
      </c>
      <c r="G3009" s="9">
        <v>104.71</v>
      </c>
      <c r="H3009" s="9" t="s">
        <v>19</v>
      </c>
      <c r="I3009" s="9">
        <v>12</v>
      </c>
      <c r="J3009" s="10">
        <v>-99.29</v>
      </c>
      <c r="K3009" s="9" t="str">
        <f>TEXT(Sales_of_Jordan[[#This Row],[Sale_Date]],"mmm")</f>
        <v>Aug</v>
      </c>
    </row>
    <row r="3010" spans="1:11" x14ac:dyDescent="0.35">
      <c r="A3010" s="7" t="s">
        <v>3040</v>
      </c>
      <c r="B3010" s="8">
        <v>45166</v>
      </c>
      <c r="C3010" s="9" t="s">
        <v>27</v>
      </c>
      <c r="D3010" s="9" t="s">
        <v>55</v>
      </c>
      <c r="E3010" s="9" t="s">
        <v>18</v>
      </c>
      <c r="F3010" s="9">
        <v>132</v>
      </c>
      <c r="G3010" s="9">
        <v>449.45</v>
      </c>
      <c r="H3010" s="9" t="s">
        <v>19</v>
      </c>
      <c r="I3010" s="9">
        <v>5</v>
      </c>
      <c r="J3010" s="10">
        <v>317.45</v>
      </c>
      <c r="K3010" s="9" t="str">
        <f>TEXT(Sales_of_Jordan[[#This Row],[Sale_Date]],"mmm")</f>
        <v>Aug</v>
      </c>
    </row>
    <row r="3011" spans="1:11" x14ac:dyDescent="0.35">
      <c r="A3011" s="7" t="s">
        <v>3041</v>
      </c>
      <c r="B3011" s="8">
        <v>45555</v>
      </c>
      <c r="C3011" s="9" t="s">
        <v>11</v>
      </c>
      <c r="D3011" s="9" t="s">
        <v>22</v>
      </c>
      <c r="E3011" s="9" t="s">
        <v>29</v>
      </c>
      <c r="F3011" s="9">
        <v>226</v>
      </c>
      <c r="G3011" s="9">
        <v>229.58</v>
      </c>
      <c r="H3011" s="9" t="s">
        <v>32</v>
      </c>
      <c r="I3011" s="9">
        <v>45</v>
      </c>
      <c r="J3011" s="10">
        <v>3.5800000000000098</v>
      </c>
      <c r="K3011" s="9" t="str">
        <f>TEXT(Sales_of_Jordan[[#This Row],[Sale_Date]],"mmm")</f>
        <v>Sep</v>
      </c>
    </row>
    <row r="3012" spans="1:11" x14ac:dyDescent="0.35">
      <c r="A3012" s="7" t="s">
        <v>3042</v>
      </c>
      <c r="B3012" s="8">
        <v>45382</v>
      </c>
      <c r="C3012" s="9" t="s">
        <v>31</v>
      </c>
      <c r="D3012" s="9" t="s">
        <v>17</v>
      </c>
      <c r="E3012" s="9" t="s">
        <v>29</v>
      </c>
      <c r="F3012" s="9">
        <v>210</v>
      </c>
      <c r="G3012" s="9">
        <v>201.9</v>
      </c>
      <c r="H3012" s="9" t="s">
        <v>23</v>
      </c>
      <c r="I3012" s="9">
        <v>24</v>
      </c>
      <c r="J3012" s="10">
        <v>-8.0999999999999908</v>
      </c>
      <c r="K3012" s="9" t="str">
        <f>TEXT(Sales_of_Jordan[[#This Row],[Sale_Date]],"mmm")</f>
        <v>Mar</v>
      </c>
    </row>
    <row r="3013" spans="1:11" x14ac:dyDescent="0.35">
      <c r="A3013" s="7" t="s">
        <v>3043</v>
      </c>
      <c r="B3013" s="8">
        <v>45413</v>
      </c>
      <c r="C3013" s="9" t="s">
        <v>16</v>
      </c>
      <c r="D3013" s="9" t="s">
        <v>17</v>
      </c>
      <c r="E3013" s="9" t="s">
        <v>18</v>
      </c>
      <c r="F3013" s="9">
        <v>173</v>
      </c>
      <c r="G3013" s="9">
        <v>234.8</v>
      </c>
      <c r="H3013" s="9" t="s">
        <v>19</v>
      </c>
      <c r="I3013" s="9">
        <v>8</v>
      </c>
      <c r="J3013" s="10">
        <v>61.8</v>
      </c>
      <c r="K3013" s="9" t="str">
        <f>TEXT(Sales_of_Jordan[[#This Row],[Sale_Date]],"mmm")</f>
        <v>May</v>
      </c>
    </row>
    <row r="3014" spans="1:11" x14ac:dyDescent="0.35">
      <c r="A3014" s="7" t="s">
        <v>3044</v>
      </c>
      <c r="B3014" s="8">
        <v>45492</v>
      </c>
      <c r="C3014" s="9" t="s">
        <v>21</v>
      </c>
      <c r="D3014" s="9" t="s">
        <v>46</v>
      </c>
      <c r="E3014" s="9" t="s">
        <v>29</v>
      </c>
      <c r="F3014" s="9">
        <v>210</v>
      </c>
      <c r="G3014" s="9">
        <v>234.78</v>
      </c>
      <c r="H3014" s="9" t="s">
        <v>25</v>
      </c>
      <c r="I3014" s="9">
        <v>30</v>
      </c>
      <c r="J3014" s="10">
        <v>24.78</v>
      </c>
      <c r="K3014" s="9" t="str">
        <f>TEXT(Sales_of_Jordan[[#This Row],[Sale_Date]],"mmm")</f>
        <v>Jul</v>
      </c>
    </row>
    <row r="3015" spans="1:11" x14ac:dyDescent="0.35">
      <c r="A3015" s="7" t="s">
        <v>3045</v>
      </c>
      <c r="B3015" s="8">
        <v>45535</v>
      </c>
      <c r="C3015" s="9" t="s">
        <v>31</v>
      </c>
      <c r="D3015" s="9" t="s">
        <v>17</v>
      </c>
      <c r="E3015" s="9" t="s">
        <v>29</v>
      </c>
      <c r="F3015" s="9">
        <v>209</v>
      </c>
      <c r="G3015" s="9">
        <v>191.16</v>
      </c>
      <c r="H3015" s="9" t="s">
        <v>14</v>
      </c>
      <c r="I3015" s="9">
        <v>11</v>
      </c>
      <c r="J3015" s="10">
        <v>-17.84</v>
      </c>
      <c r="K3015" s="9" t="str">
        <f>TEXT(Sales_of_Jordan[[#This Row],[Sale_Date]],"mmm")</f>
        <v>Aug</v>
      </c>
    </row>
    <row r="3016" spans="1:11" x14ac:dyDescent="0.35">
      <c r="A3016" s="7" t="s">
        <v>3046</v>
      </c>
      <c r="B3016" s="8">
        <v>45363</v>
      </c>
      <c r="C3016" s="9" t="s">
        <v>21</v>
      </c>
      <c r="D3016" s="9" t="s">
        <v>34</v>
      </c>
      <c r="E3016" s="9" t="s">
        <v>13</v>
      </c>
      <c r="F3016" s="9">
        <v>223</v>
      </c>
      <c r="G3016" s="9">
        <v>169.38</v>
      </c>
      <c r="H3016" s="9" t="s">
        <v>14</v>
      </c>
      <c r="I3016" s="9">
        <v>7</v>
      </c>
      <c r="J3016" s="10">
        <v>-53.62</v>
      </c>
      <c r="K3016" s="9" t="str">
        <f>TEXT(Sales_of_Jordan[[#This Row],[Sale_Date]],"mmm")</f>
        <v>Mar</v>
      </c>
    </row>
    <row r="3017" spans="1:11" x14ac:dyDescent="0.35">
      <c r="A3017" s="7" t="s">
        <v>3047</v>
      </c>
      <c r="B3017" s="8">
        <v>45407</v>
      </c>
      <c r="C3017" s="9" t="s">
        <v>16</v>
      </c>
      <c r="D3017" s="9" t="s">
        <v>34</v>
      </c>
      <c r="E3017" s="9" t="s">
        <v>29</v>
      </c>
      <c r="F3017" s="9">
        <v>174</v>
      </c>
      <c r="G3017" s="9">
        <v>222.66</v>
      </c>
      <c r="H3017" s="9" t="s">
        <v>23</v>
      </c>
      <c r="I3017" s="9">
        <v>56</v>
      </c>
      <c r="J3017" s="10">
        <v>48.66</v>
      </c>
      <c r="K3017" s="9" t="str">
        <f>TEXT(Sales_of_Jordan[[#This Row],[Sale_Date]],"mmm")</f>
        <v>Apr</v>
      </c>
    </row>
    <row r="3018" spans="1:11" x14ac:dyDescent="0.35">
      <c r="A3018" s="7" t="s">
        <v>3048</v>
      </c>
      <c r="B3018" s="8">
        <v>44933</v>
      </c>
      <c r="C3018" s="9" t="s">
        <v>31</v>
      </c>
      <c r="D3018" s="9" t="s">
        <v>46</v>
      </c>
      <c r="E3018" s="9" t="s">
        <v>13</v>
      </c>
      <c r="F3018" s="9">
        <v>207</v>
      </c>
      <c r="G3018" s="9">
        <v>114.5</v>
      </c>
      <c r="H3018" s="9" t="s">
        <v>14</v>
      </c>
      <c r="I3018" s="9">
        <v>1</v>
      </c>
      <c r="J3018" s="10">
        <v>-92.5</v>
      </c>
      <c r="K3018" s="9" t="str">
        <f>TEXT(Sales_of_Jordan[[#This Row],[Sale_Date]],"mmm")</f>
        <v>Jan</v>
      </c>
    </row>
    <row r="3019" spans="1:11" x14ac:dyDescent="0.35">
      <c r="A3019" s="7" t="s">
        <v>3049</v>
      </c>
      <c r="B3019" s="8">
        <v>45458</v>
      </c>
      <c r="C3019" s="9" t="s">
        <v>21</v>
      </c>
      <c r="D3019" s="9" t="s">
        <v>22</v>
      </c>
      <c r="E3019" s="9" t="s">
        <v>18</v>
      </c>
      <c r="F3019" s="9">
        <v>214</v>
      </c>
      <c r="G3019" s="9">
        <v>415.41</v>
      </c>
      <c r="H3019" s="9" t="s">
        <v>19</v>
      </c>
      <c r="I3019" s="9">
        <v>2</v>
      </c>
      <c r="J3019" s="10">
        <v>201.41</v>
      </c>
      <c r="K3019" s="9" t="str">
        <f>TEXT(Sales_of_Jordan[[#This Row],[Sale_Date]],"mmm")</f>
        <v>Jun</v>
      </c>
    </row>
    <row r="3020" spans="1:11" x14ac:dyDescent="0.35">
      <c r="A3020" s="7" t="s">
        <v>3050</v>
      </c>
      <c r="B3020" s="8">
        <v>45632</v>
      </c>
      <c r="C3020" s="9" t="s">
        <v>31</v>
      </c>
      <c r="D3020" s="9" t="s">
        <v>55</v>
      </c>
      <c r="E3020" s="9" t="s">
        <v>18</v>
      </c>
      <c r="F3020" s="9">
        <v>210</v>
      </c>
      <c r="G3020" s="9">
        <v>658.6</v>
      </c>
      <c r="H3020" s="9" t="s">
        <v>32</v>
      </c>
      <c r="I3020" s="9">
        <v>57</v>
      </c>
      <c r="J3020" s="10">
        <v>448.6</v>
      </c>
      <c r="K3020" s="9" t="str">
        <f>TEXT(Sales_of_Jordan[[#This Row],[Sale_Date]],"mmm")</f>
        <v>Dec</v>
      </c>
    </row>
    <row r="3021" spans="1:11" x14ac:dyDescent="0.35">
      <c r="A3021" s="7" t="s">
        <v>3051</v>
      </c>
      <c r="B3021" s="8">
        <v>45516</v>
      </c>
      <c r="C3021" s="9" t="s">
        <v>27</v>
      </c>
      <c r="D3021" s="9" t="s">
        <v>46</v>
      </c>
      <c r="E3021" s="9" t="s">
        <v>29</v>
      </c>
      <c r="F3021" s="9">
        <v>130</v>
      </c>
      <c r="G3021" s="9">
        <v>155.56</v>
      </c>
      <c r="H3021" s="9" t="s">
        <v>23</v>
      </c>
      <c r="I3021" s="9">
        <v>47</v>
      </c>
      <c r="J3021" s="10">
        <v>25.56</v>
      </c>
      <c r="K3021" s="9" t="str">
        <f>TEXT(Sales_of_Jordan[[#This Row],[Sale_Date]],"mmm")</f>
        <v>Aug</v>
      </c>
    </row>
    <row r="3022" spans="1:11" x14ac:dyDescent="0.35">
      <c r="A3022" s="7" t="s">
        <v>3052</v>
      </c>
      <c r="B3022" s="8">
        <v>45526</v>
      </c>
      <c r="C3022" s="9" t="s">
        <v>21</v>
      </c>
      <c r="D3022" s="9" t="s">
        <v>39</v>
      </c>
      <c r="E3022" s="9" t="s">
        <v>18</v>
      </c>
      <c r="F3022" s="9">
        <v>225</v>
      </c>
      <c r="G3022" s="9">
        <v>686.62</v>
      </c>
      <c r="H3022" s="9" t="s">
        <v>19</v>
      </c>
      <c r="I3022" s="9">
        <v>4</v>
      </c>
      <c r="J3022" s="10">
        <v>461.62</v>
      </c>
      <c r="K3022" s="9" t="str">
        <f>TEXT(Sales_of_Jordan[[#This Row],[Sale_Date]],"mmm")</f>
        <v>Aug</v>
      </c>
    </row>
    <row r="3023" spans="1:11" x14ac:dyDescent="0.35">
      <c r="A3023" s="7" t="s">
        <v>3053</v>
      </c>
      <c r="B3023" s="8">
        <v>45152</v>
      </c>
      <c r="C3023" s="9" t="s">
        <v>31</v>
      </c>
      <c r="D3023" s="9" t="s">
        <v>53</v>
      </c>
      <c r="E3023" s="9" t="s">
        <v>18</v>
      </c>
      <c r="F3023" s="9">
        <v>206</v>
      </c>
      <c r="G3023" s="9">
        <v>483.18</v>
      </c>
      <c r="H3023" s="9" t="s">
        <v>19</v>
      </c>
      <c r="I3023" s="9">
        <v>5</v>
      </c>
      <c r="J3023" s="10">
        <v>277.18</v>
      </c>
      <c r="K3023" s="9" t="str">
        <f>TEXT(Sales_of_Jordan[[#This Row],[Sale_Date]],"mmm")</f>
        <v>Aug</v>
      </c>
    </row>
    <row r="3024" spans="1:11" x14ac:dyDescent="0.35">
      <c r="A3024" s="7" t="s">
        <v>3054</v>
      </c>
      <c r="B3024" s="8">
        <v>45423</v>
      </c>
      <c r="C3024" s="9" t="s">
        <v>31</v>
      </c>
      <c r="D3024" s="9" t="s">
        <v>12</v>
      </c>
      <c r="E3024" s="9" t="s">
        <v>29</v>
      </c>
      <c r="F3024" s="9">
        <v>207</v>
      </c>
      <c r="G3024" s="9">
        <v>276.14999999999998</v>
      </c>
      <c r="H3024" s="9" t="s">
        <v>14</v>
      </c>
      <c r="I3024" s="9">
        <v>8</v>
      </c>
      <c r="J3024" s="10">
        <v>69.149999999999906</v>
      </c>
      <c r="K3024" s="9" t="str">
        <f>TEXT(Sales_of_Jordan[[#This Row],[Sale_Date]],"mmm")</f>
        <v>May</v>
      </c>
    </row>
    <row r="3025" spans="1:11" x14ac:dyDescent="0.35">
      <c r="A3025" s="7" t="s">
        <v>3055</v>
      </c>
      <c r="B3025" s="8">
        <v>45090</v>
      </c>
      <c r="C3025" s="9" t="s">
        <v>27</v>
      </c>
      <c r="D3025" s="9" t="s">
        <v>34</v>
      </c>
      <c r="E3025" s="9" t="s">
        <v>18</v>
      </c>
      <c r="F3025" s="9">
        <v>130</v>
      </c>
      <c r="G3025" s="9">
        <v>210.78</v>
      </c>
      <c r="H3025" s="9" t="s">
        <v>32</v>
      </c>
      <c r="I3025" s="9">
        <v>60</v>
      </c>
      <c r="J3025" s="10">
        <v>80.78</v>
      </c>
      <c r="K3025" s="9" t="str">
        <f>TEXT(Sales_of_Jordan[[#This Row],[Sale_Date]],"mmm")</f>
        <v>Jun</v>
      </c>
    </row>
    <row r="3026" spans="1:11" x14ac:dyDescent="0.35">
      <c r="A3026" s="7" t="s">
        <v>3056</v>
      </c>
      <c r="B3026" s="8">
        <v>45421</v>
      </c>
      <c r="C3026" s="9" t="s">
        <v>11</v>
      </c>
      <c r="D3026" s="9" t="s">
        <v>46</v>
      </c>
      <c r="E3026" s="9" t="s">
        <v>29</v>
      </c>
      <c r="F3026" s="9">
        <v>227</v>
      </c>
      <c r="G3026" s="9">
        <v>236.42</v>
      </c>
      <c r="H3026" s="9" t="s">
        <v>32</v>
      </c>
      <c r="I3026" s="9">
        <v>57</v>
      </c>
      <c r="J3026" s="10">
        <v>9.4199999999999804</v>
      </c>
      <c r="K3026" s="9" t="str">
        <f>TEXT(Sales_of_Jordan[[#This Row],[Sale_Date]],"mmm")</f>
        <v>May</v>
      </c>
    </row>
    <row r="3027" spans="1:11" x14ac:dyDescent="0.35">
      <c r="A3027" s="7" t="s">
        <v>3057</v>
      </c>
      <c r="B3027" s="8">
        <v>45383</v>
      </c>
      <c r="C3027" s="9" t="s">
        <v>11</v>
      </c>
      <c r="D3027" s="9" t="s">
        <v>17</v>
      </c>
      <c r="E3027" s="9" t="s">
        <v>18</v>
      </c>
      <c r="F3027" s="9">
        <v>226</v>
      </c>
      <c r="G3027" s="9">
        <v>741.69</v>
      </c>
      <c r="H3027" s="9" t="s">
        <v>14</v>
      </c>
      <c r="I3027" s="9">
        <v>9</v>
      </c>
      <c r="J3027" s="10">
        <v>515.69000000000005</v>
      </c>
      <c r="K3027" s="9" t="str">
        <f>TEXT(Sales_of_Jordan[[#This Row],[Sale_Date]],"mmm")</f>
        <v>Apr</v>
      </c>
    </row>
    <row r="3028" spans="1:11" x14ac:dyDescent="0.35">
      <c r="A3028" s="7" t="s">
        <v>3058</v>
      </c>
      <c r="B3028" s="8">
        <v>44975</v>
      </c>
      <c r="C3028" s="9" t="s">
        <v>11</v>
      </c>
      <c r="D3028" s="9" t="s">
        <v>22</v>
      </c>
      <c r="E3028" s="9" t="s">
        <v>29</v>
      </c>
      <c r="F3028" s="9">
        <v>229</v>
      </c>
      <c r="G3028" s="9">
        <v>254.86</v>
      </c>
      <c r="H3028" s="9" t="s">
        <v>19</v>
      </c>
      <c r="I3028" s="9">
        <v>6</v>
      </c>
      <c r="J3028" s="10">
        <v>25.86</v>
      </c>
      <c r="K3028" s="9" t="str">
        <f>TEXT(Sales_of_Jordan[[#This Row],[Sale_Date]],"mmm")</f>
        <v>Feb</v>
      </c>
    </row>
    <row r="3029" spans="1:11" x14ac:dyDescent="0.35">
      <c r="A3029" s="7" t="s">
        <v>3059</v>
      </c>
      <c r="B3029" s="8">
        <v>45160</v>
      </c>
      <c r="C3029" s="9" t="s">
        <v>21</v>
      </c>
      <c r="D3029" s="9" t="s">
        <v>22</v>
      </c>
      <c r="E3029" s="9" t="s">
        <v>29</v>
      </c>
      <c r="F3029" s="9">
        <v>212</v>
      </c>
      <c r="G3029" s="9">
        <v>190.87</v>
      </c>
      <c r="H3029" s="9" t="s">
        <v>19</v>
      </c>
      <c r="I3029" s="9">
        <v>14</v>
      </c>
      <c r="J3029" s="10">
        <v>-21.1299999999999</v>
      </c>
      <c r="K3029" s="9" t="str">
        <f>TEXT(Sales_of_Jordan[[#This Row],[Sale_Date]],"mmm")</f>
        <v>Aug</v>
      </c>
    </row>
    <row r="3030" spans="1:11" x14ac:dyDescent="0.35">
      <c r="A3030" s="7" t="s">
        <v>3060</v>
      </c>
      <c r="B3030" s="8">
        <v>45625</v>
      </c>
      <c r="C3030" s="9" t="s">
        <v>11</v>
      </c>
      <c r="D3030" s="9" t="s">
        <v>12</v>
      </c>
      <c r="E3030" s="9" t="s">
        <v>18</v>
      </c>
      <c r="F3030" s="9">
        <v>229</v>
      </c>
      <c r="G3030" s="9">
        <v>502.01</v>
      </c>
      <c r="H3030" s="9" t="s">
        <v>19</v>
      </c>
      <c r="I3030" s="9">
        <v>10</v>
      </c>
      <c r="J3030" s="10">
        <v>273.01</v>
      </c>
      <c r="K3030" s="9" t="str">
        <f>TEXT(Sales_of_Jordan[[#This Row],[Sale_Date]],"mmm")</f>
        <v>Nov</v>
      </c>
    </row>
    <row r="3031" spans="1:11" x14ac:dyDescent="0.35">
      <c r="A3031" s="7" t="s">
        <v>3061</v>
      </c>
      <c r="B3031" s="8">
        <v>45213</v>
      </c>
      <c r="C3031" s="9" t="s">
        <v>31</v>
      </c>
      <c r="D3031" s="9" t="s">
        <v>53</v>
      </c>
      <c r="E3031" s="9" t="s">
        <v>29</v>
      </c>
      <c r="F3031" s="9">
        <v>200</v>
      </c>
      <c r="G3031" s="9">
        <v>215.82</v>
      </c>
      <c r="H3031" s="9" t="s">
        <v>19</v>
      </c>
      <c r="I3031" s="9">
        <v>8</v>
      </c>
      <c r="J3031" s="10">
        <v>15.819999999999901</v>
      </c>
      <c r="K3031" s="9" t="str">
        <f>TEXT(Sales_of_Jordan[[#This Row],[Sale_Date]],"mmm")</f>
        <v>Oct</v>
      </c>
    </row>
    <row r="3032" spans="1:11" x14ac:dyDescent="0.35">
      <c r="A3032" s="7" t="s">
        <v>3062</v>
      </c>
      <c r="B3032" s="8">
        <v>45598</v>
      </c>
      <c r="C3032" s="9" t="s">
        <v>21</v>
      </c>
      <c r="D3032" s="9" t="s">
        <v>17</v>
      </c>
      <c r="E3032" s="9" t="s">
        <v>13</v>
      </c>
      <c r="F3032" s="9">
        <v>219</v>
      </c>
      <c r="G3032" s="9">
        <v>130.54</v>
      </c>
      <c r="H3032" s="9" t="s">
        <v>14</v>
      </c>
      <c r="I3032" s="9">
        <v>1</v>
      </c>
      <c r="J3032" s="10">
        <v>-88.46</v>
      </c>
      <c r="K3032" s="9" t="str">
        <f>TEXT(Sales_of_Jordan[[#This Row],[Sale_Date]],"mmm")</f>
        <v>Nov</v>
      </c>
    </row>
    <row r="3033" spans="1:11" x14ac:dyDescent="0.35">
      <c r="A3033" s="7" t="s">
        <v>3063</v>
      </c>
      <c r="B3033" s="8">
        <v>45293</v>
      </c>
      <c r="C3033" s="9" t="s">
        <v>27</v>
      </c>
      <c r="D3033" s="9" t="s">
        <v>55</v>
      </c>
      <c r="E3033" s="9" t="s">
        <v>29</v>
      </c>
      <c r="F3033" s="9">
        <v>119</v>
      </c>
      <c r="G3033" s="9">
        <v>171.28</v>
      </c>
      <c r="H3033" s="9" t="s">
        <v>19</v>
      </c>
      <c r="I3033" s="9">
        <v>8</v>
      </c>
      <c r="J3033" s="10">
        <v>52.28</v>
      </c>
      <c r="K3033" s="9" t="str">
        <f>TEXT(Sales_of_Jordan[[#This Row],[Sale_Date]],"mmm")</f>
        <v>Jan</v>
      </c>
    </row>
    <row r="3034" spans="1:11" x14ac:dyDescent="0.35">
      <c r="A3034" s="7" t="s">
        <v>3064</v>
      </c>
      <c r="B3034" s="8">
        <v>45899</v>
      </c>
      <c r="C3034" s="9" t="s">
        <v>11</v>
      </c>
      <c r="D3034" s="9" t="s">
        <v>55</v>
      </c>
      <c r="E3034" s="9" t="s">
        <v>29</v>
      </c>
      <c r="F3034" s="9">
        <v>227</v>
      </c>
      <c r="G3034" s="9">
        <v>330.11</v>
      </c>
      <c r="H3034" s="9" t="s">
        <v>25</v>
      </c>
      <c r="I3034" s="9">
        <v>20</v>
      </c>
      <c r="J3034" s="10">
        <v>103.11</v>
      </c>
      <c r="K3034" s="9" t="str">
        <f>TEXT(Sales_of_Jordan[[#This Row],[Sale_Date]],"mmm")</f>
        <v>Aug</v>
      </c>
    </row>
    <row r="3035" spans="1:11" x14ac:dyDescent="0.35">
      <c r="A3035" s="7" t="s">
        <v>3065</v>
      </c>
      <c r="B3035" s="8">
        <v>44959</v>
      </c>
      <c r="C3035" s="9" t="s">
        <v>31</v>
      </c>
      <c r="D3035" s="9" t="s">
        <v>12</v>
      </c>
      <c r="E3035" s="9" t="s">
        <v>29</v>
      </c>
      <c r="F3035" s="9">
        <v>200</v>
      </c>
      <c r="G3035" s="9">
        <v>277.72000000000003</v>
      </c>
      <c r="H3035" s="9" t="s">
        <v>23</v>
      </c>
      <c r="I3035" s="9">
        <v>21</v>
      </c>
      <c r="J3035" s="10">
        <v>77.72</v>
      </c>
      <c r="K3035" s="9" t="str">
        <f>TEXT(Sales_of_Jordan[[#This Row],[Sale_Date]],"mmm")</f>
        <v>Feb</v>
      </c>
    </row>
    <row r="3036" spans="1:11" x14ac:dyDescent="0.35">
      <c r="A3036" s="7" t="s">
        <v>3066</v>
      </c>
      <c r="B3036" s="8">
        <v>45375</v>
      </c>
      <c r="C3036" s="9" t="s">
        <v>21</v>
      </c>
      <c r="D3036" s="9" t="s">
        <v>46</v>
      </c>
      <c r="E3036" s="9" t="s">
        <v>13</v>
      </c>
      <c r="F3036" s="9">
        <v>214</v>
      </c>
      <c r="G3036" s="9">
        <v>160.91</v>
      </c>
      <c r="H3036" s="9" t="s">
        <v>32</v>
      </c>
      <c r="I3036" s="9">
        <v>58</v>
      </c>
      <c r="J3036" s="10">
        <v>-53.09</v>
      </c>
      <c r="K3036" s="9" t="str">
        <f>TEXT(Sales_of_Jordan[[#This Row],[Sale_Date]],"mmm")</f>
        <v>Mar</v>
      </c>
    </row>
    <row r="3037" spans="1:11" x14ac:dyDescent="0.35">
      <c r="A3037" s="7" t="s">
        <v>3067</v>
      </c>
      <c r="B3037" s="8">
        <v>45120</v>
      </c>
      <c r="C3037" s="9" t="s">
        <v>31</v>
      </c>
      <c r="D3037" s="9" t="s">
        <v>55</v>
      </c>
      <c r="E3037" s="9" t="s">
        <v>13</v>
      </c>
      <c r="F3037" s="9">
        <v>201</v>
      </c>
      <c r="G3037" s="9">
        <v>117.12</v>
      </c>
      <c r="H3037" s="9" t="s">
        <v>14</v>
      </c>
      <c r="I3037" s="9">
        <v>12</v>
      </c>
      <c r="J3037" s="10">
        <v>-83.88</v>
      </c>
      <c r="K3037" s="9" t="str">
        <f>TEXT(Sales_of_Jordan[[#This Row],[Sale_Date]],"mmm")</f>
        <v>Jul</v>
      </c>
    </row>
    <row r="3038" spans="1:11" x14ac:dyDescent="0.35">
      <c r="A3038" s="7" t="s">
        <v>3068</v>
      </c>
      <c r="B3038" s="8">
        <v>45110</v>
      </c>
      <c r="C3038" s="9" t="s">
        <v>27</v>
      </c>
      <c r="D3038" s="9" t="s">
        <v>22</v>
      </c>
      <c r="E3038" s="9" t="s">
        <v>29</v>
      </c>
      <c r="F3038" s="9">
        <v>115</v>
      </c>
      <c r="G3038" s="9">
        <v>111.96</v>
      </c>
      <c r="H3038" s="9" t="s">
        <v>32</v>
      </c>
      <c r="I3038" s="9">
        <v>19</v>
      </c>
      <c r="J3038" s="10">
        <v>-3.04</v>
      </c>
      <c r="K3038" s="9" t="str">
        <f>TEXT(Sales_of_Jordan[[#This Row],[Sale_Date]],"mmm")</f>
        <v>Jul</v>
      </c>
    </row>
    <row r="3039" spans="1:11" x14ac:dyDescent="0.35">
      <c r="A3039" s="7" t="s">
        <v>3069</v>
      </c>
      <c r="B3039" s="8">
        <v>45779</v>
      </c>
      <c r="C3039" s="9" t="s">
        <v>16</v>
      </c>
      <c r="D3039" s="9" t="s">
        <v>34</v>
      </c>
      <c r="E3039" s="9" t="s">
        <v>29</v>
      </c>
      <c r="F3039" s="9">
        <v>178</v>
      </c>
      <c r="G3039" s="9">
        <v>266.76</v>
      </c>
      <c r="H3039" s="9" t="s">
        <v>23</v>
      </c>
      <c r="I3039" s="9">
        <v>44</v>
      </c>
      <c r="J3039" s="10">
        <v>88.759999999999906</v>
      </c>
      <c r="K3039" s="9" t="str">
        <f>TEXT(Sales_of_Jordan[[#This Row],[Sale_Date]],"mmm")</f>
        <v>May</v>
      </c>
    </row>
    <row r="3040" spans="1:11" x14ac:dyDescent="0.35">
      <c r="A3040" s="7" t="s">
        <v>3070</v>
      </c>
      <c r="B3040" s="8">
        <v>45706</v>
      </c>
      <c r="C3040" s="9" t="s">
        <v>16</v>
      </c>
      <c r="D3040" s="9" t="s">
        <v>17</v>
      </c>
      <c r="E3040" s="9" t="s">
        <v>29</v>
      </c>
      <c r="F3040" s="9">
        <v>182</v>
      </c>
      <c r="G3040" s="9">
        <v>212.33</v>
      </c>
      <c r="H3040" s="9" t="s">
        <v>32</v>
      </c>
      <c r="I3040" s="9">
        <v>35</v>
      </c>
      <c r="J3040" s="10">
        <v>30.33</v>
      </c>
      <c r="K3040" s="9" t="str">
        <f>TEXT(Sales_of_Jordan[[#This Row],[Sale_Date]],"mmm")</f>
        <v>Feb</v>
      </c>
    </row>
    <row r="3041" spans="1:11" x14ac:dyDescent="0.35">
      <c r="A3041" s="7" t="s">
        <v>3071</v>
      </c>
      <c r="B3041" s="8">
        <v>45043</v>
      </c>
      <c r="C3041" s="9" t="s">
        <v>11</v>
      </c>
      <c r="D3041" s="9" t="s">
        <v>39</v>
      </c>
      <c r="E3041" s="9" t="s">
        <v>13</v>
      </c>
      <c r="F3041" s="9">
        <v>230</v>
      </c>
      <c r="G3041" s="9">
        <v>184.78</v>
      </c>
      <c r="H3041" s="9" t="s">
        <v>19</v>
      </c>
      <c r="I3041" s="9">
        <v>4</v>
      </c>
      <c r="J3041" s="10">
        <v>-45.22</v>
      </c>
      <c r="K3041" s="9" t="str">
        <f>TEXT(Sales_of_Jordan[[#This Row],[Sale_Date]],"mmm")</f>
        <v>Apr</v>
      </c>
    </row>
    <row r="3042" spans="1:11" x14ac:dyDescent="0.35">
      <c r="A3042" s="7" t="s">
        <v>3072</v>
      </c>
      <c r="B3042" s="8">
        <v>45374</v>
      </c>
      <c r="C3042" s="9" t="s">
        <v>11</v>
      </c>
      <c r="D3042" s="9" t="s">
        <v>22</v>
      </c>
      <c r="E3042" s="9" t="s">
        <v>18</v>
      </c>
      <c r="F3042" s="9">
        <v>227</v>
      </c>
      <c r="G3042" s="9">
        <v>631.67999999999995</v>
      </c>
      <c r="H3042" s="9" t="s">
        <v>25</v>
      </c>
      <c r="I3042" s="9">
        <v>53</v>
      </c>
      <c r="J3042" s="10">
        <v>404.67999999999898</v>
      </c>
      <c r="K3042" s="9" t="str">
        <f>TEXT(Sales_of_Jordan[[#This Row],[Sale_Date]],"mmm")</f>
        <v>Mar</v>
      </c>
    </row>
    <row r="3043" spans="1:11" x14ac:dyDescent="0.35">
      <c r="A3043" s="7" t="s">
        <v>3073</v>
      </c>
      <c r="B3043" s="8">
        <v>45524</v>
      </c>
      <c r="C3043" s="9" t="s">
        <v>27</v>
      </c>
      <c r="D3043" s="9" t="s">
        <v>39</v>
      </c>
      <c r="E3043" s="9" t="s">
        <v>18</v>
      </c>
      <c r="F3043" s="9">
        <v>129</v>
      </c>
      <c r="G3043" s="9">
        <v>401.54</v>
      </c>
      <c r="H3043" s="9" t="s">
        <v>32</v>
      </c>
      <c r="I3043" s="9">
        <v>33</v>
      </c>
      <c r="J3043" s="10">
        <v>272.54000000000002</v>
      </c>
      <c r="K3043" s="9" t="str">
        <f>TEXT(Sales_of_Jordan[[#This Row],[Sale_Date]],"mmm")</f>
        <v>Aug</v>
      </c>
    </row>
    <row r="3044" spans="1:11" x14ac:dyDescent="0.35">
      <c r="A3044" s="7" t="s">
        <v>3074</v>
      </c>
      <c r="B3044" s="8">
        <v>45779</v>
      </c>
      <c r="C3044" s="9" t="s">
        <v>11</v>
      </c>
      <c r="D3044" s="9" t="s">
        <v>34</v>
      </c>
      <c r="E3044" s="9" t="s">
        <v>18</v>
      </c>
      <c r="F3044" s="9">
        <v>225</v>
      </c>
      <c r="G3044" s="9">
        <v>310.36</v>
      </c>
      <c r="H3044" s="9" t="s">
        <v>14</v>
      </c>
      <c r="I3044" s="9">
        <v>5</v>
      </c>
      <c r="J3044" s="10">
        <v>85.36</v>
      </c>
      <c r="K3044" s="9" t="str">
        <f>TEXT(Sales_of_Jordan[[#This Row],[Sale_Date]],"mmm")</f>
        <v>May</v>
      </c>
    </row>
    <row r="3045" spans="1:11" x14ac:dyDescent="0.35">
      <c r="A3045" s="7" t="s">
        <v>3075</v>
      </c>
      <c r="B3045" s="8">
        <v>45646</v>
      </c>
      <c r="C3045" s="9" t="s">
        <v>16</v>
      </c>
      <c r="D3045" s="9" t="s">
        <v>17</v>
      </c>
      <c r="E3045" s="9" t="s">
        <v>18</v>
      </c>
      <c r="F3045" s="9">
        <v>189</v>
      </c>
      <c r="G3045" s="9">
        <v>511.88</v>
      </c>
      <c r="H3045" s="9" t="s">
        <v>32</v>
      </c>
      <c r="I3045" s="9">
        <v>5</v>
      </c>
      <c r="J3045" s="10">
        <v>322.88</v>
      </c>
      <c r="K3045" s="9" t="str">
        <f>TEXT(Sales_of_Jordan[[#This Row],[Sale_Date]],"mmm")</f>
        <v>Dec</v>
      </c>
    </row>
    <row r="3046" spans="1:11" x14ac:dyDescent="0.35">
      <c r="A3046" s="7" t="s">
        <v>3076</v>
      </c>
      <c r="B3046" s="8">
        <v>45594</v>
      </c>
      <c r="C3046" s="9" t="s">
        <v>27</v>
      </c>
      <c r="D3046" s="9" t="s">
        <v>17</v>
      </c>
      <c r="E3046" s="9" t="s">
        <v>29</v>
      </c>
      <c r="F3046" s="9">
        <v>111</v>
      </c>
      <c r="G3046" s="9">
        <v>164.8</v>
      </c>
      <c r="H3046" s="9" t="s">
        <v>23</v>
      </c>
      <c r="I3046" s="9">
        <v>29</v>
      </c>
      <c r="J3046" s="10">
        <v>53.8</v>
      </c>
      <c r="K3046" s="9" t="str">
        <f>TEXT(Sales_of_Jordan[[#This Row],[Sale_Date]],"mmm")</f>
        <v>Oct</v>
      </c>
    </row>
    <row r="3047" spans="1:11" x14ac:dyDescent="0.35">
      <c r="A3047" s="7" t="s">
        <v>3077</v>
      </c>
      <c r="B3047" s="8">
        <v>45103</v>
      </c>
      <c r="C3047" s="9" t="s">
        <v>31</v>
      </c>
      <c r="D3047" s="9" t="s">
        <v>22</v>
      </c>
      <c r="E3047" s="9" t="s">
        <v>29</v>
      </c>
      <c r="F3047" s="9">
        <v>202</v>
      </c>
      <c r="G3047" s="9">
        <v>182.53</v>
      </c>
      <c r="H3047" s="9" t="s">
        <v>14</v>
      </c>
      <c r="I3047" s="9">
        <v>12</v>
      </c>
      <c r="J3047" s="10">
        <v>-19.47</v>
      </c>
      <c r="K3047" s="9" t="str">
        <f>TEXT(Sales_of_Jordan[[#This Row],[Sale_Date]],"mmm")</f>
        <v>Jun</v>
      </c>
    </row>
    <row r="3048" spans="1:11" x14ac:dyDescent="0.35">
      <c r="A3048" s="7" t="s">
        <v>3078</v>
      </c>
      <c r="B3048" s="8">
        <v>45531</v>
      </c>
      <c r="C3048" s="9" t="s">
        <v>16</v>
      </c>
      <c r="D3048" s="9" t="s">
        <v>53</v>
      </c>
      <c r="E3048" s="9" t="s">
        <v>29</v>
      </c>
      <c r="F3048" s="9">
        <v>189</v>
      </c>
      <c r="G3048" s="9">
        <v>246.8</v>
      </c>
      <c r="H3048" s="9" t="s">
        <v>32</v>
      </c>
      <c r="I3048" s="9">
        <v>59</v>
      </c>
      <c r="J3048" s="10">
        <v>57.8</v>
      </c>
      <c r="K3048" s="9" t="str">
        <f>TEXT(Sales_of_Jordan[[#This Row],[Sale_Date]],"mmm")</f>
        <v>Aug</v>
      </c>
    </row>
    <row r="3049" spans="1:11" x14ac:dyDescent="0.35">
      <c r="A3049" s="7" t="s">
        <v>3079</v>
      </c>
      <c r="B3049" s="8">
        <v>45516</v>
      </c>
      <c r="C3049" s="9" t="s">
        <v>27</v>
      </c>
      <c r="D3049" s="9" t="s">
        <v>12</v>
      </c>
      <c r="E3049" s="9" t="s">
        <v>13</v>
      </c>
      <c r="F3049" s="9">
        <v>125</v>
      </c>
      <c r="G3049" s="9">
        <v>108.84</v>
      </c>
      <c r="H3049" s="9" t="s">
        <v>32</v>
      </c>
      <c r="I3049" s="9">
        <v>20</v>
      </c>
      <c r="J3049" s="10">
        <v>-16.159999999999901</v>
      </c>
      <c r="K3049" s="9" t="str">
        <f>TEXT(Sales_of_Jordan[[#This Row],[Sale_Date]],"mmm")</f>
        <v>Aug</v>
      </c>
    </row>
    <row r="3050" spans="1:11" x14ac:dyDescent="0.35">
      <c r="A3050" s="7" t="s">
        <v>3080</v>
      </c>
      <c r="B3050" s="8">
        <v>45517</v>
      </c>
      <c r="C3050" s="9" t="s">
        <v>16</v>
      </c>
      <c r="D3050" s="9" t="s">
        <v>34</v>
      </c>
      <c r="E3050" s="9" t="s">
        <v>18</v>
      </c>
      <c r="F3050" s="9">
        <v>184</v>
      </c>
      <c r="G3050" s="9">
        <v>317.72000000000003</v>
      </c>
      <c r="H3050" s="9" t="s">
        <v>25</v>
      </c>
      <c r="I3050" s="9">
        <v>22</v>
      </c>
      <c r="J3050" s="10">
        <v>133.72</v>
      </c>
      <c r="K3050" s="9" t="str">
        <f>TEXT(Sales_of_Jordan[[#This Row],[Sale_Date]],"mmm")</f>
        <v>Aug</v>
      </c>
    </row>
    <row r="3051" spans="1:11" x14ac:dyDescent="0.35">
      <c r="A3051" s="7" t="s">
        <v>3081</v>
      </c>
      <c r="B3051" s="8">
        <v>45025</v>
      </c>
      <c r="C3051" s="9" t="s">
        <v>21</v>
      </c>
      <c r="D3051" s="9" t="s">
        <v>53</v>
      </c>
      <c r="E3051" s="9" t="s">
        <v>29</v>
      </c>
      <c r="F3051" s="9">
        <v>222</v>
      </c>
      <c r="G3051" s="9">
        <v>271.88</v>
      </c>
      <c r="H3051" s="9" t="s">
        <v>14</v>
      </c>
      <c r="I3051" s="9">
        <v>1</v>
      </c>
      <c r="J3051" s="10">
        <v>49.879999999999903</v>
      </c>
      <c r="K3051" s="9" t="str">
        <f>TEXT(Sales_of_Jordan[[#This Row],[Sale_Date]],"mmm")</f>
        <v>Apr</v>
      </c>
    </row>
    <row r="3052" spans="1:11" x14ac:dyDescent="0.35">
      <c r="A3052" s="7" t="s">
        <v>3082</v>
      </c>
      <c r="B3052" s="8">
        <v>45168</v>
      </c>
      <c r="C3052" s="9" t="s">
        <v>21</v>
      </c>
      <c r="D3052" s="9" t="s">
        <v>12</v>
      </c>
      <c r="E3052" s="9" t="s">
        <v>29</v>
      </c>
      <c r="F3052" s="9">
        <v>215</v>
      </c>
      <c r="G3052" s="9">
        <v>219.04</v>
      </c>
      <c r="H3052" s="9" t="s">
        <v>25</v>
      </c>
      <c r="I3052" s="9">
        <v>45</v>
      </c>
      <c r="J3052" s="10">
        <v>4.0399999999999903</v>
      </c>
      <c r="K3052" s="9" t="str">
        <f>TEXT(Sales_of_Jordan[[#This Row],[Sale_Date]],"mmm")</f>
        <v>Aug</v>
      </c>
    </row>
    <row r="3053" spans="1:11" x14ac:dyDescent="0.35">
      <c r="A3053" s="7" t="s">
        <v>3083</v>
      </c>
      <c r="B3053" s="8">
        <v>45731</v>
      </c>
      <c r="C3053" s="9" t="s">
        <v>11</v>
      </c>
      <c r="D3053" s="9" t="s">
        <v>34</v>
      </c>
      <c r="E3053" s="9" t="s">
        <v>13</v>
      </c>
      <c r="F3053" s="9">
        <v>226</v>
      </c>
      <c r="G3053" s="9">
        <v>134.51</v>
      </c>
      <c r="H3053" s="9" t="s">
        <v>32</v>
      </c>
      <c r="I3053" s="9">
        <v>23</v>
      </c>
      <c r="J3053" s="10">
        <v>-91.49</v>
      </c>
      <c r="K3053" s="9" t="str">
        <f>TEXT(Sales_of_Jordan[[#This Row],[Sale_Date]],"mmm")</f>
        <v>Mar</v>
      </c>
    </row>
    <row r="3054" spans="1:11" x14ac:dyDescent="0.35">
      <c r="A3054" s="7" t="s">
        <v>3084</v>
      </c>
      <c r="B3054" s="8">
        <v>45492</v>
      </c>
      <c r="C3054" s="9" t="s">
        <v>21</v>
      </c>
      <c r="D3054" s="9" t="s">
        <v>46</v>
      </c>
      <c r="E3054" s="9" t="s">
        <v>18</v>
      </c>
      <c r="F3054" s="9">
        <v>210</v>
      </c>
      <c r="G3054" s="9">
        <v>657.48</v>
      </c>
      <c r="H3054" s="9" t="s">
        <v>19</v>
      </c>
      <c r="I3054" s="9">
        <v>7</v>
      </c>
      <c r="J3054" s="10">
        <v>447.48</v>
      </c>
      <c r="K3054" s="9" t="str">
        <f>TEXT(Sales_of_Jordan[[#This Row],[Sale_Date]],"mmm")</f>
        <v>Jul</v>
      </c>
    </row>
    <row r="3055" spans="1:11" x14ac:dyDescent="0.35">
      <c r="A3055" s="7" t="s">
        <v>3085</v>
      </c>
      <c r="B3055" s="8">
        <v>45357</v>
      </c>
      <c r="C3055" s="9" t="s">
        <v>21</v>
      </c>
      <c r="D3055" s="9" t="s">
        <v>46</v>
      </c>
      <c r="E3055" s="9" t="s">
        <v>29</v>
      </c>
      <c r="F3055" s="9">
        <v>222</v>
      </c>
      <c r="G3055" s="9">
        <v>246.05</v>
      </c>
      <c r="H3055" s="9" t="s">
        <v>14</v>
      </c>
      <c r="I3055" s="9">
        <v>1</v>
      </c>
      <c r="J3055" s="10">
        <v>24.05</v>
      </c>
      <c r="K3055" s="9" t="str">
        <f>TEXT(Sales_of_Jordan[[#This Row],[Sale_Date]],"mmm")</f>
        <v>Mar</v>
      </c>
    </row>
    <row r="3056" spans="1:11" x14ac:dyDescent="0.35">
      <c r="A3056" s="7" t="s">
        <v>3086</v>
      </c>
      <c r="B3056" s="8">
        <v>45635</v>
      </c>
      <c r="C3056" s="9" t="s">
        <v>21</v>
      </c>
      <c r="D3056" s="9" t="s">
        <v>12</v>
      </c>
      <c r="E3056" s="9" t="s">
        <v>18</v>
      </c>
      <c r="F3056" s="9">
        <v>223</v>
      </c>
      <c r="G3056" s="9">
        <v>754.35</v>
      </c>
      <c r="H3056" s="9" t="s">
        <v>32</v>
      </c>
      <c r="I3056" s="9">
        <v>44</v>
      </c>
      <c r="J3056" s="10">
        <v>531.35</v>
      </c>
      <c r="K3056" s="9" t="str">
        <f>TEXT(Sales_of_Jordan[[#This Row],[Sale_Date]],"mmm")</f>
        <v>Dec</v>
      </c>
    </row>
    <row r="3057" spans="1:11" x14ac:dyDescent="0.35">
      <c r="A3057" s="7" t="s">
        <v>3087</v>
      </c>
      <c r="B3057" s="8">
        <v>45009</v>
      </c>
      <c r="C3057" s="9" t="s">
        <v>11</v>
      </c>
      <c r="D3057" s="9" t="s">
        <v>55</v>
      </c>
      <c r="E3057" s="9" t="s">
        <v>18</v>
      </c>
      <c r="F3057" s="9">
        <v>230</v>
      </c>
      <c r="G3057" s="9">
        <v>474.34</v>
      </c>
      <c r="H3057" s="9" t="s">
        <v>32</v>
      </c>
      <c r="I3057" s="9">
        <v>13</v>
      </c>
      <c r="J3057" s="10">
        <v>244.33999999999901</v>
      </c>
      <c r="K3057" s="9" t="str">
        <f>TEXT(Sales_of_Jordan[[#This Row],[Sale_Date]],"mmm")</f>
        <v>Mar</v>
      </c>
    </row>
    <row r="3058" spans="1:11" x14ac:dyDescent="0.35">
      <c r="A3058" s="7" t="s">
        <v>3088</v>
      </c>
      <c r="B3058" s="8">
        <v>45705</v>
      </c>
      <c r="C3058" s="9" t="s">
        <v>27</v>
      </c>
      <c r="D3058" s="9" t="s">
        <v>17</v>
      </c>
      <c r="E3058" s="9" t="s">
        <v>18</v>
      </c>
      <c r="F3058" s="9">
        <v>111</v>
      </c>
      <c r="G3058" s="9">
        <v>234.96</v>
      </c>
      <c r="H3058" s="9" t="s">
        <v>32</v>
      </c>
      <c r="I3058" s="9">
        <v>12</v>
      </c>
      <c r="J3058" s="10">
        <v>123.96</v>
      </c>
      <c r="K3058" s="9" t="str">
        <f>TEXT(Sales_of_Jordan[[#This Row],[Sale_Date]],"mmm")</f>
        <v>Feb</v>
      </c>
    </row>
    <row r="3059" spans="1:11" x14ac:dyDescent="0.35">
      <c r="A3059" s="7" t="s">
        <v>3089</v>
      </c>
      <c r="B3059" s="8">
        <v>45497</v>
      </c>
      <c r="C3059" s="9" t="s">
        <v>21</v>
      </c>
      <c r="D3059" s="9" t="s">
        <v>55</v>
      </c>
      <c r="E3059" s="9" t="s">
        <v>18</v>
      </c>
      <c r="F3059" s="9">
        <v>211</v>
      </c>
      <c r="G3059" s="9">
        <v>343.49</v>
      </c>
      <c r="H3059" s="9" t="s">
        <v>23</v>
      </c>
      <c r="I3059" s="9">
        <v>30</v>
      </c>
      <c r="J3059" s="10">
        <v>132.49</v>
      </c>
      <c r="K3059" s="9" t="str">
        <f>TEXT(Sales_of_Jordan[[#This Row],[Sale_Date]],"mmm")</f>
        <v>Jul</v>
      </c>
    </row>
    <row r="3060" spans="1:11" x14ac:dyDescent="0.35">
      <c r="A3060" s="7" t="s">
        <v>3090</v>
      </c>
      <c r="B3060" s="8">
        <v>45203</v>
      </c>
      <c r="C3060" s="9" t="s">
        <v>27</v>
      </c>
      <c r="D3060" s="9" t="s">
        <v>46</v>
      </c>
      <c r="E3060" s="9" t="s">
        <v>18</v>
      </c>
      <c r="F3060" s="9">
        <v>110</v>
      </c>
      <c r="G3060" s="9">
        <v>300.88</v>
      </c>
      <c r="H3060" s="9" t="s">
        <v>23</v>
      </c>
      <c r="I3060" s="9">
        <v>48</v>
      </c>
      <c r="J3060" s="10">
        <v>190.88</v>
      </c>
      <c r="K3060" s="9" t="str">
        <f>TEXT(Sales_of_Jordan[[#This Row],[Sale_Date]],"mmm")</f>
        <v>Oct</v>
      </c>
    </row>
    <row r="3061" spans="1:11" x14ac:dyDescent="0.35">
      <c r="A3061" s="7" t="s">
        <v>3091</v>
      </c>
      <c r="B3061" s="8">
        <v>45713</v>
      </c>
      <c r="C3061" s="9" t="s">
        <v>16</v>
      </c>
      <c r="D3061" s="9" t="s">
        <v>55</v>
      </c>
      <c r="E3061" s="9" t="s">
        <v>13</v>
      </c>
      <c r="F3061" s="9">
        <v>187</v>
      </c>
      <c r="G3061" s="9">
        <v>97.65</v>
      </c>
      <c r="H3061" s="9" t="s">
        <v>14</v>
      </c>
      <c r="I3061" s="9">
        <v>5</v>
      </c>
      <c r="J3061" s="10">
        <v>-89.35</v>
      </c>
      <c r="K3061" s="9" t="str">
        <f>TEXT(Sales_of_Jordan[[#This Row],[Sale_Date]],"mmm")</f>
        <v>Feb</v>
      </c>
    </row>
    <row r="3062" spans="1:11" x14ac:dyDescent="0.35">
      <c r="A3062" s="7" t="s">
        <v>3092</v>
      </c>
      <c r="B3062" s="8">
        <v>45087</v>
      </c>
      <c r="C3062" s="9" t="s">
        <v>11</v>
      </c>
      <c r="D3062" s="9" t="s">
        <v>53</v>
      </c>
      <c r="E3062" s="9" t="s">
        <v>13</v>
      </c>
      <c r="F3062" s="9">
        <v>229</v>
      </c>
      <c r="G3062" s="9">
        <v>154.83000000000001</v>
      </c>
      <c r="H3062" s="9" t="s">
        <v>19</v>
      </c>
      <c r="I3062" s="9">
        <v>4</v>
      </c>
      <c r="J3062" s="10">
        <v>-74.169999999999902</v>
      </c>
      <c r="K3062" s="9" t="str">
        <f>TEXT(Sales_of_Jordan[[#This Row],[Sale_Date]],"mmm")</f>
        <v>Jun</v>
      </c>
    </row>
    <row r="3063" spans="1:11" x14ac:dyDescent="0.35">
      <c r="A3063" s="7" t="s">
        <v>3093</v>
      </c>
      <c r="B3063" s="8">
        <v>45494</v>
      </c>
      <c r="C3063" s="9" t="s">
        <v>27</v>
      </c>
      <c r="D3063" s="9" t="s">
        <v>12</v>
      </c>
      <c r="E3063" s="9" t="s">
        <v>18</v>
      </c>
      <c r="F3063" s="9">
        <v>131</v>
      </c>
      <c r="G3063" s="9">
        <v>364.17</v>
      </c>
      <c r="H3063" s="9" t="s">
        <v>23</v>
      </c>
      <c r="I3063" s="9">
        <v>51</v>
      </c>
      <c r="J3063" s="10">
        <v>233.17</v>
      </c>
      <c r="K3063" s="9" t="str">
        <f>TEXT(Sales_of_Jordan[[#This Row],[Sale_Date]],"mmm")</f>
        <v>Jul</v>
      </c>
    </row>
    <row r="3064" spans="1:11" x14ac:dyDescent="0.35">
      <c r="A3064" s="7" t="s">
        <v>3094</v>
      </c>
      <c r="B3064" s="8">
        <v>45097</v>
      </c>
      <c r="C3064" s="9" t="s">
        <v>27</v>
      </c>
      <c r="D3064" s="9" t="s">
        <v>46</v>
      </c>
      <c r="E3064" s="9" t="s">
        <v>29</v>
      </c>
      <c r="F3064" s="9">
        <v>124</v>
      </c>
      <c r="G3064" s="9">
        <v>149.66</v>
      </c>
      <c r="H3064" s="9" t="s">
        <v>32</v>
      </c>
      <c r="I3064" s="9">
        <v>16</v>
      </c>
      <c r="J3064" s="10">
        <v>25.659999999999901</v>
      </c>
      <c r="K3064" s="9" t="str">
        <f>TEXT(Sales_of_Jordan[[#This Row],[Sale_Date]],"mmm")</f>
        <v>Jun</v>
      </c>
    </row>
    <row r="3065" spans="1:11" x14ac:dyDescent="0.35">
      <c r="A3065" s="7" t="s">
        <v>3095</v>
      </c>
      <c r="B3065" s="8">
        <v>45646</v>
      </c>
      <c r="C3065" s="9" t="s">
        <v>11</v>
      </c>
      <c r="D3065" s="9" t="s">
        <v>22</v>
      </c>
      <c r="E3065" s="9" t="s">
        <v>29</v>
      </c>
      <c r="F3065" s="9">
        <v>229</v>
      </c>
      <c r="G3065" s="9">
        <v>289.52</v>
      </c>
      <c r="H3065" s="9" t="s">
        <v>23</v>
      </c>
      <c r="I3065" s="9">
        <v>56</v>
      </c>
      <c r="J3065" s="10">
        <v>60.519999999999897</v>
      </c>
      <c r="K3065" s="9" t="str">
        <f>TEXT(Sales_of_Jordan[[#This Row],[Sale_Date]],"mmm")</f>
        <v>Dec</v>
      </c>
    </row>
    <row r="3066" spans="1:11" x14ac:dyDescent="0.35">
      <c r="A3066" s="7" t="s">
        <v>3096</v>
      </c>
      <c r="B3066" s="8">
        <v>45694</v>
      </c>
      <c r="C3066" s="9" t="s">
        <v>21</v>
      </c>
      <c r="D3066" s="9" t="s">
        <v>39</v>
      </c>
      <c r="E3066" s="9" t="s">
        <v>29</v>
      </c>
      <c r="F3066" s="9">
        <v>225</v>
      </c>
      <c r="G3066" s="9">
        <v>323.26</v>
      </c>
      <c r="H3066" s="9" t="s">
        <v>19</v>
      </c>
      <c r="I3066" s="9">
        <v>3</v>
      </c>
      <c r="J3066" s="10">
        <v>98.259999999999906</v>
      </c>
      <c r="K3066" s="9" t="str">
        <f>TEXT(Sales_of_Jordan[[#This Row],[Sale_Date]],"mmm")</f>
        <v>Feb</v>
      </c>
    </row>
    <row r="3067" spans="1:11" x14ac:dyDescent="0.35">
      <c r="A3067" s="7" t="s">
        <v>3097</v>
      </c>
      <c r="B3067" s="8">
        <v>45401</v>
      </c>
      <c r="C3067" s="9" t="s">
        <v>31</v>
      </c>
      <c r="D3067" s="9" t="s">
        <v>39</v>
      </c>
      <c r="E3067" s="9" t="s">
        <v>29</v>
      </c>
      <c r="F3067" s="9">
        <v>203</v>
      </c>
      <c r="G3067" s="9">
        <v>254.19</v>
      </c>
      <c r="H3067" s="9" t="s">
        <v>19</v>
      </c>
      <c r="I3067" s="9">
        <v>13</v>
      </c>
      <c r="J3067" s="10">
        <v>51.19</v>
      </c>
      <c r="K3067" s="9" t="str">
        <f>TEXT(Sales_of_Jordan[[#This Row],[Sale_Date]],"mmm")</f>
        <v>Apr</v>
      </c>
    </row>
    <row r="3068" spans="1:11" x14ac:dyDescent="0.35">
      <c r="A3068" s="7" t="s">
        <v>3098</v>
      </c>
      <c r="B3068" s="8">
        <v>45369</v>
      </c>
      <c r="C3068" s="9" t="s">
        <v>27</v>
      </c>
      <c r="D3068" s="9" t="s">
        <v>12</v>
      </c>
      <c r="E3068" s="9" t="s">
        <v>29</v>
      </c>
      <c r="F3068" s="9">
        <v>121</v>
      </c>
      <c r="G3068" s="9">
        <v>167.5</v>
      </c>
      <c r="H3068" s="9" t="s">
        <v>25</v>
      </c>
      <c r="I3068" s="9">
        <v>45</v>
      </c>
      <c r="J3068" s="10">
        <v>46.5</v>
      </c>
      <c r="K3068" s="9" t="str">
        <f>TEXT(Sales_of_Jordan[[#This Row],[Sale_Date]],"mmm")</f>
        <v>Mar</v>
      </c>
    </row>
    <row r="3069" spans="1:11" x14ac:dyDescent="0.35">
      <c r="A3069" s="7" t="s">
        <v>3099</v>
      </c>
      <c r="B3069" s="8">
        <v>45597</v>
      </c>
      <c r="C3069" s="9" t="s">
        <v>16</v>
      </c>
      <c r="D3069" s="9" t="s">
        <v>12</v>
      </c>
      <c r="E3069" s="9" t="s">
        <v>13</v>
      </c>
      <c r="F3069" s="9">
        <v>184</v>
      </c>
      <c r="G3069" s="9">
        <v>162.93</v>
      </c>
      <c r="H3069" s="9" t="s">
        <v>23</v>
      </c>
      <c r="I3069" s="9">
        <v>13</v>
      </c>
      <c r="J3069" s="10">
        <v>-21.069999999999901</v>
      </c>
      <c r="K3069" s="9" t="str">
        <f>TEXT(Sales_of_Jordan[[#This Row],[Sale_Date]],"mmm")</f>
        <v>Nov</v>
      </c>
    </row>
    <row r="3070" spans="1:11" x14ac:dyDescent="0.35">
      <c r="A3070" s="7" t="s">
        <v>3100</v>
      </c>
      <c r="B3070" s="8">
        <v>45619</v>
      </c>
      <c r="C3070" s="9" t="s">
        <v>11</v>
      </c>
      <c r="D3070" s="9" t="s">
        <v>39</v>
      </c>
      <c r="E3070" s="9" t="s">
        <v>13</v>
      </c>
      <c r="F3070" s="9">
        <v>227</v>
      </c>
      <c r="G3070" s="9">
        <v>148.11000000000001</v>
      </c>
      <c r="H3070" s="9" t="s">
        <v>32</v>
      </c>
      <c r="I3070" s="9">
        <v>25</v>
      </c>
      <c r="J3070" s="10">
        <v>-78.889999999999901</v>
      </c>
      <c r="K3070" s="9" t="str">
        <f>TEXT(Sales_of_Jordan[[#This Row],[Sale_Date]],"mmm")</f>
        <v>Nov</v>
      </c>
    </row>
    <row r="3071" spans="1:11" x14ac:dyDescent="0.35">
      <c r="A3071" s="7" t="s">
        <v>3101</v>
      </c>
      <c r="B3071" s="8">
        <v>45566</v>
      </c>
      <c r="C3071" s="9" t="s">
        <v>31</v>
      </c>
      <c r="D3071" s="9" t="s">
        <v>39</v>
      </c>
      <c r="E3071" s="9" t="s">
        <v>29</v>
      </c>
      <c r="F3071" s="9">
        <v>201</v>
      </c>
      <c r="G3071" s="9">
        <v>226.29</v>
      </c>
      <c r="H3071" s="9" t="s">
        <v>14</v>
      </c>
      <c r="I3071" s="9">
        <v>6</v>
      </c>
      <c r="J3071" s="10">
        <v>25.2899999999999</v>
      </c>
      <c r="K3071" s="9" t="str">
        <f>TEXT(Sales_of_Jordan[[#This Row],[Sale_Date]],"mmm")</f>
        <v>Oct</v>
      </c>
    </row>
    <row r="3072" spans="1:11" x14ac:dyDescent="0.35">
      <c r="A3072" s="7" t="s">
        <v>3102</v>
      </c>
      <c r="B3072" s="8">
        <v>45247</v>
      </c>
      <c r="C3072" s="9" t="s">
        <v>31</v>
      </c>
      <c r="D3072" s="9" t="s">
        <v>17</v>
      </c>
      <c r="E3072" s="9" t="s">
        <v>18</v>
      </c>
      <c r="F3072" s="9">
        <v>209</v>
      </c>
      <c r="G3072" s="9">
        <v>601.02</v>
      </c>
      <c r="H3072" s="9" t="s">
        <v>25</v>
      </c>
      <c r="I3072" s="9">
        <v>28</v>
      </c>
      <c r="J3072" s="10">
        <v>392.02</v>
      </c>
      <c r="K3072" s="9" t="str">
        <f>TEXT(Sales_of_Jordan[[#This Row],[Sale_Date]],"mmm")</f>
        <v>Nov</v>
      </c>
    </row>
    <row r="3073" spans="1:11" x14ac:dyDescent="0.35">
      <c r="A3073" s="7" t="s">
        <v>3103</v>
      </c>
      <c r="B3073" s="8">
        <v>44974</v>
      </c>
      <c r="C3073" s="9" t="s">
        <v>21</v>
      </c>
      <c r="D3073" s="9" t="s">
        <v>53</v>
      </c>
      <c r="E3073" s="9" t="s">
        <v>18</v>
      </c>
      <c r="F3073" s="9">
        <v>210</v>
      </c>
      <c r="G3073" s="9">
        <v>447.95</v>
      </c>
      <c r="H3073" s="9" t="s">
        <v>14</v>
      </c>
      <c r="I3073" s="9">
        <v>8</v>
      </c>
      <c r="J3073" s="10">
        <v>237.95</v>
      </c>
      <c r="K3073" s="9" t="str">
        <f>TEXT(Sales_of_Jordan[[#This Row],[Sale_Date]],"mmm")</f>
        <v>Feb</v>
      </c>
    </row>
    <row r="3074" spans="1:11" x14ac:dyDescent="0.35">
      <c r="A3074" s="7" t="s">
        <v>3104</v>
      </c>
      <c r="B3074" s="8">
        <v>45830</v>
      </c>
      <c r="C3074" s="9" t="s">
        <v>31</v>
      </c>
      <c r="D3074" s="9" t="s">
        <v>39</v>
      </c>
      <c r="E3074" s="9" t="s">
        <v>18</v>
      </c>
      <c r="F3074" s="9">
        <v>210</v>
      </c>
      <c r="G3074" s="9">
        <v>518.78</v>
      </c>
      <c r="H3074" s="9" t="s">
        <v>25</v>
      </c>
      <c r="I3074" s="9">
        <v>14</v>
      </c>
      <c r="J3074" s="10">
        <v>308.77999999999997</v>
      </c>
      <c r="K3074" s="9" t="str">
        <f>TEXT(Sales_of_Jordan[[#This Row],[Sale_Date]],"mmm")</f>
        <v>Jun</v>
      </c>
    </row>
    <row r="3075" spans="1:11" x14ac:dyDescent="0.35">
      <c r="A3075" s="7" t="s">
        <v>3105</v>
      </c>
      <c r="B3075" s="8">
        <v>45377</v>
      </c>
      <c r="C3075" s="9" t="s">
        <v>11</v>
      </c>
      <c r="D3075" s="9" t="s">
        <v>34</v>
      </c>
      <c r="E3075" s="9" t="s">
        <v>13</v>
      </c>
      <c r="F3075" s="9">
        <v>230</v>
      </c>
      <c r="G3075" s="9">
        <v>124.34</v>
      </c>
      <c r="H3075" s="9" t="s">
        <v>14</v>
      </c>
      <c r="I3075" s="9">
        <v>12</v>
      </c>
      <c r="J3075" s="10">
        <v>-105.66</v>
      </c>
      <c r="K3075" s="9" t="str">
        <f>TEXT(Sales_of_Jordan[[#This Row],[Sale_Date]],"mmm")</f>
        <v>Mar</v>
      </c>
    </row>
    <row r="3076" spans="1:11" x14ac:dyDescent="0.35">
      <c r="A3076" s="7" t="s">
        <v>3106</v>
      </c>
      <c r="B3076" s="8">
        <v>45164</v>
      </c>
      <c r="C3076" s="9" t="s">
        <v>31</v>
      </c>
      <c r="D3076" s="9" t="s">
        <v>17</v>
      </c>
      <c r="E3076" s="9" t="s">
        <v>13</v>
      </c>
      <c r="F3076" s="9">
        <v>208</v>
      </c>
      <c r="G3076" s="9">
        <v>132.11000000000001</v>
      </c>
      <c r="H3076" s="9" t="s">
        <v>14</v>
      </c>
      <c r="I3076" s="9">
        <v>3</v>
      </c>
      <c r="J3076" s="10">
        <v>-75.889999999999901</v>
      </c>
      <c r="K3076" s="9" t="str">
        <f>TEXT(Sales_of_Jordan[[#This Row],[Sale_Date]],"mmm")</f>
        <v>Aug</v>
      </c>
    </row>
    <row r="3077" spans="1:11" x14ac:dyDescent="0.35">
      <c r="A3077" s="7" t="s">
        <v>3107</v>
      </c>
      <c r="B3077" s="8">
        <v>45517</v>
      </c>
      <c r="C3077" s="9" t="s">
        <v>31</v>
      </c>
      <c r="D3077" s="9" t="s">
        <v>55</v>
      </c>
      <c r="E3077" s="9" t="s">
        <v>13</v>
      </c>
      <c r="F3077" s="9">
        <v>210</v>
      </c>
      <c r="G3077" s="9">
        <v>176.39</v>
      </c>
      <c r="H3077" s="9" t="s">
        <v>23</v>
      </c>
      <c r="I3077" s="9">
        <v>47</v>
      </c>
      <c r="J3077" s="10">
        <v>-33.61</v>
      </c>
      <c r="K3077" s="9" t="str">
        <f>TEXT(Sales_of_Jordan[[#This Row],[Sale_Date]],"mmm")</f>
        <v>Aug</v>
      </c>
    </row>
    <row r="3078" spans="1:11" x14ac:dyDescent="0.35">
      <c r="A3078" s="7" t="s">
        <v>3108</v>
      </c>
      <c r="B3078" s="8">
        <v>45402</v>
      </c>
      <c r="C3078" s="9" t="s">
        <v>31</v>
      </c>
      <c r="D3078" s="9" t="s">
        <v>34</v>
      </c>
      <c r="E3078" s="9" t="s">
        <v>18</v>
      </c>
      <c r="F3078" s="9">
        <v>205</v>
      </c>
      <c r="G3078" s="9">
        <v>397.04</v>
      </c>
      <c r="H3078" s="9" t="s">
        <v>19</v>
      </c>
      <c r="I3078" s="9">
        <v>9</v>
      </c>
      <c r="J3078" s="10">
        <v>192.04</v>
      </c>
      <c r="K3078" s="9" t="str">
        <f>TEXT(Sales_of_Jordan[[#This Row],[Sale_Date]],"mmm")</f>
        <v>Apr</v>
      </c>
    </row>
    <row r="3079" spans="1:11" x14ac:dyDescent="0.35">
      <c r="A3079" s="7" t="s">
        <v>3109</v>
      </c>
      <c r="B3079" s="8">
        <v>45609</v>
      </c>
      <c r="C3079" s="9" t="s">
        <v>31</v>
      </c>
      <c r="D3079" s="9" t="s">
        <v>17</v>
      </c>
      <c r="E3079" s="9" t="s">
        <v>29</v>
      </c>
      <c r="F3079" s="9">
        <v>208</v>
      </c>
      <c r="G3079" s="9">
        <v>235.95</v>
      </c>
      <c r="H3079" s="9" t="s">
        <v>25</v>
      </c>
      <c r="I3079" s="9">
        <v>41</v>
      </c>
      <c r="J3079" s="10">
        <v>27.9499999999999</v>
      </c>
      <c r="K3079" s="9" t="str">
        <f>TEXT(Sales_of_Jordan[[#This Row],[Sale_Date]],"mmm")</f>
        <v>Nov</v>
      </c>
    </row>
    <row r="3080" spans="1:11" x14ac:dyDescent="0.35">
      <c r="A3080" s="7" t="s">
        <v>3110</v>
      </c>
      <c r="B3080" s="8">
        <v>45332</v>
      </c>
      <c r="C3080" s="9" t="s">
        <v>27</v>
      </c>
      <c r="D3080" s="9" t="s">
        <v>34</v>
      </c>
      <c r="E3080" s="9" t="s">
        <v>18</v>
      </c>
      <c r="F3080" s="9">
        <v>137</v>
      </c>
      <c r="G3080" s="9">
        <v>294.36</v>
      </c>
      <c r="H3080" s="9" t="s">
        <v>19</v>
      </c>
      <c r="I3080" s="9">
        <v>1</v>
      </c>
      <c r="J3080" s="10">
        <v>157.36000000000001</v>
      </c>
      <c r="K3080" s="9" t="str">
        <f>TEXT(Sales_of_Jordan[[#This Row],[Sale_Date]],"mmm")</f>
        <v>Feb</v>
      </c>
    </row>
    <row r="3081" spans="1:11" x14ac:dyDescent="0.35">
      <c r="A3081" s="7" t="s">
        <v>3111</v>
      </c>
      <c r="B3081" s="8">
        <v>45484</v>
      </c>
      <c r="C3081" s="9" t="s">
        <v>11</v>
      </c>
      <c r="D3081" s="9" t="s">
        <v>53</v>
      </c>
      <c r="E3081" s="9" t="s">
        <v>29</v>
      </c>
      <c r="F3081" s="9">
        <v>227</v>
      </c>
      <c r="G3081" s="9">
        <v>313.98</v>
      </c>
      <c r="H3081" s="9" t="s">
        <v>14</v>
      </c>
      <c r="I3081" s="9">
        <v>5</v>
      </c>
      <c r="J3081" s="10">
        <v>86.98</v>
      </c>
      <c r="K3081" s="9" t="str">
        <f>TEXT(Sales_of_Jordan[[#This Row],[Sale_Date]],"mmm")</f>
        <v>Jul</v>
      </c>
    </row>
    <row r="3082" spans="1:11" x14ac:dyDescent="0.35">
      <c r="A3082" s="7" t="s">
        <v>3112</v>
      </c>
      <c r="B3082" s="8">
        <v>45600</v>
      </c>
      <c r="C3082" s="9" t="s">
        <v>31</v>
      </c>
      <c r="D3082" s="9" t="s">
        <v>17</v>
      </c>
      <c r="E3082" s="9" t="s">
        <v>18</v>
      </c>
      <c r="F3082" s="9">
        <v>203</v>
      </c>
      <c r="G3082" s="9">
        <v>456.2</v>
      </c>
      <c r="H3082" s="9" t="s">
        <v>23</v>
      </c>
      <c r="I3082" s="9">
        <v>19</v>
      </c>
      <c r="J3082" s="10">
        <v>253.2</v>
      </c>
      <c r="K3082" s="9" t="str">
        <f>TEXT(Sales_of_Jordan[[#This Row],[Sale_Date]],"mmm")</f>
        <v>Nov</v>
      </c>
    </row>
    <row r="3083" spans="1:11" x14ac:dyDescent="0.35">
      <c r="A3083" s="7" t="s">
        <v>3113</v>
      </c>
      <c r="B3083" s="8">
        <v>45303</v>
      </c>
      <c r="C3083" s="9" t="s">
        <v>27</v>
      </c>
      <c r="D3083" s="9" t="s">
        <v>39</v>
      </c>
      <c r="E3083" s="9" t="s">
        <v>29</v>
      </c>
      <c r="F3083" s="9">
        <v>135</v>
      </c>
      <c r="G3083" s="9">
        <v>126.62</v>
      </c>
      <c r="H3083" s="9" t="s">
        <v>14</v>
      </c>
      <c r="I3083" s="9">
        <v>6</v>
      </c>
      <c r="J3083" s="10">
        <v>-8.3799999999999901</v>
      </c>
      <c r="K3083" s="9" t="str">
        <f>TEXT(Sales_of_Jordan[[#This Row],[Sale_Date]],"mmm")</f>
        <v>Jan</v>
      </c>
    </row>
    <row r="3084" spans="1:11" x14ac:dyDescent="0.35">
      <c r="A3084" s="7" t="s">
        <v>3114</v>
      </c>
      <c r="B3084" s="8">
        <v>45842</v>
      </c>
      <c r="C3084" s="9" t="s">
        <v>16</v>
      </c>
      <c r="D3084" s="9" t="s">
        <v>12</v>
      </c>
      <c r="E3084" s="9" t="s">
        <v>13</v>
      </c>
      <c r="F3084" s="9">
        <v>173</v>
      </c>
      <c r="G3084" s="9">
        <v>152.99</v>
      </c>
      <c r="H3084" s="9" t="s">
        <v>23</v>
      </c>
      <c r="I3084" s="9">
        <v>47</v>
      </c>
      <c r="J3084" s="10">
        <v>-20.009999999999899</v>
      </c>
      <c r="K3084" s="9" t="str">
        <f>TEXT(Sales_of_Jordan[[#This Row],[Sale_Date]],"mmm")</f>
        <v>Jul</v>
      </c>
    </row>
    <row r="3085" spans="1:11" x14ac:dyDescent="0.35">
      <c r="A3085" s="7" t="s">
        <v>3115</v>
      </c>
      <c r="B3085" s="8">
        <v>45279</v>
      </c>
      <c r="C3085" s="9" t="s">
        <v>31</v>
      </c>
      <c r="D3085" s="9" t="s">
        <v>34</v>
      </c>
      <c r="E3085" s="9" t="s">
        <v>13</v>
      </c>
      <c r="F3085" s="9">
        <v>208</v>
      </c>
      <c r="G3085" s="9">
        <v>134.96</v>
      </c>
      <c r="H3085" s="9" t="s">
        <v>25</v>
      </c>
      <c r="I3085" s="9">
        <v>58</v>
      </c>
      <c r="J3085" s="10">
        <v>-73.039999999999907</v>
      </c>
      <c r="K3085" s="9" t="str">
        <f>TEXT(Sales_of_Jordan[[#This Row],[Sale_Date]],"mmm")</f>
        <v>Dec</v>
      </c>
    </row>
    <row r="3086" spans="1:11" x14ac:dyDescent="0.35">
      <c r="A3086" s="7" t="s">
        <v>3116</v>
      </c>
      <c r="B3086" s="8">
        <v>45864</v>
      </c>
      <c r="C3086" s="9" t="s">
        <v>11</v>
      </c>
      <c r="D3086" s="9" t="s">
        <v>55</v>
      </c>
      <c r="E3086" s="9" t="s">
        <v>29</v>
      </c>
      <c r="F3086" s="9">
        <v>227</v>
      </c>
      <c r="G3086" s="9">
        <v>245.66</v>
      </c>
      <c r="H3086" s="9" t="s">
        <v>14</v>
      </c>
      <c r="I3086" s="9">
        <v>8</v>
      </c>
      <c r="J3086" s="10">
        <v>18.659999999999901</v>
      </c>
      <c r="K3086" s="9" t="str">
        <f>TEXT(Sales_of_Jordan[[#This Row],[Sale_Date]],"mmm")</f>
        <v>Jul</v>
      </c>
    </row>
    <row r="3087" spans="1:11" x14ac:dyDescent="0.35">
      <c r="A3087" s="7" t="s">
        <v>3117</v>
      </c>
      <c r="B3087" s="8">
        <v>45585</v>
      </c>
      <c r="C3087" s="9" t="s">
        <v>16</v>
      </c>
      <c r="D3087" s="9" t="s">
        <v>39</v>
      </c>
      <c r="E3087" s="9" t="s">
        <v>13</v>
      </c>
      <c r="F3087" s="9">
        <v>177</v>
      </c>
      <c r="G3087" s="9">
        <v>92.75</v>
      </c>
      <c r="H3087" s="9" t="s">
        <v>14</v>
      </c>
      <c r="I3087" s="9">
        <v>7</v>
      </c>
      <c r="J3087" s="10">
        <v>-84.25</v>
      </c>
      <c r="K3087" s="9" t="str">
        <f>TEXT(Sales_of_Jordan[[#This Row],[Sale_Date]],"mmm")</f>
        <v>Oct</v>
      </c>
    </row>
    <row r="3088" spans="1:11" x14ac:dyDescent="0.35">
      <c r="A3088" s="7" t="s">
        <v>3118</v>
      </c>
      <c r="B3088" s="8">
        <v>45640</v>
      </c>
      <c r="C3088" s="9" t="s">
        <v>31</v>
      </c>
      <c r="D3088" s="9" t="s">
        <v>36</v>
      </c>
      <c r="E3088" s="9" t="s">
        <v>18</v>
      </c>
      <c r="F3088" s="9">
        <v>205</v>
      </c>
      <c r="G3088" s="9">
        <v>305.23</v>
      </c>
      <c r="H3088" s="9" t="s">
        <v>23</v>
      </c>
      <c r="I3088" s="9">
        <v>20</v>
      </c>
      <c r="J3088" s="10">
        <v>100.23</v>
      </c>
      <c r="K3088" s="9" t="str">
        <f>TEXT(Sales_of_Jordan[[#This Row],[Sale_Date]],"mmm")</f>
        <v>Dec</v>
      </c>
    </row>
    <row r="3089" spans="1:11" x14ac:dyDescent="0.35">
      <c r="A3089" s="7" t="s">
        <v>3119</v>
      </c>
      <c r="B3089" s="8">
        <v>45411</v>
      </c>
      <c r="C3089" s="9" t="s">
        <v>27</v>
      </c>
      <c r="D3089" s="9" t="s">
        <v>34</v>
      </c>
      <c r="E3089" s="9" t="s">
        <v>29</v>
      </c>
      <c r="F3089" s="9">
        <v>138</v>
      </c>
      <c r="G3089" s="9">
        <v>205.28</v>
      </c>
      <c r="H3089" s="9" t="s">
        <v>14</v>
      </c>
      <c r="I3089" s="9">
        <v>7</v>
      </c>
      <c r="J3089" s="10">
        <v>67.28</v>
      </c>
      <c r="K3089" s="9" t="str">
        <f>TEXT(Sales_of_Jordan[[#This Row],[Sale_Date]],"mmm")</f>
        <v>Apr</v>
      </c>
    </row>
    <row r="3090" spans="1:11" x14ac:dyDescent="0.35">
      <c r="A3090" s="7" t="s">
        <v>3120</v>
      </c>
      <c r="B3090" s="8">
        <v>45679</v>
      </c>
      <c r="C3090" s="9" t="s">
        <v>16</v>
      </c>
      <c r="D3090" s="9" t="s">
        <v>36</v>
      </c>
      <c r="E3090" s="9" t="s">
        <v>13</v>
      </c>
      <c r="F3090" s="9">
        <v>186</v>
      </c>
      <c r="G3090" s="9">
        <v>138.75</v>
      </c>
      <c r="H3090" s="9" t="s">
        <v>23</v>
      </c>
      <c r="I3090" s="9">
        <v>8</v>
      </c>
      <c r="J3090" s="10">
        <v>-47.25</v>
      </c>
      <c r="K3090" s="9" t="str">
        <f>TEXT(Sales_of_Jordan[[#This Row],[Sale_Date]],"mmm")</f>
        <v>Jan</v>
      </c>
    </row>
    <row r="3091" spans="1:11" x14ac:dyDescent="0.35">
      <c r="A3091" s="7" t="s">
        <v>3121</v>
      </c>
      <c r="B3091" s="8">
        <v>45245</v>
      </c>
      <c r="C3091" s="9" t="s">
        <v>11</v>
      </c>
      <c r="D3091" s="9" t="s">
        <v>22</v>
      </c>
      <c r="E3091" s="9" t="s">
        <v>18</v>
      </c>
      <c r="F3091" s="9">
        <v>227</v>
      </c>
      <c r="G3091" s="9">
        <v>747.67</v>
      </c>
      <c r="H3091" s="9" t="s">
        <v>19</v>
      </c>
      <c r="I3091" s="9">
        <v>10</v>
      </c>
      <c r="J3091" s="10">
        <v>520.66999999999996</v>
      </c>
      <c r="K3091" s="9" t="str">
        <f>TEXT(Sales_of_Jordan[[#This Row],[Sale_Date]],"mmm")</f>
        <v>Nov</v>
      </c>
    </row>
    <row r="3092" spans="1:11" x14ac:dyDescent="0.35">
      <c r="A3092" s="7" t="s">
        <v>3122</v>
      </c>
      <c r="B3092" s="8">
        <v>45041</v>
      </c>
      <c r="C3092" s="9" t="s">
        <v>11</v>
      </c>
      <c r="D3092" s="9" t="s">
        <v>46</v>
      </c>
      <c r="E3092" s="9" t="s">
        <v>13</v>
      </c>
      <c r="F3092" s="9">
        <v>227</v>
      </c>
      <c r="G3092" s="9">
        <v>148.83000000000001</v>
      </c>
      <c r="H3092" s="9" t="s">
        <v>25</v>
      </c>
      <c r="I3092" s="9">
        <v>40</v>
      </c>
      <c r="J3092" s="10">
        <v>-78.169999999999902</v>
      </c>
      <c r="K3092" s="9" t="str">
        <f>TEXT(Sales_of_Jordan[[#This Row],[Sale_Date]],"mmm")</f>
        <v>Apr</v>
      </c>
    </row>
    <row r="3093" spans="1:11" x14ac:dyDescent="0.35">
      <c r="A3093" s="7" t="s">
        <v>3123</v>
      </c>
      <c r="B3093" s="8">
        <v>45395</v>
      </c>
      <c r="C3093" s="9" t="s">
        <v>16</v>
      </c>
      <c r="D3093" s="9" t="s">
        <v>36</v>
      </c>
      <c r="E3093" s="9" t="s">
        <v>18</v>
      </c>
      <c r="F3093" s="9">
        <v>179</v>
      </c>
      <c r="G3093" s="9">
        <v>330.1</v>
      </c>
      <c r="H3093" s="9" t="s">
        <v>25</v>
      </c>
      <c r="I3093" s="9">
        <v>7</v>
      </c>
      <c r="J3093" s="10">
        <v>151.1</v>
      </c>
      <c r="K3093" s="9" t="str">
        <f>TEXT(Sales_of_Jordan[[#This Row],[Sale_Date]],"mmm")</f>
        <v>Apr</v>
      </c>
    </row>
    <row r="3094" spans="1:11" x14ac:dyDescent="0.35">
      <c r="A3094" s="7" t="s">
        <v>3124</v>
      </c>
      <c r="B3094" s="8">
        <v>45469</v>
      </c>
      <c r="C3094" s="9" t="s">
        <v>21</v>
      </c>
      <c r="D3094" s="9" t="s">
        <v>46</v>
      </c>
      <c r="E3094" s="9" t="s">
        <v>29</v>
      </c>
      <c r="F3094" s="9">
        <v>223</v>
      </c>
      <c r="G3094" s="9">
        <v>306.11</v>
      </c>
      <c r="H3094" s="9" t="s">
        <v>25</v>
      </c>
      <c r="I3094" s="9">
        <v>5</v>
      </c>
      <c r="J3094" s="10">
        <v>83.11</v>
      </c>
      <c r="K3094" s="9" t="str">
        <f>TEXT(Sales_of_Jordan[[#This Row],[Sale_Date]],"mmm")</f>
        <v>Jun</v>
      </c>
    </row>
    <row r="3095" spans="1:11" x14ac:dyDescent="0.35">
      <c r="A3095" s="7" t="s">
        <v>3125</v>
      </c>
      <c r="B3095" s="8">
        <v>45311</v>
      </c>
      <c r="C3095" s="9" t="s">
        <v>27</v>
      </c>
      <c r="D3095" s="9" t="s">
        <v>53</v>
      </c>
      <c r="E3095" s="9" t="s">
        <v>29</v>
      </c>
      <c r="F3095" s="9">
        <v>129</v>
      </c>
      <c r="G3095" s="9">
        <v>140.38</v>
      </c>
      <c r="H3095" s="9" t="s">
        <v>32</v>
      </c>
      <c r="I3095" s="9">
        <v>43</v>
      </c>
      <c r="J3095" s="10">
        <v>11.3799999999999</v>
      </c>
      <c r="K3095" s="9" t="str">
        <f>TEXT(Sales_of_Jordan[[#This Row],[Sale_Date]],"mmm")</f>
        <v>Jan</v>
      </c>
    </row>
    <row r="3096" spans="1:11" x14ac:dyDescent="0.35">
      <c r="A3096" s="7" t="s">
        <v>3126</v>
      </c>
      <c r="B3096" s="8">
        <v>44970</v>
      </c>
      <c r="C3096" s="9" t="s">
        <v>11</v>
      </c>
      <c r="D3096" s="9" t="s">
        <v>17</v>
      </c>
      <c r="E3096" s="9" t="s">
        <v>13</v>
      </c>
      <c r="F3096" s="9">
        <v>227</v>
      </c>
      <c r="G3096" s="9">
        <v>184.65</v>
      </c>
      <c r="H3096" s="9" t="s">
        <v>25</v>
      </c>
      <c r="I3096" s="9">
        <v>6</v>
      </c>
      <c r="J3096" s="10">
        <v>-42.349999999999902</v>
      </c>
      <c r="K3096" s="9" t="str">
        <f>TEXT(Sales_of_Jordan[[#This Row],[Sale_Date]],"mmm")</f>
        <v>Feb</v>
      </c>
    </row>
    <row r="3097" spans="1:11" x14ac:dyDescent="0.35">
      <c r="A3097" s="7" t="s">
        <v>3127</v>
      </c>
      <c r="B3097" s="8">
        <v>45592</v>
      </c>
      <c r="C3097" s="9" t="s">
        <v>16</v>
      </c>
      <c r="D3097" s="9" t="s">
        <v>12</v>
      </c>
      <c r="E3097" s="9" t="s">
        <v>18</v>
      </c>
      <c r="F3097" s="9">
        <v>179</v>
      </c>
      <c r="G3097" s="9">
        <v>286.18</v>
      </c>
      <c r="H3097" s="9" t="s">
        <v>23</v>
      </c>
      <c r="I3097" s="9">
        <v>25</v>
      </c>
      <c r="J3097" s="10">
        <v>107.18</v>
      </c>
      <c r="K3097" s="9" t="str">
        <f>TEXT(Sales_of_Jordan[[#This Row],[Sale_Date]],"mmm")</f>
        <v>Oct</v>
      </c>
    </row>
    <row r="3098" spans="1:11" x14ac:dyDescent="0.35">
      <c r="A3098" s="7" t="s">
        <v>3128</v>
      </c>
      <c r="B3098" s="8">
        <v>45022</v>
      </c>
      <c r="C3098" s="9" t="s">
        <v>21</v>
      </c>
      <c r="D3098" s="9" t="s">
        <v>17</v>
      </c>
      <c r="E3098" s="9" t="s">
        <v>13</v>
      </c>
      <c r="F3098" s="9">
        <v>221</v>
      </c>
      <c r="G3098" s="9">
        <v>112.43</v>
      </c>
      <c r="H3098" s="9" t="s">
        <v>23</v>
      </c>
      <c r="I3098" s="9">
        <v>47</v>
      </c>
      <c r="J3098" s="10">
        <v>-108.57</v>
      </c>
      <c r="K3098" s="9" t="str">
        <f>TEXT(Sales_of_Jordan[[#This Row],[Sale_Date]],"mmm")</f>
        <v>Apr</v>
      </c>
    </row>
    <row r="3099" spans="1:11" x14ac:dyDescent="0.35">
      <c r="A3099" s="7" t="s">
        <v>3129</v>
      </c>
      <c r="B3099" s="8">
        <v>45507</v>
      </c>
      <c r="C3099" s="9" t="s">
        <v>27</v>
      </c>
      <c r="D3099" s="9" t="s">
        <v>53</v>
      </c>
      <c r="E3099" s="9" t="s">
        <v>29</v>
      </c>
      <c r="F3099" s="9">
        <v>113</v>
      </c>
      <c r="G3099" s="9">
        <v>118.68</v>
      </c>
      <c r="H3099" s="9" t="s">
        <v>25</v>
      </c>
      <c r="I3099" s="9">
        <v>25</v>
      </c>
      <c r="J3099" s="10">
        <v>5.68</v>
      </c>
      <c r="K3099" s="9" t="str">
        <f>TEXT(Sales_of_Jordan[[#This Row],[Sale_Date]],"mmm")</f>
        <v>Aug</v>
      </c>
    </row>
    <row r="3100" spans="1:11" x14ac:dyDescent="0.35">
      <c r="A3100" s="7" t="s">
        <v>3130</v>
      </c>
      <c r="B3100" s="8">
        <v>45507</v>
      </c>
      <c r="C3100" s="9" t="s">
        <v>11</v>
      </c>
      <c r="D3100" s="9" t="s">
        <v>39</v>
      </c>
      <c r="E3100" s="9" t="s">
        <v>18</v>
      </c>
      <c r="F3100" s="9">
        <v>226</v>
      </c>
      <c r="G3100" s="9">
        <v>576.94000000000005</v>
      </c>
      <c r="H3100" s="9" t="s">
        <v>25</v>
      </c>
      <c r="I3100" s="9">
        <v>10</v>
      </c>
      <c r="J3100" s="10">
        <v>350.94</v>
      </c>
      <c r="K3100" s="9" t="str">
        <f>TEXT(Sales_of_Jordan[[#This Row],[Sale_Date]],"mmm")</f>
        <v>Aug</v>
      </c>
    </row>
    <row r="3101" spans="1:11" x14ac:dyDescent="0.35">
      <c r="A3101" s="7" t="s">
        <v>3131</v>
      </c>
      <c r="B3101" s="8">
        <v>45783</v>
      </c>
      <c r="C3101" s="9" t="s">
        <v>31</v>
      </c>
      <c r="D3101" s="9" t="s">
        <v>17</v>
      </c>
      <c r="E3101" s="9" t="s">
        <v>13</v>
      </c>
      <c r="F3101" s="9">
        <v>202</v>
      </c>
      <c r="G3101" s="9">
        <v>149.44</v>
      </c>
      <c r="H3101" s="9" t="s">
        <v>25</v>
      </c>
      <c r="I3101" s="9">
        <v>21</v>
      </c>
      <c r="J3101" s="10">
        <v>-52.56</v>
      </c>
      <c r="K3101" s="9" t="str">
        <f>TEXT(Sales_of_Jordan[[#This Row],[Sale_Date]],"mmm")</f>
        <v>May</v>
      </c>
    </row>
    <row r="3102" spans="1:11" x14ac:dyDescent="0.35">
      <c r="A3102" s="7" t="s">
        <v>3132</v>
      </c>
      <c r="B3102" s="8">
        <v>45379</v>
      </c>
      <c r="C3102" s="9" t="s">
        <v>11</v>
      </c>
      <c r="D3102" s="9" t="s">
        <v>53</v>
      </c>
      <c r="E3102" s="9" t="s">
        <v>29</v>
      </c>
      <c r="F3102" s="9">
        <v>227</v>
      </c>
      <c r="G3102" s="9">
        <v>309.7</v>
      </c>
      <c r="H3102" s="9" t="s">
        <v>19</v>
      </c>
      <c r="I3102" s="9">
        <v>2</v>
      </c>
      <c r="J3102" s="10">
        <v>82.699999999999903</v>
      </c>
      <c r="K3102" s="9" t="str">
        <f>TEXT(Sales_of_Jordan[[#This Row],[Sale_Date]],"mmm")</f>
        <v>Mar</v>
      </c>
    </row>
    <row r="3103" spans="1:11" x14ac:dyDescent="0.35">
      <c r="A3103" s="7" t="s">
        <v>3133</v>
      </c>
      <c r="B3103" s="8">
        <v>44929</v>
      </c>
      <c r="C3103" s="9" t="s">
        <v>16</v>
      </c>
      <c r="D3103" s="9" t="s">
        <v>17</v>
      </c>
      <c r="E3103" s="9" t="s">
        <v>29</v>
      </c>
      <c r="F3103" s="9">
        <v>186</v>
      </c>
      <c r="G3103" s="9">
        <v>228.97</v>
      </c>
      <c r="H3103" s="9" t="s">
        <v>25</v>
      </c>
      <c r="I3103" s="9">
        <v>17</v>
      </c>
      <c r="J3103" s="10">
        <v>42.97</v>
      </c>
      <c r="K3103" s="9" t="str">
        <f>TEXT(Sales_of_Jordan[[#This Row],[Sale_Date]],"mmm")</f>
        <v>Jan</v>
      </c>
    </row>
    <row r="3104" spans="1:11" x14ac:dyDescent="0.35">
      <c r="A3104" s="7" t="s">
        <v>3134</v>
      </c>
      <c r="B3104" s="8">
        <v>45158</v>
      </c>
      <c r="C3104" s="9" t="s">
        <v>27</v>
      </c>
      <c r="D3104" s="9" t="s">
        <v>55</v>
      </c>
      <c r="E3104" s="9" t="s">
        <v>18</v>
      </c>
      <c r="F3104" s="9">
        <v>122</v>
      </c>
      <c r="G3104" s="9">
        <v>406.12</v>
      </c>
      <c r="H3104" s="9" t="s">
        <v>19</v>
      </c>
      <c r="I3104" s="9">
        <v>1</v>
      </c>
      <c r="J3104" s="10">
        <v>284.12</v>
      </c>
      <c r="K3104" s="9" t="str">
        <f>TEXT(Sales_of_Jordan[[#This Row],[Sale_Date]],"mmm")</f>
        <v>Aug</v>
      </c>
    </row>
    <row r="3105" spans="1:11" x14ac:dyDescent="0.35">
      <c r="A3105" s="7" t="s">
        <v>3135</v>
      </c>
      <c r="B3105" s="8">
        <v>45385</v>
      </c>
      <c r="C3105" s="9" t="s">
        <v>16</v>
      </c>
      <c r="D3105" s="9" t="s">
        <v>46</v>
      </c>
      <c r="E3105" s="9" t="s">
        <v>29</v>
      </c>
      <c r="F3105" s="9">
        <v>186</v>
      </c>
      <c r="G3105" s="9">
        <v>247.4</v>
      </c>
      <c r="H3105" s="9" t="s">
        <v>23</v>
      </c>
      <c r="I3105" s="9">
        <v>58</v>
      </c>
      <c r="J3105" s="10">
        <v>61.4</v>
      </c>
      <c r="K3105" s="9" t="str">
        <f>TEXT(Sales_of_Jordan[[#This Row],[Sale_Date]],"mmm")</f>
        <v>Apr</v>
      </c>
    </row>
    <row r="3106" spans="1:11" x14ac:dyDescent="0.35">
      <c r="A3106" s="7" t="s">
        <v>3136</v>
      </c>
      <c r="B3106" s="8">
        <v>45413</v>
      </c>
      <c r="C3106" s="9" t="s">
        <v>11</v>
      </c>
      <c r="D3106" s="9" t="s">
        <v>53</v>
      </c>
      <c r="E3106" s="9" t="s">
        <v>29</v>
      </c>
      <c r="F3106" s="9">
        <v>228</v>
      </c>
      <c r="G3106" s="9">
        <v>260.35000000000002</v>
      </c>
      <c r="H3106" s="9" t="s">
        <v>23</v>
      </c>
      <c r="I3106" s="9">
        <v>53</v>
      </c>
      <c r="J3106" s="10">
        <v>32.35</v>
      </c>
      <c r="K3106" s="9" t="str">
        <f>TEXT(Sales_of_Jordan[[#This Row],[Sale_Date]],"mmm")</f>
        <v>May</v>
      </c>
    </row>
    <row r="3107" spans="1:11" x14ac:dyDescent="0.35">
      <c r="A3107" s="7" t="s">
        <v>3137</v>
      </c>
      <c r="B3107" s="8">
        <v>45323</v>
      </c>
      <c r="C3107" s="9" t="s">
        <v>11</v>
      </c>
      <c r="D3107" s="9" t="s">
        <v>22</v>
      </c>
      <c r="E3107" s="9" t="s">
        <v>29</v>
      </c>
      <c r="F3107" s="9">
        <v>228</v>
      </c>
      <c r="G3107" s="9">
        <v>272.93</v>
      </c>
      <c r="H3107" s="9" t="s">
        <v>14</v>
      </c>
      <c r="I3107" s="9">
        <v>12</v>
      </c>
      <c r="J3107" s="10">
        <v>44.93</v>
      </c>
      <c r="K3107" s="9" t="str">
        <f>TEXT(Sales_of_Jordan[[#This Row],[Sale_Date]],"mmm")</f>
        <v>Feb</v>
      </c>
    </row>
    <row r="3108" spans="1:11" x14ac:dyDescent="0.35">
      <c r="A3108" s="7" t="s">
        <v>3138</v>
      </c>
      <c r="B3108" s="8">
        <v>45356</v>
      </c>
      <c r="C3108" s="9" t="s">
        <v>16</v>
      </c>
      <c r="D3108" s="9" t="s">
        <v>22</v>
      </c>
      <c r="E3108" s="9" t="s">
        <v>18</v>
      </c>
      <c r="F3108" s="9">
        <v>185</v>
      </c>
      <c r="G3108" s="9">
        <v>504.12</v>
      </c>
      <c r="H3108" s="9" t="s">
        <v>23</v>
      </c>
      <c r="I3108" s="9">
        <v>29</v>
      </c>
      <c r="J3108" s="10">
        <v>319.12</v>
      </c>
      <c r="K3108" s="9" t="str">
        <f>TEXT(Sales_of_Jordan[[#This Row],[Sale_Date]],"mmm")</f>
        <v>Mar</v>
      </c>
    </row>
    <row r="3109" spans="1:11" x14ac:dyDescent="0.35">
      <c r="A3109" s="7" t="s">
        <v>3139</v>
      </c>
      <c r="B3109" s="8">
        <v>45059</v>
      </c>
      <c r="C3109" s="9" t="s">
        <v>16</v>
      </c>
      <c r="D3109" s="9" t="s">
        <v>34</v>
      </c>
      <c r="E3109" s="9" t="s">
        <v>18</v>
      </c>
      <c r="F3109" s="9">
        <v>186</v>
      </c>
      <c r="G3109" s="9">
        <v>537.6</v>
      </c>
      <c r="H3109" s="9" t="s">
        <v>25</v>
      </c>
      <c r="I3109" s="9">
        <v>14</v>
      </c>
      <c r="J3109" s="10">
        <v>351.6</v>
      </c>
      <c r="K3109" s="9" t="str">
        <f>TEXT(Sales_of_Jordan[[#This Row],[Sale_Date]],"mmm")</f>
        <v>May</v>
      </c>
    </row>
    <row r="3110" spans="1:11" x14ac:dyDescent="0.35">
      <c r="A3110" s="7" t="s">
        <v>3140</v>
      </c>
      <c r="B3110" s="8">
        <v>45805</v>
      </c>
      <c r="C3110" s="9" t="s">
        <v>31</v>
      </c>
      <c r="D3110" s="9" t="s">
        <v>12</v>
      </c>
      <c r="E3110" s="9" t="s">
        <v>13</v>
      </c>
      <c r="F3110" s="9">
        <v>203</v>
      </c>
      <c r="G3110" s="9">
        <v>159.22999999999999</v>
      </c>
      <c r="H3110" s="9" t="s">
        <v>23</v>
      </c>
      <c r="I3110" s="9">
        <v>31</v>
      </c>
      <c r="J3110" s="10">
        <v>-43.77</v>
      </c>
      <c r="K3110" s="9" t="str">
        <f>TEXT(Sales_of_Jordan[[#This Row],[Sale_Date]],"mmm")</f>
        <v>May</v>
      </c>
    </row>
    <row r="3111" spans="1:11" x14ac:dyDescent="0.35">
      <c r="A3111" s="7" t="s">
        <v>3141</v>
      </c>
      <c r="B3111" s="8">
        <v>45695</v>
      </c>
      <c r="C3111" s="9" t="s">
        <v>31</v>
      </c>
      <c r="D3111" s="9" t="s">
        <v>36</v>
      </c>
      <c r="E3111" s="9" t="s">
        <v>18</v>
      </c>
      <c r="F3111" s="9">
        <v>201</v>
      </c>
      <c r="G3111" s="9">
        <v>367.86</v>
      </c>
      <c r="H3111" s="9" t="s">
        <v>25</v>
      </c>
      <c r="I3111" s="9">
        <v>27</v>
      </c>
      <c r="J3111" s="10">
        <v>166.86</v>
      </c>
      <c r="K3111" s="9" t="str">
        <f>TEXT(Sales_of_Jordan[[#This Row],[Sale_Date]],"mmm")</f>
        <v>Feb</v>
      </c>
    </row>
    <row r="3112" spans="1:11" x14ac:dyDescent="0.35">
      <c r="A3112" s="7" t="s">
        <v>3142</v>
      </c>
      <c r="B3112" s="8">
        <v>45541</v>
      </c>
      <c r="C3112" s="9" t="s">
        <v>31</v>
      </c>
      <c r="D3112" s="9" t="s">
        <v>36</v>
      </c>
      <c r="E3112" s="9" t="s">
        <v>29</v>
      </c>
      <c r="F3112" s="9">
        <v>207</v>
      </c>
      <c r="G3112" s="9">
        <v>224.51</v>
      </c>
      <c r="H3112" s="9" t="s">
        <v>25</v>
      </c>
      <c r="I3112" s="9">
        <v>54</v>
      </c>
      <c r="J3112" s="10">
        <v>17.509999999999899</v>
      </c>
      <c r="K3112" s="9" t="str">
        <f>TEXT(Sales_of_Jordan[[#This Row],[Sale_Date]],"mmm")</f>
        <v>Sep</v>
      </c>
    </row>
    <row r="3113" spans="1:11" x14ac:dyDescent="0.35">
      <c r="A3113" s="7" t="s">
        <v>3143</v>
      </c>
      <c r="B3113" s="8">
        <v>45408</v>
      </c>
      <c r="C3113" s="9" t="s">
        <v>16</v>
      </c>
      <c r="D3113" s="9" t="s">
        <v>46</v>
      </c>
      <c r="E3113" s="9" t="s">
        <v>29</v>
      </c>
      <c r="F3113" s="9">
        <v>188</v>
      </c>
      <c r="G3113" s="9">
        <v>226.19</v>
      </c>
      <c r="H3113" s="9" t="s">
        <v>25</v>
      </c>
      <c r="I3113" s="9">
        <v>35</v>
      </c>
      <c r="J3113" s="10">
        <v>38.19</v>
      </c>
      <c r="K3113" s="9" t="str">
        <f>TEXT(Sales_of_Jordan[[#This Row],[Sale_Date]],"mmm")</f>
        <v>Apr</v>
      </c>
    </row>
    <row r="3114" spans="1:11" x14ac:dyDescent="0.35">
      <c r="A3114" s="7" t="s">
        <v>3144</v>
      </c>
      <c r="B3114" s="8">
        <v>45593</v>
      </c>
      <c r="C3114" s="9" t="s">
        <v>31</v>
      </c>
      <c r="D3114" s="9" t="s">
        <v>36</v>
      </c>
      <c r="E3114" s="9" t="s">
        <v>29</v>
      </c>
      <c r="F3114" s="9">
        <v>202</v>
      </c>
      <c r="G3114" s="9">
        <v>215.05</v>
      </c>
      <c r="H3114" s="9" t="s">
        <v>25</v>
      </c>
      <c r="I3114" s="9">
        <v>40</v>
      </c>
      <c r="J3114" s="10">
        <v>13.05</v>
      </c>
      <c r="K3114" s="9" t="str">
        <f>TEXT(Sales_of_Jordan[[#This Row],[Sale_Date]],"mmm")</f>
        <v>Oct</v>
      </c>
    </row>
    <row r="3115" spans="1:11" x14ac:dyDescent="0.35">
      <c r="A3115" s="7" t="s">
        <v>3145</v>
      </c>
      <c r="B3115" s="8">
        <v>45591</v>
      </c>
      <c r="C3115" s="9" t="s">
        <v>31</v>
      </c>
      <c r="D3115" s="9" t="s">
        <v>55</v>
      </c>
      <c r="E3115" s="9" t="s">
        <v>13</v>
      </c>
      <c r="F3115" s="9">
        <v>205</v>
      </c>
      <c r="G3115" s="9">
        <v>112.9</v>
      </c>
      <c r="H3115" s="9" t="s">
        <v>25</v>
      </c>
      <c r="I3115" s="9">
        <v>29</v>
      </c>
      <c r="J3115" s="10">
        <v>-92.1</v>
      </c>
      <c r="K3115" s="9" t="str">
        <f>TEXT(Sales_of_Jordan[[#This Row],[Sale_Date]],"mmm")</f>
        <v>Oct</v>
      </c>
    </row>
    <row r="3116" spans="1:11" x14ac:dyDescent="0.35">
      <c r="A3116" s="7" t="s">
        <v>3146</v>
      </c>
      <c r="B3116" s="8">
        <v>45300</v>
      </c>
      <c r="C3116" s="9" t="s">
        <v>16</v>
      </c>
      <c r="D3116" s="9" t="s">
        <v>39</v>
      </c>
      <c r="E3116" s="9" t="s">
        <v>29</v>
      </c>
      <c r="F3116" s="9">
        <v>185</v>
      </c>
      <c r="G3116" s="9">
        <v>208.39</v>
      </c>
      <c r="H3116" s="9" t="s">
        <v>23</v>
      </c>
      <c r="I3116" s="9">
        <v>6</v>
      </c>
      <c r="J3116" s="10">
        <v>23.389999999999901</v>
      </c>
      <c r="K3116" s="9" t="str">
        <f>TEXT(Sales_of_Jordan[[#This Row],[Sale_Date]],"mmm")</f>
        <v>Jan</v>
      </c>
    </row>
    <row r="3117" spans="1:11" x14ac:dyDescent="0.35">
      <c r="A3117" s="7" t="s">
        <v>3147</v>
      </c>
      <c r="B3117" s="8">
        <v>45259</v>
      </c>
      <c r="C3117" s="9" t="s">
        <v>11</v>
      </c>
      <c r="D3117" s="9" t="s">
        <v>17</v>
      </c>
      <c r="E3117" s="9" t="s">
        <v>18</v>
      </c>
      <c r="F3117" s="9">
        <v>225</v>
      </c>
      <c r="G3117" s="9">
        <v>528.77</v>
      </c>
      <c r="H3117" s="9" t="s">
        <v>25</v>
      </c>
      <c r="I3117" s="9">
        <v>26</v>
      </c>
      <c r="J3117" s="10">
        <v>303.77</v>
      </c>
      <c r="K3117" s="9" t="str">
        <f>TEXT(Sales_of_Jordan[[#This Row],[Sale_Date]],"mmm")</f>
        <v>Nov</v>
      </c>
    </row>
    <row r="3118" spans="1:11" x14ac:dyDescent="0.35">
      <c r="A3118" s="7" t="s">
        <v>3148</v>
      </c>
      <c r="B3118" s="8">
        <v>45648</v>
      </c>
      <c r="C3118" s="9" t="s">
        <v>21</v>
      </c>
      <c r="D3118" s="9" t="s">
        <v>39</v>
      </c>
      <c r="E3118" s="9" t="s">
        <v>29</v>
      </c>
      <c r="F3118" s="9">
        <v>210</v>
      </c>
      <c r="G3118" s="9">
        <v>252.3</v>
      </c>
      <c r="H3118" s="9" t="s">
        <v>25</v>
      </c>
      <c r="I3118" s="9">
        <v>26</v>
      </c>
      <c r="J3118" s="10">
        <v>42.3</v>
      </c>
      <c r="K3118" s="9" t="str">
        <f>TEXT(Sales_of_Jordan[[#This Row],[Sale_Date]],"mmm")</f>
        <v>Dec</v>
      </c>
    </row>
    <row r="3119" spans="1:11" x14ac:dyDescent="0.35">
      <c r="A3119" s="7" t="s">
        <v>3149</v>
      </c>
      <c r="B3119" s="8">
        <v>45525</v>
      </c>
      <c r="C3119" s="9" t="s">
        <v>11</v>
      </c>
      <c r="D3119" s="9" t="s">
        <v>39</v>
      </c>
      <c r="E3119" s="9" t="s">
        <v>13</v>
      </c>
      <c r="F3119" s="9">
        <v>230</v>
      </c>
      <c r="G3119" s="9">
        <v>168.1</v>
      </c>
      <c r="H3119" s="9" t="s">
        <v>23</v>
      </c>
      <c r="I3119" s="9">
        <v>6</v>
      </c>
      <c r="J3119" s="10">
        <v>-61.9</v>
      </c>
      <c r="K3119" s="9" t="str">
        <f>TEXT(Sales_of_Jordan[[#This Row],[Sale_Date]],"mmm")</f>
        <v>Aug</v>
      </c>
    </row>
    <row r="3120" spans="1:11" x14ac:dyDescent="0.35">
      <c r="A3120" s="7" t="s">
        <v>3150</v>
      </c>
      <c r="B3120" s="8">
        <v>45826</v>
      </c>
      <c r="C3120" s="9" t="s">
        <v>27</v>
      </c>
      <c r="D3120" s="9" t="s">
        <v>17</v>
      </c>
      <c r="E3120" s="9" t="s">
        <v>13</v>
      </c>
      <c r="F3120" s="9">
        <v>131</v>
      </c>
      <c r="G3120" s="9">
        <v>109.15</v>
      </c>
      <c r="H3120" s="9" t="s">
        <v>32</v>
      </c>
      <c r="I3120" s="9">
        <v>57</v>
      </c>
      <c r="J3120" s="10">
        <v>-21.849999999999898</v>
      </c>
      <c r="K3120" s="9" t="str">
        <f>TEXT(Sales_of_Jordan[[#This Row],[Sale_Date]],"mmm")</f>
        <v>Jun</v>
      </c>
    </row>
    <row r="3121" spans="1:11" x14ac:dyDescent="0.35">
      <c r="A3121" s="7" t="s">
        <v>3151</v>
      </c>
      <c r="B3121" s="8">
        <v>45668</v>
      </c>
      <c r="C3121" s="9" t="s">
        <v>31</v>
      </c>
      <c r="D3121" s="9" t="s">
        <v>53</v>
      </c>
      <c r="E3121" s="9" t="s">
        <v>13</v>
      </c>
      <c r="F3121" s="9">
        <v>203</v>
      </c>
      <c r="G3121" s="9">
        <v>134.35</v>
      </c>
      <c r="H3121" s="9" t="s">
        <v>19</v>
      </c>
      <c r="I3121" s="9">
        <v>14</v>
      </c>
      <c r="J3121" s="10">
        <v>-68.650000000000006</v>
      </c>
      <c r="K3121" s="9" t="str">
        <f>TEXT(Sales_of_Jordan[[#This Row],[Sale_Date]],"mmm")</f>
        <v>Jan</v>
      </c>
    </row>
    <row r="3122" spans="1:11" x14ac:dyDescent="0.35">
      <c r="A3122" s="7" t="s">
        <v>3152</v>
      </c>
      <c r="B3122" s="8">
        <v>45319</v>
      </c>
      <c r="C3122" s="9" t="s">
        <v>21</v>
      </c>
      <c r="D3122" s="9" t="s">
        <v>46</v>
      </c>
      <c r="E3122" s="9" t="s">
        <v>18</v>
      </c>
      <c r="F3122" s="9">
        <v>212</v>
      </c>
      <c r="G3122" s="9">
        <v>682.79</v>
      </c>
      <c r="H3122" s="9" t="s">
        <v>23</v>
      </c>
      <c r="I3122" s="9">
        <v>17</v>
      </c>
      <c r="J3122" s="10">
        <v>470.789999999999</v>
      </c>
      <c r="K3122" s="9" t="str">
        <f>TEXT(Sales_of_Jordan[[#This Row],[Sale_Date]],"mmm")</f>
        <v>Jan</v>
      </c>
    </row>
    <row r="3123" spans="1:11" x14ac:dyDescent="0.35">
      <c r="A3123" s="7" t="s">
        <v>3153</v>
      </c>
      <c r="B3123" s="8">
        <v>45807</v>
      </c>
      <c r="C3123" s="9" t="s">
        <v>31</v>
      </c>
      <c r="D3123" s="9" t="s">
        <v>22</v>
      </c>
      <c r="E3123" s="9" t="s">
        <v>13</v>
      </c>
      <c r="F3123" s="9">
        <v>207</v>
      </c>
      <c r="G3123" s="9">
        <v>183.17</v>
      </c>
      <c r="H3123" s="9" t="s">
        <v>23</v>
      </c>
      <c r="I3123" s="9">
        <v>57</v>
      </c>
      <c r="J3123" s="10">
        <v>-23.83</v>
      </c>
      <c r="K3123" s="9" t="str">
        <f>TEXT(Sales_of_Jordan[[#This Row],[Sale_Date]],"mmm")</f>
        <v>May</v>
      </c>
    </row>
    <row r="3124" spans="1:11" x14ac:dyDescent="0.35">
      <c r="A3124" s="7" t="s">
        <v>3154</v>
      </c>
      <c r="B3124" s="8">
        <v>45039</v>
      </c>
      <c r="C3124" s="9" t="s">
        <v>11</v>
      </c>
      <c r="D3124" s="9" t="s">
        <v>55</v>
      </c>
      <c r="E3124" s="9" t="s">
        <v>13</v>
      </c>
      <c r="F3124" s="9">
        <v>229</v>
      </c>
      <c r="G3124" s="9">
        <v>189.34</v>
      </c>
      <c r="H3124" s="9" t="s">
        <v>23</v>
      </c>
      <c r="I3124" s="9">
        <v>28</v>
      </c>
      <c r="J3124" s="10">
        <v>-39.659999999999997</v>
      </c>
      <c r="K3124" s="9" t="str">
        <f>TEXT(Sales_of_Jordan[[#This Row],[Sale_Date]],"mmm")</f>
        <v>Apr</v>
      </c>
    </row>
    <row r="3125" spans="1:11" x14ac:dyDescent="0.35">
      <c r="A3125" s="7" t="s">
        <v>3155</v>
      </c>
      <c r="B3125" s="8">
        <v>45727</v>
      </c>
      <c r="C3125" s="9" t="s">
        <v>27</v>
      </c>
      <c r="D3125" s="9" t="s">
        <v>34</v>
      </c>
      <c r="E3125" s="9" t="s">
        <v>29</v>
      </c>
      <c r="F3125" s="9">
        <v>128</v>
      </c>
      <c r="G3125" s="9">
        <v>136.85</v>
      </c>
      <c r="H3125" s="9" t="s">
        <v>23</v>
      </c>
      <c r="I3125" s="9">
        <v>18</v>
      </c>
      <c r="J3125" s="10">
        <v>8.8499999999999908</v>
      </c>
      <c r="K3125" s="9" t="str">
        <f>TEXT(Sales_of_Jordan[[#This Row],[Sale_Date]],"mmm")</f>
        <v>Mar</v>
      </c>
    </row>
    <row r="3126" spans="1:11" x14ac:dyDescent="0.35">
      <c r="A3126" s="7" t="s">
        <v>3156</v>
      </c>
      <c r="B3126" s="8">
        <v>45546</v>
      </c>
      <c r="C3126" s="9" t="s">
        <v>16</v>
      </c>
      <c r="D3126" s="9" t="s">
        <v>17</v>
      </c>
      <c r="E3126" s="9" t="s">
        <v>18</v>
      </c>
      <c r="F3126" s="9">
        <v>180</v>
      </c>
      <c r="G3126" s="9">
        <v>509.05</v>
      </c>
      <c r="H3126" s="9" t="s">
        <v>32</v>
      </c>
      <c r="I3126" s="9">
        <v>42</v>
      </c>
      <c r="J3126" s="10">
        <v>329.05</v>
      </c>
      <c r="K3126" s="9" t="str">
        <f>TEXT(Sales_of_Jordan[[#This Row],[Sale_Date]],"mmm")</f>
        <v>Sep</v>
      </c>
    </row>
    <row r="3127" spans="1:11" x14ac:dyDescent="0.35">
      <c r="A3127" s="7" t="s">
        <v>3157</v>
      </c>
      <c r="B3127" s="8">
        <v>45642</v>
      </c>
      <c r="C3127" s="9" t="s">
        <v>16</v>
      </c>
      <c r="D3127" s="9" t="s">
        <v>55</v>
      </c>
      <c r="E3127" s="9" t="s">
        <v>29</v>
      </c>
      <c r="F3127" s="9">
        <v>187</v>
      </c>
      <c r="G3127" s="9">
        <v>261.02999999999997</v>
      </c>
      <c r="H3127" s="9" t="s">
        <v>19</v>
      </c>
      <c r="I3127" s="9">
        <v>8</v>
      </c>
      <c r="J3127" s="10">
        <v>74.029999999999902</v>
      </c>
      <c r="K3127" s="9" t="str">
        <f>TEXT(Sales_of_Jordan[[#This Row],[Sale_Date]],"mmm")</f>
        <v>Dec</v>
      </c>
    </row>
    <row r="3128" spans="1:11" x14ac:dyDescent="0.35">
      <c r="A3128" s="7" t="s">
        <v>3158</v>
      </c>
      <c r="B3128" s="8">
        <v>45914</v>
      </c>
      <c r="C3128" s="9" t="s">
        <v>16</v>
      </c>
      <c r="D3128" s="9" t="s">
        <v>34</v>
      </c>
      <c r="E3128" s="9" t="s">
        <v>13</v>
      </c>
      <c r="F3128" s="9">
        <v>185</v>
      </c>
      <c r="G3128" s="9">
        <v>160.6</v>
      </c>
      <c r="H3128" s="9" t="s">
        <v>19</v>
      </c>
      <c r="I3128" s="9">
        <v>13</v>
      </c>
      <c r="J3128" s="10">
        <v>-24.4</v>
      </c>
      <c r="K3128" s="9" t="str">
        <f>TEXT(Sales_of_Jordan[[#This Row],[Sale_Date]],"mmm")</f>
        <v>Sep</v>
      </c>
    </row>
    <row r="3129" spans="1:11" x14ac:dyDescent="0.35">
      <c r="A3129" s="7" t="s">
        <v>3159</v>
      </c>
      <c r="B3129" s="8">
        <v>45789</v>
      </c>
      <c r="C3129" s="9" t="s">
        <v>27</v>
      </c>
      <c r="D3129" s="9" t="s">
        <v>46</v>
      </c>
      <c r="E3129" s="9" t="s">
        <v>13</v>
      </c>
      <c r="F3129" s="9">
        <v>127</v>
      </c>
      <c r="G3129" s="9">
        <v>74.790000000000006</v>
      </c>
      <c r="H3129" s="9" t="s">
        <v>23</v>
      </c>
      <c r="I3129" s="9">
        <v>47</v>
      </c>
      <c r="J3129" s="10">
        <v>-52.209999999999901</v>
      </c>
      <c r="K3129" s="9" t="str">
        <f>TEXT(Sales_of_Jordan[[#This Row],[Sale_Date]],"mmm")</f>
        <v>May</v>
      </c>
    </row>
    <row r="3130" spans="1:11" x14ac:dyDescent="0.35">
      <c r="A3130" s="7" t="s">
        <v>3160</v>
      </c>
      <c r="B3130" s="8">
        <v>44930</v>
      </c>
      <c r="C3130" s="9" t="s">
        <v>16</v>
      </c>
      <c r="D3130" s="9" t="s">
        <v>34</v>
      </c>
      <c r="E3130" s="9" t="s">
        <v>13</v>
      </c>
      <c r="F3130" s="9">
        <v>176</v>
      </c>
      <c r="G3130" s="9">
        <v>88.74</v>
      </c>
      <c r="H3130" s="9" t="s">
        <v>32</v>
      </c>
      <c r="I3130" s="9">
        <v>53</v>
      </c>
      <c r="J3130" s="10">
        <v>-87.26</v>
      </c>
      <c r="K3130" s="9" t="str">
        <f>TEXT(Sales_of_Jordan[[#This Row],[Sale_Date]],"mmm")</f>
        <v>Jan</v>
      </c>
    </row>
    <row r="3131" spans="1:11" x14ac:dyDescent="0.35">
      <c r="A3131" s="7" t="s">
        <v>3161</v>
      </c>
      <c r="B3131" s="8">
        <v>45383</v>
      </c>
      <c r="C3131" s="9" t="s">
        <v>16</v>
      </c>
      <c r="D3131" s="9" t="s">
        <v>36</v>
      </c>
      <c r="E3131" s="9" t="s">
        <v>29</v>
      </c>
      <c r="F3131" s="9">
        <v>173</v>
      </c>
      <c r="G3131" s="9">
        <v>193.27</v>
      </c>
      <c r="H3131" s="9" t="s">
        <v>32</v>
      </c>
      <c r="I3131" s="9">
        <v>39</v>
      </c>
      <c r="J3131" s="10">
        <v>20.27</v>
      </c>
      <c r="K3131" s="9" t="str">
        <f>TEXT(Sales_of_Jordan[[#This Row],[Sale_Date]],"mmm")</f>
        <v>Apr</v>
      </c>
    </row>
    <row r="3132" spans="1:11" x14ac:dyDescent="0.35">
      <c r="A3132" s="7" t="s">
        <v>3162</v>
      </c>
      <c r="B3132" s="8">
        <v>45352</v>
      </c>
      <c r="C3132" s="9" t="s">
        <v>16</v>
      </c>
      <c r="D3132" s="9" t="s">
        <v>34</v>
      </c>
      <c r="E3132" s="9" t="s">
        <v>29</v>
      </c>
      <c r="F3132" s="9">
        <v>178</v>
      </c>
      <c r="G3132" s="9">
        <v>245.15</v>
      </c>
      <c r="H3132" s="9" t="s">
        <v>23</v>
      </c>
      <c r="I3132" s="9">
        <v>38</v>
      </c>
      <c r="J3132" s="10">
        <v>67.150000000000006</v>
      </c>
      <c r="K3132" s="9" t="str">
        <f>TEXT(Sales_of_Jordan[[#This Row],[Sale_Date]],"mmm")</f>
        <v>Mar</v>
      </c>
    </row>
    <row r="3133" spans="1:11" x14ac:dyDescent="0.35">
      <c r="A3133" s="7" t="s">
        <v>3163</v>
      </c>
      <c r="B3133" s="8">
        <v>45615</v>
      </c>
      <c r="C3133" s="9" t="s">
        <v>16</v>
      </c>
      <c r="D3133" s="9" t="s">
        <v>36</v>
      </c>
      <c r="E3133" s="9" t="s">
        <v>29</v>
      </c>
      <c r="F3133" s="9">
        <v>189</v>
      </c>
      <c r="G3133" s="9">
        <v>278.85000000000002</v>
      </c>
      <c r="H3133" s="9" t="s">
        <v>23</v>
      </c>
      <c r="I3133" s="9">
        <v>24</v>
      </c>
      <c r="J3133" s="10">
        <v>89.85</v>
      </c>
      <c r="K3133" s="9" t="str">
        <f>TEXT(Sales_of_Jordan[[#This Row],[Sale_Date]],"mmm")</f>
        <v>Nov</v>
      </c>
    </row>
    <row r="3134" spans="1:11" x14ac:dyDescent="0.35">
      <c r="A3134" s="7" t="s">
        <v>3164</v>
      </c>
      <c r="B3134" s="8">
        <v>45707</v>
      </c>
      <c r="C3134" s="9" t="s">
        <v>27</v>
      </c>
      <c r="D3134" s="9" t="s">
        <v>46</v>
      </c>
      <c r="E3134" s="9" t="s">
        <v>18</v>
      </c>
      <c r="F3134" s="9">
        <v>116</v>
      </c>
      <c r="G3134" s="9">
        <v>260.61</v>
      </c>
      <c r="H3134" s="9" t="s">
        <v>14</v>
      </c>
      <c r="I3134" s="9">
        <v>14</v>
      </c>
      <c r="J3134" s="10">
        <v>144.61000000000001</v>
      </c>
      <c r="K3134" s="9" t="str">
        <f>TEXT(Sales_of_Jordan[[#This Row],[Sale_Date]],"mmm")</f>
        <v>Feb</v>
      </c>
    </row>
    <row r="3135" spans="1:11" x14ac:dyDescent="0.35">
      <c r="A3135" s="7" t="s">
        <v>3165</v>
      </c>
      <c r="B3135" s="8">
        <v>45182</v>
      </c>
      <c r="C3135" s="9" t="s">
        <v>16</v>
      </c>
      <c r="D3135" s="9" t="s">
        <v>12</v>
      </c>
      <c r="E3135" s="9" t="s">
        <v>29</v>
      </c>
      <c r="F3135" s="9">
        <v>188</v>
      </c>
      <c r="G3135" s="9">
        <v>202.82</v>
      </c>
      <c r="H3135" s="9" t="s">
        <v>25</v>
      </c>
      <c r="I3135" s="9">
        <v>45</v>
      </c>
      <c r="J3135" s="10">
        <v>14.819999999999901</v>
      </c>
      <c r="K3135" s="9" t="str">
        <f>TEXT(Sales_of_Jordan[[#This Row],[Sale_Date]],"mmm")</f>
        <v>Sep</v>
      </c>
    </row>
    <row r="3136" spans="1:11" x14ac:dyDescent="0.35">
      <c r="A3136" s="7" t="s">
        <v>3166</v>
      </c>
      <c r="B3136" s="8">
        <v>45136</v>
      </c>
      <c r="C3136" s="9" t="s">
        <v>31</v>
      </c>
      <c r="D3136" s="9" t="s">
        <v>36</v>
      </c>
      <c r="E3136" s="9" t="s">
        <v>13</v>
      </c>
      <c r="F3136" s="9">
        <v>205</v>
      </c>
      <c r="G3136" s="9">
        <v>104.23</v>
      </c>
      <c r="H3136" s="9" t="s">
        <v>25</v>
      </c>
      <c r="I3136" s="9">
        <v>25</v>
      </c>
      <c r="J3136" s="10">
        <v>-100.77</v>
      </c>
      <c r="K3136" s="9" t="str">
        <f>TEXT(Sales_of_Jordan[[#This Row],[Sale_Date]],"mmm")</f>
        <v>Jul</v>
      </c>
    </row>
    <row r="3137" spans="1:11" x14ac:dyDescent="0.35">
      <c r="A3137" s="7" t="s">
        <v>3167</v>
      </c>
      <c r="B3137" s="8">
        <v>45639</v>
      </c>
      <c r="C3137" s="9" t="s">
        <v>11</v>
      </c>
      <c r="D3137" s="9" t="s">
        <v>36</v>
      </c>
      <c r="E3137" s="9" t="s">
        <v>29</v>
      </c>
      <c r="F3137" s="9">
        <v>227</v>
      </c>
      <c r="G3137" s="9">
        <v>209.09</v>
      </c>
      <c r="H3137" s="9" t="s">
        <v>14</v>
      </c>
      <c r="I3137" s="9">
        <v>10</v>
      </c>
      <c r="J3137" s="10">
        <v>-17.909999999999901</v>
      </c>
      <c r="K3137" s="9" t="str">
        <f>TEXT(Sales_of_Jordan[[#This Row],[Sale_Date]],"mmm")</f>
        <v>Dec</v>
      </c>
    </row>
    <row r="3138" spans="1:11" x14ac:dyDescent="0.35">
      <c r="A3138" s="7" t="s">
        <v>3168</v>
      </c>
      <c r="B3138" s="8">
        <v>45811</v>
      </c>
      <c r="C3138" s="9" t="s">
        <v>21</v>
      </c>
      <c r="D3138" s="9" t="s">
        <v>36</v>
      </c>
      <c r="E3138" s="9" t="s">
        <v>18</v>
      </c>
      <c r="F3138" s="9">
        <v>222</v>
      </c>
      <c r="G3138" s="9">
        <v>519.08000000000004</v>
      </c>
      <c r="H3138" s="9" t="s">
        <v>25</v>
      </c>
      <c r="I3138" s="9">
        <v>53</v>
      </c>
      <c r="J3138" s="10">
        <v>297.08</v>
      </c>
      <c r="K3138" s="9" t="str">
        <f>TEXT(Sales_of_Jordan[[#This Row],[Sale_Date]],"mmm")</f>
        <v>Jun</v>
      </c>
    </row>
    <row r="3139" spans="1:11" x14ac:dyDescent="0.35">
      <c r="A3139" s="7" t="s">
        <v>3169</v>
      </c>
      <c r="B3139" s="8">
        <v>45897</v>
      </c>
      <c r="C3139" s="9" t="s">
        <v>21</v>
      </c>
      <c r="D3139" s="9" t="s">
        <v>12</v>
      </c>
      <c r="E3139" s="9" t="s">
        <v>29</v>
      </c>
      <c r="F3139" s="9">
        <v>213</v>
      </c>
      <c r="G3139" s="9">
        <v>204.09</v>
      </c>
      <c r="H3139" s="9" t="s">
        <v>32</v>
      </c>
      <c r="I3139" s="9">
        <v>10</v>
      </c>
      <c r="J3139" s="10">
        <v>-8.9099999999999895</v>
      </c>
      <c r="K3139" s="9" t="str">
        <f>TEXT(Sales_of_Jordan[[#This Row],[Sale_Date]],"mmm")</f>
        <v>Aug</v>
      </c>
    </row>
    <row r="3140" spans="1:11" x14ac:dyDescent="0.35">
      <c r="A3140" s="7" t="s">
        <v>3170</v>
      </c>
      <c r="B3140" s="8">
        <v>44962</v>
      </c>
      <c r="C3140" s="9" t="s">
        <v>21</v>
      </c>
      <c r="D3140" s="9" t="s">
        <v>46</v>
      </c>
      <c r="E3140" s="9" t="s">
        <v>13</v>
      </c>
      <c r="F3140" s="9">
        <v>223</v>
      </c>
      <c r="G3140" s="9">
        <v>168.72</v>
      </c>
      <c r="H3140" s="9" t="s">
        <v>32</v>
      </c>
      <c r="I3140" s="9">
        <v>57</v>
      </c>
      <c r="J3140" s="10">
        <v>-54.28</v>
      </c>
      <c r="K3140" s="9" t="str">
        <f>TEXT(Sales_of_Jordan[[#This Row],[Sale_Date]],"mmm")</f>
        <v>Feb</v>
      </c>
    </row>
    <row r="3141" spans="1:11" x14ac:dyDescent="0.35">
      <c r="A3141" s="7" t="s">
        <v>3171</v>
      </c>
      <c r="B3141" s="8">
        <v>45728</v>
      </c>
      <c r="C3141" s="9" t="s">
        <v>21</v>
      </c>
      <c r="D3141" s="9" t="s">
        <v>22</v>
      </c>
      <c r="E3141" s="9" t="s">
        <v>29</v>
      </c>
      <c r="F3141" s="9">
        <v>216</v>
      </c>
      <c r="G3141" s="9">
        <v>265.39999999999998</v>
      </c>
      <c r="H3141" s="9" t="s">
        <v>32</v>
      </c>
      <c r="I3141" s="9">
        <v>41</v>
      </c>
      <c r="J3141" s="10">
        <v>49.399999999999899</v>
      </c>
      <c r="K3141" s="9" t="str">
        <f>TEXT(Sales_of_Jordan[[#This Row],[Sale_Date]],"mmm")</f>
        <v>Mar</v>
      </c>
    </row>
    <row r="3142" spans="1:11" x14ac:dyDescent="0.35">
      <c r="A3142" s="7" t="s">
        <v>3172</v>
      </c>
      <c r="B3142" s="8">
        <v>45886</v>
      </c>
      <c r="C3142" s="9" t="s">
        <v>16</v>
      </c>
      <c r="D3142" s="9" t="s">
        <v>53</v>
      </c>
      <c r="E3142" s="9" t="s">
        <v>13</v>
      </c>
      <c r="F3142" s="9">
        <v>178</v>
      </c>
      <c r="G3142" s="9">
        <v>138.07</v>
      </c>
      <c r="H3142" s="9" t="s">
        <v>32</v>
      </c>
      <c r="I3142" s="9">
        <v>22</v>
      </c>
      <c r="J3142" s="10">
        <v>-39.93</v>
      </c>
      <c r="K3142" s="9" t="str">
        <f>TEXT(Sales_of_Jordan[[#This Row],[Sale_Date]],"mmm")</f>
        <v>Aug</v>
      </c>
    </row>
    <row r="3143" spans="1:11" x14ac:dyDescent="0.35">
      <c r="A3143" s="7" t="s">
        <v>3173</v>
      </c>
      <c r="B3143" s="8">
        <v>45510</v>
      </c>
      <c r="C3143" s="9" t="s">
        <v>11</v>
      </c>
      <c r="D3143" s="9" t="s">
        <v>34</v>
      </c>
      <c r="E3143" s="9" t="s">
        <v>29</v>
      </c>
      <c r="F3143" s="9">
        <v>230</v>
      </c>
      <c r="G3143" s="9">
        <v>312.73</v>
      </c>
      <c r="H3143" s="9" t="s">
        <v>14</v>
      </c>
      <c r="I3143" s="9">
        <v>14</v>
      </c>
      <c r="J3143" s="10">
        <v>82.73</v>
      </c>
      <c r="K3143" s="9" t="str">
        <f>TEXT(Sales_of_Jordan[[#This Row],[Sale_Date]],"mmm")</f>
        <v>Aug</v>
      </c>
    </row>
    <row r="3144" spans="1:11" x14ac:dyDescent="0.35">
      <c r="A3144" s="7" t="s">
        <v>3174</v>
      </c>
      <c r="B3144" s="8">
        <v>45070</v>
      </c>
      <c r="C3144" s="9" t="s">
        <v>27</v>
      </c>
      <c r="D3144" s="9" t="s">
        <v>39</v>
      </c>
      <c r="E3144" s="9" t="s">
        <v>29</v>
      </c>
      <c r="F3144" s="9">
        <v>114</v>
      </c>
      <c r="G3144" s="9">
        <v>154.16999999999999</v>
      </c>
      <c r="H3144" s="9" t="s">
        <v>19</v>
      </c>
      <c r="I3144" s="9">
        <v>13</v>
      </c>
      <c r="J3144" s="10">
        <v>40.169999999999902</v>
      </c>
      <c r="K3144" s="9" t="str">
        <f>TEXT(Sales_of_Jordan[[#This Row],[Sale_Date]],"mmm")</f>
        <v>May</v>
      </c>
    </row>
    <row r="3145" spans="1:11" x14ac:dyDescent="0.35">
      <c r="A3145" s="7" t="s">
        <v>3175</v>
      </c>
      <c r="B3145" s="8">
        <v>45249</v>
      </c>
      <c r="C3145" s="9" t="s">
        <v>27</v>
      </c>
      <c r="D3145" s="9" t="s">
        <v>46</v>
      </c>
      <c r="E3145" s="9" t="s">
        <v>18</v>
      </c>
      <c r="F3145" s="9">
        <v>127</v>
      </c>
      <c r="G3145" s="9">
        <v>400.02</v>
      </c>
      <c r="H3145" s="9" t="s">
        <v>32</v>
      </c>
      <c r="I3145" s="9">
        <v>58</v>
      </c>
      <c r="J3145" s="10">
        <v>273.02</v>
      </c>
      <c r="K3145" s="9" t="str">
        <f>TEXT(Sales_of_Jordan[[#This Row],[Sale_Date]],"mmm")</f>
        <v>Nov</v>
      </c>
    </row>
    <row r="3146" spans="1:11" x14ac:dyDescent="0.35">
      <c r="A3146" s="7" t="s">
        <v>3176</v>
      </c>
      <c r="B3146" s="8">
        <v>45113</v>
      </c>
      <c r="C3146" s="9" t="s">
        <v>27</v>
      </c>
      <c r="D3146" s="9" t="s">
        <v>55</v>
      </c>
      <c r="E3146" s="9" t="s">
        <v>29</v>
      </c>
      <c r="F3146" s="9">
        <v>122</v>
      </c>
      <c r="G3146" s="9">
        <v>127.35</v>
      </c>
      <c r="H3146" s="9" t="s">
        <v>14</v>
      </c>
      <c r="I3146" s="9">
        <v>4</v>
      </c>
      <c r="J3146" s="10">
        <v>5.3499999999999899</v>
      </c>
      <c r="K3146" s="9" t="str">
        <f>TEXT(Sales_of_Jordan[[#This Row],[Sale_Date]],"mmm")</f>
        <v>Jul</v>
      </c>
    </row>
    <row r="3147" spans="1:11" x14ac:dyDescent="0.35">
      <c r="A3147" s="7" t="s">
        <v>3177</v>
      </c>
      <c r="B3147" s="8">
        <v>45456</v>
      </c>
      <c r="C3147" s="9" t="s">
        <v>27</v>
      </c>
      <c r="D3147" s="9" t="s">
        <v>17</v>
      </c>
      <c r="E3147" s="9" t="s">
        <v>18</v>
      </c>
      <c r="F3147" s="9">
        <v>111</v>
      </c>
      <c r="G3147" s="9">
        <v>310.44</v>
      </c>
      <c r="H3147" s="9" t="s">
        <v>23</v>
      </c>
      <c r="I3147" s="9">
        <v>57</v>
      </c>
      <c r="J3147" s="10">
        <v>199.44</v>
      </c>
      <c r="K3147" s="9" t="str">
        <f>TEXT(Sales_of_Jordan[[#This Row],[Sale_Date]],"mmm")</f>
        <v>Jun</v>
      </c>
    </row>
    <row r="3148" spans="1:11" x14ac:dyDescent="0.35">
      <c r="A3148" s="7" t="s">
        <v>3178</v>
      </c>
      <c r="B3148" s="8">
        <v>45549</v>
      </c>
      <c r="C3148" s="9" t="s">
        <v>31</v>
      </c>
      <c r="D3148" s="9" t="s">
        <v>53</v>
      </c>
      <c r="E3148" s="9" t="s">
        <v>13</v>
      </c>
      <c r="F3148" s="9">
        <v>209</v>
      </c>
      <c r="G3148" s="9">
        <v>126.87</v>
      </c>
      <c r="H3148" s="9" t="s">
        <v>14</v>
      </c>
      <c r="I3148" s="9">
        <v>6</v>
      </c>
      <c r="J3148" s="10">
        <v>-82.13</v>
      </c>
      <c r="K3148" s="9" t="str">
        <f>TEXT(Sales_of_Jordan[[#This Row],[Sale_Date]],"mmm")</f>
        <v>Sep</v>
      </c>
    </row>
    <row r="3149" spans="1:11" x14ac:dyDescent="0.35">
      <c r="A3149" s="7" t="s">
        <v>3179</v>
      </c>
      <c r="B3149" s="8">
        <v>45627</v>
      </c>
      <c r="C3149" s="9" t="s">
        <v>21</v>
      </c>
      <c r="D3149" s="9" t="s">
        <v>17</v>
      </c>
      <c r="E3149" s="9" t="s">
        <v>29</v>
      </c>
      <c r="F3149" s="9">
        <v>222</v>
      </c>
      <c r="G3149" s="9">
        <v>214.2</v>
      </c>
      <c r="H3149" s="9" t="s">
        <v>19</v>
      </c>
      <c r="I3149" s="9">
        <v>7</v>
      </c>
      <c r="J3149" s="10">
        <v>-7.8000000000000096</v>
      </c>
      <c r="K3149" s="9" t="str">
        <f>TEXT(Sales_of_Jordan[[#This Row],[Sale_Date]],"mmm")</f>
        <v>Dec</v>
      </c>
    </row>
    <row r="3150" spans="1:11" x14ac:dyDescent="0.35">
      <c r="A3150" s="7" t="s">
        <v>3180</v>
      </c>
      <c r="B3150" s="8">
        <v>45606</v>
      </c>
      <c r="C3150" s="9" t="s">
        <v>11</v>
      </c>
      <c r="D3150" s="9" t="s">
        <v>46</v>
      </c>
      <c r="E3150" s="9" t="s">
        <v>29</v>
      </c>
      <c r="F3150" s="9">
        <v>230</v>
      </c>
      <c r="G3150" s="9">
        <v>300.27</v>
      </c>
      <c r="H3150" s="9" t="s">
        <v>23</v>
      </c>
      <c r="I3150" s="9">
        <v>12</v>
      </c>
      <c r="J3150" s="10">
        <v>70.269999999999897</v>
      </c>
      <c r="K3150" s="9" t="str">
        <f>TEXT(Sales_of_Jordan[[#This Row],[Sale_Date]],"mmm")</f>
        <v>Nov</v>
      </c>
    </row>
    <row r="3151" spans="1:11" x14ac:dyDescent="0.35">
      <c r="A3151" s="7" t="s">
        <v>3181</v>
      </c>
      <c r="B3151" s="8">
        <v>45572</v>
      </c>
      <c r="C3151" s="9" t="s">
        <v>11</v>
      </c>
      <c r="D3151" s="9" t="s">
        <v>55</v>
      </c>
      <c r="E3151" s="9" t="s">
        <v>29</v>
      </c>
      <c r="F3151" s="9">
        <v>229</v>
      </c>
      <c r="G3151" s="9">
        <v>274.16000000000003</v>
      </c>
      <c r="H3151" s="9" t="s">
        <v>23</v>
      </c>
      <c r="I3151" s="9">
        <v>50</v>
      </c>
      <c r="J3151" s="10">
        <v>45.16</v>
      </c>
      <c r="K3151" s="9" t="str">
        <f>TEXT(Sales_of_Jordan[[#This Row],[Sale_Date]],"mmm")</f>
        <v>Oct</v>
      </c>
    </row>
    <row r="3152" spans="1:11" x14ac:dyDescent="0.35">
      <c r="A3152" s="7" t="s">
        <v>3182</v>
      </c>
      <c r="B3152" s="8">
        <v>45782</v>
      </c>
      <c r="C3152" s="9" t="s">
        <v>21</v>
      </c>
      <c r="D3152" s="9" t="s">
        <v>46</v>
      </c>
      <c r="E3152" s="9" t="s">
        <v>13</v>
      </c>
      <c r="F3152" s="9">
        <v>222</v>
      </c>
      <c r="G3152" s="9">
        <v>161.78</v>
      </c>
      <c r="H3152" s="9" t="s">
        <v>14</v>
      </c>
      <c r="I3152" s="9">
        <v>11</v>
      </c>
      <c r="J3152" s="10">
        <v>-60.22</v>
      </c>
      <c r="K3152" s="9" t="str">
        <f>TEXT(Sales_of_Jordan[[#This Row],[Sale_Date]],"mmm")</f>
        <v>May</v>
      </c>
    </row>
    <row r="3153" spans="1:11" x14ac:dyDescent="0.35">
      <c r="A3153" s="7" t="s">
        <v>3183</v>
      </c>
      <c r="B3153" s="8">
        <v>45038</v>
      </c>
      <c r="C3153" s="9" t="s">
        <v>21</v>
      </c>
      <c r="D3153" s="9" t="s">
        <v>34</v>
      </c>
      <c r="E3153" s="9" t="s">
        <v>13</v>
      </c>
      <c r="F3153" s="9">
        <v>218</v>
      </c>
      <c r="G3153" s="9">
        <v>143.52000000000001</v>
      </c>
      <c r="H3153" s="9" t="s">
        <v>23</v>
      </c>
      <c r="I3153" s="9">
        <v>37</v>
      </c>
      <c r="J3153" s="10">
        <v>-74.479999999999905</v>
      </c>
      <c r="K3153" s="9" t="str">
        <f>TEXT(Sales_of_Jordan[[#This Row],[Sale_Date]],"mmm")</f>
        <v>Apr</v>
      </c>
    </row>
    <row r="3154" spans="1:11" x14ac:dyDescent="0.35">
      <c r="A3154" s="7" t="s">
        <v>3184</v>
      </c>
      <c r="B3154" s="8">
        <v>45874</v>
      </c>
      <c r="C3154" s="9" t="s">
        <v>11</v>
      </c>
      <c r="D3154" s="9" t="s">
        <v>39</v>
      </c>
      <c r="E3154" s="9" t="s">
        <v>13</v>
      </c>
      <c r="F3154" s="9">
        <v>225</v>
      </c>
      <c r="G3154" s="9">
        <v>193.29</v>
      </c>
      <c r="H3154" s="9" t="s">
        <v>19</v>
      </c>
      <c r="I3154" s="9">
        <v>14</v>
      </c>
      <c r="J3154" s="10">
        <v>-31.71</v>
      </c>
      <c r="K3154" s="9" t="str">
        <f>TEXT(Sales_of_Jordan[[#This Row],[Sale_Date]],"mmm")</f>
        <v>Aug</v>
      </c>
    </row>
    <row r="3155" spans="1:11" x14ac:dyDescent="0.35">
      <c r="A3155" s="7" t="s">
        <v>3185</v>
      </c>
      <c r="B3155" s="8">
        <v>45252</v>
      </c>
      <c r="C3155" s="9" t="s">
        <v>21</v>
      </c>
      <c r="D3155" s="9" t="s">
        <v>12</v>
      </c>
      <c r="E3155" s="9" t="s">
        <v>29</v>
      </c>
      <c r="F3155" s="9">
        <v>210</v>
      </c>
      <c r="G3155" s="9">
        <v>278.86</v>
      </c>
      <c r="H3155" s="9" t="s">
        <v>14</v>
      </c>
      <c r="I3155" s="9">
        <v>1</v>
      </c>
      <c r="J3155" s="10">
        <v>68.86</v>
      </c>
      <c r="K3155" s="9" t="str">
        <f>TEXT(Sales_of_Jordan[[#This Row],[Sale_Date]],"mmm")</f>
        <v>Nov</v>
      </c>
    </row>
    <row r="3156" spans="1:11" x14ac:dyDescent="0.35">
      <c r="A3156" s="7" t="s">
        <v>3186</v>
      </c>
      <c r="B3156" s="8">
        <v>45860</v>
      </c>
      <c r="C3156" s="9" t="s">
        <v>16</v>
      </c>
      <c r="D3156" s="9" t="s">
        <v>36</v>
      </c>
      <c r="E3156" s="9" t="s">
        <v>29</v>
      </c>
      <c r="F3156" s="9">
        <v>171</v>
      </c>
      <c r="G3156" s="9">
        <v>181.1</v>
      </c>
      <c r="H3156" s="9" t="s">
        <v>25</v>
      </c>
      <c r="I3156" s="9">
        <v>10</v>
      </c>
      <c r="J3156" s="10">
        <v>10.0999999999999</v>
      </c>
      <c r="K3156" s="9" t="str">
        <f>TEXT(Sales_of_Jordan[[#This Row],[Sale_Date]],"mmm")</f>
        <v>Jul</v>
      </c>
    </row>
    <row r="3157" spans="1:11" x14ac:dyDescent="0.35">
      <c r="A3157" s="7" t="s">
        <v>3187</v>
      </c>
      <c r="B3157" s="8">
        <v>45602</v>
      </c>
      <c r="C3157" s="9" t="s">
        <v>31</v>
      </c>
      <c r="D3157" s="9" t="s">
        <v>12</v>
      </c>
      <c r="E3157" s="9" t="s">
        <v>13</v>
      </c>
      <c r="F3157" s="9">
        <v>205</v>
      </c>
      <c r="G3157" s="9">
        <v>104.29</v>
      </c>
      <c r="H3157" s="9" t="s">
        <v>23</v>
      </c>
      <c r="I3157" s="9">
        <v>8</v>
      </c>
      <c r="J3157" s="10">
        <v>-100.71</v>
      </c>
      <c r="K3157" s="9" t="str">
        <f>TEXT(Sales_of_Jordan[[#This Row],[Sale_Date]],"mmm")</f>
        <v>Nov</v>
      </c>
    </row>
    <row r="3158" spans="1:11" x14ac:dyDescent="0.35">
      <c r="A3158" s="7" t="s">
        <v>3188</v>
      </c>
      <c r="B3158" s="8">
        <v>45719</v>
      </c>
      <c r="C3158" s="9" t="s">
        <v>16</v>
      </c>
      <c r="D3158" s="9" t="s">
        <v>17</v>
      </c>
      <c r="E3158" s="9" t="s">
        <v>29</v>
      </c>
      <c r="F3158" s="9">
        <v>181</v>
      </c>
      <c r="G3158" s="9">
        <v>251.08</v>
      </c>
      <c r="H3158" s="9" t="s">
        <v>32</v>
      </c>
      <c r="I3158" s="9">
        <v>51</v>
      </c>
      <c r="J3158" s="10">
        <v>70.08</v>
      </c>
      <c r="K3158" s="9" t="str">
        <f>TEXT(Sales_of_Jordan[[#This Row],[Sale_Date]],"mmm")</f>
        <v>Mar</v>
      </c>
    </row>
    <row r="3159" spans="1:11" x14ac:dyDescent="0.35">
      <c r="A3159" s="7" t="s">
        <v>3189</v>
      </c>
      <c r="B3159" s="8">
        <v>45326</v>
      </c>
      <c r="C3159" s="9" t="s">
        <v>16</v>
      </c>
      <c r="D3159" s="9" t="s">
        <v>46</v>
      </c>
      <c r="E3159" s="9" t="s">
        <v>18</v>
      </c>
      <c r="F3159" s="9">
        <v>187</v>
      </c>
      <c r="G3159" s="9">
        <v>396.24</v>
      </c>
      <c r="H3159" s="9" t="s">
        <v>25</v>
      </c>
      <c r="I3159" s="9">
        <v>37</v>
      </c>
      <c r="J3159" s="10">
        <v>209.24</v>
      </c>
      <c r="K3159" s="9" t="str">
        <f>TEXT(Sales_of_Jordan[[#This Row],[Sale_Date]],"mmm")</f>
        <v>Feb</v>
      </c>
    </row>
    <row r="3160" spans="1:11" x14ac:dyDescent="0.35">
      <c r="A3160" s="7" t="s">
        <v>3190</v>
      </c>
      <c r="B3160" s="8">
        <v>44963</v>
      </c>
      <c r="C3160" s="9" t="s">
        <v>11</v>
      </c>
      <c r="D3160" s="9" t="s">
        <v>46</v>
      </c>
      <c r="E3160" s="9" t="s">
        <v>18</v>
      </c>
      <c r="F3160" s="9">
        <v>228</v>
      </c>
      <c r="G3160" s="9">
        <v>529.83000000000004</v>
      </c>
      <c r="H3160" s="9" t="s">
        <v>14</v>
      </c>
      <c r="I3160" s="9">
        <v>9</v>
      </c>
      <c r="J3160" s="10">
        <v>301.83</v>
      </c>
      <c r="K3160" s="9" t="str">
        <f>TEXT(Sales_of_Jordan[[#This Row],[Sale_Date]],"mmm")</f>
        <v>Feb</v>
      </c>
    </row>
    <row r="3161" spans="1:11" x14ac:dyDescent="0.35">
      <c r="A3161" s="7" t="s">
        <v>3191</v>
      </c>
      <c r="B3161" s="8">
        <v>45209</v>
      </c>
      <c r="C3161" s="9" t="s">
        <v>31</v>
      </c>
      <c r="D3161" s="9" t="s">
        <v>17</v>
      </c>
      <c r="E3161" s="9" t="s">
        <v>29</v>
      </c>
      <c r="F3161" s="9">
        <v>209</v>
      </c>
      <c r="G3161" s="9">
        <v>300.27999999999997</v>
      </c>
      <c r="H3161" s="9" t="s">
        <v>19</v>
      </c>
      <c r="I3161" s="9">
        <v>8</v>
      </c>
      <c r="J3161" s="10">
        <v>91.279999999999902</v>
      </c>
      <c r="K3161" s="9" t="str">
        <f>TEXT(Sales_of_Jordan[[#This Row],[Sale_Date]],"mmm")</f>
        <v>Oct</v>
      </c>
    </row>
    <row r="3162" spans="1:11" x14ac:dyDescent="0.35">
      <c r="A3162" s="7" t="s">
        <v>3192</v>
      </c>
      <c r="B3162" s="8">
        <v>45101</v>
      </c>
      <c r="C3162" s="9" t="s">
        <v>27</v>
      </c>
      <c r="D3162" s="9" t="s">
        <v>12</v>
      </c>
      <c r="E3162" s="9" t="s">
        <v>18</v>
      </c>
      <c r="F3162" s="9">
        <v>140</v>
      </c>
      <c r="G3162" s="9">
        <v>472.01</v>
      </c>
      <c r="H3162" s="9" t="s">
        <v>32</v>
      </c>
      <c r="I3162" s="9">
        <v>26</v>
      </c>
      <c r="J3162" s="10">
        <v>332.01</v>
      </c>
      <c r="K3162" s="9" t="str">
        <f>TEXT(Sales_of_Jordan[[#This Row],[Sale_Date]],"mmm")</f>
        <v>Jun</v>
      </c>
    </row>
    <row r="3163" spans="1:11" x14ac:dyDescent="0.35">
      <c r="A3163" s="7" t="s">
        <v>3193</v>
      </c>
      <c r="B3163" s="8">
        <v>45636</v>
      </c>
      <c r="C3163" s="9" t="s">
        <v>27</v>
      </c>
      <c r="D3163" s="9" t="s">
        <v>22</v>
      </c>
      <c r="E3163" s="9" t="s">
        <v>29</v>
      </c>
      <c r="F3163" s="9">
        <v>130</v>
      </c>
      <c r="G3163" s="9">
        <v>123.24</v>
      </c>
      <c r="H3163" s="9" t="s">
        <v>14</v>
      </c>
      <c r="I3163" s="9">
        <v>13</v>
      </c>
      <c r="J3163" s="10">
        <v>-6.76</v>
      </c>
      <c r="K3163" s="9" t="str">
        <f>TEXT(Sales_of_Jordan[[#This Row],[Sale_Date]],"mmm")</f>
        <v>Dec</v>
      </c>
    </row>
    <row r="3164" spans="1:11" x14ac:dyDescent="0.35">
      <c r="A3164" s="7" t="s">
        <v>3194</v>
      </c>
      <c r="B3164" s="8">
        <v>45903</v>
      </c>
      <c r="C3164" s="9" t="s">
        <v>31</v>
      </c>
      <c r="D3164" s="9" t="s">
        <v>36</v>
      </c>
      <c r="E3164" s="9" t="s">
        <v>18</v>
      </c>
      <c r="F3164" s="9">
        <v>202</v>
      </c>
      <c r="G3164" s="9">
        <v>663.07</v>
      </c>
      <c r="H3164" s="9" t="s">
        <v>23</v>
      </c>
      <c r="I3164" s="9">
        <v>25</v>
      </c>
      <c r="J3164" s="10">
        <v>461.07</v>
      </c>
      <c r="K3164" s="9" t="str">
        <f>TEXT(Sales_of_Jordan[[#This Row],[Sale_Date]],"mmm")</f>
        <v>Sep</v>
      </c>
    </row>
    <row r="3165" spans="1:11" x14ac:dyDescent="0.35">
      <c r="A3165" s="7" t="s">
        <v>3195</v>
      </c>
      <c r="B3165" s="8">
        <v>44975</v>
      </c>
      <c r="C3165" s="9" t="s">
        <v>31</v>
      </c>
      <c r="D3165" s="9" t="s">
        <v>55</v>
      </c>
      <c r="E3165" s="9" t="s">
        <v>29</v>
      </c>
      <c r="F3165" s="9">
        <v>202</v>
      </c>
      <c r="G3165" s="9">
        <v>277.79000000000002</v>
      </c>
      <c r="H3165" s="9" t="s">
        <v>14</v>
      </c>
      <c r="I3165" s="9">
        <v>14</v>
      </c>
      <c r="J3165" s="10">
        <v>75.790000000000006</v>
      </c>
      <c r="K3165" s="9" t="str">
        <f>TEXT(Sales_of_Jordan[[#This Row],[Sale_Date]],"mmm")</f>
        <v>Feb</v>
      </c>
    </row>
    <row r="3166" spans="1:11" x14ac:dyDescent="0.35">
      <c r="A3166" s="7" t="s">
        <v>3196</v>
      </c>
      <c r="B3166" s="8">
        <v>45624</v>
      </c>
      <c r="C3166" s="9" t="s">
        <v>16</v>
      </c>
      <c r="D3166" s="9" t="s">
        <v>53</v>
      </c>
      <c r="E3166" s="9" t="s">
        <v>29</v>
      </c>
      <c r="F3166" s="9">
        <v>178</v>
      </c>
      <c r="G3166" s="9">
        <v>228.86</v>
      </c>
      <c r="H3166" s="9" t="s">
        <v>25</v>
      </c>
      <c r="I3166" s="9">
        <v>57</v>
      </c>
      <c r="J3166" s="10">
        <v>50.86</v>
      </c>
      <c r="K3166" s="9" t="str">
        <f>TEXT(Sales_of_Jordan[[#This Row],[Sale_Date]],"mmm")</f>
        <v>Nov</v>
      </c>
    </row>
    <row r="3167" spans="1:11" x14ac:dyDescent="0.35">
      <c r="A3167" s="7" t="s">
        <v>3197</v>
      </c>
      <c r="B3167" s="8">
        <v>45325</v>
      </c>
      <c r="C3167" s="9" t="s">
        <v>16</v>
      </c>
      <c r="D3167" s="9" t="s">
        <v>53</v>
      </c>
      <c r="E3167" s="9" t="s">
        <v>13</v>
      </c>
      <c r="F3167" s="9">
        <v>182</v>
      </c>
      <c r="G3167" s="9">
        <v>92.56</v>
      </c>
      <c r="H3167" s="9" t="s">
        <v>19</v>
      </c>
      <c r="I3167" s="9">
        <v>7</v>
      </c>
      <c r="J3167" s="10">
        <v>-89.44</v>
      </c>
      <c r="K3167" s="9" t="str">
        <f>TEXT(Sales_of_Jordan[[#This Row],[Sale_Date]],"mmm")</f>
        <v>Feb</v>
      </c>
    </row>
    <row r="3168" spans="1:11" x14ac:dyDescent="0.35">
      <c r="A3168" s="7" t="s">
        <v>3198</v>
      </c>
      <c r="B3168" s="8">
        <v>45525</v>
      </c>
      <c r="C3168" s="9" t="s">
        <v>27</v>
      </c>
      <c r="D3168" s="9" t="s">
        <v>22</v>
      </c>
      <c r="E3168" s="9" t="s">
        <v>29</v>
      </c>
      <c r="F3168" s="9">
        <v>137</v>
      </c>
      <c r="G3168" s="9">
        <v>191.3</v>
      </c>
      <c r="H3168" s="9" t="s">
        <v>23</v>
      </c>
      <c r="I3168" s="9">
        <v>52</v>
      </c>
      <c r="J3168" s="10">
        <v>54.3</v>
      </c>
      <c r="K3168" s="9" t="str">
        <f>TEXT(Sales_of_Jordan[[#This Row],[Sale_Date]],"mmm")</f>
        <v>Aug</v>
      </c>
    </row>
    <row r="3169" spans="1:11" x14ac:dyDescent="0.35">
      <c r="A3169" s="7" t="s">
        <v>3199</v>
      </c>
      <c r="B3169" s="8">
        <v>45388</v>
      </c>
      <c r="C3169" s="9" t="s">
        <v>31</v>
      </c>
      <c r="D3169" s="9" t="s">
        <v>34</v>
      </c>
      <c r="E3169" s="9" t="s">
        <v>13</v>
      </c>
      <c r="F3169" s="9">
        <v>205</v>
      </c>
      <c r="G3169" s="9">
        <v>152.46</v>
      </c>
      <c r="H3169" s="9" t="s">
        <v>32</v>
      </c>
      <c r="I3169" s="9">
        <v>22</v>
      </c>
      <c r="J3169" s="10">
        <v>-52.5399999999999</v>
      </c>
      <c r="K3169" s="9" t="str">
        <f>TEXT(Sales_of_Jordan[[#This Row],[Sale_Date]],"mmm")</f>
        <v>Apr</v>
      </c>
    </row>
    <row r="3170" spans="1:11" x14ac:dyDescent="0.35">
      <c r="A3170" s="7" t="s">
        <v>3200</v>
      </c>
      <c r="B3170" s="8">
        <v>45895</v>
      </c>
      <c r="C3170" s="9" t="s">
        <v>16</v>
      </c>
      <c r="D3170" s="9" t="s">
        <v>12</v>
      </c>
      <c r="E3170" s="9" t="s">
        <v>13</v>
      </c>
      <c r="F3170" s="9">
        <v>179</v>
      </c>
      <c r="G3170" s="9">
        <v>122.35</v>
      </c>
      <c r="H3170" s="9" t="s">
        <v>14</v>
      </c>
      <c r="I3170" s="9">
        <v>12</v>
      </c>
      <c r="J3170" s="10">
        <v>-56.65</v>
      </c>
      <c r="K3170" s="9" t="str">
        <f>TEXT(Sales_of_Jordan[[#This Row],[Sale_Date]],"mmm")</f>
        <v>Aug</v>
      </c>
    </row>
    <row r="3171" spans="1:11" x14ac:dyDescent="0.35">
      <c r="A3171" s="7" t="s">
        <v>3201</v>
      </c>
      <c r="B3171" s="8">
        <v>45840</v>
      </c>
      <c r="C3171" s="9" t="s">
        <v>11</v>
      </c>
      <c r="D3171" s="9" t="s">
        <v>34</v>
      </c>
      <c r="E3171" s="9" t="s">
        <v>18</v>
      </c>
      <c r="F3171" s="9">
        <v>225</v>
      </c>
      <c r="G3171" s="9">
        <v>695.76</v>
      </c>
      <c r="H3171" s="9" t="s">
        <v>14</v>
      </c>
      <c r="I3171" s="9">
        <v>5</v>
      </c>
      <c r="J3171" s="10">
        <v>470.76</v>
      </c>
      <c r="K3171" s="9" t="str">
        <f>TEXT(Sales_of_Jordan[[#This Row],[Sale_Date]],"mmm")</f>
        <v>Jul</v>
      </c>
    </row>
    <row r="3172" spans="1:11" x14ac:dyDescent="0.35">
      <c r="A3172" s="7" t="s">
        <v>3202</v>
      </c>
      <c r="B3172" s="8">
        <v>45890</v>
      </c>
      <c r="C3172" s="9" t="s">
        <v>21</v>
      </c>
      <c r="D3172" s="9" t="s">
        <v>39</v>
      </c>
      <c r="E3172" s="9" t="s">
        <v>29</v>
      </c>
      <c r="F3172" s="9">
        <v>210</v>
      </c>
      <c r="G3172" s="9">
        <v>193.75</v>
      </c>
      <c r="H3172" s="9" t="s">
        <v>19</v>
      </c>
      <c r="I3172" s="9">
        <v>13</v>
      </c>
      <c r="J3172" s="10">
        <v>-16.25</v>
      </c>
      <c r="K3172" s="9" t="str">
        <f>TEXT(Sales_of_Jordan[[#This Row],[Sale_Date]],"mmm")</f>
        <v>Aug</v>
      </c>
    </row>
    <row r="3173" spans="1:11" x14ac:dyDescent="0.35">
      <c r="A3173" s="7" t="s">
        <v>3203</v>
      </c>
      <c r="B3173" s="8">
        <v>45073</v>
      </c>
      <c r="C3173" s="9" t="s">
        <v>31</v>
      </c>
      <c r="D3173" s="9" t="s">
        <v>39</v>
      </c>
      <c r="E3173" s="9" t="s">
        <v>29</v>
      </c>
      <c r="F3173" s="9">
        <v>204</v>
      </c>
      <c r="G3173" s="9">
        <v>285.98</v>
      </c>
      <c r="H3173" s="9" t="s">
        <v>23</v>
      </c>
      <c r="I3173" s="9">
        <v>55</v>
      </c>
      <c r="J3173" s="10">
        <v>81.98</v>
      </c>
      <c r="K3173" s="9" t="str">
        <f>TEXT(Sales_of_Jordan[[#This Row],[Sale_Date]],"mmm")</f>
        <v>May</v>
      </c>
    </row>
    <row r="3174" spans="1:11" x14ac:dyDescent="0.35">
      <c r="A3174" s="7" t="s">
        <v>3204</v>
      </c>
      <c r="B3174" s="8">
        <v>45712</v>
      </c>
      <c r="C3174" s="9" t="s">
        <v>31</v>
      </c>
      <c r="D3174" s="9" t="s">
        <v>17</v>
      </c>
      <c r="E3174" s="9" t="s">
        <v>13</v>
      </c>
      <c r="F3174" s="9">
        <v>210</v>
      </c>
      <c r="G3174" s="9">
        <v>175.39</v>
      </c>
      <c r="H3174" s="9" t="s">
        <v>32</v>
      </c>
      <c r="I3174" s="9">
        <v>20</v>
      </c>
      <c r="J3174" s="10">
        <v>-34.61</v>
      </c>
      <c r="K3174" s="9" t="str">
        <f>TEXT(Sales_of_Jordan[[#This Row],[Sale_Date]],"mmm")</f>
        <v>Feb</v>
      </c>
    </row>
    <row r="3175" spans="1:11" x14ac:dyDescent="0.35">
      <c r="A3175" s="7" t="s">
        <v>3205</v>
      </c>
      <c r="B3175" s="8">
        <v>45027</v>
      </c>
      <c r="C3175" s="9" t="s">
        <v>16</v>
      </c>
      <c r="D3175" s="9" t="s">
        <v>22</v>
      </c>
      <c r="E3175" s="9" t="s">
        <v>18</v>
      </c>
      <c r="F3175" s="9">
        <v>183</v>
      </c>
      <c r="G3175" s="9">
        <v>244.61</v>
      </c>
      <c r="H3175" s="9" t="s">
        <v>14</v>
      </c>
      <c r="I3175" s="9">
        <v>11</v>
      </c>
      <c r="J3175" s="10">
        <v>61.61</v>
      </c>
      <c r="K3175" s="9" t="str">
        <f>TEXT(Sales_of_Jordan[[#This Row],[Sale_Date]],"mmm")</f>
        <v>Apr</v>
      </c>
    </row>
    <row r="3176" spans="1:11" x14ac:dyDescent="0.35">
      <c r="A3176" s="7" t="s">
        <v>3206</v>
      </c>
      <c r="B3176" s="8">
        <v>45081</v>
      </c>
      <c r="C3176" s="9" t="s">
        <v>11</v>
      </c>
      <c r="D3176" s="9" t="s">
        <v>53</v>
      </c>
      <c r="E3176" s="9" t="s">
        <v>13</v>
      </c>
      <c r="F3176" s="9">
        <v>230</v>
      </c>
      <c r="G3176" s="9">
        <v>162.58000000000001</v>
      </c>
      <c r="H3176" s="9" t="s">
        <v>32</v>
      </c>
      <c r="I3176" s="9">
        <v>52</v>
      </c>
      <c r="J3176" s="10">
        <v>-67.419999999999902</v>
      </c>
      <c r="K3176" s="9" t="str">
        <f>TEXT(Sales_of_Jordan[[#This Row],[Sale_Date]],"mmm")</f>
        <v>Jun</v>
      </c>
    </row>
    <row r="3177" spans="1:11" x14ac:dyDescent="0.35">
      <c r="A3177" s="7" t="s">
        <v>3207</v>
      </c>
      <c r="B3177" s="8">
        <v>45076</v>
      </c>
      <c r="C3177" s="9" t="s">
        <v>31</v>
      </c>
      <c r="D3177" s="9" t="s">
        <v>39</v>
      </c>
      <c r="E3177" s="9" t="s">
        <v>13</v>
      </c>
      <c r="F3177" s="9">
        <v>200</v>
      </c>
      <c r="G3177" s="9">
        <v>149.19</v>
      </c>
      <c r="H3177" s="9" t="s">
        <v>25</v>
      </c>
      <c r="I3177" s="9">
        <v>17</v>
      </c>
      <c r="J3177" s="10">
        <v>-50.81</v>
      </c>
      <c r="K3177" s="9" t="str">
        <f>TEXT(Sales_of_Jordan[[#This Row],[Sale_Date]],"mmm")</f>
        <v>May</v>
      </c>
    </row>
    <row r="3178" spans="1:11" x14ac:dyDescent="0.35">
      <c r="A3178" s="7" t="s">
        <v>3208</v>
      </c>
      <c r="B3178" s="8">
        <v>45478</v>
      </c>
      <c r="C3178" s="9" t="s">
        <v>21</v>
      </c>
      <c r="D3178" s="9" t="s">
        <v>39</v>
      </c>
      <c r="E3178" s="9" t="s">
        <v>13</v>
      </c>
      <c r="F3178" s="9">
        <v>225</v>
      </c>
      <c r="G3178" s="9">
        <v>128.65</v>
      </c>
      <c r="H3178" s="9" t="s">
        <v>14</v>
      </c>
      <c r="I3178" s="9">
        <v>1</v>
      </c>
      <c r="J3178" s="10">
        <v>-96.35</v>
      </c>
      <c r="K3178" s="9" t="str">
        <f>TEXT(Sales_of_Jordan[[#This Row],[Sale_Date]],"mmm")</f>
        <v>Jul</v>
      </c>
    </row>
    <row r="3179" spans="1:11" x14ac:dyDescent="0.35">
      <c r="A3179" s="7" t="s">
        <v>3209</v>
      </c>
      <c r="B3179" s="8">
        <v>45670</v>
      </c>
      <c r="C3179" s="9" t="s">
        <v>11</v>
      </c>
      <c r="D3179" s="9" t="s">
        <v>22</v>
      </c>
      <c r="E3179" s="9" t="s">
        <v>29</v>
      </c>
      <c r="F3179" s="9">
        <v>228</v>
      </c>
      <c r="G3179" s="9">
        <v>289.70999999999998</v>
      </c>
      <c r="H3179" s="9" t="s">
        <v>25</v>
      </c>
      <c r="I3179" s="9">
        <v>8</v>
      </c>
      <c r="J3179" s="10">
        <v>61.709999999999901</v>
      </c>
      <c r="K3179" s="9" t="str">
        <f>TEXT(Sales_of_Jordan[[#This Row],[Sale_Date]],"mmm")</f>
        <v>Jan</v>
      </c>
    </row>
    <row r="3180" spans="1:11" x14ac:dyDescent="0.35">
      <c r="A3180" s="7" t="s">
        <v>3210</v>
      </c>
      <c r="B3180" s="8">
        <v>44984</v>
      </c>
      <c r="C3180" s="9" t="s">
        <v>21</v>
      </c>
      <c r="D3180" s="9" t="s">
        <v>12</v>
      </c>
      <c r="E3180" s="9" t="s">
        <v>18</v>
      </c>
      <c r="F3180" s="9">
        <v>213</v>
      </c>
      <c r="G3180" s="9">
        <v>393.74</v>
      </c>
      <c r="H3180" s="9" t="s">
        <v>32</v>
      </c>
      <c r="I3180" s="9">
        <v>42</v>
      </c>
      <c r="J3180" s="10">
        <v>180.74</v>
      </c>
      <c r="K3180" s="9" t="str">
        <f>TEXT(Sales_of_Jordan[[#This Row],[Sale_Date]],"mmm")</f>
        <v>Feb</v>
      </c>
    </row>
    <row r="3181" spans="1:11" x14ac:dyDescent="0.35">
      <c r="A3181" s="7" t="s">
        <v>3211</v>
      </c>
      <c r="B3181" s="8">
        <v>45460</v>
      </c>
      <c r="C3181" s="9" t="s">
        <v>21</v>
      </c>
      <c r="D3181" s="9" t="s">
        <v>22</v>
      </c>
      <c r="E3181" s="9" t="s">
        <v>29</v>
      </c>
      <c r="F3181" s="9">
        <v>216</v>
      </c>
      <c r="G3181" s="9">
        <v>206.49</v>
      </c>
      <c r="H3181" s="9" t="s">
        <v>23</v>
      </c>
      <c r="I3181" s="9">
        <v>40</v>
      </c>
      <c r="J3181" s="10">
        <v>-9.5099999999999891</v>
      </c>
      <c r="K3181" s="9" t="str">
        <f>TEXT(Sales_of_Jordan[[#This Row],[Sale_Date]],"mmm")</f>
        <v>Jun</v>
      </c>
    </row>
    <row r="3182" spans="1:11" x14ac:dyDescent="0.35">
      <c r="A3182" s="7" t="s">
        <v>3212</v>
      </c>
      <c r="B3182" s="8">
        <v>45378</v>
      </c>
      <c r="C3182" s="9" t="s">
        <v>31</v>
      </c>
      <c r="D3182" s="9" t="s">
        <v>17</v>
      </c>
      <c r="E3182" s="9" t="s">
        <v>13</v>
      </c>
      <c r="F3182" s="9">
        <v>205</v>
      </c>
      <c r="G3182" s="9">
        <v>103.39</v>
      </c>
      <c r="H3182" s="9" t="s">
        <v>19</v>
      </c>
      <c r="I3182" s="9">
        <v>13</v>
      </c>
      <c r="J3182" s="10">
        <v>-101.61</v>
      </c>
      <c r="K3182" s="9" t="str">
        <f>TEXT(Sales_of_Jordan[[#This Row],[Sale_Date]],"mmm")</f>
        <v>Mar</v>
      </c>
    </row>
    <row r="3183" spans="1:11" x14ac:dyDescent="0.35">
      <c r="A3183" s="7" t="s">
        <v>3213</v>
      </c>
      <c r="B3183" s="8">
        <v>45131</v>
      </c>
      <c r="C3183" s="9" t="s">
        <v>21</v>
      </c>
      <c r="D3183" s="9" t="s">
        <v>34</v>
      </c>
      <c r="E3183" s="9" t="s">
        <v>29</v>
      </c>
      <c r="F3183" s="9">
        <v>214</v>
      </c>
      <c r="G3183" s="9">
        <v>225.58</v>
      </c>
      <c r="H3183" s="9" t="s">
        <v>23</v>
      </c>
      <c r="I3183" s="9">
        <v>33</v>
      </c>
      <c r="J3183" s="10">
        <v>11.58</v>
      </c>
      <c r="K3183" s="9" t="str">
        <f>TEXT(Sales_of_Jordan[[#This Row],[Sale_Date]],"mmm")</f>
        <v>Jul</v>
      </c>
    </row>
    <row r="3184" spans="1:11" x14ac:dyDescent="0.35">
      <c r="A3184" s="7" t="s">
        <v>3214</v>
      </c>
      <c r="B3184" s="8">
        <v>45374</v>
      </c>
      <c r="C3184" s="9" t="s">
        <v>31</v>
      </c>
      <c r="D3184" s="9" t="s">
        <v>55</v>
      </c>
      <c r="E3184" s="9" t="s">
        <v>18</v>
      </c>
      <c r="F3184" s="9">
        <v>210</v>
      </c>
      <c r="G3184" s="9">
        <v>716.28</v>
      </c>
      <c r="H3184" s="9" t="s">
        <v>32</v>
      </c>
      <c r="I3184" s="9">
        <v>34</v>
      </c>
      <c r="J3184" s="10">
        <v>506.28</v>
      </c>
      <c r="K3184" s="9" t="str">
        <f>TEXT(Sales_of_Jordan[[#This Row],[Sale_Date]],"mmm")</f>
        <v>Mar</v>
      </c>
    </row>
    <row r="3185" spans="1:11" x14ac:dyDescent="0.35">
      <c r="A3185" s="7" t="s">
        <v>3215</v>
      </c>
      <c r="B3185" s="8">
        <v>45053</v>
      </c>
      <c r="C3185" s="9" t="s">
        <v>11</v>
      </c>
      <c r="D3185" s="9" t="s">
        <v>53</v>
      </c>
      <c r="E3185" s="9" t="s">
        <v>29</v>
      </c>
      <c r="F3185" s="9">
        <v>225</v>
      </c>
      <c r="G3185" s="9">
        <v>251.01</v>
      </c>
      <c r="H3185" s="9" t="s">
        <v>14</v>
      </c>
      <c r="I3185" s="9">
        <v>3</v>
      </c>
      <c r="J3185" s="10">
        <v>26.009999999999899</v>
      </c>
      <c r="K3185" s="9" t="str">
        <f>TEXT(Sales_of_Jordan[[#This Row],[Sale_Date]],"mmm")</f>
        <v>May</v>
      </c>
    </row>
    <row r="3186" spans="1:11" x14ac:dyDescent="0.35">
      <c r="A3186" s="7" t="s">
        <v>3216</v>
      </c>
      <c r="B3186" s="8">
        <v>45495</v>
      </c>
      <c r="C3186" s="9" t="s">
        <v>16</v>
      </c>
      <c r="D3186" s="9" t="s">
        <v>12</v>
      </c>
      <c r="E3186" s="9" t="s">
        <v>18</v>
      </c>
      <c r="F3186" s="9">
        <v>181</v>
      </c>
      <c r="G3186" s="9">
        <v>391.27</v>
      </c>
      <c r="H3186" s="9" t="s">
        <v>25</v>
      </c>
      <c r="I3186" s="9">
        <v>5</v>
      </c>
      <c r="J3186" s="10">
        <v>210.26999999999899</v>
      </c>
      <c r="K3186" s="9" t="str">
        <f>TEXT(Sales_of_Jordan[[#This Row],[Sale_Date]],"mmm")</f>
        <v>Jul</v>
      </c>
    </row>
    <row r="3187" spans="1:11" x14ac:dyDescent="0.35">
      <c r="A3187" s="7" t="s">
        <v>3217</v>
      </c>
      <c r="B3187" s="8">
        <v>45636</v>
      </c>
      <c r="C3187" s="9" t="s">
        <v>21</v>
      </c>
      <c r="D3187" s="9" t="s">
        <v>46</v>
      </c>
      <c r="E3187" s="9" t="s">
        <v>29</v>
      </c>
      <c r="F3187" s="9">
        <v>219</v>
      </c>
      <c r="G3187" s="9">
        <v>293.94</v>
      </c>
      <c r="H3187" s="9" t="s">
        <v>19</v>
      </c>
      <c r="I3187" s="9">
        <v>12</v>
      </c>
      <c r="J3187" s="10">
        <v>74.94</v>
      </c>
      <c r="K3187" s="9" t="str">
        <f>TEXT(Sales_of_Jordan[[#This Row],[Sale_Date]],"mmm")</f>
        <v>Dec</v>
      </c>
    </row>
    <row r="3188" spans="1:11" x14ac:dyDescent="0.35">
      <c r="A3188" s="7" t="s">
        <v>3218</v>
      </c>
      <c r="B3188" s="8">
        <v>45082</v>
      </c>
      <c r="C3188" s="9" t="s">
        <v>31</v>
      </c>
      <c r="D3188" s="9" t="s">
        <v>22</v>
      </c>
      <c r="E3188" s="9" t="s">
        <v>18</v>
      </c>
      <c r="F3188" s="9">
        <v>208</v>
      </c>
      <c r="G3188" s="9">
        <v>506.46</v>
      </c>
      <c r="H3188" s="9" t="s">
        <v>32</v>
      </c>
      <c r="I3188" s="9">
        <v>46</v>
      </c>
      <c r="J3188" s="10">
        <v>298.45999999999998</v>
      </c>
      <c r="K3188" s="9" t="str">
        <f>TEXT(Sales_of_Jordan[[#This Row],[Sale_Date]],"mmm")</f>
        <v>Jun</v>
      </c>
    </row>
    <row r="3189" spans="1:11" x14ac:dyDescent="0.35">
      <c r="A3189" s="7" t="s">
        <v>3219</v>
      </c>
      <c r="B3189" s="8">
        <v>44962</v>
      </c>
      <c r="C3189" s="9" t="s">
        <v>21</v>
      </c>
      <c r="D3189" s="9" t="s">
        <v>46</v>
      </c>
      <c r="E3189" s="9" t="s">
        <v>13</v>
      </c>
      <c r="F3189" s="9">
        <v>213</v>
      </c>
      <c r="G3189" s="9">
        <v>179.7</v>
      </c>
      <c r="H3189" s="9" t="s">
        <v>19</v>
      </c>
      <c r="I3189" s="9">
        <v>14</v>
      </c>
      <c r="J3189" s="10">
        <v>-33.299999999999997</v>
      </c>
      <c r="K3189" s="9" t="str">
        <f>TEXT(Sales_of_Jordan[[#This Row],[Sale_Date]],"mmm")</f>
        <v>Feb</v>
      </c>
    </row>
    <row r="3190" spans="1:11" x14ac:dyDescent="0.35">
      <c r="A3190" s="7" t="s">
        <v>3220</v>
      </c>
      <c r="B3190" s="8">
        <v>45129</v>
      </c>
      <c r="C3190" s="9" t="s">
        <v>21</v>
      </c>
      <c r="D3190" s="9" t="s">
        <v>22</v>
      </c>
      <c r="E3190" s="9" t="s">
        <v>13</v>
      </c>
      <c r="F3190" s="9">
        <v>218</v>
      </c>
      <c r="G3190" s="9">
        <v>133.19</v>
      </c>
      <c r="H3190" s="9" t="s">
        <v>32</v>
      </c>
      <c r="I3190" s="9">
        <v>28</v>
      </c>
      <c r="J3190" s="10">
        <v>-84.81</v>
      </c>
      <c r="K3190" s="9" t="str">
        <f>TEXT(Sales_of_Jordan[[#This Row],[Sale_Date]],"mmm")</f>
        <v>Jul</v>
      </c>
    </row>
    <row r="3191" spans="1:11" x14ac:dyDescent="0.35">
      <c r="A3191" s="7" t="s">
        <v>3221</v>
      </c>
      <c r="B3191" s="8">
        <v>45716</v>
      </c>
      <c r="C3191" s="9" t="s">
        <v>31</v>
      </c>
      <c r="D3191" s="9" t="s">
        <v>22</v>
      </c>
      <c r="E3191" s="9" t="s">
        <v>13</v>
      </c>
      <c r="F3191" s="9">
        <v>200</v>
      </c>
      <c r="G3191" s="9">
        <v>139.85</v>
      </c>
      <c r="H3191" s="9" t="s">
        <v>19</v>
      </c>
      <c r="I3191" s="9">
        <v>14</v>
      </c>
      <c r="J3191" s="10">
        <v>-60.15</v>
      </c>
      <c r="K3191" s="9" t="str">
        <f>TEXT(Sales_of_Jordan[[#This Row],[Sale_Date]],"mmm")</f>
        <v>Feb</v>
      </c>
    </row>
    <row r="3192" spans="1:11" x14ac:dyDescent="0.35">
      <c r="A3192" s="7" t="s">
        <v>3222</v>
      </c>
      <c r="B3192" s="8">
        <v>44957</v>
      </c>
      <c r="C3192" s="9" t="s">
        <v>16</v>
      </c>
      <c r="D3192" s="9" t="s">
        <v>17</v>
      </c>
      <c r="E3192" s="9" t="s">
        <v>13</v>
      </c>
      <c r="F3192" s="9">
        <v>179</v>
      </c>
      <c r="G3192" s="9">
        <v>154.84</v>
      </c>
      <c r="H3192" s="9" t="s">
        <v>23</v>
      </c>
      <c r="I3192" s="9">
        <v>53</v>
      </c>
      <c r="J3192" s="10">
        <v>-24.159999999999901</v>
      </c>
      <c r="K3192" s="9" t="str">
        <f>TEXT(Sales_of_Jordan[[#This Row],[Sale_Date]],"mmm")</f>
        <v>Jan</v>
      </c>
    </row>
    <row r="3193" spans="1:11" x14ac:dyDescent="0.35">
      <c r="A3193" s="7" t="s">
        <v>3223</v>
      </c>
      <c r="B3193" s="8">
        <v>45337</v>
      </c>
      <c r="C3193" s="9" t="s">
        <v>11</v>
      </c>
      <c r="D3193" s="9" t="s">
        <v>22</v>
      </c>
      <c r="E3193" s="9" t="s">
        <v>13</v>
      </c>
      <c r="F3193" s="9">
        <v>225</v>
      </c>
      <c r="G3193" s="9">
        <v>125.93</v>
      </c>
      <c r="H3193" s="9" t="s">
        <v>25</v>
      </c>
      <c r="I3193" s="9">
        <v>46</v>
      </c>
      <c r="J3193" s="10">
        <v>-99.07</v>
      </c>
      <c r="K3193" s="9" t="str">
        <f>TEXT(Sales_of_Jordan[[#This Row],[Sale_Date]],"mmm")</f>
        <v>Feb</v>
      </c>
    </row>
    <row r="3194" spans="1:11" x14ac:dyDescent="0.35">
      <c r="A3194" s="7" t="s">
        <v>3224</v>
      </c>
      <c r="B3194" s="8">
        <v>45402</v>
      </c>
      <c r="C3194" s="9" t="s">
        <v>27</v>
      </c>
      <c r="D3194" s="9" t="s">
        <v>39</v>
      </c>
      <c r="E3194" s="9" t="s">
        <v>18</v>
      </c>
      <c r="F3194" s="9">
        <v>126</v>
      </c>
      <c r="G3194" s="9">
        <v>223.89</v>
      </c>
      <c r="H3194" s="9" t="s">
        <v>25</v>
      </c>
      <c r="I3194" s="9">
        <v>23</v>
      </c>
      <c r="J3194" s="10">
        <v>97.889999999999901</v>
      </c>
      <c r="K3194" s="9" t="str">
        <f>TEXT(Sales_of_Jordan[[#This Row],[Sale_Date]],"mmm")</f>
        <v>Apr</v>
      </c>
    </row>
    <row r="3195" spans="1:11" x14ac:dyDescent="0.35">
      <c r="A3195" s="7" t="s">
        <v>3225</v>
      </c>
      <c r="B3195" s="8">
        <v>45009</v>
      </c>
      <c r="C3195" s="9" t="s">
        <v>16</v>
      </c>
      <c r="D3195" s="9" t="s">
        <v>53</v>
      </c>
      <c r="E3195" s="9" t="s">
        <v>29</v>
      </c>
      <c r="F3195" s="9">
        <v>185</v>
      </c>
      <c r="G3195" s="9">
        <v>240.58</v>
      </c>
      <c r="H3195" s="9" t="s">
        <v>19</v>
      </c>
      <c r="I3195" s="9">
        <v>3</v>
      </c>
      <c r="J3195" s="10">
        <v>55.58</v>
      </c>
      <c r="K3195" s="9" t="str">
        <f>TEXT(Sales_of_Jordan[[#This Row],[Sale_Date]],"mmm")</f>
        <v>Mar</v>
      </c>
    </row>
    <row r="3196" spans="1:11" x14ac:dyDescent="0.35">
      <c r="A3196" s="7" t="s">
        <v>3226</v>
      </c>
      <c r="B3196" s="8">
        <v>45317</v>
      </c>
      <c r="C3196" s="9" t="s">
        <v>31</v>
      </c>
      <c r="D3196" s="9" t="s">
        <v>22</v>
      </c>
      <c r="E3196" s="9" t="s">
        <v>18</v>
      </c>
      <c r="F3196" s="9">
        <v>203</v>
      </c>
      <c r="G3196" s="9">
        <v>566.21</v>
      </c>
      <c r="H3196" s="9" t="s">
        <v>14</v>
      </c>
      <c r="I3196" s="9">
        <v>14</v>
      </c>
      <c r="J3196" s="10">
        <v>363.21</v>
      </c>
      <c r="K3196" s="9" t="str">
        <f>TEXT(Sales_of_Jordan[[#This Row],[Sale_Date]],"mmm")</f>
        <v>Jan</v>
      </c>
    </row>
    <row r="3197" spans="1:11" x14ac:dyDescent="0.35">
      <c r="A3197" s="7" t="s">
        <v>3227</v>
      </c>
      <c r="B3197" s="8">
        <v>45847</v>
      </c>
      <c r="C3197" s="9" t="s">
        <v>11</v>
      </c>
      <c r="D3197" s="9" t="s">
        <v>12</v>
      </c>
      <c r="E3197" s="9" t="s">
        <v>13</v>
      </c>
      <c r="F3197" s="9">
        <v>230</v>
      </c>
      <c r="G3197" s="9">
        <v>154.91</v>
      </c>
      <c r="H3197" s="9" t="s">
        <v>25</v>
      </c>
      <c r="I3197" s="9">
        <v>12</v>
      </c>
      <c r="J3197" s="10">
        <v>-75.09</v>
      </c>
      <c r="K3197" s="9" t="str">
        <f>TEXT(Sales_of_Jordan[[#This Row],[Sale_Date]],"mmm")</f>
        <v>Jul</v>
      </c>
    </row>
    <row r="3198" spans="1:11" x14ac:dyDescent="0.35">
      <c r="A3198" s="7" t="s">
        <v>3228</v>
      </c>
      <c r="B3198" s="8">
        <v>45136</v>
      </c>
      <c r="C3198" s="9" t="s">
        <v>21</v>
      </c>
      <c r="D3198" s="9" t="s">
        <v>36</v>
      </c>
      <c r="E3198" s="9" t="s">
        <v>13</v>
      </c>
      <c r="F3198" s="9">
        <v>220</v>
      </c>
      <c r="G3198" s="9">
        <v>146.15</v>
      </c>
      <c r="H3198" s="9" t="s">
        <v>23</v>
      </c>
      <c r="I3198" s="9">
        <v>49</v>
      </c>
      <c r="J3198" s="10">
        <v>-73.849999999999994</v>
      </c>
      <c r="K3198" s="9" t="str">
        <f>TEXT(Sales_of_Jordan[[#This Row],[Sale_Date]],"mmm")</f>
        <v>Jul</v>
      </c>
    </row>
    <row r="3199" spans="1:11" x14ac:dyDescent="0.35">
      <c r="A3199" s="7" t="s">
        <v>3229</v>
      </c>
      <c r="B3199" s="8">
        <v>45881</v>
      </c>
      <c r="C3199" s="9" t="s">
        <v>31</v>
      </c>
      <c r="D3199" s="9" t="s">
        <v>39</v>
      </c>
      <c r="E3199" s="9" t="s">
        <v>29</v>
      </c>
      <c r="F3199" s="9">
        <v>204</v>
      </c>
      <c r="G3199" s="9">
        <v>192.32</v>
      </c>
      <c r="H3199" s="9" t="s">
        <v>25</v>
      </c>
      <c r="I3199" s="9">
        <v>53</v>
      </c>
      <c r="J3199" s="10">
        <v>-11.68</v>
      </c>
      <c r="K3199" s="9" t="str">
        <f>TEXT(Sales_of_Jordan[[#This Row],[Sale_Date]],"mmm")</f>
        <v>Aug</v>
      </c>
    </row>
    <row r="3200" spans="1:11" x14ac:dyDescent="0.35">
      <c r="A3200" s="7" t="s">
        <v>3230</v>
      </c>
      <c r="B3200" s="8">
        <v>45700</v>
      </c>
      <c r="C3200" s="9" t="s">
        <v>31</v>
      </c>
      <c r="D3200" s="9" t="s">
        <v>22</v>
      </c>
      <c r="E3200" s="9" t="s">
        <v>13</v>
      </c>
      <c r="F3200" s="9">
        <v>210</v>
      </c>
      <c r="G3200" s="9">
        <v>110.75</v>
      </c>
      <c r="H3200" s="9" t="s">
        <v>32</v>
      </c>
      <c r="I3200" s="9">
        <v>9</v>
      </c>
      <c r="J3200" s="10">
        <v>-99.25</v>
      </c>
      <c r="K3200" s="9" t="str">
        <f>TEXT(Sales_of_Jordan[[#This Row],[Sale_Date]],"mmm")</f>
        <v>Feb</v>
      </c>
    </row>
    <row r="3201" spans="1:11" x14ac:dyDescent="0.35">
      <c r="A3201" s="7" t="s">
        <v>3231</v>
      </c>
      <c r="B3201" s="8">
        <v>45272</v>
      </c>
      <c r="C3201" s="9" t="s">
        <v>31</v>
      </c>
      <c r="D3201" s="9" t="s">
        <v>12</v>
      </c>
      <c r="E3201" s="9" t="s">
        <v>18</v>
      </c>
      <c r="F3201" s="9">
        <v>202</v>
      </c>
      <c r="G3201" s="9">
        <v>330.02</v>
      </c>
      <c r="H3201" s="9" t="s">
        <v>32</v>
      </c>
      <c r="I3201" s="9">
        <v>16</v>
      </c>
      <c r="J3201" s="10">
        <v>128.01999999999899</v>
      </c>
      <c r="K3201" s="9" t="str">
        <f>TEXT(Sales_of_Jordan[[#This Row],[Sale_Date]],"mmm")</f>
        <v>Dec</v>
      </c>
    </row>
    <row r="3202" spans="1:11" x14ac:dyDescent="0.35">
      <c r="A3202" s="7" t="s">
        <v>3232</v>
      </c>
      <c r="B3202" s="8">
        <v>45878</v>
      </c>
      <c r="C3202" s="9" t="s">
        <v>27</v>
      </c>
      <c r="D3202" s="9" t="s">
        <v>34</v>
      </c>
      <c r="E3202" s="9" t="s">
        <v>29</v>
      </c>
      <c r="F3202" s="9">
        <v>133</v>
      </c>
      <c r="G3202" s="9">
        <v>147.59</v>
      </c>
      <c r="H3202" s="9" t="s">
        <v>19</v>
      </c>
      <c r="I3202" s="9">
        <v>11</v>
      </c>
      <c r="J3202" s="10">
        <v>14.59</v>
      </c>
      <c r="K3202" s="9" t="str">
        <f>TEXT(Sales_of_Jordan[[#This Row],[Sale_Date]],"mmm")</f>
        <v>Aug</v>
      </c>
    </row>
    <row r="3203" spans="1:11" x14ac:dyDescent="0.35">
      <c r="A3203" s="7" t="s">
        <v>3233</v>
      </c>
      <c r="B3203" s="8">
        <v>45581</v>
      </c>
      <c r="C3203" s="9" t="s">
        <v>11</v>
      </c>
      <c r="D3203" s="9" t="s">
        <v>34</v>
      </c>
      <c r="E3203" s="9" t="s">
        <v>13</v>
      </c>
      <c r="F3203" s="9">
        <v>225</v>
      </c>
      <c r="G3203" s="9">
        <v>191.94</v>
      </c>
      <c r="H3203" s="9" t="s">
        <v>14</v>
      </c>
      <c r="I3203" s="9">
        <v>7</v>
      </c>
      <c r="J3203" s="10">
        <v>-33.06</v>
      </c>
      <c r="K3203" s="9" t="str">
        <f>TEXT(Sales_of_Jordan[[#This Row],[Sale_Date]],"mmm")</f>
        <v>Oct</v>
      </c>
    </row>
    <row r="3204" spans="1:11" x14ac:dyDescent="0.35">
      <c r="A3204" s="7" t="s">
        <v>3234</v>
      </c>
      <c r="B3204" s="8">
        <v>45404</v>
      </c>
      <c r="C3204" s="9" t="s">
        <v>11</v>
      </c>
      <c r="D3204" s="9" t="s">
        <v>53</v>
      </c>
      <c r="E3204" s="9" t="s">
        <v>18</v>
      </c>
      <c r="F3204" s="9">
        <v>229</v>
      </c>
      <c r="G3204" s="9">
        <v>662.14</v>
      </c>
      <c r="H3204" s="9" t="s">
        <v>32</v>
      </c>
      <c r="I3204" s="9">
        <v>18</v>
      </c>
      <c r="J3204" s="10">
        <v>433.14</v>
      </c>
      <c r="K3204" s="9" t="str">
        <f>TEXT(Sales_of_Jordan[[#This Row],[Sale_Date]],"mmm")</f>
        <v>Apr</v>
      </c>
    </row>
    <row r="3205" spans="1:11" x14ac:dyDescent="0.35">
      <c r="A3205" s="7" t="s">
        <v>3235</v>
      </c>
      <c r="B3205" s="8">
        <v>45369</v>
      </c>
      <c r="C3205" s="9" t="s">
        <v>11</v>
      </c>
      <c r="D3205" s="9" t="s">
        <v>12</v>
      </c>
      <c r="E3205" s="9" t="s">
        <v>13</v>
      </c>
      <c r="F3205" s="9">
        <v>226</v>
      </c>
      <c r="G3205" s="9">
        <v>198.01</v>
      </c>
      <c r="H3205" s="9" t="s">
        <v>23</v>
      </c>
      <c r="I3205" s="9">
        <v>41</v>
      </c>
      <c r="J3205" s="10">
        <v>-27.99</v>
      </c>
      <c r="K3205" s="9" t="str">
        <f>TEXT(Sales_of_Jordan[[#This Row],[Sale_Date]],"mmm")</f>
        <v>Mar</v>
      </c>
    </row>
    <row r="3206" spans="1:11" x14ac:dyDescent="0.35">
      <c r="A3206" s="7" t="s">
        <v>3236</v>
      </c>
      <c r="B3206" s="8">
        <v>44942</v>
      </c>
      <c r="C3206" s="9" t="s">
        <v>11</v>
      </c>
      <c r="D3206" s="9" t="s">
        <v>22</v>
      </c>
      <c r="E3206" s="9" t="s">
        <v>13</v>
      </c>
      <c r="F3206" s="9">
        <v>227</v>
      </c>
      <c r="G3206" s="9">
        <v>191.5</v>
      </c>
      <c r="H3206" s="9" t="s">
        <v>23</v>
      </c>
      <c r="I3206" s="9">
        <v>31</v>
      </c>
      <c r="J3206" s="10">
        <v>-35.5</v>
      </c>
      <c r="K3206" s="9" t="str">
        <f>TEXT(Sales_of_Jordan[[#This Row],[Sale_Date]],"mmm")</f>
        <v>Jan</v>
      </c>
    </row>
    <row r="3207" spans="1:11" x14ac:dyDescent="0.35">
      <c r="A3207" s="7" t="s">
        <v>3237</v>
      </c>
      <c r="B3207" s="8">
        <v>44960</v>
      </c>
      <c r="C3207" s="9" t="s">
        <v>31</v>
      </c>
      <c r="D3207" s="9" t="s">
        <v>34</v>
      </c>
      <c r="E3207" s="9" t="s">
        <v>29</v>
      </c>
      <c r="F3207" s="9">
        <v>207</v>
      </c>
      <c r="G3207" s="9">
        <v>308.43</v>
      </c>
      <c r="H3207" s="9" t="s">
        <v>32</v>
      </c>
      <c r="I3207" s="9">
        <v>26</v>
      </c>
      <c r="J3207" s="10">
        <v>101.43</v>
      </c>
      <c r="K3207" s="9" t="str">
        <f>TEXT(Sales_of_Jordan[[#This Row],[Sale_Date]],"mmm")</f>
        <v>Feb</v>
      </c>
    </row>
    <row r="3208" spans="1:11" x14ac:dyDescent="0.35">
      <c r="A3208" s="7" t="s">
        <v>3238</v>
      </c>
      <c r="B3208" s="8">
        <v>44959</v>
      </c>
      <c r="C3208" s="9" t="s">
        <v>21</v>
      </c>
      <c r="D3208" s="9" t="s">
        <v>12</v>
      </c>
      <c r="E3208" s="9" t="s">
        <v>29</v>
      </c>
      <c r="F3208" s="9">
        <v>219</v>
      </c>
      <c r="G3208" s="9">
        <v>226.32</v>
      </c>
      <c r="H3208" s="9" t="s">
        <v>25</v>
      </c>
      <c r="I3208" s="9">
        <v>44</v>
      </c>
      <c r="J3208" s="10">
        <v>7.3199999999999896</v>
      </c>
      <c r="K3208" s="9" t="str">
        <f>TEXT(Sales_of_Jordan[[#This Row],[Sale_Date]],"mmm")</f>
        <v>Feb</v>
      </c>
    </row>
    <row r="3209" spans="1:11" x14ac:dyDescent="0.35">
      <c r="A3209" s="7" t="s">
        <v>3239</v>
      </c>
      <c r="B3209" s="8">
        <v>45340</v>
      </c>
      <c r="C3209" s="9" t="s">
        <v>27</v>
      </c>
      <c r="D3209" s="9" t="s">
        <v>17</v>
      </c>
      <c r="E3209" s="9" t="s">
        <v>29</v>
      </c>
      <c r="F3209" s="9">
        <v>134</v>
      </c>
      <c r="G3209" s="9">
        <v>159.49</v>
      </c>
      <c r="H3209" s="9" t="s">
        <v>25</v>
      </c>
      <c r="I3209" s="9">
        <v>23</v>
      </c>
      <c r="J3209" s="10">
        <v>25.49</v>
      </c>
      <c r="K3209" s="9" t="str">
        <f>TEXT(Sales_of_Jordan[[#This Row],[Sale_Date]],"mmm")</f>
        <v>Feb</v>
      </c>
    </row>
    <row r="3210" spans="1:11" x14ac:dyDescent="0.35">
      <c r="A3210" s="7" t="s">
        <v>3240</v>
      </c>
      <c r="B3210" s="8">
        <v>45066</v>
      </c>
      <c r="C3210" s="9" t="s">
        <v>16</v>
      </c>
      <c r="D3210" s="9" t="s">
        <v>39</v>
      </c>
      <c r="E3210" s="9" t="s">
        <v>18</v>
      </c>
      <c r="F3210" s="9">
        <v>186</v>
      </c>
      <c r="G3210" s="9">
        <v>400.7</v>
      </c>
      <c r="H3210" s="9" t="s">
        <v>23</v>
      </c>
      <c r="I3210" s="9">
        <v>59</v>
      </c>
      <c r="J3210" s="10">
        <v>214.7</v>
      </c>
      <c r="K3210" s="9" t="str">
        <f>TEXT(Sales_of_Jordan[[#This Row],[Sale_Date]],"mmm")</f>
        <v>May</v>
      </c>
    </row>
    <row r="3211" spans="1:11" x14ac:dyDescent="0.35">
      <c r="A3211" s="7" t="s">
        <v>3241</v>
      </c>
      <c r="B3211" s="8">
        <v>45127</v>
      </c>
      <c r="C3211" s="9" t="s">
        <v>21</v>
      </c>
      <c r="D3211" s="9" t="s">
        <v>12</v>
      </c>
      <c r="E3211" s="9" t="s">
        <v>13</v>
      </c>
      <c r="F3211" s="9">
        <v>221</v>
      </c>
      <c r="G3211" s="9">
        <v>110.91</v>
      </c>
      <c r="H3211" s="9" t="s">
        <v>32</v>
      </c>
      <c r="I3211" s="9">
        <v>22</v>
      </c>
      <c r="J3211" s="10">
        <v>-110.09</v>
      </c>
      <c r="K3211" s="9" t="str">
        <f>TEXT(Sales_of_Jordan[[#This Row],[Sale_Date]],"mmm")</f>
        <v>Jul</v>
      </c>
    </row>
    <row r="3212" spans="1:11" x14ac:dyDescent="0.35">
      <c r="A3212" s="7" t="s">
        <v>3242</v>
      </c>
      <c r="B3212" s="8">
        <v>45027</v>
      </c>
      <c r="C3212" s="9" t="s">
        <v>31</v>
      </c>
      <c r="D3212" s="9" t="s">
        <v>34</v>
      </c>
      <c r="E3212" s="9" t="s">
        <v>29</v>
      </c>
      <c r="F3212" s="9">
        <v>203</v>
      </c>
      <c r="G3212" s="9">
        <v>230.23</v>
      </c>
      <c r="H3212" s="9" t="s">
        <v>19</v>
      </c>
      <c r="I3212" s="9">
        <v>11</v>
      </c>
      <c r="J3212" s="10">
        <v>27.229999999999901</v>
      </c>
      <c r="K3212" s="9" t="str">
        <f>TEXT(Sales_of_Jordan[[#This Row],[Sale_Date]],"mmm")</f>
        <v>Apr</v>
      </c>
    </row>
    <row r="3213" spans="1:11" x14ac:dyDescent="0.35">
      <c r="A3213" s="7" t="s">
        <v>3243</v>
      </c>
      <c r="B3213" s="8">
        <v>45410</v>
      </c>
      <c r="C3213" s="9" t="s">
        <v>16</v>
      </c>
      <c r="D3213" s="9" t="s">
        <v>46</v>
      </c>
      <c r="E3213" s="9" t="s">
        <v>18</v>
      </c>
      <c r="F3213" s="9">
        <v>187</v>
      </c>
      <c r="G3213" s="9">
        <v>283.42</v>
      </c>
      <c r="H3213" s="9" t="s">
        <v>32</v>
      </c>
      <c r="I3213" s="9">
        <v>53</v>
      </c>
      <c r="J3213" s="10">
        <v>96.42</v>
      </c>
      <c r="K3213" s="9" t="str">
        <f>TEXT(Sales_of_Jordan[[#This Row],[Sale_Date]],"mmm")</f>
        <v>Apr</v>
      </c>
    </row>
    <row r="3214" spans="1:11" x14ac:dyDescent="0.35">
      <c r="A3214" s="7" t="s">
        <v>3244</v>
      </c>
      <c r="B3214" s="8">
        <v>45127</v>
      </c>
      <c r="C3214" s="9" t="s">
        <v>27</v>
      </c>
      <c r="D3214" s="9" t="s">
        <v>55</v>
      </c>
      <c r="E3214" s="9" t="s">
        <v>29</v>
      </c>
      <c r="F3214" s="9">
        <v>136</v>
      </c>
      <c r="G3214" s="9">
        <v>143.54</v>
      </c>
      <c r="H3214" s="9" t="s">
        <v>25</v>
      </c>
      <c r="I3214" s="9">
        <v>59</v>
      </c>
      <c r="J3214" s="10">
        <v>7.5399999999999903</v>
      </c>
      <c r="K3214" s="9" t="str">
        <f>TEXT(Sales_of_Jordan[[#This Row],[Sale_Date]],"mmm")</f>
        <v>Jul</v>
      </c>
    </row>
    <row r="3215" spans="1:11" x14ac:dyDescent="0.35">
      <c r="A3215" s="7" t="s">
        <v>3245</v>
      </c>
      <c r="B3215" s="8">
        <v>45061</v>
      </c>
      <c r="C3215" s="9" t="s">
        <v>31</v>
      </c>
      <c r="D3215" s="9" t="s">
        <v>17</v>
      </c>
      <c r="E3215" s="9" t="s">
        <v>18</v>
      </c>
      <c r="F3215" s="9">
        <v>206</v>
      </c>
      <c r="G3215" s="9">
        <v>362.53</v>
      </c>
      <c r="H3215" s="9" t="s">
        <v>32</v>
      </c>
      <c r="I3215" s="9">
        <v>6</v>
      </c>
      <c r="J3215" s="10">
        <v>156.52999999999901</v>
      </c>
      <c r="K3215" s="9" t="str">
        <f>TEXT(Sales_of_Jordan[[#This Row],[Sale_Date]],"mmm")</f>
        <v>May</v>
      </c>
    </row>
    <row r="3216" spans="1:11" x14ac:dyDescent="0.35">
      <c r="A3216" s="7" t="s">
        <v>3246</v>
      </c>
      <c r="B3216" s="8">
        <v>45155</v>
      </c>
      <c r="C3216" s="9" t="s">
        <v>11</v>
      </c>
      <c r="D3216" s="9" t="s">
        <v>39</v>
      </c>
      <c r="E3216" s="9" t="s">
        <v>13</v>
      </c>
      <c r="F3216" s="9">
        <v>226</v>
      </c>
      <c r="G3216" s="9">
        <v>150.74</v>
      </c>
      <c r="H3216" s="9" t="s">
        <v>23</v>
      </c>
      <c r="I3216" s="9">
        <v>13</v>
      </c>
      <c r="J3216" s="10">
        <v>-75.259999999999906</v>
      </c>
      <c r="K3216" s="9" t="str">
        <f>TEXT(Sales_of_Jordan[[#This Row],[Sale_Date]],"mmm")</f>
        <v>Aug</v>
      </c>
    </row>
    <row r="3217" spans="1:11" x14ac:dyDescent="0.35">
      <c r="A3217" s="7" t="s">
        <v>3247</v>
      </c>
      <c r="B3217" s="8">
        <v>45559</v>
      </c>
      <c r="C3217" s="9" t="s">
        <v>31</v>
      </c>
      <c r="D3217" s="9" t="s">
        <v>34</v>
      </c>
      <c r="E3217" s="9" t="s">
        <v>18</v>
      </c>
      <c r="F3217" s="9">
        <v>206</v>
      </c>
      <c r="G3217" s="9">
        <v>317.33999999999997</v>
      </c>
      <c r="H3217" s="9" t="s">
        <v>19</v>
      </c>
      <c r="I3217" s="9">
        <v>7</v>
      </c>
      <c r="J3217" s="10">
        <v>111.33999999999899</v>
      </c>
      <c r="K3217" s="9" t="str">
        <f>TEXT(Sales_of_Jordan[[#This Row],[Sale_Date]],"mmm")</f>
        <v>Sep</v>
      </c>
    </row>
    <row r="3218" spans="1:11" x14ac:dyDescent="0.35">
      <c r="A3218" s="7" t="s">
        <v>3248</v>
      </c>
      <c r="B3218" s="8">
        <v>44957</v>
      </c>
      <c r="C3218" s="9" t="s">
        <v>11</v>
      </c>
      <c r="D3218" s="9" t="s">
        <v>55</v>
      </c>
      <c r="E3218" s="9" t="s">
        <v>18</v>
      </c>
      <c r="F3218" s="9">
        <v>230</v>
      </c>
      <c r="G3218" s="9">
        <v>804.58</v>
      </c>
      <c r="H3218" s="9" t="s">
        <v>14</v>
      </c>
      <c r="I3218" s="9">
        <v>14</v>
      </c>
      <c r="J3218" s="10">
        <v>574.58000000000004</v>
      </c>
      <c r="K3218" s="9" t="str">
        <f>TEXT(Sales_of_Jordan[[#This Row],[Sale_Date]],"mmm")</f>
        <v>Jan</v>
      </c>
    </row>
    <row r="3219" spans="1:11" x14ac:dyDescent="0.35">
      <c r="A3219" s="7" t="s">
        <v>3249</v>
      </c>
      <c r="B3219" s="8">
        <v>44931</v>
      </c>
      <c r="C3219" s="9" t="s">
        <v>16</v>
      </c>
      <c r="D3219" s="9" t="s">
        <v>36</v>
      </c>
      <c r="E3219" s="9" t="s">
        <v>18</v>
      </c>
      <c r="F3219" s="9">
        <v>180</v>
      </c>
      <c r="G3219" s="9">
        <v>517.11</v>
      </c>
      <c r="H3219" s="9" t="s">
        <v>14</v>
      </c>
      <c r="I3219" s="9">
        <v>9</v>
      </c>
      <c r="J3219" s="10">
        <v>337.11</v>
      </c>
      <c r="K3219" s="9" t="str">
        <f>TEXT(Sales_of_Jordan[[#This Row],[Sale_Date]],"mmm")</f>
        <v>Jan</v>
      </c>
    </row>
    <row r="3220" spans="1:11" x14ac:dyDescent="0.35">
      <c r="A3220" s="7" t="s">
        <v>3250</v>
      </c>
      <c r="B3220" s="8">
        <v>44944</v>
      </c>
      <c r="C3220" s="9" t="s">
        <v>31</v>
      </c>
      <c r="D3220" s="9" t="s">
        <v>36</v>
      </c>
      <c r="E3220" s="9" t="s">
        <v>29</v>
      </c>
      <c r="F3220" s="9">
        <v>208</v>
      </c>
      <c r="G3220" s="9">
        <v>232.49</v>
      </c>
      <c r="H3220" s="9" t="s">
        <v>32</v>
      </c>
      <c r="I3220" s="9">
        <v>26</v>
      </c>
      <c r="J3220" s="10">
        <v>24.49</v>
      </c>
      <c r="K3220" s="9" t="str">
        <f>TEXT(Sales_of_Jordan[[#This Row],[Sale_Date]],"mmm")</f>
        <v>Jan</v>
      </c>
    </row>
    <row r="3221" spans="1:11" x14ac:dyDescent="0.35">
      <c r="A3221" s="7" t="s">
        <v>3251</v>
      </c>
      <c r="B3221" s="8">
        <v>45771</v>
      </c>
      <c r="C3221" s="9" t="s">
        <v>31</v>
      </c>
      <c r="D3221" s="9" t="s">
        <v>53</v>
      </c>
      <c r="E3221" s="9" t="s">
        <v>18</v>
      </c>
      <c r="F3221" s="9">
        <v>202</v>
      </c>
      <c r="G3221" s="9">
        <v>337.09</v>
      </c>
      <c r="H3221" s="9" t="s">
        <v>32</v>
      </c>
      <c r="I3221" s="9">
        <v>8</v>
      </c>
      <c r="J3221" s="10">
        <v>135.08999999999901</v>
      </c>
      <c r="K3221" s="9" t="str">
        <f>TEXT(Sales_of_Jordan[[#This Row],[Sale_Date]],"mmm")</f>
        <v>Apr</v>
      </c>
    </row>
    <row r="3222" spans="1:11" x14ac:dyDescent="0.35">
      <c r="A3222" s="7" t="s">
        <v>3252</v>
      </c>
      <c r="B3222" s="8">
        <v>45293</v>
      </c>
      <c r="C3222" s="9" t="s">
        <v>16</v>
      </c>
      <c r="D3222" s="9" t="s">
        <v>39</v>
      </c>
      <c r="E3222" s="9" t="s">
        <v>29</v>
      </c>
      <c r="F3222" s="9">
        <v>176</v>
      </c>
      <c r="G3222" s="9">
        <v>180.93</v>
      </c>
      <c r="H3222" s="9" t="s">
        <v>32</v>
      </c>
      <c r="I3222" s="9">
        <v>41</v>
      </c>
      <c r="J3222" s="10">
        <v>4.93</v>
      </c>
      <c r="K3222" s="9" t="str">
        <f>TEXT(Sales_of_Jordan[[#This Row],[Sale_Date]],"mmm")</f>
        <v>Jan</v>
      </c>
    </row>
    <row r="3223" spans="1:11" x14ac:dyDescent="0.35">
      <c r="A3223" s="7" t="s">
        <v>3253</v>
      </c>
      <c r="B3223" s="8">
        <v>45485</v>
      </c>
      <c r="C3223" s="9" t="s">
        <v>21</v>
      </c>
      <c r="D3223" s="9" t="s">
        <v>22</v>
      </c>
      <c r="E3223" s="9" t="s">
        <v>13</v>
      </c>
      <c r="F3223" s="9">
        <v>224</v>
      </c>
      <c r="G3223" s="9">
        <v>182.91</v>
      </c>
      <c r="H3223" s="9" t="s">
        <v>23</v>
      </c>
      <c r="I3223" s="9">
        <v>44</v>
      </c>
      <c r="J3223" s="10">
        <v>-41.09</v>
      </c>
      <c r="K3223" s="9" t="str">
        <f>TEXT(Sales_of_Jordan[[#This Row],[Sale_Date]],"mmm")</f>
        <v>Jul</v>
      </c>
    </row>
    <row r="3224" spans="1:11" x14ac:dyDescent="0.35">
      <c r="A3224" s="7" t="s">
        <v>3254</v>
      </c>
      <c r="B3224" s="8">
        <v>45148</v>
      </c>
      <c r="C3224" s="9" t="s">
        <v>16</v>
      </c>
      <c r="D3224" s="9" t="s">
        <v>46</v>
      </c>
      <c r="E3224" s="9" t="s">
        <v>13</v>
      </c>
      <c r="F3224" s="9">
        <v>183</v>
      </c>
      <c r="G3224" s="9">
        <v>134.54</v>
      </c>
      <c r="H3224" s="9" t="s">
        <v>23</v>
      </c>
      <c r="I3224" s="9">
        <v>40</v>
      </c>
      <c r="J3224" s="10">
        <v>-48.46</v>
      </c>
      <c r="K3224" s="9" t="str">
        <f>TEXT(Sales_of_Jordan[[#This Row],[Sale_Date]],"mmm")</f>
        <v>Aug</v>
      </c>
    </row>
    <row r="3225" spans="1:11" x14ac:dyDescent="0.35">
      <c r="A3225" s="7" t="s">
        <v>3255</v>
      </c>
      <c r="B3225" s="8">
        <v>45471</v>
      </c>
      <c r="C3225" s="9" t="s">
        <v>27</v>
      </c>
      <c r="D3225" s="9" t="s">
        <v>34</v>
      </c>
      <c r="E3225" s="9" t="s">
        <v>13</v>
      </c>
      <c r="F3225" s="9">
        <v>135</v>
      </c>
      <c r="G3225" s="9">
        <v>115.95</v>
      </c>
      <c r="H3225" s="9" t="s">
        <v>23</v>
      </c>
      <c r="I3225" s="9">
        <v>48</v>
      </c>
      <c r="J3225" s="10">
        <v>-19.049999999999901</v>
      </c>
      <c r="K3225" s="9" t="str">
        <f>TEXT(Sales_of_Jordan[[#This Row],[Sale_Date]],"mmm")</f>
        <v>Jun</v>
      </c>
    </row>
    <row r="3226" spans="1:11" x14ac:dyDescent="0.35">
      <c r="A3226" s="7" t="s">
        <v>3256</v>
      </c>
      <c r="B3226" s="8">
        <v>45634</v>
      </c>
      <c r="C3226" s="9" t="s">
        <v>31</v>
      </c>
      <c r="D3226" s="9" t="s">
        <v>34</v>
      </c>
      <c r="E3226" s="9" t="s">
        <v>29</v>
      </c>
      <c r="F3226" s="9">
        <v>205</v>
      </c>
      <c r="G3226" s="9">
        <v>226.57</v>
      </c>
      <c r="H3226" s="9" t="s">
        <v>19</v>
      </c>
      <c r="I3226" s="9">
        <v>12</v>
      </c>
      <c r="J3226" s="10">
        <v>21.569999999999901</v>
      </c>
      <c r="K3226" s="9" t="str">
        <f>TEXT(Sales_of_Jordan[[#This Row],[Sale_Date]],"mmm")</f>
        <v>Dec</v>
      </c>
    </row>
    <row r="3227" spans="1:11" x14ac:dyDescent="0.35">
      <c r="A3227" s="7" t="s">
        <v>3257</v>
      </c>
      <c r="B3227" s="8">
        <v>45035</v>
      </c>
      <c r="C3227" s="9" t="s">
        <v>16</v>
      </c>
      <c r="D3227" s="9" t="s">
        <v>36</v>
      </c>
      <c r="E3227" s="9" t="s">
        <v>18</v>
      </c>
      <c r="F3227" s="9">
        <v>173</v>
      </c>
      <c r="G3227" s="9">
        <v>310.88</v>
      </c>
      <c r="H3227" s="9" t="s">
        <v>19</v>
      </c>
      <c r="I3227" s="9">
        <v>14</v>
      </c>
      <c r="J3227" s="10">
        <v>137.88</v>
      </c>
      <c r="K3227" s="9" t="str">
        <f>TEXT(Sales_of_Jordan[[#This Row],[Sale_Date]],"mmm")</f>
        <v>Apr</v>
      </c>
    </row>
    <row r="3228" spans="1:11" x14ac:dyDescent="0.35">
      <c r="A3228" s="7" t="s">
        <v>3258</v>
      </c>
      <c r="B3228" s="8">
        <v>45491</v>
      </c>
      <c r="C3228" s="9" t="s">
        <v>21</v>
      </c>
      <c r="D3228" s="9" t="s">
        <v>22</v>
      </c>
      <c r="E3228" s="9" t="s">
        <v>18</v>
      </c>
      <c r="F3228" s="9">
        <v>215</v>
      </c>
      <c r="G3228" s="9">
        <v>358.56</v>
      </c>
      <c r="H3228" s="9" t="s">
        <v>25</v>
      </c>
      <c r="I3228" s="9">
        <v>28</v>
      </c>
      <c r="J3228" s="10">
        <v>143.56</v>
      </c>
      <c r="K3228" s="9" t="str">
        <f>TEXT(Sales_of_Jordan[[#This Row],[Sale_Date]],"mmm")</f>
        <v>Jul</v>
      </c>
    </row>
    <row r="3229" spans="1:11" x14ac:dyDescent="0.35">
      <c r="A3229" s="7" t="s">
        <v>3259</v>
      </c>
      <c r="B3229" s="8">
        <v>45880</v>
      </c>
      <c r="C3229" s="9" t="s">
        <v>31</v>
      </c>
      <c r="D3229" s="9" t="s">
        <v>46</v>
      </c>
      <c r="E3229" s="9" t="s">
        <v>29</v>
      </c>
      <c r="F3229" s="9">
        <v>205</v>
      </c>
      <c r="G3229" s="9">
        <v>216.51</v>
      </c>
      <c r="H3229" s="9" t="s">
        <v>32</v>
      </c>
      <c r="I3229" s="9">
        <v>46</v>
      </c>
      <c r="J3229" s="10">
        <v>11.5099999999999</v>
      </c>
      <c r="K3229" s="9" t="str">
        <f>TEXT(Sales_of_Jordan[[#This Row],[Sale_Date]],"mmm")</f>
        <v>Aug</v>
      </c>
    </row>
    <row r="3230" spans="1:11" x14ac:dyDescent="0.35">
      <c r="A3230" s="7" t="s">
        <v>3260</v>
      </c>
      <c r="B3230" s="8">
        <v>44945</v>
      </c>
      <c r="C3230" s="9" t="s">
        <v>27</v>
      </c>
      <c r="D3230" s="9" t="s">
        <v>22</v>
      </c>
      <c r="E3230" s="9" t="s">
        <v>18</v>
      </c>
      <c r="F3230" s="9">
        <v>126</v>
      </c>
      <c r="G3230" s="9">
        <v>367.77</v>
      </c>
      <c r="H3230" s="9" t="s">
        <v>32</v>
      </c>
      <c r="I3230" s="9">
        <v>39</v>
      </c>
      <c r="J3230" s="10">
        <v>241.76999999999899</v>
      </c>
      <c r="K3230" s="9" t="str">
        <f>TEXT(Sales_of_Jordan[[#This Row],[Sale_Date]],"mmm")</f>
        <v>Jan</v>
      </c>
    </row>
    <row r="3231" spans="1:11" x14ac:dyDescent="0.35">
      <c r="A3231" s="7" t="s">
        <v>3261</v>
      </c>
      <c r="B3231" s="8">
        <v>45867</v>
      </c>
      <c r="C3231" s="9" t="s">
        <v>16</v>
      </c>
      <c r="D3231" s="9" t="s">
        <v>22</v>
      </c>
      <c r="E3231" s="9" t="s">
        <v>18</v>
      </c>
      <c r="F3231" s="9">
        <v>176</v>
      </c>
      <c r="G3231" s="9">
        <v>350.47</v>
      </c>
      <c r="H3231" s="9" t="s">
        <v>19</v>
      </c>
      <c r="I3231" s="9">
        <v>8</v>
      </c>
      <c r="J3231" s="10">
        <v>174.47</v>
      </c>
      <c r="K3231" s="9" t="str">
        <f>TEXT(Sales_of_Jordan[[#This Row],[Sale_Date]],"mmm")</f>
        <v>Jul</v>
      </c>
    </row>
    <row r="3232" spans="1:11" x14ac:dyDescent="0.35">
      <c r="A3232" s="7" t="s">
        <v>3262</v>
      </c>
      <c r="B3232" s="8">
        <v>45594</v>
      </c>
      <c r="C3232" s="9" t="s">
        <v>27</v>
      </c>
      <c r="D3232" s="9" t="s">
        <v>34</v>
      </c>
      <c r="E3232" s="9" t="s">
        <v>13</v>
      </c>
      <c r="F3232" s="9">
        <v>119</v>
      </c>
      <c r="G3232" s="9">
        <v>74.84</v>
      </c>
      <c r="H3232" s="9" t="s">
        <v>19</v>
      </c>
      <c r="I3232" s="9">
        <v>3</v>
      </c>
      <c r="J3232" s="10">
        <v>-44.16</v>
      </c>
      <c r="K3232" s="9" t="str">
        <f>TEXT(Sales_of_Jordan[[#This Row],[Sale_Date]],"mmm")</f>
        <v>Oct</v>
      </c>
    </row>
    <row r="3233" spans="1:11" x14ac:dyDescent="0.35">
      <c r="A3233" s="7" t="s">
        <v>3263</v>
      </c>
      <c r="B3233" s="8">
        <v>45012</v>
      </c>
      <c r="C3233" s="9" t="s">
        <v>31</v>
      </c>
      <c r="D3233" s="9" t="s">
        <v>53</v>
      </c>
      <c r="E3233" s="9" t="s">
        <v>18</v>
      </c>
      <c r="F3233" s="9">
        <v>202</v>
      </c>
      <c r="G3233" s="9">
        <v>614.37</v>
      </c>
      <c r="H3233" s="9" t="s">
        <v>32</v>
      </c>
      <c r="I3233" s="9">
        <v>11</v>
      </c>
      <c r="J3233" s="10">
        <v>412.37</v>
      </c>
      <c r="K3233" s="9" t="str">
        <f>TEXT(Sales_of_Jordan[[#This Row],[Sale_Date]],"mmm")</f>
        <v>Mar</v>
      </c>
    </row>
    <row r="3234" spans="1:11" x14ac:dyDescent="0.35">
      <c r="A3234" s="7" t="s">
        <v>3264</v>
      </c>
      <c r="B3234" s="8">
        <v>45029</v>
      </c>
      <c r="C3234" s="9" t="s">
        <v>21</v>
      </c>
      <c r="D3234" s="9" t="s">
        <v>55</v>
      </c>
      <c r="E3234" s="9" t="s">
        <v>13</v>
      </c>
      <c r="F3234" s="9">
        <v>217</v>
      </c>
      <c r="G3234" s="9">
        <v>129.34</v>
      </c>
      <c r="H3234" s="9" t="s">
        <v>19</v>
      </c>
      <c r="I3234" s="9">
        <v>4</v>
      </c>
      <c r="J3234" s="10">
        <v>-87.66</v>
      </c>
      <c r="K3234" s="9" t="str">
        <f>TEXT(Sales_of_Jordan[[#This Row],[Sale_Date]],"mmm")</f>
        <v>Apr</v>
      </c>
    </row>
    <row r="3235" spans="1:11" x14ac:dyDescent="0.35">
      <c r="A3235" s="7" t="s">
        <v>3265</v>
      </c>
      <c r="B3235" s="8">
        <v>45787</v>
      </c>
      <c r="C3235" s="9" t="s">
        <v>16</v>
      </c>
      <c r="D3235" s="9" t="s">
        <v>53</v>
      </c>
      <c r="E3235" s="9" t="s">
        <v>29</v>
      </c>
      <c r="F3235" s="9">
        <v>186</v>
      </c>
      <c r="G3235" s="9">
        <v>235.14</v>
      </c>
      <c r="H3235" s="9" t="s">
        <v>32</v>
      </c>
      <c r="I3235" s="9">
        <v>58</v>
      </c>
      <c r="J3235" s="10">
        <v>49.139999999999901</v>
      </c>
      <c r="K3235" s="9" t="str">
        <f>TEXT(Sales_of_Jordan[[#This Row],[Sale_Date]],"mmm")</f>
        <v>May</v>
      </c>
    </row>
    <row r="3236" spans="1:11" x14ac:dyDescent="0.35">
      <c r="A3236" s="7" t="s">
        <v>3266</v>
      </c>
      <c r="B3236" s="8">
        <v>45520</v>
      </c>
      <c r="C3236" s="9" t="s">
        <v>31</v>
      </c>
      <c r="D3236" s="9" t="s">
        <v>17</v>
      </c>
      <c r="E3236" s="9" t="s">
        <v>13</v>
      </c>
      <c r="F3236" s="9">
        <v>200</v>
      </c>
      <c r="G3236" s="9">
        <v>113.27</v>
      </c>
      <c r="H3236" s="9" t="s">
        <v>19</v>
      </c>
      <c r="I3236" s="9">
        <v>10</v>
      </c>
      <c r="J3236" s="10">
        <v>-86.73</v>
      </c>
      <c r="K3236" s="9" t="str">
        <f>TEXT(Sales_of_Jordan[[#This Row],[Sale_Date]],"mmm")</f>
        <v>Aug</v>
      </c>
    </row>
    <row r="3237" spans="1:11" x14ac:dyDescent="0.35">
      <c r="A3237" s="7" t="s">
        <v>3267</v>
      </c>
      <c r="B3237" s="8">
        <v>45840</v>
      </c>
      <c r="C3237" s="9" t="s">
        <v>11</v>
      </c>
      <c r="D3237" s="9" t="s">
        <v>53</v>
      </c>
      <c r="E3237" s="9" t="s">
        <v>18</v>
      </c>
      <c r="F3237" s="9">
        <v>226</v>
      </c>
      <c r="G3237" s="9">
        <v>675.44</v>
      </c>
      <c r="H3237" s="9" t="s">
        <v>23</v>
      </c>
      <c r="I3237" s="9">
        <v>28</v>
      </c>
      <c r="J3237" s="10">
        <v>449.44</v>
      </c>
      <c r="K3237" s="9" t="str">
        <f>TEXT(Sales_of_Jordan[[#This Row],[Sale_Date]],"mmm")</f>
        <v>Jul</v>
      </c>
    </row>
    <row r="3238" spans="1:11" x14ac:dyDescent="0.35">
      <c r="A3238" s="7" t="s">
        <v>3268</v>
      </c>
      <c r="B3238" s="8">
        <v>45334</v>
      </c>
      <c r="C3238" s="9" t="s">
        <v>11</v>
      </c>
      <c r="D3238" s="9" t="s">
        <v>12</v>
      </c>
      <c r="E3238" s="9" t="s">
        <v>29</v>
      </c>
      <c r="F3238" s="9">
        <v>227</v>
      </c>
      <c r="G3238" s="9">
        <v>232.01</v>
      </c>
      <c r="H3238" s="9" t="s">
        <v>23</v>
      </c>
      <c r="I3238" s="9">
        <v>37</v>
      </c>
      <c r="J3238" s="10">
        <v>5.00999999999999</v>
      </c>
      <c r="K3238" s="9" t="str">
        <f>TEXT(Sales_of_Jordan[[#This Row],[Sale_Date]],"mmm")</f>
        <v>Feb</v>
      </c>
    </row>
    <row r="3239" spans="1:11" x14ac:dyDescent="0.35">
      <c r="A3239" s="7" t="s">
        <v>3269</v>
      </c>
      <c r="B3239" s="8">
        <v>45195</v>
      </c>
      <c r="C3239" s="9" t="s">
        <v>31</v>
      </c>
      <c r="D3239" s="9" t="s">
        <v>53</v>
      </c>
      <c r="E3239" s="9" t="s">
        <v>13</v>
      </c>
      <c r="F3239" s="9">
        <v>205</v>
      </c>
      <c r="G3239" s="9">
        <v>119.88</v>
      </c>
      <c r="H3239" s="9" t="s">
        <v>14</v>
      </c>
      <c r="I3239" s="9">
        <v>12</v>
      </c>
      <c r="J3239" s="10">
        <v>-85.12</v>
      </c>
      <c r="K3239" s="9" t="str">
        <f>TEXT(Sales_of_Jordan[[#This Row],[Sale_Date]],"mmm")</f>
        <v>Sep</v>
      </c>
    </row>
    <row r="3240" spans="1:11" x14ac:dyDescent="0.35">
      <c r="A3240" s="7" t="s">
        <v>3270</v>
      </c>
      <c r="B3240" s="8">
        <v>45248</v>
      </c>
      <c r="C3240" s="9" t="s">
        <v>16</v>
      </c>
      <c r="D3240" s="9" t="s">
        <v>53</v>
      </c>
      <c r="E3240" s="9" t="s">
        <v>13</v>
      </c>
      <c r="F3240" s="9">
        <v>177</v>
      </c>
      <c r="G3240" s="9">
        <v>100.88</v>
      </c>
      <c r="H3240" s="9" t="s">
        <v>25</v>
      </c>
      <c r="I3240" s="9">
        <v>40</v>
      </c>
      <c r="J3240" s="10">
        <v>-76.12</v>
      </c>
      <c r="K3240" s="9" t="str">
        <f>TEXT(Sales_of_Jordan[[#This Row],[Sale_Date]],"mmm")</f>
        <v>Nov</v>
      </c>
    </row>
    <row r="3241" spans="1:11" x14ac:dyDescent="0.35">
      <c r="A3241" s="7" t="s">
        <v>3271</v>
      </c>
      <c r="B3241" s="8">
        <v>45619</v>
      </c>
      <c r="C3241" s="9" t="s">
        <v>16</v>
      </c>
      <c r="D3241" s="9" t="s">
        <v>39</v>
      </c>
      <c r="E3241" s="9" t="s">
        <v>18</v>
      </c>
      <c r="F3241" s="9">
        <v>173</v>
      </c>
      <c r="G3241" s="9">
        <v>372.22</v>
      </c>
      <c r="H3241" s="9" t="s">
        <v>32</v>
      </c>
      <c r="I3241" s="9">
        <v>49</v>
      </c>
      <c r="J3241" s="10">
        <v>199.22</v>
      </c>
      <c r="K3241" s="9" t="str">
        <f>TEXT(Sales_of_Jordan[[#This Row],[Sale_Date]],"mmm")</f>
        <v>Nov</v>
      </c>
    </row>
    <row r="3242" spans="1:11" x14ac:dyDescent="0.35">
      <c r="A3242" s="7" t="s">
        <v>3272</v>
      </c>
      <c r="B3242" s="8">
        <v>45718</v>
      </c>
      <c r="C3242" s="9" t="s">
        <v>27</v>
      </c>
      <c r="D3242" s="9" t="s">
        <v>55</v>
      </c>
      <c r="E3242" s="9" t="s">
        <v>18</v>
      </c>
      <c r="F3242" s="9">
        <v>126</v>
      </c>
      <c r="G3242" s="9">
        <v>231.04</v>
      </c>
      <c r="H3242" s="9" t="s">
        <v>14</v>
      </c>
      <c r="I3242" s="9">
        <v>6</v>
      </c>
      <c r="J3242" s="10">
        <v>105.039999999999</v>
      </c>
      <c r="K3242" s="9" t="str">
        <f>TEXT(Sales_of_Jordan[[#This Row],[Sale_Date]],"mmm")</f>
        <v>Mar</v>
      </c>
    </row>
    <row r="3243" spans="1:11" x14ac:dyDescent="0.35">
      <c r="A3243" s="7" t="s">
        <v>3273</v>
      </c>
      <c r="B3243" s="8">
        <v>45525</v>
      </c>
      <c r="C3243" s="9" t="s">
        <v>31</v>
      </c>
      <c r="D3243" s="9" t="s">
        <v>34</v>
      </c>
      <c r="E3243" s="9" t="s">
        <v>18</v>
      </c>
      <c r="F3243" s="9">
        <v>210</v>
      </c>
      <c r="G3243" s="9">
        <v>618.94000000000005</v>
      </c>
      <c r="H3243" s="9" t="s">
        <v>14</v>
      </c>
      <c r="I3243" s="9">
        <v>1</v>
      </c>
      <c r="J3243" s="10">
        <v>408.94</v>
      </c>
      <c r="K3243" s="9" t="str">
        <f>TEXT(Sales_of_Jordan[[#This Row],[Sale_Date]],"mmm")</f>
        <v>Aug</v>
      </c>
    </row>
    <row r="3244" spans="1:11" x14ac:dyDescent="0.35">
      <c r="A3244" s="7" t="s">
        <v>3274</v>
      </c>
      <c r="B3244" s="8">
        <v>44999</v>
      </c>
      <c r="C3244" s="9" t="s">
        <v>31</v>
      </c>
      <c r="D3244" s="9" t="s">
        <v>12</v>
      </c>
      <c r="E3244" s="9" t="s">
        <v>13</v>
      </c>
      <c r="F3244" s="9">
        <v>203</v>
      </c>
      <c r="G3244" s="9">
        <v>161.72999999999999</v>
      </c>
      <c r="H3244" s="9" t="s">
        <v>25</v>
      </c>
      <c r="I3244" s="9">
        <v>59</v>
      </c>
      <c r="J3244" s="10">
        <v>-41.27</v>
      </c>
      <c r="K3244" s="9" t="str">
        <f>TEXT(Sales_of_Jordan[[#This Row],[Sale_Date]],"mmm")</f>
        <v>Mar</v>
      </c>
    </row>
    <row r="3245" spans="1:11" x14ac:dyDescent="0.35">
      <c r="A3245" s="7" t="s">
        <v>3275</v>
      </c>
      <c r="B3245" s="8">
        <v>45521</v>
      </c>
      <c r="C3245" s="9" t="s">
        <v>16</v>
      </c>
      <c r="D3245" s="9" t="s">
        <v>39</v>
      </c>
      <c r="E3245" s="9" t="s">
        <v>18</v>
      </c>
      <c r="F3245" s="9">
        <v>187</v>
      </c>
      <c r="G3245" s="9">
        <v>258.89999999999998</v>
      </c>
      <c r="H3245" s="9" t="s">
        <v>19</v>
      </c>
      <c r="I3245" s="9">
        <v>3</v>
      </c>
      <c r="J3245" s="10">
        <v>71.899999999999906</v>
      </c>
      <c r="K3245" s="9" t="str">
        <f>TEXT(Sales_of_Jordan[[#This Row],[Sale_Date]],"mmm")</f>
        <v>Aug</v>
      </c>
    </row>
    <row r="3246" spans="1:11" x14ac:dyDescent="0.35">
      <c r="A3246" s="7" t="s">
        <v>3276</v>
      </c>
      <c r="B3246" s="8">
        <v>45601</v>
      </c>
      <c r="C3246" s="9" t="s">
        <v>31</v>
      </c>
      <c r="D3246" s="9" t="s">
        <v>39</v>
      </c>
      <c r="E3246" s="9" t="s">
        <v>13</v>
      </c>
      <c r="F3246" s="9">
        <v>206</v>
      </c>
      <c r="G3246" s="9">
        <v>134.07</v>
      </c>
      <c r="H3246" s="9" t="s">
        <v>14</v>
      </c>
      <c r="I3246" s="9">
        <v>5</v>
      </c>
      <c r="J3246" s="10">
        <v>-71.930000000000007</v>
      </c>
      <c r="K3246" s="9" t="str">
        <f>TEXT(Sales_of_Jordan[[#This Row],[Sale_Date]],"mmm")</f>
        <v>Nov</v>
      </c>
    </row>
    <row r="3247" spans="1:11" x14ac:dyDescent="0.35">
      <c r="A3247" s="7" t="s">
        <v>3277</v>
      </c>
      <c r="B3247" s="8">
        <v>45005</v>
      </c>
      <c r="C3247" s="9" t="s">
        <v>11</v>
      </c>
      <c r="D3247" s="9" t="s">
        <v>53</v>
      </c>
      <c r="E3247" s="9" t="s">
        <v>13</v>
      </c>
      <c r="F3247" s="9">
        <v>230</v>
      </c>
      <c r="G3247" s="9">
        <v>202.69</v>
      </c>
      <c r="H3247" s="9" t="s">
        <v>19</v>
      </c>
      <c r="I3247" s="9">
        <v>6</v>
      </c>
      <c r="J3247" s="10">
        <v>-27.31</v>
      </c>
      <c r="K3247" s="9" t="str">
        <f>TEXT(Sales_of_Jordan[[#This Row],[Sale_Date]],"mmm")</f>
        <v>Mar</v>
      </c>
    </row>
    <row r="3248" spans="1:11" x14ac:dyDescent="0.35">
      <c r="A3248" s="7" t="s">
        <v>3278</v>
      </c>
      <c r="B3248" s="8">
        <v>45333</v>
      </c>
      <c r="C3248" s="9" t="s">
        <v>21</v>
      </c>
      <c r="D3248" s="9" t="s">
        <v>55</v>
      </c>
      <c r="E3248" s="9" t="s">
        <v>13</v>
      </c>
      <c r="F3248" s="9">
        <v>221</v>
      </c>
      <c r="G3248" s="9">
        <v>180.7</v>
      </c>
      <c r="H3248" s="9" t="s">
        <v>14</v>
      </c>
      <c r="I3248" s="9">
        <v>12</v>
      </c>
      <c r="J3248" s="10">
        <v>-40.299999999999997</v>
      </c>
      <c r="K3248" s="9" t="str">
        <f>TEXT(Sales_of_Jordan[[#This Row],[Sale_Date]],"mmm")</f>
        <v>Feb</v>
      </c>
    </row>
    <row r="3249" spans="1:11" x14ac:dyDescent="0.35">
      <c r="A3249" s="7" t="s">
        <v>3279</v>
      </c>
      <c r="B3249" s="8">
        <v>45574</v>
      </c>
      <c r="C3249" s="9" t="s">
        <v>31</v>
      </c>
      <c r="D3249" s="9" t="s">
        <v>34</v>
      </c>
      <c r="E3249" s="9" t="s">
        <v>13</v>
      </c>
      <c r="F3249" s="9">
        <v>202</v>
      </c>
      <c r="G3249" s="9">
        <v>122.27</v>
      </c>
      <c r="H3249" s="9" t="s">
        <v>32</v>
      </c>
      <c r="I3249" s="9">
        <v>19</v>
      </c>
      <c r="J3249" s="10">
        <v>-79.73</v>
      </c>
      <c r="K3249" s="9" t="str">
        <f>TEXT(Sales_of_Jordan[[#This Row],[Sale_Date]],"mmm")</f>
        <v>Oct</v>
      </c>
    </row>
    <row r="3250" spans="1:11" x14ac:dyDescent="0.35">
      <c r="A3250" s="7" t="s">
        <v>3280</v>
      </c>
      <c r="B3250" s="8">
        <v>45519</v>
      </c>
      <c r="C3250" s="9" t="s">
        <v>11</v>
      </c>
      <c r="D3250" s="9" t="s">
        <v>39</v>
      </c>
      <c r="E3250" s="9" t="s">
        <v>18</v>
      </c>
      <c r="F3250" s="9">
        <v>230</v>
      </c>
      <c r="G3250" s="9">
        <v>383.83</v>
      </c>
      <c r="H3250" s="9" t="s">
        <v>14</v>
      </c>
      <c r="I3250" s="9">
        <v>8</v>
      </c>
      <c r="J3250" s="10">
        <v>153.82999999999899</v>
      </c>
      <c r="K3250" s="9" t="str">
        <f>TEXT(Sales_of_Jordan[[#This Row],[Sale_Date]],"mmm")</f>
        <v>Aug</v>
      </c>
    </row>
    <row r="3251" spans="1:11" x14ac:dyDescent="0.35">
      <c r="A3251" s="7" t="s">
        <v>3281</v>
      </c>
      <c r="B3251" s="8">
        <v>45441</v>
      </c>
      <c r="C3251" s="9" t="s">
        <v>21</v>
      </c>
      <c r="D3251" s="9" t="s">
        <v>36</v>
      </c>
      <c r="E3251" s="9" t="s">
        <v>29</v>
      </c>
      <c r="F3251" s="9">
        <v>218</v>
      </c>
      <c r="G3251" s="9">
        <v>300.11</v>
      </c>
      <c r="H3251" s="9" t="s">
        <v>19</v>
      </c>
      <c r="I3251" s="9">
        <v>12</v>
      </c>
      <c r="J3251" s="10">
        <v>82.11</v>
      </c>
      <c r="K3251" s="9" t="str">
        <f>TEXT(Sales_of_Jordan[[#This Row],[Sale_Date]],"mmm")</f>
        <v>May</v>
      </c>
    </row>
    <row r="3252" spans="1:11" x14ac:dyDescent="0.35">
      <c r="A3252" s="7" t="s">
        <v>3282</v>
      </c>
      <c r="B3252" s="8">
        <v>45538</v>
      </c>
      <c r="C3252" s="9" t="s">
        <v>21</v>
      </c>
      <c r="D3252" s="9" t="s">
        <v>17</v>
      </c>
      <c r="E3252" s="9" t="s">
        <v>18</v>
      </c>
      <c r="F3252" s="9">
        <v>216</v>
      </c>
      <c r="G3252" s="9">
        <v>312.47000000000003</v>
      </c>
      <c r="H3252" s="9" t="s">
        <v>32</v>
      </c>
      <c r="I3252" s="9">
        <v>15</v>
      </c>
      <c r="J3252" s="10">
        <v>96.47</v>
      </c>
      <c r="K3252" s="9" t="str">
        <f>TEXT(Sales_of_Jordan[[#This Row],[Sale_Date]],"mmm")</f>
        <v>Sep</v>
      </c>
    </row>
    <row r="3253" spans="1:11" x14ac:dyDescent="0.35">
      <c r="A3253" s="7" t="s">
        <v>3283</v>
      </c>
      <c r="B3253" s="8">
        <v>45282</v>
      </c>
      <c r="C3253" s="9" t="s">
        <v>27</v>
      </c>
      <c r="D3253" s="9" t="s">
        <v>12</v>
      </c>
      <c r="E3253" s="9" t="s">
        <v>18</v>
      </c>
      <c r="F3253" s="9">
        <v>113</v>
      </c>
      <c r="G3253" s="9">
        <v>229.33</v>
      </c>
      <c r="H3253" s="9" t="s">
        <v>25</v>
      </c>
      <c r="I3253" s="9">
        <v>32</v>
      </c>
      <c r="J3253" s="10">
        <v>116.33</v>
      </c>
      <c r="K3253" s="9" t="str">
        <f>TEXT(Sales_of_Jordan[[#This Row],[Sale_Date]],"mmm")</f>
        <v>Dec</v>
      </c>
    </row>
    <row r="3254" spans="1:11" x14ac:dyDescent="0.35">
      <c r="A3254" s="7" t="s">
        <v>3284</v>
      </c>
      <c r="B3254" s="8">
        <v>45327</v>
      </c>
      <c r="C3254" s="9" t="s">
        <v>21</v>
      </c>
      <c r="D3254" s="9" t="s">
        <v>12</v>
      </c>
      <c r="E3254" s="9" t="s">
        <v>29</v>
      </c>
      <c r="F3254" s="9">
        <v>217</v>
      </c>
      <c r="G3254" s="9">
        <v>279.18</v>
      </c>
      <c r="H3254" s="9" t="s">
        <v>23</v>
      </c>
      <c r="I3254" s="9">
        <v>25</v>
      </c>
      <c r="J3254" s="10">
        <v>62.18</v>
      </c>
      <c r="K3254" s="9" t="str">
        <f>TEXT(Sales_of_Jordan[[#This Row],[Sale_Date]],"mmm")</f>
        <v>Feb</v>
      </c>
    </row>
    <row r="3255" spans="1:11" x14ac:dyDescent="0.35">
      <c r="A3255" s="7" t="s">
        <v>3285</v>
      </c>
      <c r="B3255" s="8">
        <v>45728</v>
      </c>
      <c r="C3255" s="9" t="s">
        <v>27</v>
      </c>
      <c r="D3255" s="9" t="s">
        <v>39</v>
      </c>
      <c r="E3255" s="9" t="s">
        <v>13</v>
      </c>
      <c r="F3255" s="9">
        <v>114</v>
      </c>
      <c r="G3255" s="9">
        <v>96.65</v>
      </c>
      <c r="H3255" s="9" t="s">
        <v>32</v>
      </c>
      <c r="I3255" s="9">
        <v>59</v>
      </c>
      <c r="J3255" s="10">
        <v>-17.349999999999898</v>
      </c>
      <c r="K3255" s="9" t="str">
        <f>TEXT(Sales_of_Jordan[[#This Row],[Sale_Date]],"mmm")</f>
        <v>Mar</v>
      </c>
    </row>
    <row r="3256" spans="1:11" x14ac:dyDescent="0.35">
      <c r="A3256" s="7" t="s">
        <v>3286</v>
      </c>
      <c r="B3256" s="8">
        <v>44986</v>
      </c>
      <c r="C3256" s="9" t="s">
        <v>21</v>
      </c>
      <c r="D3256" s="9" t="s">
        <v>53</v>
      </c>
      <c r="E3256" s="9" t="s">
        <v>29</v>
      </c>
      <c r="F3256" s="9">
        <v>224</v>
      </c>
      <c r="G3256" s="9">
        <v>259.62</v>
      </c>
      <c r="H3256" s="9" t="s">
        <v>23</v>
      </c>
      <c r="I3256" s="9">
        <v>35</v>
      </c>
      <c r="J3256" s="10">
        <v>35.619999999999997</v>
      </c>
      <c r="K3256" s="9" t="str">
        <f>TEXT(Sales_of_Jordan[[#This Row],[Sale_Date]],"mmm")</f>
        <v>Mar</v>
      </c>
    </row>
    <row r="3257" spans="1:11" x14ac:dyDescent="0.35">
      <c r="A3257" s="7" t="s">
        <v>3287</v>
      </c>
      <c r="B3257" s="8">
        <v>44944</v>
      </c>
      <c r="C3257" s="9" t="s">
        <v>31</v>
      </c>
      <c r="D3257" s="9" t="s">
        <v>22</v>
      </c>
      <c r="E3257" s="9" t="s">
        <v>29</v>
      </c>
      <c r="F3257" s="9">
        <v>200</v>
      </c>
      <c r="G3257" s="9">
        <v>250.61</v>
      </c>
      <c r="H3257" s="9" t="s">
        <v>14</v>
      </c>
      <c r="I3257" s="9">
        <v>2</v>
      </c>
      <c r="J3257" s="10">
        <v>50.61</v>
      </c>
      <c r="K3257" s="9" t="str">
        <f>TEXT(Sales_of_Jordan[[#This Row],[Sale_Date]],"mmm")</f>
        <v>Jan</v>
      </c>
    </row>
    <row r="3258" spans="1:11" x14ac:dyDescent="0.35">
      <c r="A3258" s="7" t="s">
        <v>3288</v>
      </c>
      <c r="B3258" s="8">
        <v>45523</v>
      </c>
      <c r="C3258" s="9" t="s">
        <v>31</v>
      </c>
      <c r="D3258" s="9" t="s">
        <v>12</v>
      </c>
      <c r="E3258" s="9" t="s">
        <v>18</v>
      </c>
      <c r="F3258" s="9">
        <v>206</v>
      </c>
      <c r="G3258" s="9">
        <v>497.39</v>
      </c>
      <c r="H3258" s="9" t="s">
        <v>32</v>
      </c>
      <c r="I3258" s="9">
        <v>58</v>
      </c>
      <c r="J3258" s="10">
        <v>291.39</v>
      </c>
      <c r="K3258" s="9" t="str">
        <f>TEXT(Sales_of_Jordan[[#This Row],[Sale_Date]],"mmm")</f>
        <v>Aug</v>
      </c>
    </row>
    <row r="3259" spans="1:11" x14ac:dyDescent="0.35">
      <c r="A3259" s="7" t="s">
        <v>3289</v>
      </c>
      <c r="B3259" s="8">
        <v>45897</v>
      </c>
      <c r="C3259" s="9" t="s">
        <v>27</v>
      </c>
      <c r="D3259" s="9" t="s">
        <v>46</v>
      </c>
      <c r="E3259" s="9" t="s">
        <v>13</v>
      </c>
      <c r="F3259" s="9">
        <v>130</v>
      </c>
      <c r="G3259" s="9">
        <v>65.48</v>
      </c>
      <c r="H3259" s="9" t="s">
        <v>25</v>
      </c>
      <c r="I3259" s="9">
        <v>38</v>
      </c>
      <c r="J3259" s="10">
        <v>-64.52</v>
      </c>
      <c r="K3259" s="9" t="str">
        <f>TEXT(Sales_of_Jordan[[#This Row],[Sale_Date]],"mmm")</f>
        <v>Aug</v>
      </c>
    </row>
    <row r="3260" spans="1:11" x14ac:dyDescent="0.35">
      <c r="A3260" s="7" t="s">
        <v>3290</v>
      </c>
      <c r="B3260" s="8">
        <v>45305</v>
      </c>
      <c r="C3260" s="9" t="s">
        <v>31</v>
      </c>
      <c r="D3260" s="9" t="s">
        <v>55</v>
      </c>
      <c r="E3260" s="9" t="s">
        <v>18</v>
      </c>
      <c r="F3260" s="9">
        <v>209</v>
      </c>
      <c r="G3260" s="9">
        <v>443.52</v>
      </c>
      <c r="H3260" s="9" t="s">
        <v>32</v>
      </c>
      <c r="I3260" s="9">
        <v>40</v>
      </c>
      <c r="J3260" s="10">
        <v>234.51999999999899</v>
      </c>
      <c r="K3260" s="9" t="str">
        <f>TEXT(Sales_of_Jordan[[#This Row],[Sale_Date]],"mmm")</f>
        <v>Jan</v>
      </c>
    </row>
    <row r="3261" spans="1:11" x14ac:dyDescent="0.35">
      <c r="A3261" s="7" t="s">
        <v>3291</v>
      </c>
      <c r="B3261" s="8">
        <v>45261</v>
      </c>
      <c r="C3261" s="9" t="s">
        <v>31</v>
      </c>
      <c r="D3261" s="9" t="s">
        <v>46</v>
      </c>
      <c r="E3261" s="9" t="s">
        <v>13</v>
      </c>
      <c r="F3261" s="9">
        <v>202</v>
      </c>
      <c r="G3261" s="9">
        <v>134.88999999999999</v>
      </c>
      <c r="H3261" s="9" t="s">
        <v>32</v>
      </c>
      <c r="I3261" s="9">
        <v>21</v>
      </c>
      <c r="J3261" s="10">
        <v>-67.11</v>
      </c>
      <c r="K3261" s="9" t="str">
        <f>TEXT(Sales_of_Jordan[[#This Row],[Sale_Date]],"mmm")</f>
        <v>Dec</v>
      </c>
    </row>
    <row r="3262" spans="1:11" x14ac:dyDescent="0.35">
      <c r="A3262" s="7" t="s">
        <v>3292</v>
      </c>
      <c r="B3262" s="8">
        <v>45764</v>
      </c>
      <c r="C3262" s="9" t="s">
        <v>21</v>
      </c>
      <c r="D3262" s="9" t="s">
        <v>55</v>
      </c>
      <c r="E3262" s="9" t="s">
        <v>18</v>
      </c>
      <c r="F3262" s="9">
        <v>225</v>
      </c>
      <c r="G3262" s="9">
        <v>546.73</v>
      </c>
      <c r="H3262" s="9" t="s">
        <v>14</v>
      </c>
      <c r="I3262" s="9">
        <v>9</v>
      </c>
      <c r="J3262" s="10">
        <v>321.73</v>
      </c>
      <c r="K3262" s="9" t="str">
        <f>TEXT(Sales_of_Jordan[[#This Row],[Sale_Date]],"mmm")</f>
        <v>Apr</v>
      </c>
    </row>
    <row r="3263" spans="1:11" x14ac:dyDescent="0.35">
      <c r="A3263" s="7" t="s">
        <v>3293</v>
      </c>
      <c r="B3263" s="8">
        <v>45353</v>
      </c>
      <c r="C3263" s="9" t="s">
        <v>21</v>
      </c>
      <c r="D3263" s="9" t="s">
        <v>39</v>
      </c>
      <c r="E3263" s="9" t="s">
        <v>18</v>
      </c>
      <c r="F3263" s="9">
        <v>220</v>
      </c>
      <c r="G3263" s="9">
        <v>485.2</v>
      </c>
      <c r="H3263" s="9" t="s">
        <v>25</v>
      </c>
      <c r="I3263" s="9">
        <v>60</v>
      </c>
      <c r="J3263" s="10">
        <v>265.2</v>
      </c>
      <c r="K3263" s="9" t="str">
        <f>TEXT(Sales_of_Jordan[[#This Row],[Sale_Date]],"mmm")</f>
        <v>Mar</v>
      </c>
    </row>
    <row r="3264" spans="1:11" x14ac:dyDescent="0.35">
      <c r="A3264" s="7" t="s">
        <v>3294</v>
      </c>
      <c r="B3264" s="8">
        <v>45614</v>
      </c>
      <c r="C3264" s="9" t="s">
        <v>21</v>
      </c>
      <c r="D3264" s="9" t="s">
        <v>53</v>
      </c>
      <c r="E3264" s="9" t="s">
        <v>29</v>
      </c>
      <c r="F3264" s="9">
        <v>217</v>
      </c>
      <c r="G3264" s="9">
        <v>279.70999999999998</v>
      </c>
      <c r="H3264" s="9" t="s">
        <v>19</v>
      </c>
      <c r="I3264" s="9">
        <v>1</v>
      </c>
      <c r="J3264" s="10">
        <v>62.709999999999901</v>
      </c>
      <c r="K3264" s="9" t="str">
        <f>TEXT(Sales_of_Jordan[[#This Row],[Sale_Date]],"mmm")</f>
        <v>Nov</v>
      </c>
    </row>
    <row r="3265" spans="1:11" x14ac:dyDescent="0.35">
      <c r="A3265" s="7" t="s">
        <v>3295</v>
      </c>
      <c r="B3265" s="8">
        <v>45272</v>
      </c>
      <c r="C3265" s="9" t="s">
        <v>27</v>
      </c>
      <c r="D3265" s="9" t="s">
        <v>55</v>
      </c>
      <c r="E3265" s="9" t="s">
        <v>13</v>
      </c>
      <c r="F3265" s="9">
        <v>113</v>
      </c>
      <c r="G3265" s="9">
        <v>67.510000000000005</v>
      </c>
      <c r="H3265" s="9" t="s">
        <v>14</v>
      </c>
      <c r="I3265" s="9">
        <v>13</v>
      </c>
      <c r="J3265" s="10">
        <v>-45.489999999999903</v>
      </c>
      <c r="K3265" s="9" t="str">
        <f>TEXT(Sales_of_Jordan[[#This Row],[Sale_Date]],"mmm")</f>
        <v>Dec</v>
      </c>
    </row>
    <row r="3266" spans="1:11" x14ac:dyDescent="0.35">
      <c r="A3266" s="7" t="s">
        <v>3296</v>
      </c>
      <c r="B3266" s="8">
        <v>45927</v>
      </c>
      <c r="C3266" s="9" t="s">
        <v>16</v>
      </c>
      <c r="D3266" s="9" t="s">
        <v>17</v>
      </c>
      <c r="E3266" s="9" t="s">
        <v>29</v>
      </c>
      <c r="F3266" s="9">
        <v>174</v>
      </c>
      <c r="G3266" s="9">
        <v>191.49</v>
      </c>
      <c r="H3266" s="9" t="s">
        <v>25</v>
      </c>
      <c r="I3266" s="9">
        <v>24</v>
      </c>
      <c r="J3266" s="10">
        <v>17.489999999999998</v>
      </c>
      <c r="K3266" s="9" t="str">
        <f>TEXT(Sales_of_Jordan[[#This Row],[Sale_Date]],"mmm")</f>
        <v>Sep</v>
      </c>
    </row>
    <row r="3267" spans="1:11" x14ac:dyDescent="0.35">
      <c r="A3267" s="7" t="s">
        <v>3297</v>
      </c>
      <c r="B3267" s="8">
        <v>45273</v>
      </c>
      <c r="C3267" s="9" t="s">
        <v>16</v>
      </c>
      <c r="D3267" s="9" t="s">
        <v>39</v>
      </c>
      <c r="E3267" s="9" t="s">
        <v>29</v>
      </c>
      <c r="F3267" s="9">
        <v>181</v>
      </c>
      <c r="G3267" s="9">
        <v>234.35</v>
      </c>
      <c r="H3267" s="9" t="s">
        <v>19</v>
      </c>
      <c r="I3267" s="9">
        <v>3</v>
      </c>
      <c r="J3267" s="10">
        <v>53.349999999999902</v>
      </c>
      <c r="K3267" s="9" t="str">
        <f>TEXT(Sales_of_Jordan[[#This Row],[Sale_Date]],"mmm")</f>
        <v>Dec</v>
      </c>
    </row>
    <row r="3268" spans="1:11" x14ac:dyDescent="0.35">
      <c r="A3268" s="7" t="s">
        <v>3298</v>
      </c>
      <c r="B3268" s="8">
        <v>45740</v>
      </c>
      <c r="C3268" s="9" t="s">
        <v>16</v>
      </c>
      <c r="D3268" s="9" t="s">
        <v>36</v>
      </c>
      <c r="E3268" s="9" t="s">
        <v>13</v>
      </c>
      <c r="F3268" s="9">
        <v>190</v>
      </c>
      <c r="G3268" s="9">
        <v>145.74</v>
      </c>
      <c r="H3268" s="9" t="s">
        <v>23</v>
      </c>
      <c r="I3268" s="9">
        <v>12</v>
      </c>
      <c r="J3268" s="10">
        <v>-44.259999999999899</v>
      </c>
      <c r="K3268" s="9" t="str">
        <f>TEXT(Sales_of_Jordan[[#This Row],[Sale_Date]],"mmm")</f>
        <v>Mar</v>
      </c>
    </row>
    <row r="3269" spans="1:11" x14ac:dyDescent="0.35">
      <c r="A3269" s="7" t="s">
        <v>3299</v>
      </c>
      <c r="B3269" s="8">
        <v>45388</v>
      </c>
      <c r="C3269" s="9" t="s">
        <v>27</v>
      </c>
      <c r="D3269" s="9" t="s">
        <v>22</v>
      </c>
      <c r="E3269" s="9" t="s">
        <v>18</v>
      </c>
      <c r="F3269" s="9">
        <v>128</v>
      </c>
      <c r="G3269" s="9">
        <v>396.13</v>
      </c>
      <c r="H3269" s="9" t="s">
        <v>19</v>
      </c>
      <c r="I3269" s="9">
        <v>9</v>
      </c>
      <c r="J3269" s="10">
        <v>268.13</v>
      </c>
      <c r="K3269" s="9" t="str">
        <f>TEXT(Sales_of_Jordan[[#This Row],[Sale_Date]],"mmm")</f>
        <v>Apr</v>
      </c>
    </row>
    <row r="3270" spans="1:11" x14ac:dyDescent="0.35">
      <c r="A3270" s="7" t="s">
        <v>3300</v>
      </c>
      <c r="B3270" s="8">
        <v>45271</v>
      </c>
      <c r="C3270" s="9" t="s">
        <v>16</v>
      </c>
      <c r="D3270" s="9" t="s">
        <v>12</v>
      </c>
      <c r="E3270" s="9" t="s">
        <v>29</v>
      </c>
      <c r="F3270" s="9">
        <v>177</v>
      </c>
      <c r="G3270" s="9">
        <v>254.63</v>
      </c>
      <c r="H3270" s="9" t="s">
        <v>23</v>
      </c>
      <c r="I3270" s="9">
        <v>40</v>
      </c>
      <c r="J3270" s="10">
        <v>77.63</v>
      </c>
      <c r="K3270" s="9" t="str">
        <f>TEXT(Sales_of_Jordan[[#This Row],[Sale_Date]],"mmm")</f>
        <v>Dec</v>
      </c>
    </row>
    <row r="3271" spans="1:11" x14ac:dyDescent="0.35">
      <c r="A3271" s="7" t="s">
        <v>3301</v>
      </c>
      <c r="B3271" s="8">
        <v>45637</v>
      </c>
      <c r="C3271" s="9" t="s">
        <v>27</v>
      </c>
      <c r="D3271" s="9" t="s">
        <v>34</v>
      </c>
      <c r="E3271" s="9" t="s">
        <v>29</v>
      </c>
      <c r="F3271" s="9">
        <v>125</v>
      </c>
      <c r="G3271" s="9">
        <v>133.08000000000001</v>
      </c>
      <c r="H3271" s="9" t="s">
        <v>25</v>
      </c>
      <c r="I3271" s="9">
        <v>18</v>
      </c>
      <c r="J3271" s="10">
        <v>8.0800000000000107</v>
      </c>
      <c r="K3271" s="9" t="str">
        <f>TEXT(Sales_of_Jordan[[#This Row],[Sale_Date]],"mmm")</f>
        <v>Dec</v>
      </c>
    </row>
    <row r="3272" spans="1:11" x14ac:dyDescent="0.35">
      <c r="A3272" s="7" t="s">
        <v>3302</v>
      </c>
      <c r="B3272" s="8">
        <v>45416</v>
      </c>
      <c r="C3272" s="9" t="s">
        <v>21</v>
      </c>
      <c r="D3272" s="9" t="s">
        <v>55</v>
      </c>
      <c r="E3272" s="9" t="s">
        <v>29</v>
      </c>
      <c r="F3272" s="9">
        <v>224</v>
      </c>
      <c r="G3272" s="9">
        <v>313.45</v>
      </c>
      <c r="H3272" s="9" t="s">
        <v>23</v>
      </c>
      <c r="I3272" s="9">
        <v>43</v>
      </c>
      <c r="J3272" s="10">
        <v>89.449999999999903</v>
      </c>
      <c r="K3272" s="9" t="str">
        <f>TEXT(Sales_of_Jordan[[#This Row],[Sale_Date]],"mmm")</f>
        <v>May</v>
      </c>
    </row>
    <row r="3273" spans="1:11" x14ac:dyDescent="0.35">
      <c r="A3273" s="7" t="s">
        <v>3303</v>
      </c>
      <c r="B3273" s="8">
        <v>45362</v>
      </c>
      <c r="C3273" s="9" t="s">
        <v>16</v>
      </c>
      <c r="D3273" s="9" t="s">
        <v>53</v>
      </c>
      <c r="E3273" s="9" t="s">
        <v>29</v>
      </c>
      <c r="F3273" s="9">
        <v>190</v>
      </c>
      <c r="G3273" s="9">
        <v>211.45</v>
      </c>
      <c r="H3273" s="9" t="s">
        <v>14</v>
      </c>
      <c r="I3273" s="9">
        <v>13</v>
      </c>
      <c r="J3273" s="10">
        <v>21.4499999999999</v>
      </c>
      <c r="K3273" s="9" t="str">
        <f>TEXT(Sales_of_Jordan[[#This Row],[Sale_Date]],"mmm")</f>
        <v>Mar</v>
      </c>
    </row>
    <row r="3274" spans="1:11" x14ac:dyDescent="0.35">
      <c r="A3274" s="7" t="s">
        <v>3304</v>
      </c>
      <c r="B3274" s="8">
        <v>45000</v>
      </c>
      <c r="C3274" s="9" t="s">
        <v>21</v>
      </c>
      <c r="D3274" s="9" t="s">
        <v>17</v>
      </c>
      <c r="E3274" s="9" t="s">
        <v>18</v>
      </c>
      <c r="F3274" s="9">
        <v>218</v>
      </c>
      <c r="G3274" s="9">
        <v>531.45000000000005</v>
      </c>
      <c r="H3274" s="9" t="s">
        <v>23</v>
      </c>
      <c r="I3274" s="9">
        <v>15</v>
      </c>
      <c r="J3274" s="10">
        <v>313.45</v>
      </c>
      <c r="K3274" s="9" t="str">
        <f>TEXT(Sales_of_Jordan[[#This Row],[Sale_Date]],"mmm")</f>
        <v>Mar</v>
      </c>
    </row>
    <row r="3275" spans="1:11" x14ac:dyDescent="0.35">
      <c r="A3275" s="7" t="s">
        <v>3305</v>
      </c>
      <c r="B3275" s="8">
        <v>45058</v>
      </c>
      <c r="C3275" s="9" t="s">
        <v>16</v>
      </c>
      <c r="D3275" s="9" t="s">
        <v>12</v>
      </c>
      <c r="E3275" s="9" t="s">
        <v>13</v>
      </c>
      <c r="F3275" s="9">
        <v>181</v>
      </c>
      <c r="G3275" s="9">
        <v>127.67</v>
      </c>
      <c r="H3275" s="9" t="s">
        <v>32</v>
      </c>
      <c r="I3275" s="9">
        <v>15</v>
      </c>
      <c r="J3275" s="10">
        <v>-53.33</v>
      </c>
      <c r="K3275" s="9" t="str">
        <f>TEXT(Sales_of_Jordan[[#This Row],[Sale_Date]],"mmm")</f>
        <v>May</v>
      </c>
    </row>
    <row r="3276" spans="1:11" x14ac:dyDescent="0.35">
      <c r="A3276" s="7" t="s">
        <v>3306</v>
      </c>
      <c r="B3276" s="8">
        <v>45749</v>
      </c>
      <c r="C3276" s="9" t="s">
        <v>21</v>
      </c>
      <c r="D3276" s="9" t="s">
        <v>17</v>
      </c>
      <c r="E3276" s="9" t="s">
        <v>29</v>
      </c>
      <c r="F3276" s="9">
        <v>224</v>
      </c>
      <c r="G3276" s="9">
        <v>301.77999999999997</v>
      </c>
      <c r="H3276" s="9" t="s">
        <v>25</v>
      </c>
      <c r="I3276" s="9">
        <v>31</v>
      </c>
      <c r="J3276" s="10">
        <v>77.779999999999902</v>
      </c>
      <c r="K3276" s="9" t="str">
        <f>TEXT(Sales_of_Jordan[[#This Row],[Sale_Date]],"mmm")</f>
        <v>Apr</v>
      </c>
    </row>
    <row r="3277" spans="1:11" x14ac:dyDescent="0.35">
      <c r="A3277" s="7" t="s">
        <v>3307</v>
      </c>
      <c r="B3277" s="8">
        <v>45018</v>
      </c>
      <c r="C3277" s="9" t="s">
        <v>27</v>
      </c>
      <c r="D3277" s="9" t="s">
        <v>55</v>
      </c>
      <c r="E3277" s="9" t="s">
        <v>18</v>
      </c>
      <c r="F3277" s="9">
        <v>119</v>
      </c>
      <c r="G3277" s="9">
        <v>152.61000000000001</v>
      </c>
      <c r="H3277" s="9" t="s">
        <v>23</v>
      </c>
      <c r="I3277" s="9">
        <v>59</v>
      </c>
      <c r="J3277" s="10">
        <v>33.61</v>
      </c>
      <c r="K3277" s="9" t="str">
        <f>TEXT(Sales_of_Jordan[[#This Row],[Sale_Date]],"mmm")</f>
        <v>Apr</v>
      </c>
    </row>
    <row r="3278" spans="1:11" x14ac:dyDescent="0.35">
      <c r="A3278" s="7" t="s">
        <v>3308</v>
      </c>
      <c r="B3278" s="8">
        <v>45156</v>
      </c>
      <c r="C3278" s="9" t="s">
        <v>16</v>
      </c>
      <c r="D3278" s="9" t="s">
        <v>22</v>
      </c>
      <c r="E3278" s="9" t="s">
        <v>29</v>
      </c>
      <c r="F3278" s="9">
        <v>180</v>
      </c>
      <c r="G3278" s="9">
        <v>207.68</v>
      </c>
      <c r="H3278" s="9" t="s">
        <v>19</v>
      </c>
      <c r="I3278" s="9">
        <v>14</v>
      </c>
      <c r="J3278" s="10">
        <v>27.68</v>
      </c>
      <c r="K3278" s="9" t="str">
        <f>TEXT(Sales_of_Jordan[[#This Row],[Sale_Date]],"mmm")</f>
        <v>Aug</v>
      </c>
    </row>
    <row r="3279" spans="1:11" x14ac:dyDescent="0.35">
      <c r="A3279" s="7" t="s">
        <v>3309</v>
      </c>
      <c r="B3279" s="8">
        <v>45539</v>
      </c>
      <c r="C3279" s="9" t="s">
        <v>31</v>
      </c>
      <c r="D3279" s="9" t="s">
        <v>39</v>
      </c>
      <c r="E3279" s="9" t="s">
        <v>18</v>
      </c>
      <c r="F3279" s="9">
        <v>205</v>
      </c>
      <c r="G3279" s="9">
        <v>715.5</v>
      </c>
      <c r="H3279" s="9" t="s">
        <v>25</v>
      </c>
      <c r="I3279" s="9">
        <v>15</v>
      </c>
      <c r="J3279" s="10">
        <v>510.5</v>
      </c>
      <c r="K3279" s="9" t="str">
        <f>TEXT(Sales_of_Jordan[[#This Row],[Sale_Date]],"mmm")</f>
        <v>Sep</v>
      </c>
    </row>
    <row r="3280" spans="1:11" x14ac:dyDescent="0.35">
      <c r="A3280" s="7" t="s">
        <v>3310</v>
      </c>
      <c r="B3280" s="8">
        <v>45139</v>
      </c>
      <c r="C3280" s="9" t="s">
        <v>16</v>
      </c>
      <c r="D3280" s="9" t="s">
        <v>39</v>
      </c>
      <c r="E3280" s="9" t="s">
        <v>18</v>
      </c>
      <c r="F3280" s="9">
        <v>189</v>
      </c>
      <c r="G3280" s="9">
        <v>528.16999999999996</v>
      </c>
      <c r="H3280" s="9" t="s">
        <v>14</v>
      </c>
      <c r="I3280" s="9">
        <v>7</v>
      </c>
      <c r="J3280" s="10">
        <v>339.16999999999899</v>
      </c>
      <c r="K3280" s="9" t="str">
        <f>TEXT(Sales_of_Jordan[[#This Row],[Sale_Date]],"mmm")</f>
        <v>Aug</v>
      </c>
    </row>
    <row r="3281" spans="1:11" x14ac:dyDescent="0.35">
      <c r="A3281" s="7" t="s">
        <v>3311</v>
      </c>
      <c r="B3281" s="8">
        <v>45110</v>
      </c>
      <c r="C3281" s="9" t="s">
        <v>21</v>
      </c>
      <c r="D3281" s="9" t="s">
        <v>34</v>
      </c>
      <c r="E3281" s="9" t="s">
        <v>29</v>
      </c>
      <c r="F3281" s="9">
        <v>213</v>
      </c>
      <c r="G3281" s="9">
        <v>193.53</v>
      </c>
      <c r="H3281" s="9" t="s">
        <v>23</v>
      </c>
      <c r="I3281" s="9">
        <v>7</v>
      </c>
      <c r="J3281" s="10">
        <v>-19.47</v>
      </c>
      <c r="K3281" s="9" t="str">
        <f>TEXT(Sales_of_Jordan[[#This Row],[Sale_Date]],"mmm")</f>
        <v>Jul</v>
      </c>
    </row>
    <row r="3282" spans="1:11" x14ac:dyDescent="0.35">
      <c r="A3282" s="7" t="s">
        <v>3312</v>
      </c>
      <c r="B3282" s="8">
        <v>45808</v>
      </c>
      <c r="C3282" s="9" t="s">
        <v>16</v>
      </c>
      <c r="D3282" s="9" t="s">
        <v>22</v>
      </c>
      <c r="E3282" s="9" t="s">
        <v>29</v>
      </c>
      <c r="F3282" s="9">
        <v>183</v>
      </c>
      <c r="G3282" s="9">
        <v>198.09</v>
      </c>
      <c r="H3282" s="9" t="s">
        <v>19</v>
      </c>
      <c r="I3282" s="9">
        <v>2</v>
      </c>
      <c r="J3282" s="10">
        <v>15.09</v>
      </c>
      <c r="K3282" s="9" t="str">
        <f>TEXT(Sales_of_Jordan[[#This Row],[Sale_Date]],"mmm")</f>
        <v>May</v>
      </c>
    </row>
    <row r="3283" spans="1:11" x14ac:dyDescent="0.35">
      <c r="A3283" s="7" t="s">
        <v>3313</v>
      </c>
      <c r="B3283" s="8">
        <v>45920</v>
      </c>
      <c r="C3283" s="9" t="s">
        <v>31</v>
      </c>
      <c r="D3283" s="9" t="s">
        <v>46</v>
      </c>
      <c r="E3283" s="9" t="s">
        <v>29</v>
      </c>
      <c r="F3283" s="9">
        <v>204</v>
      </c>
      <c r="G3283" s="9">
        <v>211.87</v>
      </c>
      <c r="H3283" s="9" t="s">
        <v>14</v>
      </c>
      <c r="I3283" s="9">
        <v>9</v>
      </c>
      <c r="J3283" s="10">
        <v>7.87</v>
      </c>
      <c r="K3283" s="9" t="str">
        <f>TEXT(Sales_of_Jordan[[#This Row],[Sale_Date]],"mmm")</f>
        <v>Sep</v>
      </c>
    </row>
    <row r="3284" spans="1:11" x14ac:dyDescent="0.35">
      <c r="A3284" s="7" t="s">
        <v>3314</v>
      </c>
      <c r="B3284" s="8">
        <v>45709</v>
      </c>
      <c r="C3284" s="9" t="s">
        <v>21</v>
      </c>
      <c r="D3284" s="9" t="s">
        <v>39</v>
      </c>
      <c r="E3284" s="9" t="s">
        <v>18</v>
      </c>
      <c r="F3284" s="9">
        <v>211</v>
      </c>
      <c r="G3284" s="9">
        <v>694.69</v>
      </c>
      <c r="H3284" s="9" t="s">
        <v>14</v>
      </c>
      <c r="I3284" s="9">
        <v>7</v>
      </c>
      <c r="J3284" s="10">
        <v>483.69</v>
      </c>
      <c r="K3284" s="9" t="str">
        <f>TEXT(Sales_of_Jordan[[#This Row],[Sale_Date]],"mmm")</f>
        <v>Feb</v>
      </c>
    </row>
    <row r="3285" spans="1:11" x14ac:dyDescent="0.35">
      <c r="A3285" s="7" t="s">
        <v>3315</v>
      </c>
      <c r="B3285" s="8">
        <v>45009</v>
      </c>
      <c r="C3285" s="9" t="s">
        <v>31</v>
      </c>
      <c r="D3285" s="9" t="s">
        <v>39</v>
      </c>
      <c r="E3285" s="9" t="s">
        <v>18</v>
      </c>
      <c r="F3285" s="9">
        <v>207</v>
      </c>
      <c r="G3285" s="9">
        <v>560.29999999999995</v>
      </c>
      <c r="H3285" s="9" t="s">
        <v>14</v>
      </c>
      <c r="I3285" s="9">
        <v>8</v>
      </c>
      <c r="J3285" s="10">
        <v>353.29999999999899</v>
      </c>
      <c r="K3285" s="9" t="str">
        <f>TEXT(Sales_of_Jordan[[#This Row],[Sale_Date]],"mmm")</f>
        <v>Mar</v>
      </c>
    </row>
    <row r="3286" spans="1:11" x14ac:dyDescent="0.35">
      <c r="A3286" s="7" t="s">
        <v>3316</v>
      </c>
      <c r="B3286" s="8">
        <v>45299</v>
      </c>
      <c r="C3286" s="9" t="s">
        <v>11</v>
      </c>
      <c r="D3286" s="9" t="s">
        <v>34</v>
      </c>
      <c r="E3286" s="9" t="s">
        <v>18</v>
      </c>
      <c r="F3286" s="9">
        <v>229</v>
      </c>
      <c r="G3286" s="9">
        <v>404.56</v>
      </c>
      <c r="H3286" s="9" t="s">
        <v>23</v>
      </c>
      <c r="I3286" s="9">
        <v>15</v>
      </c>
      <c r="J3286" s="10">
        <v>175.56</v>
      </c>
      <c r="K3286" s="9" t="str">
        <f>TEXT(Sales_of_Jordan[[#This Row],[Sale_Date]],"mmm")</f>
        <v>Jan</v>
      </c>
    </row>
    <row r="3287" spans="1:11" x14ac:dyDescent="0.35">
      <c r="A3287" s="7" t="s">
        <v>3317</v>
      </c>
      <c r="B3287" s="8">
        <v>45896</v>
      </c>
      <c r="C3287" s="9" t="s">
        <v>27</v>
      </c>
      <c r="D3287" s="9" t="s">
        <v>22</v>
      </c>
      <c r="E3287" s="9" t="s">
        <v>18</v>
      </c>
      <c r="F3287" s="9">
        <v>124</v>
      </c>
      <c r="G3287" s="9">
        <v>276.45999999999998</v>
      </c>
      <c r="H3287" s="9" t="s">
        <v>23</v>
      </c>
      <c r="I3287" s="9">
        <v>12</v>
      </c>
      <c r="J3287" s="10">
        <v>152.45999999999901</v>
      </c>
      <c r="K3287" s="9" t="str">
        <f>TEXT(Sales_of_Jordan[[#This Row],[Sale_Date]],"mmm")</f>
        <v>Aug</v>
      </c>
    </row>
    <row r="3288" spans="1:11" x14ac:dyDescent="0.35">
      <c r="A3288" s="7" t="s">
        <v>3318</v>
      </c>
      <c r="B3288" s="8">
        <v>45732</v>
      </c>
      <c r="C3288" s="9" t="s">
        <v>21</v>
      </c>
      <c r="D3288" s="9" t="s">
        <v>46</v>
      </c>
      <c r="E3288" s="9" t="s">
        <v>29</v>
      </c>
      <c r="F3288" s="9">
        <v>220</v>
      </c>
      <c r="G3288" s="9">
        <v>243.04</v>
      </c>
      <c r="H3288" s="9" t="s">
        <v>25</v>
      </c>
      <c r="I3288" s="9">
        <v>22</v>
      </c>
      <c r="J3288" s="10">
        <v>23.0399999999999</v>
      </c>
      <c r="K3288" s="9" t="str">
        <f>TEXT(Sales_of_Jordan[[#This Row],[Sale_Date]],"mmm")</f>
        <v>Mar</v>
      </c>
    </row>
    <row r="3289" spans="1:11" x14ac:dyDescent="0.35">
      <c r="A3289" s="7" t="s">
        <v>3319</v>
      </c>
      <c r="B3289" s="8">
        <v>45238</v>
      </c>
      <c r="C3289" s="9" t="s">
        <v>11</v>
      </c>
      <c r="D3289" s="9" t="s">
        <v>46</v>
      </c>
      <c r="E3289" s="9" t="s">
        <v>18</v>
      </c>
      <c r="F3289" s="9">
        <v>226</v>
      </c>
      <c r="G3289" s="9">
        <v>723.56</v>
      </c>
      <c r="H3289" s="9" t="s">
        <v>14</v>
      </c>
      <c r="I3289" s="9">
        <v>13</v>
      </c>
      <c r="J3289" s="10">
        <v>497.55999999999898</v>
      </c>
      <c r="K3289" s="9" t="str">
        <f>TEXT(Sales_of_Jordan[[#This Row],[Sale_Date]],"mmm")</f>
        <v>Nov</v>
      </c>
    </row>
    <row r="3290" spans="1:11" x14ac:dyDescent="0.35">
      <c r="A3290" s="7" t="s">
        <v>3320</v>
      </c>
      <c r="B3290" s="8">
        <v>45848</v>
      </c>
      <c r="C3290" s="9" t="s">
        <v>27</v>
      </c>
      <c r="D3290" s="9" t="s">
        <v>17</v>
      </c>
      <c r="E3290" s="9" t="s">
        <v>13</v>
      </c>
      <c r="F3290" s="9">
        <v>126</v>
      </c>
      <c r="G3290" s="9">
        <v>85.01</v>
      </c>
      <c r="H3290" s="9" t="s">
        <v>25</v>
      </c>
      <c r="I3290" s="9">
        <v>52</v>
      </c>
      <c r="J3290" s="10">
        <v>-40.989999999999903</v>
      </c>
      <c r="K3290" s="9" t="str">
        <f>TEXT(Sales_of_Jordan[[#This Row],[Sale_Date]],"mmm")</f>
        <v>Jul</v>
      </c>
    </row>
    <row r="3291" spans="1:11" x14ac:dyDescent="0.35">
      <c r="A3291" s="7" t="s">
        <v>3321</v>
      </c>
      <c r="B3291" s="8">
        <v>45446</v>
      </c>
      <c r="C3291" s="9" t="s">
        <v>31</v>
      </c>
      <c r="D3291" s="9" t="s">
        <v>53</v>
      </c>
      <c r="E3291" s="9" t="s">
        <v>29</v>
      </c>
      <c r="F3291" s="9">
        <v>204</v>
      </c>
      <c r="G3291" s="9">
        <v>195.71</v>
      </c>
      <c r="H3291" s="9" t="s">
        <v>23</v>
      </c>
      <c r="I3291" s="9">
        <v>6</v>
      </c>
      <c r="J3291" s="10">
        <v>-8.2899999999999903</v>
      </c>
      <c r="K3291" s="9" t="str">
        <f>TEXT(Sales_of_Jordan[[#This Row],[Sale_Date]],"mmm")</f>
        <v>Jun</v>
      </c>
    </row>
    <row r="3292" spans="1:11" x14ac:dyDescent="0.35">
      <c r="A3292" s="7" t="s">
        <v>3322</v>
      </c>
      <c r="B3292" s="8">
        <v>45848</v>
      </c>
      <c r="C3292" s="9" t="s">
        <v>31</v>
      </c>
      <c r="D3292" s="9" t="s">
        <v>55</v>
      </c>
      <c r="E3292" s="9" t="s">
        <v>13</v>
      </c>
      <c r="F3292" s="9">
        <v>207</v>
      </c>
      <c r="G3292" s="9">
        <v>158.69999999999999</v>
      </c>
      <c r="H3292" s="9" t="s">
        <v>32</v>
      </c>
      <c r="I3292" s="9">
        <v>6</v>
      </c>
      <c r="J3292" s="10">
        <v>-48.3</v>
      </c>
      <c r="K3292" s="9" t="str">
        <f>TEXT(Sales_of_Jordan[[#This Row],[Sale_Date]],"mmm")</f>
        <v>Jul</v>
      </c>
    </row>
    <row r="3293" spans="1:11" x14ac:dyDescent="0.35">
      <c r="A3293" s="7" t="s">
        <v>3323</v>
      </c>
      <c r="B3293" s="8">
        <v>45471</v>
      </c>
      <c r="C3293" s="9" t="s">
        <v>31</v>
      </c>
      <c r="D3293" s="9" t="s">
        <v>22</v>
      </c>
      <c r="E3293" s="9" t="s">
        <v>18</v>
      </c>
      <c r="F3293" s="9">
        <v>201</v>
      </c>
      <c r="G3293" s="9">
        <v>260.20999999999998</v>
      </c>
      <c r="H3293" s="9" t="s">
        <v>14</v>
      </c>
      <c r="I3293" s="9">
        <v>7</v>
      </c>
      <c r="J3293" s="10">
        <v>59.209999999999901</v>
      </c>
      <c r="K3293" s="9" t="str">
        <f>TEXT(Sales_of_Jordan[[#This Row],[Sale_Date]],"mmm")</f>
        <v>Jun</v>
      </c>
    </row>
    <row r="3294" spans="1:11" x14ac:dyDescent="0.35">
      <c r="A3294" s="7" t="s">
        <v>3324</v>
      </c>
      <c r="B3294" s="8">
        <v>45108</v>
      </c>
      <c r="C3294" s="9" t="s">
        <v>11</v>
      </c>
      <c r="D3294" s="9" t="s">
        <v>39</v>
      </c>
      <c r="E3294" s="9" t="s">
        <v>18</v>
      </c>
      <c r="F3294" s="9">
        <v>228</v>
      </c>
      <c r="G3294" s="9">
        <v>771.36</v>
      </c>
      <c r="H3294" s="9" t="s">
        <v>14</v>
      </c>
      <c r="I3294" s="9">
        <v>13</v>
      </c>
      <c r="J3294" s="10">
        <v>543.36</v>
      </c>
      <c r="K3294" s="9" t="str">
        <f>TEXT(Sales_of_Jordan[[#This Row],[Sale_Date]],"mmm")</f>
        <v>Jul</v>
      </c>
    </row>
    <row r="3295" spans="1:11" x14ac:dyDescent="0.35">
      <c r="A3295" s="7" t="s">
        <v>3325</v>
      </c>
      <c r="B3295" s="8">
        <v>45431</v>
      </c>
      <c r="C3295" s="9" t="s">
        <v>27</v>
      </c>
      <c r="D3295" s="9" t="s">
        <v>12</v>
      </c>
      <c r="E3295" s="9" t="s">
        <v>18</v>
      </c>
      <c r="F3295" s="9">
        <v>115</v>
      </c>
      <c r="G3295" s="9">
        <v>253.83</v>
      </c>
      <c r="H3295" s="9" t="s">
        <v>23</v>
      </c>
      <c r="I3295" s="9">
        <v>57</v>
      </c>
      <c r="J3295" s="10">
        <v>138.83000000000001</v>
      </c>
      <c r="K3295" s="9" t="str">
        <f>TEXT(Sales_of_Jordan[[#This Row],[Sale_Date]],"mmm")</f>
        <v>May</v>
      </c>
    </row>
    <row r="3296" spans="1:11" x14ac:dyDescent="0.35">
      <c r="A3296" s="7" t="s">
        <v>3326</v>
      </c>
      <c r="B3296" s="8">
        <v>45208</v>
      </c>
      <c r="C3296" s="9" t="s">
        <v>11</v>
      </c>
      <c r="D3296" s="9" t="s">
        <v>34</v>
      </c>
      <c r="E3296" s="9" t="s">
        <v>29</v>
      </c>
      <c r="F3296" s="9">
        <v>226</v>
      </c>
      <c r="G3296" s="9">
        <v>307.31</v>
      </c>
      <c r="H3296" s="9" t="s">
        <v>32</v>
      </c>
      <c r="I3296" s="9">
        <v>12</v>
      </c>
      <c r="J3296" s="10">
        <v>81.31</v>
      </c>
      <c r="K3296" s="9" t="str">
        <f>TEXT(Sales_of_Jordan[[#This Row],[Sale_Date]],"mmm")</f>
        <v>Oct</v>
      </c>
    </row>
    <row r="3297" spans="1:11" x14ac:dyDescent="0.35">
      <c r="A3297" s="7" t="s">
        <v>3327</v>
      </c>
      <c r="B3297" s="8">
        <v>45557</v>
      </c>
      <c r="C3297" s="9" t="s">
        <v>11</v>
      </c>
      <c r="D3297" s="9" t="s">
        <v>36</v>
      </c>
      <c r="E3297" s="9" t="s">
        <v>29</v>
      </c>
      <c r="F3297" s="9">
        <v>225</v>
      </c>
      <c r="G3297" s="9">
        <v>291.49</v>
      </c>
      <c r="H3297" s="9" t="s">
        <v>23</v>
      </c>
      <c r="I3297" s="9">
        <v>57</v>
      </c>
      <c r="J3297" s="10">
        <v>66.489999999999995</v>
      </c>
      <c r="K3297" s="9" t="str">
        <f>TEXT(Sales_of_Jordan[[#This Row],[Sale_Date]],"mmm")</f>
        <v>Sep</v>
      </c>
    </row>
    <row r="3298" spans="1:11" x14ac:dyDescent="0.35">
      <c r="A3298" s="7" t="s">
        <v>3328</v>
      </c>
      <c r="B3298" s="8">
        <v>44957</v>
      </c>
      <c r="C3298" s="9" t="s">
        <v>21</v>
      </c>
      <c r="D3298" s="9" t="s">
        <v>34</v>
      </c>
      <c r="E3298" s="9" t="s">
        <v>29</v>
      </c>
      <c r="F3298" s="9">
        <v>214</v>
      </c>
      <c r="G3298" s="9">
        <v>204.44</v>
      </c>
      <c r="H3298" s="9" t="s">
        <v>19</v>
      </c>
      <c r="I3298" s="9">
        <v>12</v>
      </c>
      <c r="J3298" s="10">
        <v>-9.56</v>
      </c>
      <c r="K3298" s="9" t="str">
        <f>TEXT(Sales_of_Jordan[[#This Row],[Sale_Date]],"mmm")</f>
        <v>Jan</v>
      </c>
    </row>
    <row r="3299" spans="1:11" x14ac:dyDescent="0.35">
      <c r="A3299" s="7" t="s">
        <v>3329</v>
      </c>
      <c r="B3299" s="8">
        <v>45043</v>
      </c>
      <c r="C3299" s="9" t="s">
        <v>21</v>
      </c>
      <c r="D3299" s="9" t="s">
        <v>53</v>
      </c>
      <c r="E3299" s="9" t="s">
        <v>29</v>
      </c>
      <c r="F3299" s="9">
        <v>212</v>
      </c>
      <c r="G3299" s="9">
        <v>295.39999999999998</v>
      </c>
      <c r="H3299" s="9" t="s">
        <v>23</v>
      </c>
      <c r="I3299" s="9">
        <v>13</v>
      </c>
      <c r="J3299" s="10">
        <v>83.399999999999906</v>
      </c>
      <c r="K3299" s="9" t="str">
        <f>TEXT(Sales_of_Jordan[[#This Row],[Sale_Date]],"mmm")</f>
        <v>Apr</v>
      </c>
    </row>
    <row r="3300" spans="1:11" x14ac:dyDescent="0.35">
      <c r="A3300" s="7" t="s">
        <v>3330</v>
      </c>
      <c r="B3300" s="8">
        <v>45470</v>
      </c>
      <c r="C3300" s="9" t="s">
        <v>31</v>
      </c>
      <c r="D3300" s="9" t="s">
        <v>34</v>
      </c>
      <c r="E3300" s="9" t="s">
        <v>13</v>
      </c>
      <c r="F3300" s="9">
        <v>210</v>
      </c>
      <c r="G3300" s="9">
        <v>132.44999999999999</v>
      </c>
      <c r="H3300" s="9" t="s">
        <v>25</v>
      </c>
      <c r="I3300" s="9">
        <v>54</v>
      </c>
      <c r="J3300" s="10">
        <v>-77.55</v>
      </c>
      <c r="K3300" s="9" t="str">
        <f>TEXT(Sales_of_Jordan[[#This Row],[Sale_Date]],"mmm")</f>
        <v>Jun</v>
      </c>
    </row>
    <row r="3301" spans="1:11" x14ac:dyDescent="0.35">
      <c r="A3301" s="7" t="s">
        <v>3331</v>
      </c>
      <c r="B3301" s="8">
        <v>45145</v>
      </c>
      <c r="C3301" s="9" t="s">
        <v>21</v>
      </c>
      <c r="D3301" s="9" t="s">
        <v>36</v>
      </c>
      <c r="E3301" s="9" t="s">
        <v>13</v>
      </c>
      <c r="F3301" s="9">
        <v>221</v>
      </c>
      <c r="G3301" s="9">
        <v>113.55</v>
      </c>
      <c r="H3301" s="9" t="s">
        <v>25</v>
      </c>
      <c r="I3301" s="9">
        <v>43</v>
      </c>
      <c r="J3301" s="10">
        <v>-107.45</v>
      </c>
      <c r="K3301" s="9" t="str">
        <f>TEXT(Sales_of_Jordan[[#This Row],[Sale_Date]],"mmm")</f>
        <v>Aug</v>
      </c>
    </row>
    <row r="3302" spans="1:11" x14ac:dyDescent="0.35">
      <c r="A3302" s="7" t="s">
        <v>3332</v>
      </c>
      <c r="B3302" s="8">
        <v>45500</v>
      </c>
      <c r="C3302" s="9" t="s">
        <v>31</v>
      </c>
      <c r="D3302" s="9" t="s">
        <v>53</v>
      </c>
      <c r="E3302" s="9" t="s">
        <v>29</v>
      </c>
      <c r="F3302" s="9">
        <v>210</v>
      </c>
      <c r="G3302" s="9">
        <v>224.33</v>
      </c>
      <c r="H3302" s="9" t="s">
        <v>32</v>
      </c>
      <c r="I3302" s="9">
        <v>10</v>
      </c>
      <c r="J3302" s="10">
        <v>14.33</v>
      </c>
      <c r="K3302" s="9" t="str">
        <f>TEXT(Sales_of_Jordan[[#This Row],[Sale_Date]],"mmm")</f>
        <v>Jul</v>
      </c>
    </row>
    <row r="3303" spans="1:11" x14ac:dyDescent="0.35">
      <c r="A3303" s="7" t="s">
        <v>3333</v>
      </c>
      <c r="B3303" s="8">
        <v>45240</v>
      </c>
      <c r="C3303" s="9" t="s">
        <v>11</v>
      </c>
      <c r="D3303" s="9" t="s">
        <v>46</v>
      </c>
      <c r="E3303" s="9" t="s">
        <v>18</v>
      </c>
      <c r="F3303" s="9">
        <v>230</v>
      </c>
      <c r="G3303" s="9">
        <v>575.94000000000005</v>
      </c>
      <c r="H3303" s="9" t="s">
        <v>14</v>
      </c>
      <c r="I3303" s="9">
        <v>7</v>
      </c>
      <c r="J3303" s="10">
        <v>345.94</v>
      </c>
      <c r="K3303" s="9" t="str">
        <f>TEXT(Sales_of_Jordan[[#This Row],[Sale_Date]],"mmm")</f>
        <v>Nov</v>
      </c>
    </row>
    <row r="3304" spans="1:11" x14ac:dyDescent="0.35">
      <c r="A3304" s="7" t="s">
        <v>3334</v>
      </c>
      <c r="B3304" s="8">
        <v>45345</v>
      </c>
      <c r="C3304" s="9" t="s">
        <v>21</v>
      </c>
      <c r="D3304" s="9" t="s">
        <v>39</v>
      </c>
      <c r="E3304" s="9" t="s">
        <v>29</v>
      </c>
      <c r="F3304" s="9">
        <v>214</v>
      </c>
      <c r="G3304" s="9">
        <v>237.29</v>
      </c>
      <c r="H3304" s="9" t="s">
        <v>23</v>
      </c>
      <c r="I3304" s="9">
        <v>55</v>
      </c>
      <c r="J3304" s="10">
        <v>23.2899999999999</v>
      </c>
      <c r="K3304" s="9" t="str">
        <f>TEXT(Sales_of_Jordan[[#This Row],[Sale_Date]],"mmm")</f>
        <v>Feb</v>
      </c>
    </row>
    <row r="3305" spans="1:11" x14ac:dyDescent="0.35">
      <c r="A3305" s="7" t="s">
        <v>3335</v>
      </c>
      <c r="B3305" s="8">
        <v>45091</v>
      </c>
      <c r="C3305" s="9" t="s">
        <v>16</v>
      </c>
      <c r="D3305" s="9" t="s">
        <v>12</v>
      </c>
      <c r="E3305" s="9" t="s">
        <v>18</v>
      </c>
      <c r="F3305" s="9">
        <v>175</v>
      </c>
      <c r="G3305" s="9">
        <v>431.08</v>
      </c>
      <c r="H3305" s="9" t="s">
        <v>14</v>
      </c>
      <c r="I3305" s="9">
        <v>12</v>
      </c>
      <c r="J3305" s="10">
        <v>256.08</v>
      </c>
      <c r="K3305" s="9" t="str">
        <f>TEXT(Sales_of_Jordan[[#This Row],[Sale_Date]],"mmm")</f>
        <v>Jun</v>
      </c>
    </row>
    <row r="3306" spans="1:11" x14ac:dyDescent="0.35">
      <c r="A3306" s="7" t="s">
        <v>3336</v>
      </c>
      <c r="B3306" s="8">
        <v>45556</v>
      </c>
      <c r="C3306" s="9" t="s">
        <v>11</v>
      </c>
      <c r="D3306" s="9" t="s">
        <v>34</v>
      </c>
      <c r="E3306" s="9" t="s">
        <v>29</v>
      </c>
      <c r="F3306" s="9">
        <v>227</v>
      </c>
      <c r="G3306" s="9">
        <v>316.51</v>
      </c>
      <c r="H3306" s="9" t="s">
        <v>25</v>
      </c>
      <c r="I3306" s="9">
        <v>40</v>
      </c>
      <c r="J3306" s="10">
        <v>89.509999999999906</v>
      </c>
      <c r="K3306" s="9" t="str">
        <f>TEXT(Sales_of_Jordan[[#This Row],[Sale_Date]],"mmm")</f>
        <v>Sep</v>
      </c>
    </row>
    <row r="3307" spans="1:11" x14ac:dyDescent="0.35">
      <c r="A3307" s="7" t="s">
        <v>3337</v>
      </c>
      <c r="B3307" s="8">
        <v>45431</v>
      </c>
      <c r="C3307" s="9" t="s">
        <v>21</v>
      </c>
      <c r="D3307" s="9" t="s">
        <v>22</v>
      </c>
      <c r="E3307" s="9" t="s">
        <v>13</v>
      </c>
      <c r="F3307" s="9">
        <v>223</v>
      </c>
      <c r="G3307" s="9">
        <v>177.12</v>
      </c>
      <c r="H3307" s="9" t="s">
        <v>25</v>
      </c>
      <c r="I3307" s="9">
        <v>21</v>
      </c>
      <c r="J3307" s="10">
        <v>-45.879999999999903</v>
      </c>
      <c r="K3307" s="9" t="str">
        <f>TEXT(Sales_of_Jordan[[#This Row],[Sale_Date]],"mmm")</f>
        <v>May</v>
      </c>
    </row>
    <row r="3308" spans="1:11" x14ac:dyDescent="0.35">
      <c r="A3308" s="7" t="s">
        <v>3338</v>
      </c>
      <c r="B3308" s="8">
        <v>45095</v>
      </c>
      <c r="C3308" s="9" t="s">
        <v>31</v>
      </c>
      <c r="D3308" s="9" t="s">
        <v>55</v>
      </c>
      <c r="E3308" s="9" t="s">
        <v>13</v>
      </c>
      <c r="F3308" s="9">
        <v>203</v>
      </c>
      <c r="G3308" s="9">
        <v>124.44</v>
      </c>
      <c r="H3308" s="9" t="s">
        <v>23</v>
      </c>
      <c r="I3308" s="9">
        <v>47</v>
      </c>
      <c r="J3308" s="10">
        <v>-78.56</v>
      </c>
      <c r="K3308" s="9" t="str">
        <f>TEXT(Sales_of_Jordan[[#This Row],[Sale_Date]],"mmm")</f>
        <v>Jun</v>
      </c>
    </row>
    <row r="3309" spans="1:11" x14ac:dyDescent="0.35">
      <c r="A3309" s="7" t="s">
        <v>3339</v>
      </c>
      <c r="B3309" s="8">
        <v>44981</v>
      </c>
      <c r="C3309" s="9" t="s">
        <v>11</v>
      </c>
      <c r="D3309" s="9" t="s">
        <v>55</v>
      </c>
      <c r="E3309" s="9" t="s">
        <v>29</v>
      </c>
      <c r="F3309" s="9">
        <v>228</v>
      </c>
      <c r="G3309" s="9">
        <v>281.35000000000002</v>
      </c>
      <c r="H3309" s="9" t="s">
        <v>19</v>
      </c>
      <c r="I3309" s="9">
        <v>2</v>
      </c>
      <c r="J3309" s="10">
        <v>53.35</v>
      </c>
      <c r="K3309" s="9" t="str">
        <f>TEXT(Sales_of_Jordan[[#This Row],[Sale_Date]],"mmm")</f>
        <v>Feb</v>
      </c>
    </row>
    <row r="3310" spans="1:11" x14ac:dyDescent="0.35">
      <c r="A3310" s="7" t="s">
        <v>3340</v>
      </c>
      <c r="B3310" s="8">
        <v>45732</v>
      </c>
      <c r="C3310" s="9" t="s">
        <v>21</v>
      </c>
      <c r="D3310" s="9" t="s">
        <v>22</v>
      </c>
      <c r="E3310" s="9" t="s">
        <v>18</v>
      </c>
      <c r="F3310" s="9">
        <v>223</v>
      </c>
      <c r="G3310" s="9">
        <v>643.85</v>
      </c>
      <c r="H3310" s="9" t="s">
        <v>19</v>
      </c>
      <c r="I3310" s="9">
        <v>12</v>
      </c>
      <c r="J3310" s="10">
        <v>420.85</v>
      </c>
      <c r="K3310" s="9" t="str">
        <f>TEXT(Sales_of_Jordan[[#This Row],[Sale_Date]],"mmm")</f>
        <v>Mar</v>
      </c>
    </row>
    <row r="3311" spans="1:11" x14ac:dyDescent="0.35">
      <c r="A3311" s="7" t="s">
        <v>3341</v>
      </c>
      <c r="B3311" s="8">
        <v>45522</v>
      </c>
      <c r="C3311" s="9" t="s">
        <v>27</v>
      </c>
      <c r="D3311" s="9" t="s">
        <v>55</v>
      </c>
      <c r="E3311" s="9" t="s">
        <v>13</v>
      </c>
      <c r="F3311" s="9">
        <v>117</v>
      </c>
      <c r="G3311" s="9">
        <v>68.569999999999993</v>
      </c>
      <c r="H3311" s="9" t="s">
        <v>23</v>
      </c>
      <c r="I3311" s="9">
        <v>9</v>
      </c>
      <c r="J3311" s="10">
        <v>-48.43</v>
      </c>
      <c r="K3311" s="9" t="str">
        <f>TEXT(Sales_of_Jordan[[#This Row],[Sale_Date]],"mmm")</f>
        <v>Aug</v>
      </c>
    </row>
    <row r="3312" spans="1:11" x14ac:dyDescent="0.35">
      <c r="A3312" s="7" t="s">
        <v>3342</v>
      </c>
      <c r="B3312" s="8">
        <v>45434</v>
      </c>
      <c r="C3312" s="9" t="s">
        <v>31</v>
      </c>
      <c r="D3312" s="9" t="s">
        <v>36</v>
      </c>
      <c r="E3312" s="9" t="s">
        <v>13</v>
      </c>
      <c r="F3312" s="9">
        <v>210</v>
      </c>
      <c r="G3312" s="9">
        <v>115</v>
      </c>
      <c r="H3312" s="9" t="s">
        <v>32</v>
      </c>
      <c r="I3312" s="9">
        <v>24</v>
      </c>
      <c r="J3312" s="10">
        <v>-95</v>
      </c>
      <c r="K3312" s="9" t="str">
        <f>TEXT(Sales_of_Jordan[[#This Row],[Sale_Date]],"mmm")</f>
        <v>May</v>
      </c>
    </row>
    <row r="3313" spans="1:11" x14ac:dyDescent="0.35">
      <c r="A3313" s="7" t="s">
        <v>3343</v>
      </c>
      <c r="B3313" s="8">
        <v>45445</v>
      </c>
      <c r="C3313" s="9" t="s">
        <v>21</v>
      </c>
      <c r="D3313" s="9" t="s">
        <v>12</v>
      </c>
      <c r="E3313" s="9" t="s">
        <v>29</v>
      </c>
      <c r="F3313" s="9">
        <v>221</v>
      </c>
      <c r="G3313" s="9">
        <v>330.35</v>
      </c>
      <c r="H3313" s="9" t="s">
        <v>14</v>
      </c>
      <c r="I3313" s="9">
        <v>12</v>
      </c>
      <c r="J3313" s="10">
        <v>109.35</v>
      </c>
      <c r="K3313" s="9" t="str">
        <f>TEXT(Sales_of_Jordan[[#This Row],[Sale_Date]],"mmm")</f>
        <v>Jun</v>
      </c>
    </row>
    <row r="3314" spans="1:11" x14ac:dyDescent="0.35">
      <c r="A3314" s="7" t="s">
        <v>3344</v>
      </c>
      <c r="B3314" s="8">
        <v>45068</v>
      </c>
      <c r="C3314" s="9" t="s">
        <v>21</v>
      </c>
      <c r="D3314" s="9" t="s">
        <v>34</v>
      </c>
      <c r="E3314" s="9" t="s">
        <v>18</v>
      </c>
      <c r="F3314" s="9">
        <v>213</v>
      </c>
      <c r="G3314" s="9">
        <v>423.54</v>
      </c>
      <c r="H3314" s="9" t="s">
        <v>23</v>
      </c>
      <c r="I3314" s="9">
        <v>56</v>
      </c>
      <c r="J3314" s="10">
        <v>210.54</v>
      </c>
      <c r="K3314" s="9" t="str">
        <f>TEXT(Sales_of_Jordan[[#This Row],[Sale_Date]],"mmm")</f>
        <v>May</v>
      </c>
    </row>
    <row r="3315" spans="1:11" x14ac:dyDescent="0.35">
      <c r="A3315" s="7" t="s">
        <v>3345</v>
      </c>
      <c r="B3315" s="8">
        <v>45924</v>
      </c>
      <c r="C3315" s="9" t="s">
        <v>31</v>
      </c>
      <c r="D3315" s="9" t="s">
        <v>34</v>
      </c>
      <c r="E3315" s="9" t="s">
        <v>29</v>
      </c>
      <c r="F3315" s="9">
        <v>203</v>
      </c>
      <c r="G3315" s="9">
        <v>192.85</v>
      </c>
      <c r="H3315" s="9" t="s">
        <v>23</v>
      </c>
      <c r="I3315" s="9">
        <v>6</v>
      </c>
      <c r="J3315" s="10">
        <v>-10.15</v>
      </c>
      <c r="K3315" s="9" t="str">
        <f>TEXT(Sales_of_Jordan[[#This Row],[Sale_Date]],"mmm")</f>
        <v>Sep</v>
      </c>
    </row>
    <row r="3316" spans="1:11" x14ac:dyDescent="0.35">
      <c r="A3316" s="7" t="s">
        <v>3346</v>
      </c>
      <c r="B3316" s="8">
        <v>45511</v>
      </c>
      <c r="C3316" s="9" t="s">
        <v>31</v>
      </c>
      <c r="D3316" s="9" t="s">
        <v>36</v>
      </c>
      <c r="E3316" s="9" t="s">
        <v>13</v>
      </c>
      <c r="F3316" s="9">
        <v>208</v>
      </c>
      <c r="G3316" s="9">
        <v>149.81</v>
      </c>
      <c r="H3316" s="9" t="s">
        <v>32</v>
      </c>
      <c r="I3316" s="9">
        <v>23</v>
      </c>
      <c r="J3316" s="10">
        <v>-58.19</v>
      </c>
      <c r="K3316" s="9" t="str">
        <f>TEXT(Sales_of_Jordan[[#This Row],[Sale_Date]],"mmm")</f>
        <v>Aug</v>
      </c>
    </row>
    <row r="3317" spans="1:11" x14ac:dyDescent="0.35">
      <c r="A3317" s="7" t="s">
        <v>3347</v>
      </c>
      <c r="B3317" s="8">
        <v>45322</v>
      </c>
      <c r="C3317" s="9" t="s">
        <v>27</v>
      </c>
      <c r="D3317" s="9" t="s">
        <v>36</v>
      </c>
      <c r="E3317" s="9" t="s">
        <v>29</v>
      </c>
      <c r="F3317" s="9">
        <v>117</v>
      </c>
      <c r="G3317" s="9">
        <v>160.21</v>
      </c>
      <c r="H3317" s="9" t="s">
        <v>25</v>
      </c>
      <c r="I3317" s="9">
        <v>60</v>
      </c>
      <c r="J3317" s="10">
        <v>43.21</v>
      </c>
      <c r="K3317" s="9" t="str">
        <f>TEXT(Sales_of_Jordan[[#This Row],[Sale_Date]],"mmm")</f>
        <v>Jan</v>
      </c>
    </row>
    <row r="3318" spans="1:11" x14ac:dyDescent="0.35">
      <c r="A3318" s="7" t="s">
        <v>3348</v>
      </c>
      <c r="B3318" s="8">
        <v>45837</v>
      </c>
      <c r="C3318" s="9" t="s">
        <v>11</v>
      </c>
      <c r="D3318" s="9" t="s">
        <v>46</v>
      </c>
      <c r="E3318" s="9" t="s">
        <v>13</v>
      </c>
      <c r="F3318" s="9">
        <v>226</v>
      </c>
      <c r="G3318" s="9">
        <v>113.79</v>
      </c>
      <c r="H3318" s="9" t="s">
        <v>14</v>
      </c>
      <c r="I3318" s="9">
        <v>3</v>
      </c>
      <c r="J3318" s="10">
        <v>-112.21</v>
      </c>
      <c r="K3318" s="9" t="str">
        <f>TEXT(Sales_of_Jordan[[#This Row],[Sale_Date]],"mmm")</f>
        <v>Jun</v>
      </c>
    </row>
    <row r="3319" spans="1:11" x14ac:dyDescent="0.35">
      <c r="A3319" s="7" t="s">
        <v>3349</v>
      </c>
      <c r="B3319" s="8">
        <v>45286</v>
      </c>
      <c r="C3319" s="9" t="s">
        <v>11</v>
      </c>
      <c r="D3319" s="9" t="s">
        <v>55</v>
      </c>
      <c r="E3319" s="9" t="s">
        <v>18</v>
      </c>
      <c r="F3319" s="9">
        <v>227</v>
      </c>
      <c r="G3319" s="9">
        <v>433.43</v>
      </c>
      <c r="H3319" s="9" t="s">
        <v>32</v>
      </c>
      <c r="I3319" s="9">
        <v>53</v>
      </c>
      <c r="J3319" s="10">
        <v>206.43</v>
      </c>
      <c r="K3319" s="9" t="str">
        <f>TEXT(Sales_of_Jordan[[#This Row],[Sale_Date]],"mmm")</f>
        <v>Dec</v>
      </c>
    </row>
    <row r="3320" spans="1:11" x14ac:dyDescent="0.35">
      <c r="A3320" s="7" t="s">
        <v>3350</v>
      </c>
      <c r="B3320" s="8">
        <v>45785</v>
      </c>
      <c r="C3320" s="9" t="s">
        <v>27</v>
      </c>
      <c r="D3320" s="9" t="s">
        <v>12</v>
      </c>
      <c r="E3320" s="9" t="s">
        <v>18</v>
      </c>
      <c r="F3320" s="9">
        <v>117</v>
      </c>
      <c r="G3320" s="9">
        <v>271.24</v>
      </c>
      <c r="H3320" s="9" t="s">
        <v>14</v>
      </c>
      <c r="I3320" s="9">
        <v>12</v>
      </c>
      <c r="J3320" s="10">
        <v>154.24</v>
      </c>
      <c r="K3320" s="9" t="str">
        <f>TEXT(Sales_of_Jordan[[#This Row],[Sale_Date]],"mmm")</f>
        <v>May</v>
      </c>
    </row>
    <row r="3321" spans="1:11" x14ac:dyDescent="0.35">
      <c r="A3321" s="7" t="s">
        <v>3351</v>
      </c>
      <c r="B3321" s="8">
        <v>45301</v>
      </c>
      <c r="C3321" s="9" t="s">
        <v>11</v>
      </c>
      <c r="D3321" s="9" t="s">
        <v>55</v>
      </c>
      <c r="E3321" s="9" t="s">
        <v>18</v>
      </c>
      <c r="F3321" s="9">
        <v>227</v>
      </c>
      <c r="G3321" s="9">
        <v>772.48</v>
      </c>
      <c r="H3321" s="9" t="s">
        <v>25</v>
      </c>
      <c r="I3321" s="9">
        <v>6</v>
      </c>
      <c r="J3321" s="10">
        <v>545.48</v>
      </c>
      <c r="K3321" s="9" t="str">
        <f>TEXT(Sales_of_Jordan[[#This Row],[Sale_Date]],"mmm")</f>
        <v>Jan</v>
      </c>
    </row>
    <row r="3322" spans="1:11" x14ac:dyDescent="0.35">
      <c r="A3322" s="7" t="s">
        <v>3352</v>
      </c>
      <c r="B3322" s="8">
        <v>45663</v>
      </c>
      <c r="C3322" s="9" t="s">
        <v>11</v>
      </c>
      <c r="D3322" s="9" t="s">
        <v>53</v>
      </c>
      <c r="E3322" s="9" t="s">
        <v>29</v>
      </c>
      <c r="F3322" s="9">
        <v>226</v>
      </c>
      <c r="G3322" s="9">
        <v>271.75</v>
      </c>
      <c r="H3322" s="9" t="s">
        <v>23</v>
      </c>
      <c r="I3322" s="9">
        <v>51</v>
      </c>
      <c r="J3322" s="10">
        <v>45.75</v>
      </c>
      <c r="K3322" s="9" t="str">
        <f>TEXT(Sales_of_Jordan[[#This Row],[Sale_Date]],"mmm")</f>
        <v>Jan</v>
      </c>
    </row>
    <row r="3323" spans="1:11" x14ac:dyDescent="0.35">
      <c r="A3323" s="7" t="s">
        <v>3353</v>
      </c>
      <c r="B3323" s="8">
        <v>45418</v>
      </c>
      <c r="C3323" s="9" t="s">
        <v>11</v>
      </c>
      <c r="D3323" s="9" t="s">
        <v>55</v>
      </c>
      <c r="E3323" s="9" t="s">
        <v>13</v>
      </c>
      <c r="F3323" s="9">
        <v>229</v>
      </c>
      <c r="G3323" s="9">
        <v>199.24</v>
      </c>
      <c r="H3323" s="9" t="s">
        <v>14</v>
      </c>
      <c r="I3323" s="9">
        <v>3</v>
      </c>
      <c r="J3323" s="10">
        <v>-29.759999999999899</v>
      </c>
      <c r="K3323" s="9" t="str">
        <f>TEXT(Sales_of_Jordan[[#This Row],[Sale_Date]],"mmm")</f>
        <v>May</v>
      </c>
    </row>
    <row r="3324" spans="1:11" x14ac:dyDescent="0.35">
      <c r="A3324" s="7" t="s">
        <v>3354</v>
      </c>
      <c r="B3324" s="8">
        <v>45499</v>
      </c>
      <c r="C3324" s="9" t="s">
        <v>21</v>
      </c>
      <c r="D3324" s="9" t="s">
        <v>39</v>
      </c>
      <c r="E3324" s="9" t="s">
        <v>18</v>
      </c>
      <c r="F3324" s="9">
        <v>223</v>
      </c>
      <c r="G3324" s="9">
        <v>546.82000000000005</v>
      </c>
      <c r="H3324" s="9" t="s">
        <v>32</v>
      </c>
      <c r="I3324" s="9">
        <v>18</v>
      </c>
      <c r="J3324" s="10">
        <v>323.82</v>
      </c>
      <c r="K3324" s="9" t="str">
        <f>TEXT(Sales_of_Jordan[[#This Row],[Sale_Date]],"mmm")</f>
        <v>Jul</v>
      </c>
    </row>
    <row r="3325" spans="1:11" x14ac:dyDescent="0.35">
      <c r="A3325" s="7" t="s">
        <v>3355</v>
      </c>
      <c r="B3325" s="8">
        <v>45065</v>
      </c>
      <c r="C3325" s="9" t="s">
        <v>27</v>
      </c>
      <c r="D3325" s="9" t="s">
        <v>34</v>
      </c>
      <c r="E3325" s="9" t="s">
        <v>13</v>
      </c>
      <c r="F3325" s="9">
        <v>118</v>
      </c>
      <c r="G3325" s="9">
        <v>69.42</v>
      </c>
      <c r="H3325" s="9" t="s">
        <v>23</v>
      </c>
      <c r="I3325" s="9">
        <v>45</v>
      </c>
      <c r="J3325" s="10">
        <v>-48.58</v>
      </c>
      <c r="K3325" s="9" t="str">
        <f>TEXT(Sales_of_Jordan[[#This Row],[Sale_Date]],"mmm")</f>
        <v>May</v>
      </c>
    </row>
    <row r="3326" spans="1:11" x14ac:dyDescent="0.35">
      <c r="A3326" s="7" t="s">
        <v>3356</v>
      </c>
      <c r="B3326" s="8">
        <v>45750</v>
      </c>
      <c r="C3326" s="9" t="s">
        <v>21</v>
      </c>
      <c r="D3326" s="9" t="s">
        <v>34</v>
      </c>
      <c r="E3326" s="9" t="s">
        <v>13</v>
      </c>
      <c r="F3326" s="9">
        <v>225</v>
      </c>
      <c r="G3326" s="9">
        <v>182.06</v>
      </c>
      <c r="H3326" s="9" t="s">
        <v>19</v>
      </c>
      <c r="I3326" s="9">
        <v>13</v>
      </c>
      <c r="J3326" s="10">
        <v>-42.94</v>
      </c>
      <c r="K3326" s="9" t="str">
        <f>TEXT(Sales_of_Jordan[[#This Row],[Sale_Date]],"mmm")</f>
        <v>Apr</v>
      </c>
    </row>
    <row r="3327" spans="1:11" x14ac:dyDescent="0.35">
      <c r="A3327" s="7" t="s">
        <v>3357</v>
      </c>
      <c r="B3327" s="8">
        <v>45002</v>
      </c>
      <c r="C3327" s="9" t="s">
        <v>16</v>
      </c>
      <c r="D3327" s="9" t="s">
        <v>34</v>
      </c>
      <c r="E3327" s="9" t="s">
        <v>13</v>
      </c>
      <c r="F3327" s="9">
        <v>190</v>
      </c>
      <c r="G3327" s="9">
        <v>136.38</v>
      </c>
      <c r="H3327" s="9" t="s">
        <v>23</v>
      </c>
      <c r="I3327" s="9">
        <v>17</v>
      </c>
      <c r="J3327" s="10">
        <v>-53.62</v>
      </c>
      <c r="K3327" s="9" t="str">
        <f>TEXT(Sales_of_Jordan[[#This Row],[Sale_Date]],"mmm")</f>
        <v>Mar</v>
      </c>
    </row>
    <row r="3328" spans="1:11" x14ac:dyDescent="0.35">
      <c r="A3328" s="7" t="s">
        <v>3358</v>
      </c>
      <c r="B3328" s="8">
        <v>45071</v>
      </c>
      <c r="C3328" s="9" t="s">
        <v>27</v>
      </c>
      <c r="D3328" s="9" t="s">
        <v>17</v>
      </c>
      <c r="E3328" s="9" t="s">
        <v>13</v>
      </c>
      <c r="F3328" s="9">
        <v>117</v>
      </c>
      <c r="G3328" s="9">
        <v>95.77</v>
      </c>
      <c r="H3328" s="9" t="s">
        <v>32</v>
      </c>
      <c r="I3328" s="9">
        <v>32</v>
      </c>
      <c r="J3328" s="10">
        <v>-21.23</v>
      </c>
      <c r="K3328" s="9" t="str">
        <f>TEXT(Sales_of_Jordan[[#This Row],[Sale_Date]],"mmm")</f>
        <v>May</v>
      </c>
    </row>
    <row r="3329" spans="1:11" x14ac:dyDescent="0.35">
      <c r="A3329" s="7" t="s">
        <v>3359</v>
      </c>
      <c r="B3329" s="8">
        <v>45443</v>
      </c>
      <c r="C3329" s="9" t="s">
        <v>21</v>
      </c>
      <c r="D3329" s="9" t="s">
        <v>55</v>
      </c>
      <c r="E3329" s="9" t="s">
        <v>13</v>
      </c>
      <c r="F3329" s="9">
        <v>213</v>
      </c>
      <c r="G3329" s="9">
        <v>107.14</v>
      </c>
      <c r="H3329" s="9" t="s">
        <v>23</v>
      </c>
      <c r="I3329" s="9">
        <v>20</v>
      </c>
      <c r="J3329" s="10">
        <v>-105.86</v>
      </c>
      <c r="K3329" s="9" t="str">
        <f>TEXT(Sales_of_Jordan[[#This Row],[Sale_Date]],"mmm")</f>
        <v>May</v>
      </c>
    </row>
    <row r="3330" spans="1:11" x14ac:dyDescent="0.35">
      <c r="A3330" s="7" t="s">
        <v>3360</v>
      </c>
      <c r="B3330" s="8">
        <v>45557</v>
      </c>
      <c r="C3330" s="9" t="s">
        <v>16</v>
      </c>
      <c r="D3330" s="9" t="s">
        <v>22</v>
      </c>
      <c r="E3330" s="9" t="s">
        <v>13</v>
      </c>
      <c r="F3330" s="9">
        <v>170</v>
      </c>
      <c r="G3330" s="9">
        <v>105.57</v>
      </c>
      <c r="H3330" s="9" t="s">
        <v>14</v>
      </c>
      <c r="I3330" s="9">
        <v>13</v>
      </c>
      <c r="J3330" s="10">
        <v>-64.430000000000007</v>
      </c>
      <c r="K3330" s="9" t="str">
        <f>TEXT(Sales_of_Jordan[[#This Row],[Sale_Date]],"mmm")</f>
        <v>Sep</v>
      </c>
    </row>
    <row r="3331" spans="1:11" x14ac:dyDescent="0.35">
      <c r="A3331" s="7" t="s">
        <v>3361</v>
      </c>
      <c r="B3331" s="8">
        <v>45629</v>
      </c>
      <c r="C3331" s="9" t="s">
        <v>21</v>
      </c>
      <c r="D3331" s="9" t="s">
        <v>12</v>
      </c>
      <c r="E3331" s="9" t="s">
        <v>13</v>
      </c>
      <c r="F3331" s="9">
        <v>216</v>
      </c>
      <c r="G3331" s="9">
        <v>115.28</v>
      </c>
      <c r="H3331" s="9" t="s">
        <v>25</v>
      </c>
      <c r="I3331" s="9">
        <v>36</v>
      </c>
      <c r="J3331" s="10">
        <v>-100.72</v>
      </c>
      <c r="K3331" s="9" t="str">
        <f>TEXT(Sales_of_Jordan[[#This Row],[Sale_Date]],"mmm")</f>
        <v>Dec</v>
      </c>
    </row>
    <row r="3332" spans="1:11" x14ac:dyDescent="0.35">
      <c r="A3332" s="7" t="s">
        <v>3362</v>
      </c>
      <c r="B3332" s="8">
        <v>45177</v>
      </c>
      <c r="C3332" s="9" t="s">
        <v>27</v>
      </c>
      <c r="D3332" s="9" t="s">
        <v>46</v>
      </c>
      <c r="E3332" s="9" t="s">
        <v>13</v>
      </c>
      <c r="F3332" s="9">
        <v>127</v>
      </c>
      <c r="G3332" s="9">
        <v>72.13</v>
      </c>
      <c r="H3332" s="9" t="s">
        <v>19</v>
      </c>
      <c r="I3332" s="9">
        <v>3</v>
      </c>
      <c r="J3332" s="10">
        <v>-54.87</v>
      </c>
      <c r="K3332" s="9" t="str">
        <f>TEXT(Sales_of_Jordan[[#This Row],[Sale_Date]],"mmm")</f>
        <v>Sep</v>
      </c>
    </row>
    <row r="3333" spans="1:11" x14ac:dyDescent="0.35">
      <c r="A3333" s="7" t="s">
        <v>3363</v>
      </c>
      <c r="B3333" s="8">
        <v>45470</v>
      </c>
      <c r="C3333" s="9" t="s">
        <v>11</v>
      </c>
      <c r="D3333" s="9" t="s">
        <v>34</v>
      </c>
      <c r="E3333" s="9" t="s">
        <v>18</v>
      </c>
      <c r="F3333" s="9">
        <v>228</v>
      </c>
      <c r="G3333" s="9">
        <v>772.75</v>
      </c>
      <c r="H3333" s="9" t="s">
        <v>25</v>
      </c>
      <c r="I3333" s="9">
        <v>40</v>
      </c>
      <c r="J3333" s="10">
        <v>544.75</v>
      </c>
      <c r="K3333" s="9" t="str">
        <f>TEXT(Sales_of_Jordan[[#This Row],[Sale_Date]],"mmm")</f>
        <v>Jun</v>
      </c>
    </row>
    <row r="3334" spans="1:11" x14ac:dyDescent="0.35">
      <c r="A3334" s="7" t="s">
        <v>3364</v>
      </c>
      <c r="B3334" s="8">
        <v>45853</v>
      </c>
      <c r="C3334" s="9" t="s">
        <v>21</v>
      </c>
      <c r="D3334" s="9" t="s">
        <v>17</v>
      </c>
      <c r="E3334" s="9" t="s">
        <v>18</v>
      </c>
      <c r="F3334" s="9">
        <v>218</v>
      </c>
      <c r="G3334" s="9">
        <v>363.96</v>
      </c>
      <c r="H3334" s="9" t="s">
        <v>32</v>
      </c>
      <c r="I3334" s="9">
        <v>34</v>
      </c>
      <c r="J3334" s="10">
        <v>145.95999999999901</v>
      </c>
      <c r="K3334" s="9" t="str">
        <f>TEXT(Sales_of_Jordan[[#This Row],[Sale_Date]],"mmm")</f>
        <v>Jul</v>
      </c>
    </row>
    <row r="3335" spans="1:11" x14ac:dyDescent="0.35">
      <c r="A3335" s="7" t="s">
        <v>3365</v>
      </c>
      <c r="B3335" s="8">
        <v>45024</v>
      </c>
      <c r="C3335" s="9" t="s">
        <v>11</v>
      </c>
      <c r="D3335" s="9" t="s">
        <v>22</v>
      </c>
      <c r="E3335" s="9" t="s">
        <v>18</v>
      </c>
      <c r="F3335" s="9">
        <v>226</v>
      </c>
      <c r="G3335" s="9">
        <v>676.21</v>
      </c>
      <c r="H3335" s="9" t="s">
        <v>19</v>
      </c>
      <c r="I3335" s="9">
        <v>13</v>
      </c>
      <c r="J3335" s="10">
        <v>450.21</v>
      </c>
      <c r="K3335" s="9" t="str">
        <f>TEXT(Sales_of_Jordan[[#This Row],[Sale_Date]],"mmm")</f>
        <v>Apr</v>
      </c>
    </row>
    <row r="3336" spans="1:11" x14ac:dyDescent="0.35">
      <c r="A3336" s="7" t="s">
        <v>3366</v>
      </c>
      <c r="B3336" s="8">
        <v>45619</v>
      </c>
      <c r="C3336" s="9" t="s">
        <v>27</v>
      </c>
      <c r="D3336" s="9" t="s">
        <v>36</v>
      </c>
      <c r="E3336" s="9" t="s">
        <v>18</v>
      </c>
      <c r="F3336" s="9">
        <v>133</v>
      </c>
      <c r="G3336" s="9">
        <v>353.5</v>
      </c>
      <c r="H3336" s="9" t="s">
        <v>32</v>
      </c>
      <c r="I3336" s="9">
        <v>59</v>
      </c>
      <c r="J3336" s="10">
        <v>220.5</v>
      </c>
      <c r="K3336" s="9" t="str">
        <f>TEXT(Sales_of_Jordan[[#This Row],[Sale_Date]],"mmm")</f>
        <v>Nov</v>
      </c>
    </row>
    <row r="3337" spans="1:11" x14ac:dyDescent="0.35">
      <c r="A3337" s="7" t="s">
        <v>3367</v>
      </c>
      <c r="B3337" s="8">
        <v>45186</v>
      </c>
      <c r="C3337" s="9" t="s">
        <v>11</v>
      </c>
      <c r="D3337" s="9" t="s">
        <v>46</v>
      </c>
      <c r="E3337" s="9" t="s">
        <v>29</v>
      </c>
      <c r="F3337" s="9">
        <v>225</v>
      </c>
      <c r="G3337" s="9">
        <v>287.20999999999998</v>
      </c>
      <c r="H3337" s="9" t="s">
        <v>14</v>
      </c>
      <c r="I3337" s="9">
        <v>14</v>
      </c>
      <c r="J3337" s="10">
        <v>62.209999999999901</v>
      </c>
      <c r="K3337" s="9" t="str">
        <f>TEXT(Sales_of_Jordan[[#This Row],[Sale_Date]],"mmm")</f>
        <v>Sep</v>
      </c>
    </row>
    <row r="3338" spans="1:11" x14ac:dyDescent="0.35">
      <c r="A3338" s="7" t="s">
        <v>3368</v>
      </c>
      <c r="B3338" s="8">
        <v>45334</v>
      </c>
      <c r="C3338" s="9" t="s">
        <v>11</v>
      </c>
      <c r="D3338" s="9" t="s">
        <v>55</v>
      </c>
      <c r="E3338" s="9" t="s">
        <v>18</v>
      </c>
      <c r="F3338" s="9">
        <v>226</v>
      </c>
      <c r="G3338" s="9">
        <v>290.89999999999998</v>
      </c>
      <c r="H3338" s="9" t="s">
        <v>32</v>
      </c>
      <c r="I3338" s="9">
        <v>51</v>
      </c>
      <c r="J3338" s="10">
        <v>64.899999999999906</v>
      </c>
      <c r="K3338" s="9" t="str">
        <f>TEXT(Sales_of_Jordan[[#This Row],[Sale_Date]],"mmm")</f>
        <v>Feb</v>
      </c>
    </row>
    <row r="3339" spans="1:11" x14ac:dyDescent="0.35">
      <c r="A3339" s="7" t="s">
        <v>3369</v>
      </c>
      <c r="B3339" s="8">
        <v>44980</v>
      </c>
      <c r="C3339" s="9" t="s">
        <v>31</v>
      </c>
      <c r="D3339" s="9" t="s">
        <v>55</v>
      </c>
      <c r="E3339" s="9" t="s">
        <v>18</v>
      </c>
      <c r="F3339" s="9">
        <v>206</v>
      </c>
      <c r="G3339" s="9">
        <v>365.45</v>
      </c>
      <c r="H3339" s="9" t="s">
        <v>32</v>
      </c>
      <c r="I3339" s="9">
        <v>25</v>
      </c>
      <c r="J3339" s="10">
        <v>159.44999999999999</v>
      </c>
      <c r="K3339" s="9" t="str">
        <f>TEXT(Sales_of_Jordan[[#This Row],[Sale_Date]],"mmm")</f>
        <v>Feb</v>
      </c>
    </row>
    <row r="3340" spans="1:11" x14ac:dyDescent="0.35">
      <c r="A3340" s="7" t="s">
        <v>3370</v>
      </c>
      <c r="B3340" s="8">
        <v>45480</v>
      </c>
      <c r="C3340" s="9" t="s">
        <v>16</v>
      </c>
      <c r="D3340" s="9" t="s">
        <v>12</v>
      </c>
      <c r="E3340" s="9" t="s">
        <v>13</v>
      </c>
      <c r="F3340" s="9">
        <v>171</v>
      </c>
      <c r="G3340" s="9">
        <v>91.47</v>
      </c>
      <c r="H3340" s="9" t="s">
        <v>32</v>
      </c>
      <c r="I3340" s="9">
        <v>40</v>
      </c>
      <c r="J3340" s="10">
        <v>-79.53</v>
      </c>
      <c r="K3340" s="9" t="str">
        <f>TEXT(Sales_of_Jordan[[#This Row],[Sale_Date]],"mmm")</f>
        <v>Jul</v>
      </c>
    </row>
    <row r="3341" spans="1:11" x14ac:dyDescent="0.35">
      <c r="A3341" s="7" t="s">
        <v>3371</v>
      </c>
      <c r="B3341" s="8">
        <v>45140</v>
      </c>
      <c r="C3341" s="9" t="s">
        <v>21</v>
      </c>
      <c r="D3341" s="9" t="s">
        <v>39</v>
      </c>
      <c r="E3341" s="9" t="s">
        <v>18</v>
      </c>
      <c r="F3341" s="9">
        <v>216</v>
      </c>
      <c r="G3341" s="9">
        <v>562.35</v>
      </c>
      <c r="H3341" s="9" t="s">
        <v>23</v>
      </c>
      <c r="I3341" s="9">
        <v>40</v>
      </c>
      <c r="J3341" s="10">
        <v>346.35</v>
      </c>
      <c r="K3341" s="9" t="str">
        <f>TEXT(Sales_of_Jordan[[#This Row],[Sale_Date]],"mmm")</f>
        <v>Aug</v>
      </c>
    </row>
    <row r="3342" spans="1:11" x14ac:dyDescent="0.35">
      <c r="A3342" s="7" t="s">
        <v>3372</v>
      </c>
      <c r="B3342" s="8">
        <v>45736</v>
      </c>
      <c r="C3342" s="9" t="s">
        <v>11</v>
      </c>
      <c r="D3342" s="9" t="s">
        <v>46</v>
      </c>
      <c r="E3342" s="9" t="s">
        <v>18</v>
      </c>
      <c r="F3342" s="9">
        <v>226</v>
      </c>
      <c r="G3342" s="9">
        <v>315.58999999999997</v>
      </c>
      <c r="H3342" s="9" t="s">
        <v>25</v>
      </c>
      <c r="I3342" s="9">
        <v>18</v>
      </c>
      <c r="J3342" s="10">
        <v>89.589999999999904</v>
      </c>
      <c r="K3342" s="9" t="str">
        <f>TEXT(Sales_of_Jordan[[#This Row],[Sale_Date]],"mmm")</f>
        <v>Mar</v>
      </c>
    </row>
    <row r="3343" spans="1:11" x14ac:dyDescent="0.35">
      <c r="A3343" s="7" t="s">
        <v>3373</v>
      </c>
      <c r="B3343" s="8">
        <v>45510</v>
      </c>
      <c r="C3343" s="9" t="s">
        <v>11</v>
      </c>
      <c r="D3343" s="9" t="s">
        <v>36</v>
      </c>
      <c r="E3343" s="9" t="s">
        <v>29</v>
      </c>
      <c r="F3343" s="9">
        <v>230</v>
      </c>
      <c r="G3343" s="9">
        <v>308.24</v>
      </c>
      <c r="H3343" s="9" t="s">
        <v>25</v>
      </c>
      <c r="I3343" s="9">
        <v>24</v>
      </c>
      <c r="J3343" s="10">
        <v>78.239999999999995</v>
      </c>
      <c r="K3343" s="9" t="str">
        <f>TEXT(Sales_of_Jordan[[#This Row],[Sale_Date]],"mmm")</f>
        <v>Aug</v>
      </c>
    </row>
    <row r="3344" spans="1:11" x14ac:dyDescent="0.35">
      <c r="A3344" s="7" t="s">
        <v>3374</v>
      </c>
      <c r="B3344" s="8">
        <v>45496</v>
      </c>
      <c r="C3344" s="9" t="s">
        <v>16</v>
      </c>
      <c r="D3344" s="9" t="s">
        <v>39</v>
      </c>
      <c r="E3344" s="9" t="s">
        <v>18</v>
      </c>
      <c r="F3344" s="9">
        <v>183</v>
      </c>
      <c r="G3344" s="9">
        <v>491.88</v>
      </c>
      <c r="H3344" s="9" t="s">
        <v>32</v>
      </c>
      <c r="I3344" s="9">
        <v>40</v>
      </c>
      <c r="J3344" s="10">
        <v>308.88</v>
      </c>
      <c r="K3344" s="9" t="str">
        <f>TEXT(Sales_of_Jordan[[#This Row],[Sale_Date]],"mmm")</f>
        <v>Jul</v>
      </c>
    </row>
    <row r="3345" spans="1:11" x14ac:dyDescent="0.35">
      <c r="A3345" s="7" t="s">
        <v>3375</v>
      </c>
      <c r="B3345" s="8">
        <v>45204</v>
      </c>
      <c r="C3345" s="9" t="s">
        <v>27</v>
      </c>
      <c r="D3345" s="9" t="s">
        <v>55</v>
      </c>
      <c r="E3345" s="9" t="s">
        <v>13</v>
      </c>
      <c r="F3345" s="9">
        <v>138</v>
      </c>
      <c r="G3345" s="9">
        <v>69.56</v>
      </c>
      <c r="H3345" s="9" t="s">
        <v>32</v>
      </c>
      <c r="I3345" s="9">
        <v>36</v>
      </c>
      <c r="J3345" s="10">
        <v>-68.44</v>
      </c>
      <c r="K3345" s="9" t="str">
        <f>TEXT(Sales_of_Jordan[[#This Row],[Sale_Date]],"mmm")</f>
        <v>Oct</v>
      </c>
    </row>
    <row r="3346" spans="1:11" x14ac:dyDescent="0.35">
      <c r="A3346" s="7" t="s">
        <v>3376</v>
      </c>
      <c r="B3346" s="8">
        <v>44963</v>
      </c>
      <c r="C3346" s="9" t="s">
        <v>27</v>
      </c>
      <c r="D3346" s="9" t="s">
        <v>34</v>
      </c>
      <c r="E3346" s="9" t="s">
        <v>29</v>
      </c>
      <c r="F3346" s="9">
        <v>120</v>
      </c>
      <c r="G3346" s="9">
        <v>137.55000000000001</v>
      </c>
      <c r="H3346" s="9" t="s">
        <v>19</v>
      </c>
      <c r="I3346" s="9">
        <v>14</v>
      </c>
      <c r="J3346" s="10">
        <v>17.55</v>
      </c>
      <c r="K3346" s="9" t="str">
        <f>TEXT(Sales_of_Jordan[[#This Row],[Sale_Date]],"mmm")</f>
        <v>Feb</v>
      </c>
    </row>
    <row r="3347" spans="1:11" x14ac:dyDescent="0.35">
      <c r="A3347" s="7" t="s">
        <v>3377</v>
      </c>
      <c r="B3347" s="8">
        <v>45782</v>
      </c>
      <c r="C3347" s="9" t="s">
        <v>21</v>
      </c>
      <c r="D3347" s="9" t="s">
        <v>46</v>
      </c>
      <c r="E3347" s="9" t="s">
        <v>18</v>
      </c>
      <c r="F3347" s="9">
        <v>220</v>
      </c>
      <c r="G3347" s="9">
        <v>481.92</v>
      </c>
      <c r="H3347" s="9" t="s">
        <v>32</v>
      </c>
      <c r="I3347" s="9">
        <v>31</v>
      </c>
      <c r="J3347" s="10">
        <v>261.92</v>
      </c>
      <c r="K3347" s="9" t="str">
        <f>TEXT(Sales_of_Jordan[[#This Row],[Sale_Date]],"mmm")</f>
        <v>May</v>
      </c>
    </row>
    <row r="3348" spans="1:11" x14ac:dyDescent="0.35">
      <c r="A3348" s="7" t="s">
        <v>3378</v>
      </c>
      <c r="B3348" s="8">
        <v>45201</v>
      </c>
      <c r="C3348" s="9" t="s">
        <v>31</v>
      </c>
      <c r="D3348" s="9" t="s">
        <v>17</v>
      </c>
      <c r="E3348" s="9" t="s">
        <v>13</v>
      </c>
      <c r="F3348" s="9">
        <v>205</v>
      </c>
      <c r="G3348" s="9">
        <v>171.84</v>
      </c>
      <c r="H3348" s="9" t="s">
        <v>19</v>
      </c>
      <c r="I3348" s="9">
        <v>5</v>
      </c>
      <c r="J3348" s="10">
        <v>-33.159999999999997</v>
      </c>
      <c r="K3348" s="9" t="str">
        <f>TEXT(Sales_of_Jordan[[#This Row],[Sale_Date]],"mmm")</f>
        <v>Oct</v>
      </c>
    </row>
    <row r="3349" spans="1:11" x14ac:dyDescent="0.35">
      <c r="A3349" s="7" t="s">
        <v>3379</v>
      </c>
      <c r="B3349" s="8">
        <v>44947</v>
      </c>
      <c r="C3349" s="9" t="s">
        <v>27</v>
      </c>
      <c r="D3349" s="9" t="s">
        <v>55</v>
      </c>
      <c r="E3349" s="9" t="s">
        <v>13</v>
      </c>
      <c r="F3349" s="9">
        <v>120</v>
      </c>
      <c r="G3349" s="9">
        <v>103.59</v>
      </c>
      <c r="H3349" s="9" t="s">
        <v>32</v>
      </c>
      <c r="I3349" s="9">
        <v>21</v>
      </c>
      <c r="J3349" s="10">
        <v>-16.409999999999901</v>
      </c>
      <c r="K3349" s="9" t="str">
        <f>TEXT(Sales_of_Jordan[[#This Row],[Sale_Date]],"mmm")</f>
        <v>Jan</v>
      </c>
    </row>
    <row r="3350" spans="1:11" x14ac:dyDescent="0.35">
      <c r="A3350" s="7" t="s">
        <v>3380</v>
      </c>
      <c r="B3350" s="8">
        <v>45919</v>
      </c>
      <c r="C3350" s="9" t="s">
        <v>11</v>
      </c>
      <c r="D3350" s="9" t="s">
        <v>34</v>
      </c>
      <c r="E3350" s="9" t="s">
        <v>29</v>
      </c>
      <c r="F3350" s="9">
        <v>230</v>
      </c>
      <c r="G3350" s="9">
        <v>319.73</v>
      </c>
      <c r="H3350" s="9" t="s">
        <v>19</v>
      </c>
      <c r="I3350" s="9">
        <v>13</v>
      </c>
      <c r="J3350" s="10">
        <v>89.73</v>
      </c>
      <c r="K3350" s="9" t="str">
        <f>TEXT(Sales_of_Jordan[[#This Row],[Sale_Date]],"mmm")</f>
        <v>Sep</v>
      </c>
    </row>
    <row r="3351" spans="1:11" x14ac:dyDescent="0.35">
      <c r="A3351" s="7" t="s">
        <v>3381</v>
      </c>
      <c r="B3351" s="8">
        <v>45445</v>
      </c>
      <c r="C3351" s="9" t="s">
        <v>27</v>
      </c>
      <c r="D3351" s="9" t="s">
        <v>36</v>
      </c>
      <c r="E3351" s="9" t="s">
        <v>29</v>
      </c>
      <c r="F3351" s="9">
        <v>114</v>
      </c>
      <c r="G3351" s="9">
        <v>129.15</v>
      </c>
      <c r="H3351" s="9" t="s">
        <v>25</v>
      </c>
      <c r="I3351" s="9">
        <v>43</v>
      </c>
      <c r="J3351" s="10">
        <v>15.15</v>
      </c>
      <c r="K3351" s="9" t="str">
        <f>TEXT(Sales_of_Jordan[[#This Row],[Sale_Date]],"mmm")</f>
        <v>Jun</v>
      </c>
    </row>
    <row r="3352" spans="1:11" x14ac:dyDescent="0.35">
      <c r="A3352" s="7" t="s">
        <v>3382</v>
      </c>
      <c r="B3352" s="8">
        <v>45640</v>
      </c>
      <c r="C3352" s="9" t="s">
        <v>16</v>
      </c>
      <c r="D3352" s="9" t="s">
        <v>39</v>
      </c>
      <c r="E3352" s="9" t="s">
        <v>13</v>
      </c>
      <c r="F3352" s="9">
        <v>171</v>
      </c>
      <c r="G3352" s="9">
        <v>117.47</v>
      </c>
      <c r="H3352" s="9" t="s">
        <v>25</v>
      </c>
      <c r="I3352" s="9">
        <v>50</v>
      </c>
      <c r="J3352" s="10">
        <v>-53.53</v>
      </c>
      <c r="K3352" s="9" t="str">
        <f>TEXT(Sales_of_Jordan[[#This Row],[Sale_Date]],"mmm")</f>
        <v>Dec</v>
      </c>
    </row>
    <row r="3353" spans="1:11" x14ac:dyDescent="0.35">
      <c r="A3353" s="7" t="s">
        <v>3383</v>
      </c>
      <c r="B3353" s="8">
        <v>45730</v>
      </c>
      <c r="C3353" s="9" t="s">
        <v>16</v>
      </c>
      <c r="D3353" s="9" t="s">
        <v>53</v>
      </c>
      <c r="E3353" s="9" t="s">
        <v>13</v>
      </c>
      <c r="F3353" s="9">
        <v>184</v>
      </c>
      <c r="G3353" s="9">
        <v>126.98</v>
      </c>
      <c r="H3353" s="9" t="s">
        <v>32</v>
      </c>
      <c r="I3353" s="9">
        <v>39</v>
      </c>
      <c r="J3353" s="10">
        <v>-57.019999999999897</v>
      </c>
      <c r="K3353" s="9" t="str">
        <f>TEXT(Sales_of_Jordan[[#This Row],[Sale_Date]],"mmm")</f>
        <v>Mar</v>
      </c>
    </row>
    <row r="3354" spans="1:11" x14ac:dyDescent="0.35">
      <c r="A3354" s="7" t="s">
        <v>3384</v>
      </c>
      <c r="B3354" s="8">
        <v>45247</v>
      </c>
      <c r="C3354" s="9" t="s">
        <v>27</v>
      </c>
      <c r="D3354" s="9" t="s">
        <v>55</v>
      </c>
      <c r="E3354" s="9" t="s">
        <v>18</v>
      </c>
      <c r="F3354" s="9">
        <v>133</v>
      </c>
      <c r="G3354" s="9">
        <v>420.32</v>
      </c>
      <c r="H3354" s="9" t="s">
        <v>23</v>
      </c>
      <c r="I3354" s="9">
        <v>48</v>
      </c>
      <c r="J3354" s="10">
        <v>287.32</v>
      </c>
      <c r="K3354" s="9" t="str">
        <f>TEXT(Sales_of_Jordan[[#This Row],[Sale_Date]],"mmm")</f>
        <v>Nov</v>
      </c>
    </row>
    <row r="3355" spans="1:11" x14ac:dyDescent="0.35">
      <c r="A3355" s="7" t="s">
        <v>3385</v>
      </c>
      <c r="B3355" s="8">
        <v>45335</v>
      </c>
      <c r="C3355" s="9" t="s">
        <v>31</v>
      </c>
      <c r="D3355" s="9" t="s">
        <v>12</v>
      </c>
      <c r="E3355" s="9" t="s">
        <v>13</v>
      </c>
      <c r="F3355" s="9">
        <v>206</v>
      </c>
      <c r="G3355" s="9">
        <v>149.47</v>
      </c>
      <c r="H3355" s="9" t="s">
        <v>23</v>
      </c>
      <c r="I3355" s="9">
        <v>35</v>
      </c>
      <c r="J3355" s="10">
        <v>-56.53</v>
      </c>
      <c r="K3355" s="9" t="str">
        <f>TEXT(Sales_of_Jordan[[#This Row],[Sale_Date]],"mmm")</f>
        <v>Feb</v>
      </c>
    </row>
    <row r="3356" spans="1:11" x14ac:dyDescent="0.35">
      <c r="A3356" s="7" t="s">
        <v>3386</v>
      </c>
      <c r="B3356" s="8">
        <v>45862</v>
      </c>
      <c r="C3356" s="9" t="s">
        <v>31</v>
      </c>
      <c r="D3356" s="9" t="s">
        <v>53</v>
      </c>
      <c r="E3356" s="9" t="s">
        <v>29</v>
      </c>
      <c r="F3356" s="9">
        <v>209</v>
      </c>
      <c r="G3356" s="9">
        <v>247.99</v>
      </c>
      <c r="H3356" s="9" t="s">
        <v>23</v>
      </c>
      <c r="I3356" s="9">
        <v>42</v>
      </c>
      <c r="J3356" s="10">
        <v>38.99</v>
      </c>
      <c r="K3356" s="9" t="str">
        <f>TEXT(Sales_of_Jordan[[#This Row],[Sale_Date]],"mmm")</f>
        <v>Jul</v>
      </c>
    </row>
    <row r="3357" spans="1:11" x14ac:dyDescent="0.35">
      <c r="A3357" s="7" t="s">
        <v>3387</v>
      </c>
      <c r="B3357" s="8">
        <v>45410</v>
      </c>
      <c r="C3357" s="9" t="s">
        <v>27</v>
      </c>
      <c r="D3357" s="9" t="s">
        <v>36</v>
      </c>
      <c r="E3357" s="9" t="s">
        <v>13</v>
      </c>
      <c r="F3357" s="9">
        <v>119</v>
      </c>
      <c r="G3357" s="9">
        <v>67.44</v>
      </c>
      <c r="H3357" s="9" t="s">
        <v>23</v>
      </c>
      <c r="I3357" s="9">
        <v>33</v>
      </c>
      <c r="J3357" s="10">
        <v>-51.56</v>
      </c>
      <c r="K3357" s="9" t="str">
        <f>TEXT(Sales_of_Jordan[[#This Row],[Sale_Date]],"mmm")</f>
        <v>Apr</v>
      </c>
    </row>
    <row r="3358" spans="1:11" x14ac:dyDescent="0.35">
      <c r="A3358" s="7" t="s">
        <v>3388</v>
      </c>
      <c r="B3358" s="8">
        <v>45069</v>
      </c>
      <c r="C3358" s="9" t="s">
        <v>21</v>
      </c>
      <c r="D3358" s="9" t="s">
        <v>22</v>
      </c>
      <c r="E3358" s="9" t="s">
        <v>18</v>
      </c>
      <c r="F3358" s="9">
        <v>224</v>
      </c>
      <c r="G3358" s="9">
        <v>326.32</v>
      </c>
      <c r="H3358" s="9" t="s">
        <v>19</v>
      </c>
      <c r="I3358" s="9">
        <v>3</v>
      </c>
      <c r="J3358" s="10">
        <v>102.32</v>
      </c>
      <c r="K3358" s="9" t="str">
        <f>TEXT(Sales_of_Jordan[[#This Row],[Sale_Date]],"mmm")</f>
        <v>May</v>
      </c>
    </row>
    <row r="3359" spans="1:11" x14ac:dyDescent="0.35">
      <c r="A3359" s="7" t="s">
        <v>3389</v>
      </c>
      <c r="B3359" s="8">
        <v>45651</v>
      </c>
      <c r="C3359" s="9" t="s">
        <v>31</v>
      </c>
      <c r="D3359" s="9" t="s">
        <v>34</v>
      </c>
      <c r="E3359" s="9" t="s">
        <v>18</v>
      </c>
      <c r="F3359" s="9">
        <v>203</v>
      </c>
      <c r="G3359" s="9">
        <v>343.1</v>
      </c>
      <c r="H3359" s="9" t="s">
        <v>32</v>
      </c>
      <c r="I3359" s="9">
        <v>41</v>
      </c>
      <c r="J3359" s="10">
        <v>140.1</v>
      </c>
      <c r="K3359" s="9" t="str">
        <f>TEXT(Sales_of_Jordan[[#This Row],[Sale_Date]],"mmm")</f>
        <v>Dec</v>
      </c>
    </row>
    <row r="3360" spans="1:11" x14ac:dyDescent="0.35">
      <c r="A3360" s="7" t="s">
        <v>3390</v>
      </c>
      <c r="B3360" s="8">
        <v>45472</v>
      </c>
      <c r="C3360" s="9" t="s">
        <v>27</v>
      </c>
      <c r="D3360" s="9" t="s">
        <v>34</v>
      </c>
      <c r="E3360" s="9" t="s">
        <v>29</v>
      </c>
      <c r="F3360" s="9">
        <v>135</v>
      </c>
      <c r="G3360" s="9">
        <v>123.57</v>
      </c>
      <c r="H3360" s="9" t="s">
        <v>25</v>
      </c>
      <c r="I3360" s="9">
        <v>28</v>
      </c>
      <c r="J3360" s="10">
        <v>-11.43</v>
      </c>
      <c r="K3360" s="9" t="str">
        <f>TEXT(Sales_of_Jordan[[#This Row],[Sale_Date]],"mmm")</f>
        <v>Jun</v>
      </c>
    </row>
    <row r="3361" spans="1:11" x14ac:dyDescent="0.35">
      <c r="A3361" s="7" t="s">
        <v>3391</v>
      </c>
      <c r="B3361" s="8">
        <v>45414</v>
      </c>
      <c r="C3361" s="9" t="s">
        <v>31</v>
      </c>
      <c r="D3361" s="9" t="s">
        <v>17</v>
      </c>
      <c r="E3361" s="9" t="s">
        <v>29</v>
      </c>
      <c r="F3361" s="9">
        <v>204</v>
      </c>
      <c r="G3361" s="9">
        <v>266.5</v>
      </c>
      <c r="H3361" s="9" t="s">
        <v>14</v>
      </c>
      <c r="I3361" s="9">
        <v>13</v>
      </c>
      <c r="J3361" s="10">
        <v>62.5</v>
      </c>
      <c r="K3361" s="9" t="str">
        <f>TEXT(Sales_of_Jordan[[#This Row],[Sale_Date]],"mmm")</f>
        <v>May</v>
      </c>
    </row>
    <row r="3362" spans="1:11" x14ac:dyDescent="0.35">
      <c r="A3362" s="7" t="s">
        <v>3392</v>
      </c>
      <c r="B3362" s="8">
        <v>45895</v>
      </c>
      <c r="C3362" s="9" t="s">
        <v>11</v>
      </c>
      <c r="D3362" s="9" t="s">
        <v>12</v>
      </c>
      <c r="E3362" s="9" t="s">
        <v>29</v>
      </c>
      <c r="F3362" s="9">
        <v>226</v>
      </c>
      <c r="G3362" s="9">
        <v>251.84</v>
      </c>
      <c r="H3362" s="9" t="s">
        <v>19</v>
      </c>
      <c r="I3362" s="9">
        <v>3</v>
      </c>
      <c r="J3362" s="10">
        <v>25.84</v>
      </c>
      <c r="K3362" s="9" t="str">
        <f>TEXT(Sales_of_Jordan[[#This Row],[Sale_Date]],"mmm")</f>
        <v>Aug</v>
      </c>
    </row>
    <row r="3363" spans="1:11" x14ac:dyDescent="0.35">
      <c r="A3363" s="7" t="s">
        <v>3393</v>
      </c>
      <c r="B3363" s="8">
        <v>45322</v>
      </c>
      <c r="C3363" s="9" t="s">
        <v>11</v>
      </c>
      <c r="D3363" s="9" t="s">
        <v>17</v>
      </c>
      <c r="E3363" s="9" t="s">
        <v>18</v>
      </c>
      <c r="F3363" s="9">
        <v>230</v>
      </c>
      <c r="G3363" s="9">
        <v>599.02</v>
      </c>
      <c r="H3363" s="9" t="s">
        <v>14</v>
      </c>
      <c r="I3363" s="9">
        <v>14</v>
      </c>
      <c r="J3363" s="10">
        <v>369.02</v>
      </c>
      <c r="K3363" s="9" t="str">
        <f>TEXT(Sales_of_Jordan[[#This Row],[Sale_Date]],"mmm")</f>
        <v>Jan</v>
      </c>
    </row>
    <row r="3364" spans="1:11" x14ac:dyDescent="0.35">
      <c r="A3364" s="7" t="s">
        <v>3394</v>
      </c>
      <c r="B3364" s="8">
        <v>44939</v>
      </c>
      <c r="C3364" s="9" t="s">
        <v>31</v>
      </c>
      <c r="D3364" s="9" t="s">
        <v>17</v>
      </c>
      <c r="E3364" s="9" t="s">
        <v>18</v>
      </c>
      <c r="F3364" s="9">
        <v>204</v>
      </c>
      <c r="G3364" s="9">
        <v>547.86</v>
      </c>
      <c r="H3364" s="9" t="s">
        <v>25</v>
      </c>
      <c r="I3364" s="9">
        <v>43</v>
      </c>
      <c r="J3364" s="10">
        <v>343.86</v>
      </c>
      <c r="K3364" s="9" t="str">
        <f>TEXT(Sales_of_Jordan[[#This Row],[Sale_Date]],"mmm")</f>
        <v>Jan</v>
      </c>
    </row>
    <row r="3365" spans="1:11" x14ac:dyDescent="0.35">
      <c r="A3365" s="7" t="s">
        <v>3395</v>
      </c>
      <c r="B3365" s="8">
        <v>45584</v>
      </c>
      <c r="C3365" s="9" t="s">
        <v>16</v>
      </c>
      <c r="D3365" s="9" t="s">
        <v>46</v>
      </c>
      <c r="E3365" s="9" t="s">
        <v>29</v>
      </c>
      <c r="F3365" s="9">
        <v>181</v>
      </c>
      <c r="G3365" s="9">
        <v>241.6</v>
      </c>
      <c r="H3365" s="9" t="s">
        <v>23</v>
      </c>
      <c r="I3365" s="9">
        <v>5</v>
      </c>
      <c r="J3365" s="10">
        <v>60.599999999999902</v>
      </c>
      <c r="K3365" s="9" t="str">
        <f>TEXT(Sales_of_Jordan[[#This Row],[Sale_Date]],"mmm")</f>
        <v>Oct</v>
      </c>
    </row>
    <row r="3366" spans="1:11" x14ac:dyDescent="0.35">
      <c r="A3366" s="7" t="s">
        <v>3396</v>
      </c>
      <c r="B3366" s="8">
        <v>45511</v>
      </c>
      <c r="C3366" s="9" t="s">
        <v>16</v>
      </c>
      <c r="D3366" s="9" t="s">
        <v>46</v>
      </c>
      <c r="E3366" s="9" t="s">
        <v>13</v>
      </c>
      <c r="F3366" s="9">
        <v>171</v>
      </c>
      <c r="G3366" s="9">
        <v>93.11</v>
      </c>
      <c r="H3366" s="9" t="s">
        <v>25</v>
      </c>
      <c r="I3366" s="9">
        <v>16</v>
      </c>
      <c r="J3366" s="10">
        <v>-77.89</v>
      </c>
      <c r="K3366" s="9" t="str">
        <f>TEXT(Sales_of_Jordan[[#This Row],[Sale_Date]],"mmm")</f>
        <v>Aug</v>
      </c>
    </row>
    <row r="3367" spans="1:11" x14ac:dyDescent="0.35">
      <c r="A3367" s="7" t="s">
        <v>3397</v>
      </c>
      <c r="B3367" s="8">
        <v>45414</v>
      </c>
      <c r="C3367" s="9" t="s">
        <v>27</v>
      </c>
      <c r="D3367" s="9" t="s">
        <v>39</v>
      </c>
      <c r="E3367" s="9" t="s">
        <v>29</v>
      </c>
      <c r="F3367" s="9">
        <v>136</v>
      </c>
      <c r="G3367" s="9">
        <v>152.94999999999999</v>
      </c>
      <c r="H3367" s="9" t="s">
        <v>23</v>
      </c>
      <c r="I3367" s="9">
        <v>11</v>
      </c>
      <c r="J3367" s="10">
        <v>16.9499999999999</v>
      </c>
      <c r="K3367" s="9" t="str">
        <f>TEXT(Sales_of_Jordan[[#This Row],[Sale_Date]],"mmm")</f>
        <v>May</v>
      </c>
    </row>
    <row r="3368" spans="1:11" x14ac:dyDescent="0.35">
      <c r="A3368" s="7" t="s">
        <v>3398</v>
      </c>
      <c r="B3368" s="8">
        <v>44927</v>
      </c>
      <c r="C3368" s="9" t="s">
        <v>27</v>
      </c>
      <c r="D3368" s="9" t="s">
        <v>34</v>
      </c>
      <c r="E3368" s="9" t="s">
        <v>13</v>
      </c>
      <c r="F3368" s="9">
        <v>110</v>
      </c>
      <c r="G3368" s="9">
        <v>64.819999999999993</v>
      </c>
      <c r="H3368" s="9" t="s">
        <v>14</v>
      </c>
      <c r="I3368" s="9">
        <v>3</v>
      </c>
      <c r="J3368" s="10">
        <v>-45.18</v>
      </c>
      <c r="K3368" s="9" t="str">
        <f>TEXT(Sales_of_Jordan[[#This Row],[Sale_Date]],"mmm")</f>
        <v>Jan</v>
      </c>
    </row>
    <row r="3369" spans="1:11" x14ac:dyDescent="0.35">
      <c r="A3369" s="7" t="s">
        <v>3399</v>
      </c>
      <c r="B3369" s="8">
        <v>45774</v>
      </c>
      <c r="C3369" s="9" t="s">
        <v>31</v>
      </c>
      <c r="D3369" s="9" t="s">
        <v>55</v>
      </c>
      <c r="E3369" s="9" t="s">
        <v>13</v>
      </c>
      <c r="F3369" s="9">
        <v>209</v>
      </c>
      <c r="G3369" s="9">
        <v>122.27</v>
      </c>
      <c r="H3369" s="9" t="s">
        <v>32</v>
      </c>
      <c r="I3369" s="9">
        <v>16</v>
      </c>
      <c r="J3369" s="10">
        <v>-86.73</v>
      </c>
      <c r="K3369" s="9" t="str">
        <f>TEXT(Sales_of_Jordan[[#This Row],[Sale_Date]],"mmm")</f>
        <v>Apr</v>
      </c>
    </row>
    <row r="3370" spans="1:11" x14ac:dyDescent="0.35">
      <c r="A3370" s="7" t="s">
        <v>3400</v>
      </c>
      <c r="B3370" s="8">
        <v>45025</v>
      </c>
      <c r="C3370" s="9" t="s">
        <v>31</v>
      </c>
      <c r="D3370" s="9" t="s">
        <v>36</v>
      </c>
      <c r="E3370" s="9" t="s">
        <v>29</v>
      </c>
      <c r="F3370" s="9">
        <v>204</v>
      </c>
      <c r="G3370" s="9">
        <v>254.76</v>
      </c>
      <c r="H3370" s="9" t="s">
        <v>14</v>
      </c>
      <c r="I3370" s="9">
        <v>9</v>
      </c>
      <c r="J3370" s="10">
        <v>50.759999999999899</v>
      </c>
      <c r="K3370" s="9" t="str">
        <f>TEXT(Sales_of_Jordan[[#This Row],[Sale_Date]],"mmm")</f>
        <v>Apr</v>
      </c>
    </row>
    <row r="3371" spans="1:11" x14ac:dyDescent="0.35">
      <c r="A3371" s="7" t="s">
        <v>3401</v>
      </c>
      <c r="B3371" s="8">
        <v>45252</v>
      </c>
      <c r="C3371" s="9" t="s">
        <v>27</v>
      </c>
      <c r="D3371" s="9" t="s">
        <v>36</v>
      </c>
      <c r="E3371" s="9" t="s">
        <v>13</v>
      </c>
      <c r="F3371" s="9">
        <v>113</v>
      </c>
      <c r="G3371" s="9">
        <v>58.04</v>
      </c>
      <c r="H3371" s="9" t="s">
        <v>14</v>
      </c>
      <c r="I3371" s="9">
        <v>4</v>
      </c>
      <c r="J3371" s="10">
        <v>-54.96</v>
      </c>
      <c r="K3371" s="9" t="str">
        <f>TEXT(Sales_of_Jordan[[#This Row],[Sale_Date]],"mmm")</f>
        <v>Nov</v>
      </c>
    </row>
    <row r="3372" spans="1:11" x14ac:dyDescent="0.35">
      <c r="A3372" s="7" t="s">
        <v>3402</v>
      </c>
      <c r="B3372" s="8">
        <v>45130</v>
      </c>
      <c r="C3372" s="9" t="s">
        <v>21</v>
      </c>
      <c r="D3372" s="9" t="s">
        <v>22</v>
      </c>
      <c r="E3372" s="9" t="s">
        <v>13</v>
      </c>
      <c r="F3372" s="9">
        <v>213</v>
      </c>
      <c r="G3372" s="9">
        <v>153.52000000000001</v>
      </c>
      <c r="H3372" s="9" t="s">
        <v>14</v>
      </c>
      <c r="I3372" s="9">
        <v>7</v>
      </c>
      <c r="J3372" s="10">
        <v>-59.479999999999897</v>
      </c>
      <c r="K3372" s="9" t="str">
        <f>TEXT(Sales_of_Jordan[[#This Row],[Sale_Date]],"mmm")</f>
        <v>Jul</v>
      </c>
    </row>
    <row r="3373" spans="1:11" x14ac:dyDescent="0.35">
      <c r="A3373" s="7" t="s">
        <v>3403</v>
      </c>
      <c r="B3373" s="8">
        <v>45618</v>
      </c>
      <c r="C3373" s="9" t="s">
        <v>16</v>
      </c>
      <c r="D3373" s="9" t="s">
        <v>53</v>
      </c>
      <c r="E3373" s="9" t="s">
        <v>18</v>
      </c>
      <c r="F3373" s="9">
        <v>184</v>
      </c>
      <c r="G3373" s="9">
        <v>596.29999999999995</v>
      </c>
      <c r="H3373" s="9" t="s">
        <v>14</v>
      </c>
      <c r="I3373" s="9">
        <v>1</v>
      </c>
      <c r="J3373" s="10">
        <v>412.29999999999899</v>
      </c>
      <c r="K3373" s="9" t="str">
        <f>TEXT(Sales_of_Jordan[[#This Row],[Sale_Date]],"mmm")</f>
        <v>Nov</v>
      </c>
    </row>
    <row r="3374" spans="1:11" x14ac:dyDescent="0.35">
      <c r="A3374" s="7" t="s">
        <v>3404</v>
      </c>
      <c r="B3374" s="8">
        <v>45666</v>
      </c>
      <c r="C3374" s="9" t="s">
        <v>27</v>
      </c>
      <c r="D3374" s="9" t="s">
        <v>55</v>
      </c>
      <c r="E3374" s="9" t="s">
        <v>18</v>
      </c>
      <c r="F3374" s="9">
        <v>133</v>
      </c>
      <c r="G3374" s="9">
        <v>292.12</v>
      </c>
      <c r="H3374" s="9" t="s">
        <v>32</v>
      </c>
      <c r="I3374" s="9">
        <v>38</v>
      </c>
      <c r="J3374" s="10">
        <v>159.12</v>
      </c>
      <c r="K3374" s="9" t="str">
        <f>TEXT(Sales_of_Jordan[[#This Row],[Sale_Date]],"mmm")</f>
        <v>Jan</v>
      </c>
    </row>
    <row r="3375" spans="1:11" x14ac:dyDescent="0.35">
      <c r="A3375" s="7" t="s">
        <v>3405</v>
      </c>
      <c r="B3375" s="8">
        <v>45771</v>
      </c>
      <c r="C3375" s="9" t="s">
        <v>21</v>
      </c>
      <c r="D3375" s="9" t="s">
        <v>12</v>
      </c>
      <c r="E3375" s="9" t="s">
        <v>29</v>
      </c>
      <c r="F3375" s="9">
        <v>210</v>
      </c>
      <c r="G3375" s="9">
        <v>196.04</v>
      </c>
      <c r="H3375" s="9" t="s">
        <v>14</v>
      </c>
      <c r="I3375" s="9">
        <v>13</v>
      </c>
      <c r="J3375" s="10">
        <v>-13.96</v>
      </c>
      <c r="K3375" s="9" t="str">
        <f>TEXT(Sales_of_Jordan[[#This Row],[Sale_Date]],"mmm")</f>
        <v>Apr</v>
      </c>
    </row>
    <row r="3376" spans="1:11" x14ac:dyDescent="0.35">
      <c r="A3376" s="7" t="s">
        <v>3406</v>
      </c>
      <c r="B3376" s="8">
        <v>45545</v>
      </c>
      <c r="C3376" s="9" t="s">
        <v>11</v>
      </c>
      <c r="D3376" s="9" t="s">
        <v>22</v>
      </c>
      <c r="E3376" s="9" t="s">
        <v>13</v>
      </c>
      <c r="F3376" s="9">
        <v>226</v>
      </c>
      <c r="G3376" s="9">
        <v>179.4</v>
      </c>
      <c r="H3376" s="9" t="s">
        <v>23</v>
      </c>
      <c r="I3376" s="9">
        <v>13</v>
      </c>
      <c r="J3376" s="10">
        <v>-46.599999999999902</v>
      </c>
      <c r="K3376" s="9" t="str">
        <f>TEXT(Sales_of_Jordan[[#This Row],[Sale_Date]],"mmm")</f>
        <v>Sep</v>
      </c>
    </row>
    <row r="3377" spans="1:11" x14ac:dyDescent="0.35">
      <c r="A3377" s="7" t="s">
        <v>3407</v>
      </c>
      <c r="B3377" s="8">
        <v>45622</v>
      </c>
      <c r="C3377" s="9" t="s">
        <v>21</v>
      </c>
      <c r="D3377" s="9" t="s">
        <v>12</v>
      </c>
      <c r="E3377" s="9" t="s">
        <v>18</v>
      </c>
      <c r="F3377" s="9">
        <v>213</v>
      </c>
      <c r="G3377" s="9">
        <v>417.48</v>
      </c>
      <c r="H3377" s="9" t="s">
        <v>14</v>
      </c>
      <c r="I3377" s="9">
        <v>6</v>
      </c>
      <c r="J3377" s="10">
        <v>204.48</v>
      </c>
      <c r="K3377" s="9" t="str">
        <f>TEXT(Sales_of_Jordan[[#This Row],[Sale_Date]],"mmm")</f>
        <v>Nov</v>
      </c>
    </row>
    <row r="3378" spans="1:11" x14ac:dyDescent="0.35">
      <c r="A3378" s="7" t="s">
        <v>3408</v>
      </c>
      <c r="B3378" s="8">
        <v>45834</v>
      </c>
      <c r="C3378" s="9" t="s">
        <v>31</v>
      </c>
      <c r="D3378" s="9" t="s">
        <v>36</v>
      </c>
      <c r="E3378" s="9" t="s">
        <v>18</v>
      </c>
      <c r="F3378" s="9">
        <v>208</v>
      </c>
      <c r="G3378" s="9">
        <v>658.08</v>
      </c>
      <c r="H3378" s="9" t="s">
        <v>23</v>
      </c>
      <c r="I3378" s="9">
        <v>59</v>
      </c>
      <c r="J3378" s="10">
        <v>450.08</v>
      </c>
      <c r="K3378" s="9" t="str">
        <f>TEXT(Sales_of_Jordan[[#This Row],[Sale_Date]],"mmm")</f>
        <v>Jun</v>
      </c>
    </row>
    <row r="3379" spans="1:11" x14ac:dyDescent="0.35">
      <c r="A3379" s="7" t="s">
        <v>3409</v>
      </c>
      <c r="B3379" s="8">
        <v>45779</v>
      </c>
      <c r="C3379" s="9" t="s">
        <v>16</v>
      </c>
      <c r="D3379" s="9" t="s">
        <v>53</v>
      </c>
      <c r="E3379" s="9" t="s">
        <v>13</v>
      </c>
      <c r="F3379" s="9">
        <v>186</v>
      </c>
      <c r="G3379" s="9">
        <v>111.94</v>
      </c>
      <c r="H3379" s="9" t="s">
        <v>19</v>
      </c>
      <c r="I3379" s="9">
        <v>2</v>
      </c>
      <c r="J3379" s="10">
        <v>-74.06</v>
      </c>
      <c r="K3379" s="9" t="str">
        <f>TEXT(Sales_of_Jordan[[#This Row],[Sale_Date]],"mmm")</f>
        <v>May</v>
      </c>
    </row>
    <row r="3380" spans="1:11" x14ac:dyDescent="0.35">
      <c r="A3380" s="7" t="s">
        <v>3410</v>
      </c>
      <c r="B3380" s="8">
        <v>45710</v>
      </c>
      <c r="C3380" s="9" t="s">
        <v>16</v>
      </c>
      <c r="D3380" s="9" t="s">
        <v>17</v>
      </c>
      <c r="E3380" s="9" t="s">
        <v>29</v>
      </c>
      <c r="F3380" s="9">
        <v>181</v>
      </c>
      <c r="G3380" s="9">
        <v>194.36</v>
      </c>
      <c r="H3380" s="9" t="s">
        <v>14</v>
      </c>
      <c r="I3380" s="9">
        <v>14</v>
      </c>
      <c r="J3380" s="10">
        <v>13.36</v>
      </c>
      <c r="K3380" s="9" t="str">
        <f>TEXT(Sales_of_Jordan[[#This Row],[Sale_Date]],"mmm")</f>
        <v>Feb</v>
      </c>
    </row>
    <row r="3381" spans="1:11" x14ac:dyDescent="0.35">
      <c r="A3381" s="7" t="s">
        <v>3411</v>
      </c>
      <c r="B3381" s="8">
        <v>45905</v>
      </c>
      <c r="C3381" s="9" t="s">
        <v>21</v>
      </c>
      <c r="D3381" s="9" t="s">
        <v>12</v>
      </c>
      <c r="E3381" s="9" t="s">
        <v>29</v>
      </c>
      <c r="F3381" s="9">
        <v>213</v>
      </c>
      <c r="G3381" s="9">
        <v>272.16000000000003</v>
      </c>
      <c r="H3381" s="9" t="s">
        <v>14</v>
      </c>
      <c r="I3381" s="9">
        <v>6</v>
      </c>
      <c r="J3381" s="10">
        <v>59.16</v>
      </c>
      <c r="K3381" s="9" t="str">
        <f>TEXT(Sales_of_Jordan[[#This Row],[Sale_Date]],"mmm")</f>
        <v>Sep</v>
      </c>
    </row>
    <row r="3382" spans="1:11" x14ac:dyDescent="0.35">
      <c r="A3382" s="7" t="s">
        <v>3412</v>
      </c>
      <c r="B3382" s="8">
        <v>45660</v>
      </c>
      <c r="C3382" s="9" t="s">
        <v>21</v>
      </c>
      <c r="D3382" s="9" t="s">
        <v>53</v>
      </c>
      <c r="E3382" s="9" t="s">
        <v>29</v>
      </c>
      <c r="F3382" s="9">
        <v>225</v>
      </c>
      <c r="G3382" s="9">
        <v>298.98</v>
      </c>
      <c r="H3382" s="9" t="s">
        <v>23</v>
      </c>
      <c r="I3382" s="9">
        <v>59</v>
      </c>
      <c r="J3382" s="10">
        <v>73.98</v>
      </c>
      <c r="K3382" s="9" t="str">
        <f>TEXT(Sales_of_Jordan[[#This Row],[Sale_Date]],"mmm")</f>
        <v>Jan</v>
      </c>
    </row>
    <row r="3383" spans="1:11" x14ac:dyDescent="0.35">
      <c r="A3383" s="7" t="s">
        <v>3413</v>
      </c>
      <c r="B3383" s="8">
        <v>45099</v>
      </c>
      <c r="C3383" s="9" t="s">
        <v>27</v>
      </c>
      <c r="D3383" s="9" t="s">
        <v>55</v>
      </c>
      <c r="E3383" s="9" t="s">
        <v>13</v>
      </c>
      <c r="F3383" s="9">
        <v>115</v>
      </c>
      <c r="G3383" s="9">
        <v>59.24</v>
      </c>
      <c r="H3383" s="9" t="s">
        <v>25</v>
      </c>
      <c r="I3383" s="9">
        <v>23</v>
      </c>
      <c r="J3383" s="10">
        <v>-55.76</v>
      </c>
      <c r="K3383" s="9" t="str">
        <f>TEXT(Sales_of_Jordan[[#This Row],[Sale_Date]],"mmm")</f>
        <v>Jun</v>
      </c>
    </row>
    <row r="3384" spans="1:11" x14ac:dyDescent="0.35">
      <c r="A3384" s="7" t="s">
        <v>3414</v>
      </c>
      <c r="B3384" s="8">
        <v>45279</v>
      </c>
      <c r="C3384" s="9" t="s">
        <v>31</v>
      </c>
      <c r="D3384" s="9" t="s">
        <v>22</v>
      </c>
      <c r="E3384" s="9" t="s">
        <v>18</v>
      </c>
      <c r="F3384" s="9">
        <v>208</v>
      </c>
      <c r="G3384" s="9">
        <v>370.26</v>
      </c>
      <c r="H3384" s="9" t="s">
        <v>25</v>
      </c>
      <c r="I3384" s="9">
        <v>53</v>
      </c>
      <c r="J3384" s="10">
        <v>162.26</v>
      </c>
      <c r="K3384" s="9" t="str">
        <f>TEXT(Sales_of_Jordan[[#This Row],[Sale_Date]],"mmm")</f>
        <v>Dec</v>
      </c>
    </row>
    <row r="3385" spans="1:11" x14ac:dyDescent="0.35">
      <c r="A3385" s="7" t="s">
        <v>3415</v>
      </c>
      <c r="B3385" s="8">
        <v>44958</v>
      </c>
      <c r="C3385" s="9" t="s">
        <v>31</v>
      </c>
      <c r="D3385" s="9" t="s">
        <v>55</v>
      </c>
      <c r="E3385" s="9" t="s">
        <v>13</v>
      </c>
      <c r="F3385" s="9">
        <v>210</v>
      </c>
      <c r="G3385" s="9">
        <v>134.02000000000001</v>
      </c>
      <c r="H3385" s="9" t="s">
        <v>25</v>
      </c>
      <c r="I3385" s="9">
        <v>24</v>
      </c>
      <c r="J3385" s="10">
        <v>-75.979999999999905</v>
      </c>
      <c r="K3385" s="9" t="str">
        <f>TEXT(Sales_of_Jordan[[#This Row],[Sale_Date]],"mmm")</f>
        <v>Feb</v>
      </c>
    </row>
    <row r="3386" spans="1:11" x14ac:dyDescent="0.35">
      <c r="A3386" s="7" t="s">
        <v>3416</v>
      </c>
      <c r="B3386" s="8">
        <v>45727</v>
      </c>
      <c r="C3386" s="9" t="s">
        <v>31</v>
      </c>
      <c r="D3386" s="9" t="s">
        <v>34</v>
      </c>
      <c r="E3386" s="9" t="s">
        <v>13</v>
      </c>
      <c r="F3386" s="9">
        <v>206</v>
      </c>
      <c r="G3386" s="9">
        <v>133.46</v>
      </c>
      <c r="H3386" s="9" t="s">
        <v>14</v>
      </c>
      <c r="I3386" s="9">
        <v>4</v>
      </c>
      <c r="J3386" s="10">
        <v>-72.539999999999907</v>
      </c>
      <c r="K3386" s="9" t="str">
        <f>TEXT(Sales_of_Jordan[[#This Row],[Sale_Date]],"mmm")</f>
        <v>Mar</v>
      </c>
    </row>
    <row r="3387" spans="1:11" x14ac:dyDescent="0.35">
      <c r="A3387" s="7" t="s">
        <v>3417</v>
      </c>
      <c r="B3387" s="8">
        <v>45603</v>
      </c>
      <c r="C3387" s="9" t="s">
        <v>31</v>
      </c>
      <c r="D3387" s="9" t="s">
        <v>36</v>
      </c>
      <c r="E3387" s="9" t="s">
        <v>13</v>
      </c>
      <c r="F3387" s="9">
        <v>210</v>
      </c>
      <c r="G3387" s="9">
        <v>106.35</v>
      </c>
      <c r="H3387" s="9" t="s">
        <v>14</v>
      </c>
      <c r="I3387" s="9">
        <v>11</v>
      </c>
      <c r="J3387" s="10">
        <v>-103.65</v>
      </c>
      <c r="K3387" s="9" t="str">
        <f>TEXT(Sales_of_Jordan[[#This Row],[Sale_Date]],"mmm")</f>
        <v>Nov</v>
      </c>
    </row>
    <row r="3388" spans="1:11" x14ac:dyDescent="0.35">
      <c r="A3388" s="7" t="s">
        <v>3418</v>
      </c>
      <c r="B3388" s="8">
        <v>45492</v>
      </c>
      <c r="C3388" s="9" t="s">
        <v>31</v>
      </c>
      <c r="D3388" s="9" t="s">
        <v>22</v>
      </c>
      <c r="E3388" s="9" t="s">
        <v>13</v>
      </c>
      <c r="F3388" s="9">
        <v>202</v>
      </c>
      <c r="G3388" s="9">
        <v>144.68</v>
      </c>
      <c r="H3388" s="9" t="s">
        <v>32</v>
      </c>
      <c r="I3388" s="9">
        <v>21</v>
      </c>
      <c r="J3388" s="10">
        <v>-57.319999999999901</v>
      </c>
      <c r="K3388" s="9" t="str">
        <f>TEXT(Sales_of_Jordan[[#This Row],[Sale_Date]],"mmm")</f>
        <v>Jul</v>
      </c>
    </row>
    <row r="3389" spans="1:11" x14ac:dyDescent="0.35">
      <c r="A3389" s="7" t="s">
        <v>3419</v>
      </c>
      <c r="B3389" s="8">
        <v>45217</v>
      </c>
      <c r="C3389" s="9" t="s">
        <v>16</v>
      </c>
      <c r="D3389" s="9" t="s">
        <v>17</v>
      </c>
      <c r="E3389" s="9" t="s">
        <v>18</v>
      </c>
      <c r="F3389" s="9">
        <v>172</v>
      </c>
      <c r="G3389" s="9">
        <v>459.97</v>
      </c>
      <c r="H3389" s="9" t="s">
        <v>23</v>
      </c>
      <c r="I3389" s="9">
        <v>31</v>
      </c>
      <c r="J3389" s="10">
        <v>287.97000000000003</v>
      </c>
      <c r="K3389" s="9" t="str">
        <f>TEXT(Sales_of_Jordan[[#This Row],[Sale_Date]],"mmm")</f>
        <v>Oct</v>
      </c>
    </row>
    <row r="3390" spans="1:11" x14ac:dyDescent="0.35">
      <c r="A3390" s="7" t="s">
        <v>3420</v>
      </c>
      <c r="B3390" s="8">
        <v>44991</v>
      </c>
      <c r="C3390" s="9" t="s">
        <v>11</v>
      </c>
      <c r="D3390" s="9" t="s">
        <v>36</v>
      </c>
      <c r="E3390" s="9" t="s">
        <v>29</v>
      </c>
      <c r="F3390" s="9">
        <v>227</v>
      </c>
      <c r="G3390" s="9">
        <v>283.82</v>
      </c>
      <c r="H3390" s="9" t="s">
        <v>23</v>
      </c>
      <c r="I3390" s="9">
        <v>35</v>
      </c>
      <c r="J3390" s="10">
        <v>56.819999999999901</v>
      </c>
      <c r="K3390" s="9" t="str">
        <f>TEXT(Sales_of_Jordan[[#This Row],[Sale_Date]],"mmm")</f>
        <v>Mar</v>
      </c>
    </row>
    <row r="3391" spans="1:11" x14ac:dyDescent="0.35">
      <c r="A3391" s="7" t="s">
        <v>3421</v>
      </c>
      <c r="B3391" s="8">
        <v>45913</v>
      </c>
      <c r="C3391" s="9" t="s">
        <v>16</v>
      </c>
      <c r="D3391" s="9" t="s">
        <v>34</v>
      </c>
      <c r="E3391" s="9" t="s">
        <v>18</v>
      </c>
      <c r="F3391" s="9">
        <v>176</v>
      </c>
      <c r="G3391" s="9">
        <v>374.36</v>
      </c>
      <c r="H3391" s="9" t="s">
        <v>25</v>
      </c>
      <c r="I3391" s="9">
        <v>18</v>
      </c>
      <c r="J3391" s="10">
        <v>198.36</v>
      </c>
      <c r="K3391" s="9" t="str">
        <f>TEXT(Sales_of_Jordan[[#This Row],[Sale_Date]],"mmm")</f>
        <v>Sep</v>
      </c>
    </row>
    <row r="3392" spans="1:11" x14ac:dyDescent="0.35">
      <c r="A3392" s="7" t="s">
        <v>3422</v>
      </c>
      <c r="B3392" s="8">
        <v>45302</v>
      </c>
      <c r="C3392" s="9" t="s">
        <v>31</v>
      </c>
      <c r="D3392" s="9" t="s">
        <v>34</v>
      </c>
      <c r="E3392" s="9" t="s">
        <v>18</v>
      </c>
      <c r="F3392" s="9">
        <v>209</v>
      </c>
      <c r="G3392" s="9">
        <v>731.25</v>
      </c>
      <c r="H3392" s="9" t="s">
        <v>25</v>
      </c>
      <c r="I3392" s="9">
        <v>28</v>
      </c>
      <c r="J3392" s="10">
        <v>522.25</v>
      </c>
      <c r="K3392" s="9" t="str">
        <f>TEXT(Sales_of_Jordan[[#This Row],[Sale_Date]],"mmm")</f>
        <v>Jan</v>
      </c>
    </row>
    <row r="3393" spans="1:11" x14ac:dyDescent="0.35">
      <c r="A3393" s="7" t="s">
        <v>3423</v>
      </c>
      <c r="B3393" s="8">
        <v>45038</v>
      </c>
      <c r="C3393" s="9" t="s">
        <v>31</v>
      </c>
      <c r="D3393" s="9" t="s">
        <v>22</v>
      </c>
      <c r="E3393" s="9" t="s">
        <v>18</v>
      </c>
      <c r="F3393" s="9">
        <v>207</v>
      </c>
      <c r="G3393" s="9">
        <v>356.14</v>
      </c>
      <c r="H3393" s="9" t="s">
        <v>25</v>
      </c>
      <c r="I3393" s="9">
        <v>43</v>
      </c>
      <c r="J3393" s="10">
        <v>149.13999999999999</v>
      </c>
      <c r="K3393" s="9" t="str">
        <f>TEXT(Sales_of_Jordan[[#This Row],[Sale_Date]],"mmm")</f>
        <v>Apr</v>
      </c>
    </row>
    <row r="3394" spans="1:11" x14ac:dyDescent="0.35">
      <c r="A3394" s="7" t="s">
        <v>3424</v>
      </c>
      <c r="B3394" s="8">
        <v>45823</v>
      </c>
      <c r="C3394" s="9" t="s">
        <v>27</v>
      </c>
      <c r="D3394" s="9" t="s">
        <v>34</v>
      </c>
      <c r="E3394" s="9" t="s">
        <v>29</v>
      </c>
      <c r="F3394" s="9">
        <v>134</v>
      </c>
      <c r="G3394" s="9">
        <v>172.68</v>
      </c>
      <c r="H3394" s="9" t="s">
        <v>23</v>
      </c>
      <c r="I3394" s="9">
        <v>21</v>
      </c>
      <c r="J3394" s="10">
        <v>38.68</v>
      </c>
      <c r="K3394" s="9" t="str">
        <f>TEXT(Sales_of_Jordan[[#This Row],[Sale_Date]],"mmm")</f>
        <v>Jun</v>
      </c>
    </row>
    <row r="3395" spans="1:11" x14ac:dyDescent="0.35">
      <c r="A3395" s="7" t="s">
        <v>3425</v>
      </c>
      <c r="B3395" s="8">
        <v>45236</v>
      </c>
      <c r="C3395" s="9" t="s">
        <v>16</v>
      </c>
      <c r="D3395" s="9" t="s">
        <v>55</v>
      </c>
      <c r="E3395" s="9" t="s">
        <v>18</v>
      </c>
      <c r="F3395" s="9">
        <v>183</v>
      </c>
      <c r="G3395" s="9">
        <v>310.51</v>
      </c>
      <c r="H3395" s="9" t="s">
        <v>19</v>
      </c>
      <c r="I3395" s="9">
        <v>14</v>
      </c>
      <c r="J3395" s="10">
        <v>127.509999999999</v>
      </c>
      <c r="K3395" s="9" t="str">
        <f>TEXT(Sales_of_Jordan[[#This Row],[Sale_Date]],"mmm")</f>
        <v>Nov</v>
      </c>
    </row>
    <row r="3396" spans="1:11" x14ac:dyDescent="0.35">
      <c r="A3396" s="7" t="s">
        <v>3426</v>
      </c>
      <c r="B3396" s="8">
        <v>45909</v>
      </c>
      <c r="C3396" s="9" t="s">
        <v>27</v>
      </c>
      <c r="D3396" s="9" t="s">
        <v>34</v>
      </c>
      <c r="E3396" s="9" t="s">
        <v>29</v>
      </c>
      <c r="F3396" s="9">
        <v>119</v>
      </c>
      <c r="G3396" s="9">
        <v>143.25</v>
      </c>
      <c r="H3396" s="9" t="s">
        <v>25</v>
      </c>
      <c r="I3396" s="9">
        <v>16</v>
      </c>
      <c r="J3396" s="10">
        <v>24.25</v>
      </c>
      <c r="K3396" s="9" t="str">
        <f>TEXT(Sales_of_Jordan[[#This Row],[Sale_Date]],"mmm")</f>
        <v>Sep</v>
      </c>
    </row>
    <row r="3397" spans="1:11" x14ac:dyDescent="0.35">
      <c r="A3397" s="7" t="s">
        <v>3427</v>
      </c>
      <c r="B3397" s="8">
        <v>45231</v>
      </c>
      <c r="C3397" s="9" t="s">
        <v>27</v>
      </c>
      <c r="D3397" s="9" t="s">
        <v>36</v>
      </c>
      <c r="E3397" s="9" t="s">
        <v>18</v>
      </c>
      <c r="F3397" s="9">
        <v>131</v>
      </c>
      <c r="G3397" s="9">
        <v>392.62</v>
      </c>
      <c r="H3397" s="9" t="s">
        <v>23</v>
      </c>
      <c r="I3397" s="9">
        <v>34</v>
      </c>
      <c r="J3397" s="10">
        <v>261.62</v>
      </c>
      <c r="K3397" s="9" t="str">
        <f>TEXT(Sales_of_Jordan[[#This Row],[Sale_Date]],"mmm")</f>
        <v>Nov</v>
      </c>
    </row>
    <row r="3398" spans="1:11" x14ac:dyDescent="0.35">
      <c r="A3398" s="7" t="s">
        <v>3428</v>
      </c>
      <c r="B3398" s="8">
        <v>45059</v>
      </c>
      <c r="C3398" s="9" t="s">
        <v>11</v>
      </c>
      <c r="D3398" s="9" t="s">
        <v>53</v>
      </c>
      <c r="E3398" s="9" t="s">
        <v>13</v>
      </c>
      <c r="F3398" s="9">
        <v>225</v>
      </c>
      <c r="G3398" s="9">
        <v>120.36</v>
      </c>
      <c r="H3398" s="9" t="s">
        <v>23</v>
      </c>
      <c r="I3398" s="9">
        <v>16</v>
      </c>
      <c r="J3398" s="10">
        <v>-104.64</v>
      </c>
      <c r="K3398" s="9" t="str">
        <f>TEXT(Sales_of_Jordan[[#This Row],[Sale_Date]],"mmm")</f>
        <v>May</v>
      </c>
    </row>
    <row r="3399" spans="1:11" x14ac:dyDescent="0.35">
      <c r="A3399" s="7" t="s">
        <v>3429</v>
      </c>
      <c r="B3399" s="8">
        <v>45048</v>
      </c>
      <c r="C3399" s="9" t="s">
        <v>16</v>
      </c>
      <c r="D3399" s="9" t="s">
        <v>46</v>
      </c>
      <c r="E3399" s="9" t="s">
        <v>29</v>
      </c>
      <c r="F3399" s="9">
        <v>190</v>
      </c>
      <c r="G3399" s="9">
        <v>257.04000000000002</v>
      </c>
      <c r="H3399" s="9" t="s">
        <v>19</v>
      </c>
      <c r="I3399" s="9">
        <v>10</v>
      </c>
      <c r="J3399" s="10">
        <v>67.040000000000006</v>
      </c>
      <c r="K3399" s="9" t="str">
        <f>TEXT(Sales_of_Jordan[[#This Row],[Sale_Date]],"mmm")</f>
        <v>May</v>
      </c>
    </row>
    <row r="3400" spans="1:11" x14ac:dyDescent="0.35">
      <c r="A3400" s="7" t="s">
        <v>3430</v>
      </c>
      <c r="B3400" s="8">
        <v>45041</v>
      </c>
      <c r="C3400" s="9" t="s">
        <v>21</v>
      </c>
      <c r="D3400" s="9" t="s">
        <v>36</v>
      </c>
      <c r="E3400" s="9" t="s">
        <v>18</v>
      </c>
      <c r="F3400" s="9">
        <v>214</v>
      </c>
      <c r="G3400" s="9">
        <v>378.98</v>
      </c>
      <c r="H3400" s="9" t="s">
        <v>32</v>
      </c>
      <c r="I3400" s="9">
        <v>57</v>
      </c>
      <c r="J3400" s="10">
        <v>164.98</v>
      </c>
      <c r="K3400" s="9" t="str">
        <f>TEXT(Sales_of_Jordan[[#This Row],[Sale_Date]],"mmm")</f>
        <v>Apr</v>
      </c>
    </row>
    <row r="3401" spans="1:11" x14ac:dyDescent="0.35">
      <c r="A3401" s="7" t="s">
        <v>3431</v>
      </c>
      <c r="B3401" s="8">
        <v>45559</v>
      </c>
      <c r="C3401" s="9" t="s">
        <v>11</v>
      </c>
      <c r="D3401" s="9" t="s">
        <v>53</v>
      </c>
      <c r="E3401" s="9" t="s">
        <v>13</v>
      </c>
      <c r="F3401" s="9">
        <v>227</v>
      </c>
      <c r="G3401" s="9">
        <v>147.91999999999999</v>
      </c>
      <c r="H3401" s="9" t="s">
        <v>25</v>
      </c>
      <c r="I3401" s="9">
        <v>56</v>
      </c>
      <c r="J3401" s="10">
        <v>-79.08</v>
      </c>
      <c r="K3401" s="9" t="str">
        <f>TEXT(Sales_of_Jordan[[#This Row],[Sale_Date]],"mmm")</f>
        <v>Sep</v>
      </c>
    </row>
    <row r="3402" spans="1:11" x14ac:dyDescent="0.35">
      <c r="A3402" s="7" t="s">
        <v>3432</v>
      </c>
      <c r="B3402" s="8">
        <v>45635</v>
      </c>
      <c r="C3402" s="9" t="s">
        <v>27</v>
      </c>
      <c r="D3402" s="9" t="s">
        <v>36</v>
      </c>
      <c r="E3402" s="9" t="s">
        <v>13</v>
      </c>
      <c r="F3402" s="9">
        <v>131</v>
      </c>
      <c r="G3402" s="9">
        <v>78.53</v>
      </c>
      <c r="H3402" s="9" t="s">
        <v>32</v>
      </c>
      <c r="I3402" s="9">
        <v>16</v>
      </c>
      <c r="J3402" s="10">
        <v>-52.47</v>
      </c>
      <c r="K3402" s="9" t="str">
        <f>TEXT(Sales_of_Jordan[[#This Row],[Sale_Date]],"mmm")</f>
        <v>Dec</v>
      </c>
    </row>
    <row r="3403" spans="1:11" x14ac:dyDescent="0.35">
      <c r="A3403" s="7" t="s">
        <v>3433</v>
      </c>
      <c r="B3403" s="8">
        <v>45765</v>
      </c>
      <c r="C3403" s="9" t="s">
        <v>31</v>
      </c>
      <c r="D3403" s="9" t="s">
        <v>46</v>
      </c>
      <c r="E3403" s="9" t="s">
        <v>29</v>
      </c>
      <c r="F3403" s="9">
        <v>202</v>
      </c>
      <c r="G3403" s="9">
        <v>294.79000000000002</v>
      </c>
      <c r="H3403" s="9" t="s">
        <v>14</v>
      </c>
      <c r="I3403" s="9">
        <v>8</v>
      </c>
      <c r="J3403" s="10">
        <v>92.79</v>
      </c>
      <c r="K3403" s="9" t="str">
        <f>TEXT(Sales_of_Jordan[[#This Row],[Sale_Date]],"mmm")</f>
        <v>Apr</v>
      </c>
    </row>
    <row r="3404" spans="1:11" x14ac:dyDescent="0.35">
      <c r="A3404" s="7" t="s">
        <v>3434</v>
      </c>
      <c r="B3404" s="8">
        <v>45599</v>
      </c>
      <c r="C3404" s="9" t="s">
        <v>21</v>
      </c>
      <c r="D3404" s="9" t="s">
        <v>12</v>
      </c>
      <c r="E3404" s="9" t="s">
        <v>13</v>
      </c>
      <c r="F3404" s="9">
        <v>223</v>
      </c>
      <c r="G3404" s="9">
        <v>143.07</v>
      </c>
      <c r="H3404" s="9" t="s">
        <v>25</v>
      </c>
      <c r="I3404" s="9">
        <v>48</v>
      </c>
      <c r="J3404" s="10">
        <v>-79.930000000000007</v>
      </c>
      <c r="K3404" s="9" t="str">
        <f>TEXT(Sales_of_Jordan[[#This Row],[Sale_Date]],"mmm")</f>
        <v>Nov</v>
      </c>
    </row>
    <row r="3405" spans="1:11" x14ac:dyDescent="0.35">
      <c r="A3405" s="7" t="s">
        <v>3435</v>
      </c>
      <c r="B3405" s="8">
        <v>45301</v>
      </c>
      <c r="C3405" s="9" t="s">
        <v>31</v>
      </c>
      <c r="D3405" s="9" t="s">
        <v>12</v>
      </c>
      <c r="E3405" s="9" t="s">
        <v>18</v>
      </c>
      <c r="F3405" s="9">
        <v>203</v>
      </c>
      <c r="G3405" s="9">
        <v>298.17</v>
      </c>
      <c r="H3405" s="9" t="s">
        <v>32</v>
      </c>
      <c r="I3405" s="9">
        <v>27</v>
      </c>
      <c r="J3405" s="10">
        <v>95.17</v>
      </c>
      <c r="K3405" s="9" t="str">
        <f>TEXT(Sales_of_Jordan[[#This Row],[Sale_Date]],"mmm")</f>
        <v>Jan</v>
      </c>
    </row>
    <row r="3406" spans="1:11" x14ac:dyDescent="0.35">
      <c r="A3406" s="7" t="s">
        <v>3436</v>
      </c>
      <c r="B3406" s="8">
        <v>45877</v>
      </c>
      <c r="C3406" s="9" t="s">
        <v>27</v>
      </c>
      <c r="D3406" s="9" t="s">
        <v>36</v>
      </c>
      <c r="E3406" s="9" t="s">
        <v>18</v>
      </c>
      <c r="F3406" s="9">
        <v>133</v>
      </c>
      <c r="G3406" s="9">
        <v>245.77</v>
      </c>
      <c r="H3406" s="9" t="s">
        <v>19</v>
      </c>
      <c r="I3406" s="9">
        <v>2</v>
      </c>
      <c r="J3406" s="10">
        <v>112.77</v>
      </c>
      <c r="K3406" s="9" t="str">
        <f>TEXT(Sales_of_Jordan[[#This Row],[Sale_Date]],"mmm")</f>
        <v>Aug</v>
      </c>
    </row>
    <row r="3407" spans="1:11" x14ac:dyDescent="0.35">
      <c r="A3407" s="7" t="s">
        <v>3437</v>
      </c>
      <c r="B3407" s="8">
        <v>45777</v>
      </c>
      <c r="C3407" s="9" t="s">
        <v>21</v>
      </c>
      <c r="D3407" s="9" t="s">
        <v>12</v>
      </c>
      <c r="E3407" s="9" t="s">
        <v>13</v>
      </c>
      <c r="F3407" s="9">
        <v>212</v>
      </c>
      <c r="G3407" s="9">
        <v>161.77000000000001</v>
      </c>
      <c r="H3407" s="9" t="s">
        <v>23</v>
      </c>
      <c r="I3407" s="9">
        <v>57</v>
      </c>
      <c r="J3407" s="10">
        <v>-50.229999999999897</v>
      </c>
      <c r="K3407" s="9" t="str">
        <f>TEXT(Sales_of_Jordan[[#This Row],[Sale_Date]],"mmm")</f>
        <v>Apr</v>
      </c>
    </row>
    <row r="3408" spans="1:11" x14ac:dyDescent="0.35">
      <c r="A3408" s="7" t="s">
        <v>3438</v>
      </c>
      <c r="B3408" s="8">
        <v>45355</v>
      </c>
      <c r="C3408" s="9" t="s">
        <v>16</v>
      </c>
      <c r="D3408" s="9" t="s">
        <v>36</v>
      </c>
      <c r="E3408" s="9" t="s">
        <v>29</v>
      </c>
      <c r="F3408" s="9">
        <v>183</v>
      </c>
      <c r="G3408" s="9">
        <v>235.67</v>
      </c>
      <c r="H3408" s="9" t="s">
        <v>14</v>
      </c>
      <c r="I3408" s="9">
        <v>1</v>
      </c>
      <c r="J3408" s="10">
        <v>52.669999999999902</v>
      </c>
      <c r="K3408" s="9" t="str">
        <f>TEXT(Sales_of_Jordan[[#This Row],[Sale_Date]],"mmm")</f>
        <v>Mar</v>
      </c>
    </row>
    <row r="3409" spans="1:11" x14ac:dyDescent="0.35">
      <c r="A3409" s="7" t="s">
        <v>3439</v>
      </c>
      <c r="B3409" s="8">
        <v>45004</v>
      </c>
      <c r="C3409" s="9" t="s">
        <v>11</v>
      </c>
      <c r="D3409" s="9" t="s">
        <v>34</v>
      </c>
      <c r="E3409" s="9" t="s">
        <v>18</v>
      </c>
      <c r="F3409" s="9">
        <v>226</v>
      </c>
      <c r="G3409" s="9">
        <v>627.91</v>
      </c>
      <c r="H3409" s="9" t="s">
        <v>19</v>
      </c>
      <c r="I3409" s="9">
        <v>1</v>
      </c>
      <c r="J3409" s="10">
        <v>401.909999999999</v>
      </c>
      <c r="K3409" s="9" t="str">
        <f>TEXT(Sales_of_Jordan[[#This Row],[Sale_Date]],"mmm")</f>
        <v>Mar</v>
      </c>
    </row>
    <row r="3410" spans="1:11" x14ac:dyDescent="0.35">
      <c r="A3410" s="7" t="s">
        <v>3440</v>
      </c>
      <c r="B3410" s="8">
        <v>45879</v>
      </c>
      <c r="C3410" s="9" t="s">
        <v>11</v>
      </c>
      <c r="D3410" s="9" t="s">
        <v>34</v>
      </c>
      <c r="E3410" s="9" t="s">
        <v>13</v>
      </c>
      <c r="F3410" s="9">
        <v>226</v>
      </c>
      <c r="G3410" s="9">
        <v>133.19999999999999</v>
      </c>
      <c r="H3410" s="9" t="s">
        <v>25</v>
      </c>
      <c r="I3410" s="9">
        <v>16</v>
      </c>
      <c r="J3410" s="10">
        <v>-92.8</v>
      </c>
      <c r="K3410" s="9" t="str">
        <f>TEXT(Sales_of_Jordan[[#This Row],[Sale_Date]],"mmm")</f>
        <v>Aug</v>
      </c>
    </row>
    <row r="3411" spans="1:11" x14ac:dyDescent="0.35">
      <c r="A3411" s="7" t="s">
        <v>3441</v>
      </c>
      <c r="B3411" s="8">
        <v>45683</v>
      </c>
      <c r="C3411" s="9" t="s">
        <v>27</v>
      </c>
      <c r="D3411" s="9" t="s">
        <v>12</v>
      </c>
      <c r="E3411" s="9" t="s">
        <v>13</v>
      </c>
      <c r="F3411" s="9">
        <v>110</v>
      </c>
      <c r="G3411" s="9">
        <v>65.209999999999994</v>
      </c>
      <c r="H3411" s="9" t="s">
        <v>19</v>
      </c>
      <c r="I3411" s="9">
        <v>9</v>
      </c>
      <c r="J3411" s="10">
        <v>-44.79</v>
      </c>
      <c r="K3411" s="9" t="str">
        <f>TEXT(Sales_of_Jordan[[#This Row],[Sale_Date]],"mmm")</f>
        <v>Jan</v>
      </c>
    </row>
    <row r="3412" spans="1:11" x14ac:dyDescent="0.35">
      <c r="A3412" s="7" t="s">
        <v>3442</v>
      </c>
      <c r="B3412" s="8">
        <v>45225</v>
      </c>
      <c r="C3412" s="9" t="s">
        <v>31</v>
      </c>
      <c r="D3412" s="9" t="s">
        <v>55</v>
      </c>
      <c r="E3412" s="9" t="s">
        <v>29</v>
      </c>
      <c r="F3412" s="9">
        <v>210</v>
      </c>
      <c r="G3412" s="9">
        <v>195.57</v>
      </c>
      <c r="H3412" s="9" t="s">
        <v>23</v>
      </c>
      <c r="I3412" s="9">
        <v>11</v>
      </c>
      <c r="J3412" s="10">
        <v>-14.43</v>
      </c>
      <c r="K3412" s="9" t="str">
        <f>TEXT(Sales_of_Jordan[[#This Row],[Sale_Date]],"mmm")</f>
        <v>Oct</v>
      </c>
    </row>
    <row r="3413" spans="1:11" x14ac:dyDescent="0.35">
      <c r="A3413" s="7" t="s">
        <v>3443</v>
      </c>
      <c r="B3413" s="8">
        <v>45437</v>
      </c>
      <c r="C3413" s="9" t="s">
        <v>21</v>
      </c>
      <c r="D3413" s="9" t="s">
        <v>53</v>
      </c>
      <c r="E3413" s="9" t="s">
        <v>13</v>
      </c>
      <c r="F3413" s="9">
        <v>217</v>
      </c>
      <c r="G3413" s="9">
        <v>179.01</v>
      </c>
      <c r="H3413" s="9" t="s">
        <v>25</v>
      </c>
      <c r="I3413" s="9">
        <v>21</v>
      </c>
      <c r="J3413" s="10">
        <v>-37.99</v>
      </c>
      <c r="K3413" s="9" t="str">
        <f>TEXT(Sales_of_Jordan[[#This Row],[Sale_Date]],"mmm")</f>
        <v>May</v>
      </c>
    </row>
    <row r="3414" spans="1:11" x14ac:dyDescent="0.35">
      <c r="A3414" s="7" t="s">
        <v>3444</v>
      </c>
      <c r="B3414" s="8">
        <v>45491</v>
      </c>
      <c r="C3414" s="9" t="s">
        <v>31</v>
      </c>
      <c r="D3414" s="9" t="s">
        <v>36</v>
      </c>
      <c r="E3414" s="9" t="s">
        <v>13</v>
      </c>
      <c r="F3414" s="9">
        <v>208</v>
      </c>
      <c r="G3414" s="9">
        <v>106.56</v>
      </c>
      <c r="H3414" s="9" t="s">
        <v>23</v>
      </c>
      <c r="I3414" s="9">
        <v>36</v>
      </c>
      <c r="J3414" s="10">
        <v>-101.44</v>
      </c>
      <c r="K3414" s="9" t="str">
        <f>TEXT(Sales_of_Jordan[[#This Row],[Sale_Date]],"mmm")</f>
        <v>Jul</v>
      </c>
    </row>
    <row r="3415" spans="1:11" x14ac:dyDescent="0.35">
      <c r="A3415" s="7" t="s">
        <v>3445</v>
      </c>
      <c r="B3415" s="8">
        <v>45735</v>
      </c>
      <c r="C3415" s="9" t="s">
        <v>27</v>
      </c>
      <c r="D3415" s="9" t="s">
        <v>22</v>
      </c>
      <c r="E3415" s="9" t="s">
        <v>29</v>
      </c>
      <c r="F3415" s="9">
        <v>138</v>
      </c>
      <c r="G3415" s="9">
        <v>153.77000000000001</v>
      </c>
      <c r="H3415" s="9" t="s">
        <v>32</v>
      </c>
      <c r="I3415" s="9">
        <v>33</v>
      </c>
      <c r="J3415" s="10">
        <v>15.77</v>
      </c>
      <c r="K3415" s="9" t="str">
        <f>TEXT(Sales_of_Jordan[[#This Row],[Sale_Date]],"mmm")</f>
        <v>Mar</v>
      </c>
    </row>
    <row r="3416" spans="1:11" x14ac:dyDescent="0.35">
      <c r="A3416" s="7" t="s">
        <v>3446</v>
      </c>
      <c r="B3416" s="8">
        <v>45482</v>
      </c>
      <c r="C3416" s="9" t="s">
        <v>31</v>
      </c>
      <c r="D3416" s="9" t="s">
        <v>53</v>
      </c>
      <c r="E3416" s="9" t="s">
        <v>13</v>
      </c>
      <c r="F3416" s="9">
        <v>200</v>
      </c>
      <c r="G3416" s="9">
        <v>125.62</v>
      </c>
      <c r="H3416" s="9" t="s">
        <v>14</v>
      </c>
      <c r="I3416" s="9">
        <v>1</v>
      </c>
      <c r="J3416" s="10">
        <v>-74.38</v>
      </c>
      <c r="K3416" s="9" t="str">
        <f>TEXT(Sales_of_Jordan[[#This Row],[Sale_Date]],"mmm")</f>
        <v>Jul</v>
      </c>
    </row>
    <row r="3417" spans="1:11" x14ac:dyDescent="0.35">
      <c r="A3417" s="7" t="s">
        <v>3447</v>
      </c>
      <c r="B3417" s="8">
        <v>45053</v>
      </c>
      <c r="C3417" s="9" t="s">
        <v>11</v>
      </c>
      <c r="D3417" s="9" t="s">
        <v>22</v>
      </c>
      <c r="E3417" s="9" t="s">
        <v>13</v>
      </c>
      <c r="F3417" s="9">
        <v>228</v>
      </c>
      <c r="G3417" s="9">
        <v>170.54</v>
      </c>
      <c r="H3417" s="9" t="s">
        <v>14</v>
      </c>
      <c r="I3417" s="9">
        <v>1</v>
      </c>
      <c r="J3417" s="10">
        <v>-57.46</v>
      </c>
      <c r="K3417" s="9" t="str">
        <f>TEXT(Sales_of_Jordan[[#This Row],[Sale_Date]],"mmm")</f>
        <v>May</v>
      </c>
    </row>
    <row r="3418" spans="1:11" x14ac:dyDescent="0.35">
      <c r="A3418" s="7" t="s">
        <v>3448</v>
      </c>
      <c r="B3418" s="8">
        <v>45278</v>
      </c>
      <c r="C3418" s="9" t="s">
        <v>21</v>
      </c>
      <c r="D3418" s="9" t="s">
        <v>46</v>
      </c>
      <c r="E3418" s="9" t="s">
        <v>18</v>
      </c>
      <c r="F3418" s="9">
        <v>219</v>
      </c>
      <c r="G3418" s="9">
        <v>475.96</v>
      </c>
      <c r="H3418" s="9" t="s">
        <v>23</v>
      </c>
      <c r="I3418" s="9">
        <v>51</v>
      </c>
      <c r="J3418" s="10">
        <v>256.95999999999998</v>
      </c>
      <c r="K3418" s="9" t="str">
        <f>TEXT(Sales_of_Jordan[[#This Row],[Sale_Date]],"mmm")</f>
        <v>Dec</v>
      </c>
    </row>
    <row r="3419" spans="1:11" x14ac:dyDescent="0.35">
      <c r="A3419" s="7" t="s">
        <v>3449</v>
      </c>
      <c r="B3419" s="8">
        <v>45312</v>
      </c>
      <c r="C3419" s="9" t="s">
        <v>31</v>
      </c>
      <c r="D3419" s="9" t="s">
        <v>46</v>
      </c>
      <c r="E3419" s="9" t="s">
        <v>13</v>
      </c>
      <c r="F3419" s="9">
        <v>201</v>
      </c>
      <c r="G3419" s="9">
        <v>101.13</v>
      </c>
      <c r="H3419" s="9" t="s">
        <v>25</v>
      </c>
      <c r="I3419" s="9">
        <v>19</v>
      </c>
      <c r="J3419" s="10">
        <v>-99.87</v>
      </c>
      <c r="K3419" s="9" t="str">
        <f>TEXT(Sales_of_Jordan[[#This Row],[Sale_Date]],"mmm")</f>
        <v>Jan</v>
      </c>
    </row>
    <row r="3420" spans="1:11" x14ac:dyDescent="0.35">
      <c r="A3420" s="7" t="s">
        <v>3450</v>
      </c>
      <c r="B3420" s="8">
        <v>45219</v>
      </c>
      <c r="C3420" s="9" t="s">
        <v>21</v>
      </c>
      <c r="D3420" s="9" t="s">
        <v>53</v>
      </c>
      <c r="E3420" s="9" t="s">
        <v>29</v>
      </c>
      <c r="F3420" s="9">
        <v>215</v>
      </c>
      <c r="G3420" s="9">
        <v>261.08999999999997</v>
      </c>
      <c r="H3420" s="9" t="s">
        <v>25</v>
      </c>
      <c r="I3420" s="9">
        <v>40</v>
      </c>
      <c r="J3420" s="10">
        <v>46.089999999999897</v>
      </c>
      <c r="K3420" s="9" t="str">
        <f>TEXT(Sales_of_Jordan[[#This Row],[Sale_Date]],"mmm")</f>
        <v>Oct</v>
      </c>
    </row>
    <row r="3421" spans="1:11" x14ac:dyDescent="0.35">
      <c r="A3421" s="7" t="s">
        <v>3451</v>
      </c>
      <c r="B3421" s="8">
        <v>45606</v>
      </c>
      <c r="C3421" s="9" t="s">
        <v>31</v>
      </c>
      <c r="D3421" s="9" t="s">
        <v>22</v>
      </c>
      <c r="E3421" s="9" t="s">
        <v>29</v>
      </c>
      <c r="F3421" s="9">
        <v>210</v>
      </c>
      <c r="G3421" s="9">
        <v>230.71</v>
      </c>
      <c r="H3421" s="9" t="s">
        <v>19</v>
      </c>
      <c r="I3421" s="9">
        <v>12</v>
      </c>
      <c r="J3421" s="10">
        <v>20.71</v>
      </c>
      <c r="K3421" s="9" t="str">
        <f>TEXT(Sales_of_Jordan[[#This Row],[Sale_Date]],"mmm")</f>
        <v>Nov</v>
      </c>
    </row>
    <row r="3422" spans="1:11" x14ac:dyDescent="0.35">
      <c r="A3422" s="7" t="s">
        <v>3452</v>
      </c>
      <c r="B3422" s="8">
        <v>45436</v>
      </c>
      <c r="C3422" s="9" t="s">
        <v>27</v>
      </c>
      <c r="D3422" s="9" t="s">
        <v>55</v>
      </c>
      <c r="E3422" s="9" t="s">
        <v>29</v>
      </c>
      <c r="F3422" s="9">
        <v>132</v>
      </c>
      <c r="G3422" s="9">
        <v>181.72</v>
      </c>
      <c r="H3422" s="9" t="s">
        <v>23</v>
      </c>
      <c r="I3422" s="9">
        <v>46</v>
      </c>
      <c r="J3422" s="10">
        <v>49.72</v>
      </c>
      <c r="K3422" s="9" t="str">
        <f>TEXT(Sales_of_Jordan[[#This Row],[Sale_Date]],"mmm")</f>
        <v>May</v>
      </c>
    </row>
    <row r="3423" spans="1:11" x14ac:dyDescent="0.35">
      <c r="A3423" s="7" t="s">
        <v>3453</v>
      </c>
      <c r="B3423" s="8">
        <v>45101</v>
      </c>
      <c r="C3423" s="9" t="s">
        <v>27</v>
      </c>
      <c r="D3423" s="9" t="s">
        <v>22</v>
      </c>
      <c r="E3423" s="9" t="s">
        <v>13</v>
      </c>
      <c r="F3423" s="9">
        <v>135</v>
      </c>
      <c r="G3423" s="9">
        <v>88.6</v>
      </c>
      <c r="H3423" s="9" t="s">
        <v>19</v>
      </c>
      <c r="I3423" s="9">
        <v>3</v>
      </c>
      <c r="J3423" s="10">
        <v>-46.4</v>
      </c>
      <c r="K3423" s="9" t="str">
        <f>TEXT(Sales_of_Jordan[[#This Row],[Sale_Date]],"mmm")</f>
        <v>Jun</v>
      </c>
    </row>
    <row r="3424" spans="1:11" x14ac:dyDescent="0.35">
      <c r="A3424" s="7" t="s">
        <v>3454</v>
      </c>
      <c r="B3424" s="8">
        <v>45139</v>
      </c>
      <c r="C3424" s="9" t="s">
        <v>27</v>
      </c>
      <c r="D3424" s="9" t="s">
        <v>55</v>
      </c>
      <c r="E3424" s="9" t="s">
        <v>13</v>
      </c>
      <c r="F3424" s="9">
        <v>136</v>
      </c>
      <c r="G3424" s="9">
        <v>94.44</v>
      </c>
      <c r="H3424" s="9" t="s">
        <v>23</v>
      </c>
      <c r="I3424" s="9">
        <v>28</v>
      </c>
      <c r="J3424" s="10">
        <v>-41.56</v>
      </c>
      <c r="K3424" s="9" t="str">
        <f>TEXT(Sales_of_Jordan[[#This Row],[Sale_Date]],"mmm")</f>
        <v>Aug</v>
      </c>
    </row>
    <row r="3425" spans="1:11" x14ac:dyDescent="0.35">
      <c r="A3425" s="7" t="s">
        <v>3455</v>
      </c>
      <c r="B3425" s="8">
        <v>45490</v>
      </c>
      <c r="C3425" s="9" t="s">
        <v>21</v>
      </c>
      <c r="D3425" s="9" t="s">
        <v>53</v>
      </c>
      <c r="E3425" s="9" t="s">
        <v>13</v>
      </c>
      <c r="F3425" s="9">
        <v>217</v>
      </c>
      <c r="G3425" s="9">
        <v>194.2</v>
      </c>
      <c r="H3425" s="9" t="s">
        <v>14</v>
      </c>
      <c r="I3425" s="9">
        <v>13</v>
      </c>
      <c r="J3425" s="10">
        <v>-22.8</v>
      </c>
      <c r="K3425" s="9" t="str">
        <f>TEXT(Sales_of_Jordan[[#This Row],[Sale_Date]],"mmm")</f>
        <v>Jul</v>
      </c>
    </row>
    <row r="3426" spans="1:11" x14ac:dyDescent="0.35">
      <c r="A3426" s="7" t="s">
        <v>3456</v>
      </c>
      <c r="B3426" s="8">
        <v>45372</v>
      </c>
      <c r="C3426" s="9" t="s">
        <v>21</v>
      </c>
      <c r="D3426" s="9" t="s">
        <v>53</v>
      </c>
      <c r="E3426" s="9" t="s">
        <v>29</v>
      </c>
      <c r="F3426" s="9">
        <v>212</v>
      </c>
      <c r="G3426" s="9">
        <v>237.21</v>
      </c>
      <c r="H3426" s="9" t="s">
        <v>23</v>
      </c>
      <c r="I3426" s="9">
        <v>50</v>
      </c>
      <c r="J3426" s="10">
        <v>25.21</v>
      </c>
      <c r="K3426" s="9" t="str">
        <f>TEXT(Sales_of_Jordan[[#This Row],[Sale_Date]],"mmm")</f>
        <v>Mar</v>
      </c>
    </row>
    <row r="3427" spans="1:11" x14ac:dyDescent="0.35">
      <c r="A3427" s="7" t="s">
        <v>3457</v>
      </c>
      <c r="B3427" s="8">
        <v>45897</v>
      </c>
      <c r="C3427" s="9" t="s">
        <v>31</v>
      </c>
      <c r="D3427" s="9" t="s">
        <v>53</v>
      </c>
      <c r="E3427" s="9" t="s">
        <v>13</v>
      </c>
      <c r="F3427" s="9">
        <v>204</v>
      </c>
      <c r="G3427" s="9">
        <v>122.37</v>
      </c>
      <c r="H3427" s="9" t="s">
        <v>32</v>
      </c>
      <c r="I3427" s="9">
        <v>55</v>
      </c>
      <c r="J3427" s="10">
        <v>-81.63</v>
      </c>
      <c r="K3427" s="9" t="str">
        <f>TEXT(Sales_of_Jordan[[#This Row],[Sale_Date]],"mmm")</f>
        <v>Aug</v>
      </c>
    </row>
    <row r="3428" spans="1:11" x14ac:dyDescent="0.35">
      <c r="A3428" s="7" t="s">
        <v>3458</v>
      </c>
      <c r="B3428" s="8">
        <v>45658</v>
      </c>
      <c r="C3428" s="9" t="s">
        <v>21</v>
      </c>
      <c r="D3428" s="9" t="s">
        <v>36</v>
      </c>
      <c r="E3428" s="9" t="s">
        <v>29</v>
      </c>
      <c r="F3428" s="9">
        <v>224</v>
      </c>
      <c r="G3428" s="9">
        <v>290.58999999999997</v>
      </c>
      <c r="H3428" s="9" t="s">
        <v>23</v>
      </c>
      <c r="I3428" s="9">
        <v>41</v>
      </c>
      <c r="J3428" s="10">
        <v>66.589999999999904</v>
      </c>
      <c r="K3428" s="9" t="str">
        <f>TEXT(Sales_of_Jordan[[#This Row],[Sale_Date]],"mmm")</f>
        <v>Jan</v>
      </c>
    </row>
    <row r="3429" spans="1:11" x14ac:dyDescent="0.35">
      <c r="A3429" s="7" t="s">
        <v>3459</v>
      </c>
      <c r="B3429" s="8">
        <v>45054</v>
      </c>
      <c r="C3429" s="9" t="s">
        <v>21</v>
      </c>
      <c r="D3429" s="9" t="s">
        <v>46</v>
      </c>
      <c r="E3429" s="9" t="s">
        <v>13</v>
      </c>
      <c r="F3429" s="9">
        <v>216</v>
      </c>
      <c r="G3429" s="9">
        <v>153.6</v>
      </c>
      <c r="H3429" s="9" t="s">
        <v>19</v>
      </c>
      <c r="I3429" s="9">
        <v>4</v>
      </c>
      <c r="J3429" s="10">
        <v>-62.4</v>
      </c>
      <c r="K3429" s="9" t="str">
        <f>TEXT(Sales_of_Jordan[[#This Row],[Sale_Date]],"mmm")</f>
        <v>May</v>
      </c>
    </row>
    <row r="3430" spans="1:11" x14ac:dyDescent="0.35">
      <c r="A3430" s="7" t="s">
        <v>3460</v>
      </c>
      <c r="B3430" s="8">
        <v>45291</v>
      </c>
      <c r="C3430" s="9" t="s">
        <v>31</v>
      </c>
      <c r="D3430" s="9" t="s">
        <v>17</v>
      </c>
      <c r="E3430" s="9" t="s">
        <v>29</v>
      </c>
      <c r="F3430" s="9">
        <v>204</v>
      </c>
      <c r="G3430" s="9">
        <v>263.04000000000002</v>
      </c>
      <c r="H3430" s="9" t="s">
        <v>23</v>
      </c>
      <c r="I3430" s="9">
        <v>36</v>
      </c>
      <c r="J3430" s="10">
        <v>59.04</v>
      </c>
      <c r="K3430" s="9" t="str">
        <f>TEXT(Sales_of_Jordan[[#This Row],[Sale_Date]],"mmm")</f>
        <v>Dec</v>
      </c>
    </row>
    <row r="3431" spans="1:11" x14ac:dyDescent="0.35">
      <c r="A3431" s="7" t="s">
        <v>3461</v>
      </c>
      <c r="B3431" s="8">
        <v>45252</v>
      </c>
      <c r="C3431" s="9" t="s">
        <v>31</v>
      </c>
      <c r="D3431" s="9" t="s">
        <v>53</v>
      </c>
      <c r="E3431" s="9" t="s">
        <v>29</v>
      </c>
      <c r="F3431" s="9">
        <v>201</v>
      </c>
      <c r="G3431" s="9">
        <v>207.53</v>
      </c>
      <c r="H3431" s="9" t="s">
        <v>32</v>
      </c>
      <c r="I3431" s="9">
        <v>46</v>
      </c>
      <c r="J3431" s="10">
        <v>6.53</v>
      </c>
      <c r="K3431" s="9" t="str">
        <f>TEXT(Sales_of_Jordan[[#This Row],[Sale_Date]],"mmm")</f>
        <v>Nov</v>
      </c>
    </row>
    <row r="3432" spans="1:11" x14ac:dyDescent="0.35">
      <c r="A3432" s="7" t="s">
        <v>3462</v>
      </c>
      <c r="B3432" s="8">
        <v>45311</v>
      </c>
      <c r="C3432" s="9" t="s">
        <v>27</v>
      </c>
      <c r="D3432" s="9" t="s">
        <v>39</v>
      </c>
      <c r="E3432" s="9" t="s">
        <v>29</v>
      </c>
      <c r="F3432" s="9">
        <v>127</v>
      </c>
      <c r="G3432" s="9">
        <v>144.09</v>
      </c>
      <c r="H3432" s="9" t="s">
        <v>25</v>
      </c>
      <c r="I3432" s="9">
        <v>11</v>
      </c>
      <c r="J3432" s="10">
        <v>17.09</v>
      </c>
      <c r="K3432" s="9" t="str">
        <f>TEXT(Sales_of_Jordan[[#This Row],[Sale_Date]],"mmm")</f>
        <v>Jan</v>
      </c>
    </row>
    <row r="3433" spans="1:11" x14ac:dyDescent="0.35">
      <c r="A3433" s="7" t="s">
        <v>3463</v>
      </c>
      <c r="B3433" s="8">
        <v>45222</v>
      </c>
      <c r="C3433" s="9" t="s">
        <v>21</v>
      </c>
      <c r="D3433" s="9" t="s">
        <v>12</v>
      </c>
      <c r="E3433" s="9" t="s">
        <v>18</v>
      </c>
      <c r="F3433" s="9">
        <v>210</v>
      </c>
      <c r="G3433" s="9">
        <v>703.84</v>
      </c>
      <c r="H3433" s="9" t="s">
        <v>32</v>
      </c>
      <c r="I3433" s="9">
        <v>48</v>
      </c>
      <c r="J3433" s="10">
        <v>493.84</v>
      </c>
      <c r="K3433" s="9" t="str">
        <f>TEXT(Sales_of_Jordan[[#This Row],[Sale_Date]],"mmm")</f>
        <v>Oct</v>
      </c>
    </row>
    <row r="3434" spans="1:11" x14ac:dyDescent="0.35">
      <c r="A3434" s="7" t="s">
        <v>3464</v>
      </c>
      <c r="B3434" s="8">
        <v>45470</v>
      </c>
      <c r="C3434" s="9" t="s">
        <v>11</v>
      </c>
      <c r="D3434" s="9" t="s">
        <v>36</v>
      </c>
      <c r="E3434" s="9" t="s">
        <v>29</v>
      </c>
      <c r="F3434" s="9">
        <v>226</v>
      </c>
      <c r="G3434" s="9">
        <v>263.94</v>
      </c>
      <c r="H3434" s="9" t="s">
        <v>19</v>
      </c>
      <c r="I3434" s="9">
        <v>5</v>
      </c>
      <c r="J3434" s="10">
        <v>37.94</v>
      </c>
      <c r="K3434" s="9" t="str">
        <f>TEXT(Sales_of_Jordan[[#This Row],[Sale_Date]],"mmm")</f>
        <v>Jun</v>
      </c>
    </row>
    <row r="3435" spans="1:11" x14ac:dyDescent="0.35">
      <c r="A3435" s="7" t="s">
        <v>3465</v>
      </c>
      <c r="B3435" s="8">
        <v>45568</v>
      </c>
      <c r="C3435" s="9" t="s">
        <v>27</v>
      </c>
      <c r="D3435" s="9" t="s">
        <v>39</v>
      </c>
      <c r="E3435" s="9" t="s">
        <v>29</v>
      </c>
      <c r="F3435" s="9">
        <v>117</v>
      </c>
      <c r="G3435" s="9">
        <v>150.79</v>
      </c>
      <c r="H3435" s="9" t="s">
        <v>19</v>
      </c>
      <c r="I3435" s="9">
        <v>12</v>
      </c>
      <c r="J3435" s="10">
        <v>33.7899999999999</v>
      </c>
      <c r="K3435" s="9" t="str">
        <f>TEXT(Sales_of_Jordan[[#This Row],[Sale_Date]],"mmm")</f>
        <v>Oct</v>
      </c>
    </row>
    <row r="3436" spans="1:11" x14ac:dyDescent="0.35">
      <c r="A3436" s="7" t="s">
        <v>3466</v>
      </c>
      <c r="B3436" s="8">
        <v>45133</v>
      </c>
      <c r="C3436" s="9" t="s">
        <v>16</v>
      </c>
      <c r="D3436" s="9" t="s">
        <v>17</v>
      </c>
      <c r="E3436" s="9" t="s">
        <v>13</v>
      </c>
      <c r="F3436" s="9">
        <v>186</v>
      </c>
      <c r="G3436" s="9">
        <v>129.97</v>
      </c>
      <c r="H3436" s="9" t="s">
        <v>23</v>
      </c>
      <c r="I3436" s="9">
        <v>37</v>
      </c>
      <c r="J3436" s="10">
        <v>-56.03</v>
      </c>
      <c r="K3436" s="9" t="str">
        <f>TEXT(Sales_of_Jordan[[#This Row],[Sale_Date]],"mmm")</f>
        <v>Jul</v>
      </c>
    </row>
    <row r="3437" spans="1:11" x14ac:dyDescent="0.35">
      <c r="A3437" s="7" t="s">
        <v>3467</v>
      </c>
      <c r="B3437" s="8">
        <v>45248</v>
      </c>
      <c r="C3437" s="9" t="s">
        <v>16</v>
      </c>
      <c r="D3437" s="9" t="s">
        <v>53</v>
      </c>
      <c r="E3437" s="9" t="s">
        <v>29</v>
      </c>
      <c r="F3437" s="9">
        <v>177</v>
      </c>
      <c r="G3437" s="9">
        <v>194.21</v>
      </c>
      <c r="H3437" s="9" t="s">
        <v>19</v>
      </c>
      <c r="I3437" s="9">
        <v>6</v>
      </c>
      <c r="J3437" s="10">
        <v>17.21</v>
      </c>
      <c r="K3437" s="9" t="str">
        <f>TEXT(Sales_of_Jordan[[#This Row],[Sale_Date]],"mmm")</f>
        <v>Nov</v>
      </c>
    </row>
    <row r="3438" spans="1:11" x14ac:dyDescent="0.35">
      <c r="A3438" s="7" t="s">
        <v>3468</v>
      </c>
      <c r="B3438" s="8">
        <v>45723</v>
      </c>
      <c r="C3438" s="9" t="s">
        <v>27</v>
      </c>
      <c r="D3438" s="9" t="s">
        <v>46</v>
      </c>
      <c r="E3438" s="9" t="s">
        <v>29</v>
      </c>
      <c r="F3438" s="9">
        <v>139</v>
      </c>
      <c r="G3438" s="9">
        <v>184.17</v>
      </c>
      <c r="H3438" s="9" t="s">
        <v>19</v>
      </c>
      <c r="I3438" s="9">
        <v>12</v>
      </c>
      <c r="J3438" s="10">
        <v>45.169999999999902</v>
      </c>
      <c r="K3438" s="9" t="str">
        <f>TEXT(Sales_of_Jordan[[#This Row],[Sale_Date]],"mmm")</f>
        <v>Mar</v>
      </c>
    </row>
    <row r="3439" spans="1:11" x14ac:dyDescent="0.35">
      <c r="A3439" s="7" t="s">
        <v>3469</v>
      </c>
      <c r="B3439" s="8">
        <v>45422</v>
      </c>
      <c r="C3439" s="9" t="s">
        <v>11</v>
      </c>
      <c r="D3439" s="9" t="s">
        <v>39</v>
      </c>
      <c r="E3439" s="9" t="s">
        <v>18</v>
      </c>
      <c r="F3439" s="9">
        <v>227</v>
      </c>
      <c r="G3439" s="9">
        <v>598.79999999999995</v>
      </c>
      <c r="H3439" s="9" t="s">
        <v>25</v>
      </c>
      <c r="I3439" s="9">
        <v>59</v>
      </c>
      <c r="J3439" s="10">
        <v>371.79999999999899</v>
      </c>
      <c r="K3439" s="9" t="str">
        <f>TEXT(Sales_of_Jordan[[#This Row],[Sale_Date]],"mmm")</f>
        <v>May</v>
      </c>
    </row>
    <row r="3440" spans="1:11" x14ac:dyDescent="0.35">
      <c r="A3440" s="7" t="s">
        <v>3470</v>
      </c>
      <c r="B3440" s="8">
        <v>45607</v>
      </c>
      <c r="C3440" s="9" t="s">
        <v>21</v>
      </c>
      <c r="D3440" s="9" t="s">
        <v>39</v>
      </c>
      <c r="E3440" s="9" t="s">
        <v>29</v>
      </c>
      <c r="F3440" s="9">
        <v>216</v>
      </c>
      <c r="G3440" s="9">
        <v>204.74</v>
      </c>
      <c r="H3440" s="9" t="s">
        <v>25</v>
      </c>
      <c r="I3440" s="9">
        <v>48</v>
      </c>
      <c r="J3440" s="10">
        <v>-11.2599999999999</v>
      </c>
      <c r="K3440" s="9" t="str">
        <f>TEXT(Sales_of_Jordan[[#This Row],[Sale_Date]],"mmm")</f>
        <v>Nov</v>
      </c>
    </row>
    <row r="3441" spans="1:11" x14ac:dyDescent="0.35">
      <c r="A3441" s="7" t="s">
        <v>3471</v>
      </c>
      <c r="B3441" s="8">
        <v>45131</v>
      </c>
      <c r="C3441" s="9" t="s">
        <v>21</v>
      </c>
      <c r="D3441" s="9" t="s">
        <v>53</v>
      </c>
      <c r="E3441" s="9" t="s">
        <v>13</v>
      </c>
      <c r="F3441" s="9">
        <v>220</v>
      </c>
      <c r="G3441" s="9">
        <v>186.54</v>
      </c>
      <c r="H3441" s="9" t="s">
        <v>14</v>
      </c>
      <c r="I3441" s="9">
        <v>7</v>
      </c>
      <c r="J3441" s="10">
        <v>-33.46</v>
      </c>
      <c r="K3441" s="9" t="str">
        <f>TEXT(Sales_of_Jordan[[#This Row],[Sale_Date]],"mmm")</f>
        <v>Jul</v>
      </c>
    </row>
    <row r="3442" spans="1:11" x14ac:dyDescent="0.35">
      <c r="A3442" s="7" t="s">
        <v>3472</v>
      </c>
      <c r="B3442" s="8">
        <v>45842</v>
      </c>
      <c r="C3442" s="9" t="s">
        <v>16</v>
      </c>
      <c r="D3442" s="9" t="s">
        <v>46</v>
      </c>
      <c r="E3442" s="9" t="s">
        <v>13</v>
      </c>
      <c r="F3442" s="9">
        <v>189</v>
      </c>
      <c r="G3442" s="9">
        <v>108.67</v>
      </c>
      <c r="H3442" s="9" t="s">
        <v>32</v>
      </c>
      <c r="I3442" s="9">
        <v>21</v>
      </c>
      <c r="J3442" s="10">
        <v>-80.33</v>
      </c>
      <c r="K3442" s="9" t="str">
        <f>TEXT(Sales_of_Jordan[[#This Row],[Sale_Date]],"mmm")</f>
        <v>Jul</v>
      </c>
    </row>
    <row r="3443" spans="1:11" x14ac:dyDescent="0.35">
      <c r="A3443" s="7" t="s">
        <v>3473</v>
      </c>
      <c r="B3443" s="8">
        <v>44962</v>
      </c>
      <c r="C3443" s="9" t="s">
        <v>11</v>
      </c>
      <c r="D3443" s="9" t="s">
        <v>55</v>
      </c>
      <c r="E3443" s="9" t="s">
        <v>13</v>
      </c>
      <c r="F3443" s="9">
        <v>229</v>
      </c>
      <c r="G3443" s="9">
        <v>192.15</v>
      </c>
      <c r="H3443" s="9" t="s">
        <v>19</v>
      </c>
      <c r="I3443" s="9">
        <v>3</v>
      </c>
      <c r="J3443" s="10">
        <v>-36.849999999999902</v>
      </c>
      <c r="K3443" s="9" t="str">
        <f>TEXT(Sales_of_Jordan[[#This Row],[Sale_Date]],"mmm")</f>
        <v>Feb</v>
      </c>
    </row>
    <row r="3444" spans="1:11" x14ac:dyDescent="0.35">
      <c r="A3444" s="7" t="s">
        <v>3474</v>
      </c>
      <c r="B3444" s="8">
        <v>45073</v>
      </c>
      <c r="C3444" s="9" t="s">
        <v>27</v>
      </c>
      <c r="D3444" s="9" t="s">
        <v>22</v>
      </c>
      <c r="E3444" s="9" t="s">
        <v>18</v>
      </c>
      <c r="F3444" s="9">
        <v>119</v>
      </c>
      <c r="G3444" s="9">
        <v>198.49</v>
      </c>
      <c r="H3444" s="9" t="s">
        <v>25</v>
      </c>
      <c r="I3444" s="9">
        <v>32</v>
      </c>
      <c r="J3444" s="10">
        <v>79.489999999999995</v>
      </c>
      <c r="K3444" s="9" t="str">
        <f>TEXT(Sales_of_Jordan[[#This Row],[Sale_Date]],"mmm")</f>
        <v>May</v>
      </c>
    </row>
    <row r="3445" spans="1:11" x14ac:dyDescent="0.35">
      <c r="A3445" s="7" t="s">
        <v>3475</v>
      </c>
      <c r="B3445" s="8">
        <v>45642</v>
      </c>
      <c r="C3445" s="9" t="s">
        <v>31</v>
      </c>
      <c r="D3445" s="9" t="s">
        <v>22</v>
      </c>
      <c r="E3445" s="9" t="s">
        <v>13</v>
      </c>
      <c r="F3445" s="9">
        <v>210</v>
      </c>
      <c r="G3445" s="9">
        <v>106.01</v>
      </c>
      <c r="H3445" s="9" t="s">
        <v>32</v>
      </c>
      <c r="I3445" s="9">
        <v>17</v>
      </c>
      <c r="J3445" s="10">
        <v>-103.99</v>
      </c>
      <c r="K3445" s="9" t="str">
        <f>TEXT(Sales_of_Jordan[[#This Row],[Sale_Date]],"mmm")</f>
        <v>Dec</v>
      </c>
    </row>
    <row r="3446" spans="1:11" x14ac:dyDescent="0.35">
      <c r="A3446" s="7" t="s">
        <v>3476</v>
      </c>
      <c r="B3446" s="8">
        <v>45277</v>
      </c>
      <c r="C3446" s="9" t="s">
        <v>16</v>
      </c>
      <c r="D3446" s="9" t="s">
        <v>34</v>
      </c>
      <c r="E3446" s="9" t="s">
        <v>18</v>
      </c>
      <c r="F3446" s="9">
        <v>170</v>
      </c>
      <c r="G3446" s="9">
        <v>310.38</v>
      </c>
      <c r="H3446" s="9" t="s">
        <v>25</v>
      </c>
      <c r="I3446" s="9">
        <v>10</v>
      </c>
      <c r="J3446" s="10">
        <v>140.38</v>
      </c>
      <c r="K3446" s="9" t="str">
        <f>TEXT(Sales_of_Jordan[[#This Row],[Sale_Date]],"mmm")</f>
        <v>Dec</v>
      </c>
    </row>
    <row r="3447" spans="1:11" x14ac:dyDescent="0.35">
      <c r="A3447" s="7" t="s">
        <v>3477</v>
      </c>
      <c r="B3447" s="8">
        <v>45378</v>
      </c>
      <c r="C3447" s="9" t="s">
        <v>11</v>
      </c>
      <c r="D3447" s="9" t="s">
        <v>46</v>
      </c>
      <c r="E3447" s="9" t="s">
        <v>18</v>
      </c>
      <c r="F3447" s="9">
        <v>225</v>
      </c>
      <c r="G3447" s="9">
        <v>624.54999999999995</v>
      </c>
      <c r="H3447" s="9" t="s">
        <v>32</v>
      </c>
      <c r="I3447" s="9">
        <v>53</v>
      </c>
      <c r="J3447" s="10">
        <v>399.54999999999899</v>
      </c>
      <c r="K3447" s="9" t="str">
        <f>TEXT(Sales_of_Jordan[[#This Row],[Sale_Date]],"mmm")</f>
        <v>Mar</v>
      </c>
    </row>
    <row r="3448" spans="1:11" x14ac:dyDescent="0.35">
      <c r="A3448" s="7" t="s">
        <v>3478</v>
      </c>
      <c r="B3448" s="8">
        <v>45674</v>
      </c>
      <c r="C3448" s="9" t="s">
        <v>27</v>
      </c>
      <c r="D3448" s="9" t="s">
        <v>53</v>
      </c>
      <c r="E3448" s="9" t="s">
        <v>18</v>
      </c>
      <c r="F3448" s="9">
        <v>131</v>
      </c>
      <c r="G3448" s="9">
        <v>231.81</v>
      </c>
      <c r="H3448" s="9" t="s">
        <v>19</v>
      </c>
      <c r="I3448" s="9">
        <v>5</v>
      </c>
      <c r="J3448" s="10">
        <v>100.81</v>
      </c>
      <c r="K3448" s="9" t="str">
        <f>TEXT(Sales_of_Jordan[[#This Row],[Sale_Date]],"mmm")</f>
        <v>Jan</v>
      </c>
    </row>
    <row r="3449" spans="1:11" x14ac:dyDescent="0.35">
      <c r="A3449" s="7" t="s">
        <v>3479</v>
      </c>
      <c r="B3449" s="8">
        <v>45698</v>
      </c>
      <c r="C3449" s="9" t="s">
        <v>11</v>
      </c>
      <c r="D3449" s="9" t="s">
        <v>34</v>
      </c>
      <c r="E3449" s="9" t="s">
        <v>29</v>
      </c>
      <c r="F3449" s="9">
        <v>227</v>
      </c>
      <c r="G3449" s="9">
        <v>250.75</v>
      </c>
      <c r="H3449" s="9" t="s">
        <v>19</v>
      </c>
      <c r="I3449" s="9">
        <v>10</v>
      </c>
      <c r="J3449" s="10">
        <v>23.75</v>
      </c>
      <c r="K3449" s="9" t="str">
        <f>TEXT(Sales_of_Jordan[[#This Row],[Sale_Date]],"mmm")</f>
        <v>Feb</v>
      </c>
    </row>
    <row r="3450" spans="1:11" x14ac:dyDescent="0.35">
      <c r="A3450" s="7" t="s">
        <v>3480</v>
      </c>
      <c r="B3450" s="8">
        <v>45302</v>
      </c>
      <c r="C3450" s="9" t="s">
        <v>16</v>
      </c>
      <c r="D3450" s="9" t="s">
        <v>36</v>
      </c>
      <c r="E3450" s="9" t="s">
        <v>29</v>
      </c>
      <c r="F3450" s="9">
        <v>184</v>
      </c>
      <c r="G3450" s="9">
        <v>172.78</v>
      </c>
      <c r="H3450" s="9" t="s">
        <v>23</v>
      </c>
      <c r="I3450" s="9">
        <v>27</v>
      </c>
      <c r="J3450" s="10">
        <v>-11.219999999999899</v>
      </c>
      <c r="K3450" s="9" t="str">
        <f>TEXT(Sales_of_Jordan[[#This Row],[Sale_Date]],"mmm")</f>
        <v>Jan</v>
      </c>
    </row>
    <row r="3451" spans="1:11" x14ac:dyDescent="0.35">
      <c r="A3451" s="7" t="s">
        <v>3481</v>
      </c>
      <c r="B3451" s="8">
        <v>45356</v>
      </c>
      <c r="C3451" s="9" t="s">
        <v>31</v>
      </c>
      <c r="D3451" s="9" t="s">
        <v>12</v>
      </c>
      <c r="E3451" s="9" t="s">
        <v>13</v>
      </c>
      <c r="F3451" s="9">
        <v>206</v>
      </c>
      <c r="G3451" s="9">
        <v>160.4</v>
      </c>
      <c r="H3451" s="9" t="s">
        <v>19</v>
      </c>
      <c r="I3451" s="9">
        <v>10</v>
      </c>
      <c r="J3451" s="10">
        <v>-45.599999999999902</v>
      </c>
      <c r="K3451" s="9" t="str">
        <f>TEXT(Sales_of_Jordan[[#This Row],[Sale_Date]],"mmm")</f>
        <v>Mar</v>
      </c>
    </row>
    <row r="3452" spans="1:11" x14ac:dyDescent="0.35">
      <c r="A3452" s="7" t="s">
        <v>3482</v>
      </c>
      <c r="B3452" s="8">
        <v>44985</v>
      </c>
      <c r="C3452" s="9" t="s">
        <v>27</v>
      </c>
      <c r="D3452" s="9" t="s">
        <v>46</v>
      </c>
      <c r="E3452" s="9" t="s">
        <v>29</v>
      </c>
      <c r="F3452" s="9">
        <v>137</v>
      </c>
      <c r="G3452" s="9">
        <v>128.81</v>
      </c>
      <c r="H3452" s="9" t="s">
        <v>19</v>
      </c>
      <c r="I3452" s="9">
        <v>7</v>
      </c>
      <c r="J3452" s="10">
        <v>-8.1899999999999906</v>
      </c>
      <c r="K3452" s="9" t="str">
        <f>TEXT(Sales_of_Jordan[[#This Row],[Sale_Date]],"mmm")</f>
        <v>Feb</v>
      </c>
    </row>
    <row r="3453" spans="1:11" x14ac:dyDescent="0.35">
      <c r="A3453" s="7" t="s">
        <v>3483</v>
      </c>
      <c r="B3453" s="8">
        <v>45438</v>
      </c>
      <c r="C3453" s="9" t="s">
        <v>31</v>
      </c>
      <c r="D3453" s="9" t="s">
        <v>12</v>
      </c>
      <c r="E3453" s="9" t="s">
        <v>18</v>
      </c>
      <c r="F3453" s="9">
        <v>204</v>
      </c>
      <c r="G3453" s="9">
        <v>583</v>
      </c>
      <c r="H3453" s="9" t="s">
        <v>32</v>
      </c>
      <c r="I3453" s="9">
        <v>17</v>
      </c>
      <c r="J3453" s="10">
        <v>379</v>
      </c>
      <c r="K3453" s="9" t="str">
        <f>TEXT(Sales_of_Jordan[[#This Row],[Sale_Date]],"mmm")</f>
        <v>May</v>
      </c>
    </row>
    <row r="3454" spans="1:11" x14ac:dyDescent="0.35">
      <c r="A3454" s="7" t="s">
        <v>3484</v>
      </c>
      <c r="B3454" s="8">
        <v>45070</v>
      </c>
      <c r="C3454" s="9" t="s">
        <v>31</v>
      </c>
      <c r="D3454" s="9" t="s">
        <v>46</v>
      </c>
      <c r="E3454" s="9" t="s">
        <v>18</v>
      </c>
      <c r="F3454" s="9">
        <v>210</v>
      </c>
      <c r="G3454" s="9">
        <v>456.76</v>
      </c>
      <c r="H3454" s="9" t="s">
        <v>23</v>
      </c>
      <c r="I3454" s="9">
        <v>38</v>
      </c>
      <c r="J3454" s="10">
        <v>246.76</v>
      </c>
      <c r="K3454" s="9" t="str">
        <f>TEXT(Sales_of_Jordan[[#This Row],[Sale_Date]],"mmm")</f>
        <v>May</v>
      </c>
    </row>
    <row r="3455" spans="1:11" x14ac:dyDescent="0.35">
      <c r="A3455" s="7" t="s">
        <v>3485</v>
      </c>
      <c r="B3455" s="8">
        <v>45912</v>
      </c>
      <c r="C3455" s="9" t="s">
        <v>11</v>
      </c>
      <c r="D3455" s="9" t="s">
        <v>53</v>
      </c>
      <c r="E3455" s="9" t="s">
        <v>18</v>
      </c>
      <c r="F3455" s="9">
        <v>225</v>
      </c>
      <c r="G3455" s="9">
        <v>344.99</v>
      </c>
      <c r="H3455" s="9" t="s">
        <v>25</v>
      </c>
      <c r="I3455" s="9">
        <v>59</v>
      </c>
      <c r="J3455" s="10">
        <v>119.99</v>
      </c>
      <c r="K3455" s="9" t="str">
        <f>TEXT(Sales_of_Jordan[[#This Row],[Sale_Date]],"mmm")</f>
        <v>Sep</v>
      </c>
    </row>
    <row r="3456" spans="1:11" x14ac:dyDescent="0.35">
      <c r="A3456" s="7" t="s">
        <v>3486</v>
      </c>
      <c r="B3456" s="8">
        <v>45470</v>
      </c>
      <c r="C3456" s="9" t="s">
        <v>27</v>
      </c>
      <c r="D3456" s="9" t="s">
        <v>17</v>
      </c>
      <c r="E3456" s="9" t="s">
        <v>29</v>
      </c>
      <c r="F3456" s="9">
        <v>140</v>
      </c>
      <c r="G3456" s="9">
        <v>154.19999999999999</v>
      </c>
      <c r="H3456" s="9" t="s">
        <v>19</v>
      </c>
      <c r="I3456" s="9">
        <v>10</v>
      </c>
      <c r="J3456" s="10">
        <v>14.1999999999999</v>
      </c>
      <c r="K3456" s="9" t="str">
        <f>TEXT(Sales_of_Jordan[[#This Row],[Sale_Date]],"mmm")</f>
        <v>Jun</v>
      </c>
    </row>
    <row r="3457" spans="1:11" x14ac:dyDescent="0.35">
      <c r="A3457" s="7" t="s">
        <v>3487</v>
      </c>
      <c r="B3457" s="8">
        <v>45894</v>
      </c>
      <c r="C3457" s="9" t="s">
        <v>16</v>
      </c>
      <c r="D3457" s="9" t="s">
        <v>12</v>
      </c>
      <c r="E3457" s="9" t="s">
        <v>18</v>
      </c>
      <c r="F3457" s="9">
        <v>188</v>
      </c>
      <c r="G3457" s="9">
        <v>547.73</v>
      </c>
      <c r="H3457" s="9" t="s">
        <v>19</v>
      </c>
      <c r="I3457" s="9">
        <v>6</v>
      </c>
      <c r="J3457" s="10">
        <v>359.73</v>
      </c>
      <c r="K3457" s="9" t="str">
        <f>TEXT(Sales_of_Jordan[[#This Row],[Sale_Date]],"mmm")</f>
        <v>Aug</v>
      </c>
    </row>
    <row r="3458" spans="1:11" x14ac:dyDescent="0.35">
      <c r="A3458" s="7" t="s">
        <v>3488</v>
      </c>
      <c r="B3458" s="8">
        <v>45918</v>
      </c>
      <c r="C3458" s="9" t="s">
        <v>27</v>
      </c>
      <c r="D3458" s="9" t="s">
        <v>39</v>
      </c>
      <c r="E3458" s="9" t="s">
        <v>18</v>
      </c>
      <c r="F3458" s="9">
        <v>121</v>
      </c>
      <c r="G3458" s="9">
        <v>289.20999999999998</v>
      </c>
      <c r="H3458" s="9" t="s">
        <v>14</v>
      </c>
      <c r="I3458" s="9">
        <v>1</v>
      </c>
      <c r="J3458" s="10">
        <v>168.20999999999901</v>
      </c>
      <c r="K3458" s="9" t="str">
        <f>TEXT(Sales_of_Jordan[[#This Row],[Sale_Date]],"mmm")</f>
        <v>Sep</v>
      </c>
    </row>
    <row r="3459" spans="1:11" x14ac:dyDescent="0.35">
      <c r="A3459" s="7" t="s">
        <v>3489</v>
      </c>
      <c r="B3459" s="8">
        <v>45429</v>
      </c>
      <c r="C3459" s="9" t="s">
        <v>21</v>
      </c>
      <c r="D3459" s="9" t="s">
        <v>55</v>
      </c>
      <c r="E3459" s="9" t="s">
        <v>29</v>
      </c>
      <c r="F3459" s="9">
        <v>211</v>
      </c>
      <c r="G3459" s="9">
        <v>246.77</v>
      </c>
      <c r="H3459" s="9" t="s">
        <v>23</v>
      </c>
      <c r="I3459" s="9">
        <v>54</v>
      </c>
      <c r="J3459" s="10">
        <v>35.770000000000003</v>
      </c>
      <c r="K3459" s="9" t="str">
        <f>TEXT(Sales_of_Jordan[[#This Row],[Sale_Date]],"mmm")</f>
        <v>May</v>
      </c>
    </row>
    <row r="3460" spans="1:11" x14ac:dyDescent="0.35">
      <c r="A3460" s="7" t="s">
        <v>3490</v>
      </c>
      <c r="B3460" s="8">
        <v>45283</v>
      </c>
      <c r="C3460" s="9" t="s">
        <v>21</v>
      </c>
      <c r="D3460" s="9" t="s">
        <v>46</v>
      </c>
      <c r="E3460" s="9" t="s">
        <v>29</v>
      </c>
      <c r="F3460" s="9">
        <v>218</v>
      </c>
      <c r="G3460" s="9">
        <v>229.74</v>
      </c>
      <c r="H3460" s="9" t="s">
        <v>25</v>
      </c>
      <c r="I3460" s="9">
        <v>58</v>
      </c>
      <c r="J3460" s="10">
        <v>11.74</v>
      </c>
      <c r="K3460" s="9" t="str">
        <f>TEXT(Sales_of_Jordan[[#This Row],[Sale_Date]],"mmm")</f>
        <v>Dec</v>
      </c>
    </row>
    <row r="3461" spans="1:11" x14ac:dyDescent="0.35">
      <c r="A3461" s="7" t="s">
        <v>3491</v>
      </c>
      <c r="B3461" s="8">
        <v>45790</v>
      </c>
      <c r="C3461" s="9" t="s">
        <v>16</v>
      </c>
      <c r="D3461" s="9" t="s">
        <v>46</v>
      </c>
      <c r="E3461" s="9" t="s">
        <v>29</v>
      </c>
      <c r="F3461" s="9">
        <v>174</v>
      </c>
      <c r="G3461" s="9">
        <v>203.97</v>
      </c>
      <c r="H3461" s="9" t="s">
        <v>14</v>
      </c>
      <c r="I3461" s="9">
        <v>6</v>
      </c>
      <c r="J3461" s="10">
        <v>29.97</v>
      </c>
      <c r="K3461" s="9" t="str">
        <f>TEXT(Sales_of_Jordan[[#This Row],[Sale_Date]],"mmm")</f>
        <v>May</v>
      </c>
    </row>
    <row r="3462" spans="1:11" x14ac:dyDescent="0.35">
      <c r="A3462" s="7" t="s">
        <v>3492</v>
      </c>
      <c r="B3462" s="8">
        <v>45537</v>
      </c>
      <c r="C3462" s="9" t="s">
        <v>21</v>
      </c>
      <c r="D3462" s="9" t="s">
        <v>17</v>
      </c>
      <c r="E3462" s="9" t="s">
        <v>18</v>
      </c>
      <c r="F3462" s="9">
        <v>211</v>
      </c>
      <c r="G3462" s="9">
        <v>343.3</v>
      </c>
      <c r="H3462" s="9" t="s">
        <v>23</v>
      </c>
      <c r="I3462" s="9">
        <v>55</v>
      </c>
      <c r="J3462" s="10">
        <v>132.30000000000001</v>
      </c>
      <c r="K3462" s="9" t="str">
        <f>TEXT(Sales_of_Jordan[[#This Row],[Sale_Date]],"mmm")</f>
        <v>Sep</v>
      </c>
    </row>
    <row r="3463" spans="1:11" x14ac:dyDescent="0.35">
      <c r="A3463" s="7" t="s">
        <v>3493</v>
      </c>
      <c r="B3463" s="8">
        <v>45510</v>
      </c>
      <c r="C3463" s="9" t="s">
        <v>11</v>
      </c>
      <c r="D3463" s="9" t="s">
        <v>34</v>
      </c>
      <c r="E3463" s="9" t="s">
        <v>18</v>
      </c>
      <c r="F3463" s="9">
        <v>230</v>
      </c>
      <c r="G3463" s="9">
        <v>720.34</v>
      </c>
      <c r="H3463" s="9" t="s">
        <v>32</v>
      </c>
      <c r="I3463" s="9">
        <v>8</v>
      </c>
      <c r="J3463" s="10">
        <v>490.34</v>
      </c>
      <c r="K3463" s="9" t="str">
        <f>TEXT(Sales_of_Jordan[[#This Row],[Sale_Date]],"mmm")</f>
        <v>Aug</v>
      </c>
    </row>
    <row r="3464" spans="1:11" x14ac:dyDescent="0.35">
      <c r="A3464" s="7" t="s">
        <v>3494</v>
      </c>
      <c r="B3464" s="8">
        <v>45005</v>
      </c>
      <c r="C3464" s="9" t="s">
        <v>11</v>
      </c>
      <c r="D3464" s="9" t="s">
        <v>12</v>
      </c>
      <c r="E3464" s="9" t="s">
        <v>29</v>
      </c>
      <c r="F3464" s="9">
        <v>228</v>
      </c>
      <c r="G3464" s="9">
        <v>301.37</v>
      </c>
      <c r="H3464" s="9" t="s">
        <v>14</v>
      </c>
      <c r="I3464" s="9">
        <v>5</v>
      </c>
      <c r="J3464" s="10">
        <v>73.37</v>
      </c>
      <c r="K3464" s="9" t="str">
        <f>TEXT(Sales_of_Jordan[[#This Row],[Sale_Date]],"mmm")</f>
        <v>Mar</v>
      </c>
    </row>
    <row r="3465" spans="1:11" x14ac:dyDescent="0.35">
      <c r="A3465" s="7" t="s">
        <v>3495</v>
      </c>
      <c r="B3465" s="8">
        <v>44937</v>
      </c>
      <c r="C3465" s="9" t="s">
        <v>31</v>
      </c>
      <c r="D3465" s="9" t="s">
        <v>53</v>
      </c>
      <c r="E3465" s="9" t="s">
        <v>29</v>
      </c>
      <c r="F3465" s="9">
        <v>205</v>
      </c>
      <c r="G3465" s="9">
        <v>208.39</v>
      </c>
      <c r="H3465" s="9" t="s">
        <v>19</v>
      </c>
      <c r="I3465" s="9">
        <v>8</v>
      </c>
      <c r="J3465" s="10">
        <v>3.3899999999999801</v>
      </c>
      <c r="K3465" s="9" t="str">
        <f>TEXT(Sales_of_Jordan[[#This Row],[Sale_Date]],"mmm")</f>
        <v>Jan</v>
      </c>
    </row>
    <row r="3466" spans="1:11" x14ac:dyDescent="0.35">
      <c r="A3466" s="7" t="s">
        <v>3496</v>
      </c>
      <c r="B3466" s="8">
        <v>45791</v>
      </c>
      <c r="C3466" s="9" t="s">
        <v>27</v>
      </c>
      <c r="D3466" s="9" t="s">
        <v>22</v>
      </c>
      <c r="E3466" s="9" t="s">
        <v>18</v>
      </c>
      <c r="F3466" s="9">
        <v>140</v>
      </c>
      <c r="G3466" s="9">
        <v>365.03</v>
      </c>
      <c r="H3466" s="9" t="s">
        <v>19</v>
      </c>
      <c r="I3466" s="9">
        <v>1</v>
      </c>
      <c r="J3466" s="10">
        <v>225.02999999999901</v>
      </c>
      <c r="K3466" s="9" t="str">
        <f>TEXT(Sales_of_Jordan[[#This Row],[Sale_Date]],"mmm")</f>
        <v>May</v>
      </c>
    </row>
    <row r="3467" spans="1:11" x14ac:dyDescent="0.35">
      <c r="A3467" s="7" t="s">
        <v>3497</v>
      </c>
      <c r="B3467" s="8">
        <v>45261</v>
      </c>
      <c r="C3467" s="9" t="s">
        <v>11</v>
      </c>
      <c r="D3467" s="9" t="s">
        <v>55</v>
      </c>
      <c r="E3467" s="9" t="s">
        <v>13</v>
      </c>
      <c r="F3467" s="9">
        <v>228</v>
      </c>
      <c r="G3467" s="9">
        <v>154.06</v>
      </c>
      <c r="H3467" s="9" t="s">
        <v>14</v>
      </c>
      <c r="I3467" s="9">
        <v>5</v>
      </c>
      <c r="J3467" s="10">
        <v>-73.94</v>
      </c>
      <c r="K3467" s="9" t="str">
        <f>TEXT(Sales_of_Jordan[[#This Row],[Sale_Date]],"mmm")</f>
        <v>Dec</v>
      </c>
    </row>
    <row r="3468" spans="1:11" x14ac:dyDescent="0.35">
      <c r="A3468" s="7" t="s">
        <v>3498</v>
      </c>
      <c r="B3468" s="8">
        <v>44968</v>
      </c>
      <c r="C3468" s="9" t="s">
        <v>27</v>
      </c>
      <c r="D3468" s="9" t="s">
        <v>55</v>
      </c>
      <c r="E3468" s="9" t="s">
        <v>18</v>
      </c>
      <c r="F3468" s="9">
        <v>125</v>
      </c>
      <c r="G3468" s="9">
        <v>435.45</v>
      </c>
      <c r="H3468" s="9" t="s">
        <v>25</v>
      </c>
      <c r="I3468" s="9">
        <v>5</v>
      </c>
      <c r="J3468" s="10">
        <v>310.45</v>
      </c>
      <c r="K3468" s="9" t="str">
        <f>TEXT(Sales_of_Jordan[[#This Row],[Sale_Date]],"mmm")</f>
        <v>Feb</v>
      </c>
    </row>
    <row r="3469" spans="1:11" x14ac:dyDescent="0.35">
      <c r="A3469" s="7" t="s">
        <v>3499</v>
      </c>
      <c r="B3469" s="8">
        <v>45526</v>
      </c>
      <c r="C3469" s="9" t="s">
        <v>21</v>
      </c>
      <c r="D3469" s="9" t="s">
        <v>12</v>
      </c>
      <c r="E3469" s="9" t="s">
        <v>13</v>
      </c>
      <c r="F3469" s="9">
        <v>225</v>
      </c>
      <c r="G3469" s="9">
        <v>168.8</v>
      </c>
      <c r="H3469" s="9" t="s">
        <v>32</v>
      </c>
      <c r="I3469" s="9">
        <v>60</v>
      </c>
      <c r="J3469" s="10">
        <v>-56.199999999999903</v>
      </c>
      <c r="K3469" s="9" t="str">
        <f>TEXT(Sales_of_Jordan[[#This Row],[Sale_Date]],"mmm")</f>
        <v>Aug</v>
      </c>
    </row>
    <row r="3470" spans="1:11" x14ac:dyDescent="0.35">
      <c r="A3470" s="7" t="s">
        <v>3500</v>
      </c>
      <c r="B3470" s="8">
        <v>45559</v>
      </c>
      <c r="C3470" s="9" t="s">
        <v>21</v>
      </c>
      <c r="D3470" s="9" t="s">
        <v>55</v>
      </c>
      <c r="E3470" s="9" t="s">
        <v>29</v>
      </c>
      <c r="F3470" s="9">
        <v>212</v>
      </c>
      <c r="G3470" s="9">
        <v>229.69</v>
      </c>
      <c r="H3470" s="9" t="s">
        <v>32</v>
      </c>
      <c r="I3470" s="9">
        <v>59</v>
      </c>
      <c r="J3470" s="10">
        <v>17.689999999999898</v>
      </c>
      <c r="K3470" s="9" t="str">
        <f>TEXT(Sales_of_Jordan[[#This Row],[Sale_Date]],"mmm")</f>
        <v>Sep</v>
      </c>
    </row>
    <row r="3471" spans="1:11" x14ac:dyDescent="0.35">
      <c r="A3471" s="7" t="s">
        <v>3501</v>
      </c>
      <c r="B3471" s="8">
        <v>45559</v>
      </c>
      <c r="C3471" s="9" t="s">
        <v>27</v>
      </c>
      <c r="D3471" s="9" t="s">
        <v>12</v>
      </c>
      <c r="E3471" s="9" t="s">
        <v>13</v>
      </c>
      <c r="F3471" s="9">
        <v>118</v>
      </c>
      <c r="G3471" s="9">
        <v>92.35</v>
      </c>
      <c r="H3471" s="9" t="s">
        <v>19</v>
      </c>
      <c r="I3471" s="9">
        <v>1</v>
      </c>
      <c r="J3471" s="10">
        <v>-25.65</v>
      </c>
      <c r="K3471" s="9" t="str">
        <f>TEXT(Sales_of_Jordan[[#This Row],[Sale_Date]],"mmm")</f>
        <v>Sep</v>
      </c>
    </row>
    <row r="3472" spans="1:11" x14ac:dyDescent="0.35">
      <c r="A3472" s="7" t="s">
        <v>3502</v>
      </c>
      <c r="B3472" s="8">
        <v>45212</v>
      </c>
      <c r="C3472" s="9" t="s">
        <v>21</v>
      </c>
      <c r="D3472" s="9" t="s">
        <v>53</v>
      </c>
      <c r="E3472" s="9" t="s">
        <v>29</v>
      </c>
      <c r="F3472" s="9">
        <v>213</v>
      </c>
      <c r="G3472" s="9">
        <v>291.13</v>
      </c>
      <c r="H3472" s="9" t="s">
        <v>14</v>
      </c>
      <c r="I3472" s="9">
        <v>14</v>
      </c>
      <c r="J3472" s="10">
        <v>78.13</v>
      </c>
      <c r="K3472" s="9" t="str">
        <f>TEXT(Sales_of_Jordan[[#This Row],[Sale_Date]],"mmm")</f>
        <v>Oct</v>
      </c>
    </row>
    <row r="3473" spans="1:11" x14ac:dyDescent="0.35">
      <c r="A3473" s="7" t="s">
        <v>3503</v>
      </c>
      <c r="B3473" s="8">
        <v>45133</v>
      </c>
      <c r="C3473" s="9" t="s">
        <v>16</v>
      </c>
      <c r="D3473" s="9" t="s">
        <v>39</v>
      </c>
      <c r="E3473" s="9" t="s">
        <v>18</v>
      </c>
      <c r="F3473" s="9">
        <v>180</v>
      </c>
      <c r="G3473" s="9">
        <v>602.07000000000005</v>
      </c>
      <c r="H3473" s="9" t="s">
        <v>25</v>
      </c>
      <c r="I3473" s="9">
        <v>26</v>
      </c>
      <c r="J3473" s="10">
        <v>422.07</v>
      </c>
      <c r="K3473" s="9" t="str">
        <f>TEXT(Sales_of_Jordan[[#This Row],[Sale_Date]],"mmm")</f>
        <v>Jul</v>
      </c>
    </row>
    <row r="3474" spans="1:11" x14ac:dyDescent="0.35">
      <c r="A3474" s="7" t="s">
        <v>3504</v>
      </c>
      <c r="B3474" s="8">
        <v>45179</v>
      </c>
      <c r="C3474" s="9" t="s">
        <v>11</v>
      </c>
      <c r="D3474" s="9" t="s">
        <v>34</v>
      </c>
      <c r="E3474" s="9" t="s">
        <v>29</v>
      </c>
      <c r="F3474" s="9">
        <v>228</v>
      </c>
      <c r="G3474" s="9">
        <v>255.83</v>
      </c>
      <c r="H3474" s="9" t="s">
        <v>19</v>
      </c>
      <c r="I3474" s="9">
        <v>2</v>
      </c>
      <c r="J3474" s="10">
        <v>27.83</v>
      </c>
      <c r="K3474" s="9" t="str">
        <f>TEXT(Sales_of_Jordan[[#This Row],[Sale_Date]],"mmm")</f>
        <v>Sep</v>
      </c>
    </row>
    <row r="3475" spans="1:11" x14ac:dyDescent="0.35">
      <c r="A3475" s="7" t="s">
        <v>3505</v>
      </c>
      <c r="B3475" s="8">
        <v>45206</v>
      </c>
      <c r="C3475" s="9" t="s">
        <v>16</v>
      </c>
      <c r="D3475" s="9" t="s">
        <v>53</v>
      </c>
      <c r="E3475" s="9" t="s">
        <v>29</v>
      </c>
      <c r="F3475" s="9">
        <v>186</v>
      </c>
      <c r="G3475" s="9">
        <v>242.02</v>
      </c>
      <c r="H3475" s="9" t="s">
        <v>32</v>
      </c>
      <c r="I3475" s="9">
        <v>7</v>
      </c>
      <c r="J3475" s="10">
        <v>56.02</v>
      </c>
      <c r="K3475" s="9" t="str">
        <f>TEXT(Sales_of_Jordan[[#This Row],[Sale_Date]],"mmm")</f>
        <v>Oct</v>
      </c>
    </row>
    <row r="3476" spans="1:11" x14ac:dyDescent="0.35">
      <c r="A3476" s="7" t="s">
        <v>3506</v>
      </c>
      <c r="B3476" s="8">
        <v>45056</v>
      </c>
      <c r="C3476" s="9" t="s">
        <v>27</v>
      </c>
      <c r="D3476" s="9" t="s">
        <v>12</v>
      </c>
      <c r="E3476" s="9" t="s">
        <v>13</v>
      </c>
      <c r="F3476" s="9">
        <v>117</v>
      </c>
      <c r="G3476" s="9">
        <v>98.96</v>
      </c>
      <c r="H3476" s="9" t="s">
        <v>19</v>
      </c>
      <c r="I3476" s="9">
        <v>8</v>
      </c>
      <c r="J3476" s="10">
        <v>-18.04</v>
      </c>
      <c r="K3476" s="9" t="str">
        <f>TEXT(Sales_of_Jordan[[#This Row],[Sale_Date]],"mmm")</f>
        <v>May</v>
      </c>
    </row>
    <row r="3477" spans="1:11" x14ac:dyDescent="0.35">
      <c r="A3477" s="7" t="s">
        <v>3507</v>
      </c>
      <c r="B3477" s="8">
        <v>45335</v>
      </c>
      <c r="C3477" s="9" t="s">
        <v>27</v>
      </c>
      <c r="D3477" s="9" t="s">
        <v>55</v>
      </c>
      <c r="E3477" s="9" t="s">
        <v>13</v>
      </c>
      <c r="F3477" s="9">
        <v>112</v>
      </c>
      <c r="G3477" s="9">
        <v>82.13</v>
      </c>
      <c r="H3477" s="9" t="s">
        <v>19</v>
      </c>
      <c r="I3477" s="9">
        <v>4</v>
      </c>
      <c r="J3477" s="10">
        <v>-29.87</v>
      </c>
      <c r="K3477" s="9" t="str">
        <f>TEXT(Sales_of_Jordan[[#This Row],[Sale_Date]],"mmm")</f>
        <v>Feb</v>
      </c>
    </row>
    <row r="3478" spans="1:11" x14ac:dyDescent="0.35">
      <c r="A3478" s="7" t="s">
        <v>3508</v>
      </c>
      <c r="B3478" s="8">
        <v>45397</v>
      </c>
      <c r="C3478" s="9" t="s">
        <v>21</v>
      </c>
      <c r="D3478" s="9" t="s">
        <v>53</v>
      </c>
      <c r="E3478" s="9" t="s">
        <v>29</v>
      </c>
      <c r="F3478" s="9">
        <v>213</v>
      </c>
      <c r="G3478" s="9">
        <v>255.42</v>
      </c>
      <c r="H3478" s="9" t="s">
        <v>25</v>
      </c>
      <c r="I3478" s="9">
        <v>11</v>
      </c>
      <c r="J3478" s="10">
        <v>42.419999999999902</v>
      </c>
      <c r="K3478" s="9" t="str">
        <f>TEXT(Sales_of_Jordan[[#This Row],[Sale_Date]],"mmm")</f>
        <v>Apr</v>
      </c>
    </row>
    <row r="3479" spans="1:11" x14ac:dyDescent="0.35">
      <c r="A3479" s="7" t="s">
        <v>3509</v>
      </c>
      <c r="B3479" s="8">
        <v>45642</v>
      </c>
      <c r="C3479" s="9" t="s">
        <v>27</v>
      </c>
      <c r="D3479" s="9" t="s">
        <v>39</v>
      </c>
      <c r="E3479" s="9" t="s">
        <v>13</v>
      </c>
      <c r="F3479" s="9">
        <v>116</v>
      </c>
      <c r="G3479" s="9">
        <v>76.94</v>
      </c>
      <c r="H3479" s="9" t="s">
        <v>19</v>
      </c>
      <c r="I3479" s="9">
        <v>1</v>
      </c>
      <c r="J3479" s="10">
        <v>-39.06</v>
      </c>
      <c r="K3479" s="9" t="str">
        <f>TEXT(Sales_of_Jordan[[#This Row],[Sale_Date]],"mmm")</f>
        <v>Dec</v>
      </c>
    </row>
    <row r="3480" spans="1:11" x14ac:dyDescent="0.35">
      <c r="A3480" s="7" t="s">
        <v>3510</v>
      </c>
      <c r="B3480" s="8">
        <v>45345</v>
      </c>
      <c r="C3480" s="9" t="s">
        <v>31</v>
      </c>
      <c r="D3480" s="9" t="s">
        <v>53</v>
      </c>
      <c r="E3480" s="9" t="s">
        <v>13</v>
      </c>
      <c r="F3480" s="9">
        <v>210</v>
      </c>
      <c r="G3480" s="9">
        <v>120.09</v>
      </c>
      <c r="H3480" s="9" t="s">
        <v>25</v>
      </c>
      <c r="I3480" s="9">
        <v>48</v>
      </c>
      <c r="J3480" s="10">
        <v>-89.91</v>
      </c>
      <c r="K3480" s="9" t="str">
        <f>TEXT(Sales_of_Jordan[[#This Row],[Sale_Date]],"mmm")</f>
        <v>Feb</v>
      </c>
    </row>
    <row r="3481" spans="1:11" x14ac:dyDescent="0.35">
      <c r="A3481" s="7" t="s">
        <v>3511</v>
      </c>
      <c r="B3481" s="8">
        <v>45167</v>
      </c>
      <c r="C3481" s="9" t="s">
        <v>11</v>
      </c>
      <c r="D3481" s="9" t="s">
        <v>39</v>
      </c>
      <c r="E3481" s="9" t="s">
        <v>13</v>
      </c>
      <c r="F3481" s="9">
        <v>227</v>
      </c>
      <c r="G3481" s="9">
        <v>114.47</v>
      </c>
      <c r="H3481" s="9" t="s">
        <v>14</v>
      </c>
      <c r="I3481" s="9">
        <v>6</v>
      </c>
      <c r="J3481" s="10">
        <v>-112.53</v>
      </c>
      <c r="K3481" s="9" t="str">
        <f>TEXT(Sales_of_Jordan[[#This Row],[Sale_Date]],"mmm")</f>
        <v>Aug</v>
      </c>
    </row>
    <row r="3482" spans="1:11" x14ac:dyDescent="0.35">
      <c r="A3482" s="7" t="s">
        <v>3512</v>
      </c>
      <c r="B3482" s="8">
        <v>44930</v>
      </c>
      <c r="C3482" s="9" t="s">
        <v>31</v>
      </c>
      <c r="D3482" s="9" t="s">
        <v>34</v>
      </c>
      <c r="E3482" s="9" t="s">
        <v>29</v>
      </c>
      <c r="F3482" s="9">
        <v>201</v>
      </c>
      <c r="G3482" s="9">
        <v>274.06</v>
      </c>
      <c r="H3482" s="9" t="s">
        <v>19</v>
      </c>
      <c r="I3482" s="9">
        <v>8</v>
      </c>
      <c r="J3482" s="10">
        <v>73.06</v>
      </c>
      <c r="K3482" s="9" t="str">
        <f>TEXT(Sales_of_Jordan[[#This Row],[Sale_Date]],"mmm")</f>
        <v>Jan</v>
      </c>
    </row>
    <row r="3483" spans="1:11" x14ac:dyDescent="0.35">
      <c r="A3483" s="7" t="s">
        <v>3513</v>
      </c>
      <c r="B3483" s="8">
        <v>45071</v>
      </c>
      <c r="C3483" s="9" t="s">
        <v>31</v>
      </c>
      <c r="D3483" s="9" t="s">
        <v>55</v>
      </c>
      <c r="E3483" s="9" t="s">
        <v>13</v>
      </c>
      <c r="F3483" s="9">
        <v>207</v>
      </c>
      <c r="G3483" s="9">
        <v>185.08</v>
      </c>
      <c r="H3483" s="9" t="s">
        <v>14</v>
      </c>
      <c r="I3483" s="9">
        <v>9</v>
      </c>
      <c r="J3483" s="10">
        <v>-21.919999999999899</v>
      </c>
      <c r="K3483" s="9" t="str">
        <f>TEXT(Sales_of_Jordan[[#This Row],[Sale_Date]],"mmm")</f>
        <v>May</v>
      </c>
    </row>
    <row r="3484" spans="1:11" x14ac:dyDescent="0.35">
      <c r="A3484" s="7" t="s">
        <v>3514</v>
      </c>
      <c r="B3484" s="8">
        <v>45653</v>
      </c>
      <c r="C3484" s="9" t="s">
        <v>16</v>
      </c>
      <c r="D3484" s="9" t="s">
        <v>36</v>
      </c>
      <c r="E3484" s="9" t="s">
        <v>13</v>
      </c>
      <c r="F3484" s="9">
        <v>190</v>
      </c>
      <c r="G3484" s="9">
        <v>95.29</v>
      </c>
      <c r="H3484" s="9" t="s">
        <v>19</v>
      </c>
      <c r="I3484" s="9">
        <v>13</v>
      </c>
      <c r="J3484" s="10">
        <v>-94.71</v>
      </c>
      <c r="K3484" s="9" t="str">
        <f>TEXT(Sales_of_Jordan[[#This Row],[Sale_Date]],"mmm")</f>
        <v>Dec</v>
      </c>
    </row>
    <row r="3485" spans="1:11" x14ac:dyDescent="0.35">
      <c r="A3485" s="7" t="s">
        <v>3515</v>
      </c>
      <c r="B3485" s="8">
        <v>45860</v>
      </c>
      <c r="C3485" s="9" t="s">
        <v>16</v>
      </c>
      <c r="D3485" s="9" t="s">
        <v>34</v>
      </c>
      <c r="E3485" s="9" t="s">
        <v>18</v>
      </c>
      <c r="F3485" s="9">
        <v>182</v>
      </c>
      <c r="G3485" s="9">
        <v>279.57</v>
      </c>
      <c r="H3485" s="9" t="s">
        <v>32</v>
      </c>
      <c r="I3485" s="9">
        <v>38</v>
      </c>
      <c r="J3485" s="10">
        <v>97.57</v>
      </c>
      <c r="K3485" s="9" t="str">
        <f>TEXT(Sales_of_Jordan[[#This Row],[Sale_Date]],"mmm")</f>
        <v>Jul</v>
      </c>
    </row>
    <row r="3486" spans="1:11" x14ac:dyDescent="0.35">
      <c r="A3486" s="7" t="s">
        <v>3516</v>
      </c>
      <c r="B3486" s="8">
        <v>45187</v>
      </c>
      <c r="C3486" s="9" t="s">
        <v>11</v>
      </c>
      <c r="D3486" s="9" t="s">
        <v>46</v>
      </c>
      <c r="E3486" s="9" t="s">
        <v>13</v>
      </c>
      <c r="F3486" s="9">
        <v>227</v>
      </c>
      <c r="G3486" s="9">
        <v>130.87</v>
      </c>
      <c r="H3486" s="9" t="s">
        <v>14</v>
      </c>
      <c r="I3486" s="9">
        <v>3</v>
      </c>
      <c r="J3486" s="10">
        <v>-96.13</v>
      </c>
      <c r="K3486" s="9" t="str">
        <f>TEXT(Sales_of_Jordan[[#This Row],[Sale_Date]],"mmm")</f>
        <v>Sep</v>
      </c>
    </row>
    <row r="3487" spans="1:11" x14ac:dyDescent="0.35">
      <c r="A3487" s="7" t="s">
        <v>3517</v>
      </c>
      <c r="B3487" s="8">
        <v>45746</v>
      </c>
      <c r="C3487" s="9" t="s">
        <v>27</v>
      </c>
      <c r="D3487" s="9" t="s">
        <v>46</v>
      </c>
      <c r="E3487" s="9" t="s">
        <v>18</v>
      </c>
      <c r="F3487" s="9">
        <v>117</v>
      </c>
      <c r="G3487" s="9">
        <v>200.35</v>
      </c>
      <c r="H3487" s="9" t="s">
        <v>23</v>
      </c>
      <c r="I3487" s="9">
        <v>44</v>
      </c>
      <c r="J3487" s="10">
        <v>83.35</v>
      </c>
      <c r="K3487" s="9" t="str">
        <f>TEXT(Sales_of_Jordan[[#This Row],[Sale_Date]],"mmm")</f>
        <v>Mar</v>
      </c>
    </row>
    <row r="3488" spans="1:11" x14ac:dyDescent="0.35">
      <c r="A3488" s="7" t="s">
        <v>3518</v>
      </c>
      <c r="B3488" s="8">
        <v>45104</v>
      </c>
      <c r="C3488" s="9" t="s">
        <v>21</v>
      </c>
      <c r="D3488" s="9" t="s">
        <v>36</v>
      </c>
      <c r="E3488" s="9" t="s">
        <v>29</v>
      </c>
      <c r="F3488" s="9">
        <v>218</v>
      </c>
      <c r="G3488" s="9">
        <v>324.48</v>
      </c>
      <c r="H3488" s="9" t="s">
        <v>14</v>
      </c>
      <c r="I3488" s="9">
        <v>10</v>
      </c>
      <c r="J3488" s="10">
        <v>106.48</v>
      </c>
      <c r="K3488" s="9" t="str">
        <f>TEXT(Sales_of_Jordan[[#This Row],[Sale_Date]],"mmm")</f>
        <v>Jun</v>
      </c>
    </row>
    <row r="3489" spans="1:11" x14ac:dyDescent="0.35">
      <c r="A3489" s="7" t="s">
        <v>3519</v>
      </c>
      <c r="B3489" s="8">
        <v>45168</v>
      </c>
      <c r="C3489" s="9" t="s">
        <v>16</v>
      </c>
      <c r="D3489" s="9" t="s">
        <v>12</v>
      </c>
      <c r="E3489" s="9" t="s">
        <v>13</v>
      </c>
      <c r="F3489" s="9">
        <v>174</v>
      </c>
      <c r="G3489" s="9">
        <v>115.11</v>
      </c>
      <c r="H3489" s="9" t="s">
        <v>32</v>
      </c>
      <c r="I3489" s="9">
        <v>14</v>
      </c>
      <c r="J3489" s="10">
        <v>-58.89</v>
      </c>
      <c r="K3489" s="9" t="str">
        <f>TEXT(Sales_of_Jordan[[#This Row],[Sale_Date]],"mmm")</f>
        <v>Aug</v>
      </c>
    </row>
    <row r="3490" spans="1:11" x14ac:dyDescent="0.35">
      <c r="A3490" s="7" t="s">
        <v>3520</v>
      </c>
      <c r="B3490" s="8">
        <v>45468</v>
      </c>
      <c r="C3490" s="9" t="s">
        <v>21</v>
      </c>
      <c r="D3490" s="9" t="s">
        <v>55</v>
      </c>
      <c r="E3490" s="9" t="s">
        <v>29</v>
      </c>
      <c r="F3490" s="9">
        <v>216</v>
      </c>
      <c r="G3490" s="9">
        <v>296.32</v>
      </c>
      <c r="H3490" s="9" t="s">
        <v>32</v>
      </c>
      <c r="I3490" s="9">
        <v>19</v>
      </c>
      <c r="J3490" s="10">
        <v>80.319999999999993</v>
      </c>
      <c r="K3490" s="9" t="str">
        <f>TEXT(Sales_of_Jordan[[#This Row],[Sale_Date]],"mmm")</f>
        <v>Jun</v>
      </c>
    </row>
    <row r="3491" spans="1:11" x14ac:dyDescent="0.35">
      <c r="A3491" s="7" t="s">
        <v>3521</v>
      </c>
      <c r="B3491" s="8">
        <v>45170</v>
      </c>
      <c r="C3491" s="9" t="s">
        <v>31</v>
      </c>
      <c r="D3491" s="9" t="s">
        <v>46</v>
      </c>
      <c r="E3491" s="9" t="s">
        <v>29</v>
      </c>
      <c r="F3491" s="9">
        <v>203</v>
      </c>
      <c r="G3491" s="9">
        <v>291.99</v>
      </c>
      <c r="H3491" s="9" t="s">
        <v>25</v>
      </c>
      <c r="I3491" s="9">
        <v>15</v>
      </c>
      <c r="J3491" s="10">
        <v>88.99</v>
      </c>
      <c r="K3491" s="9" t="str">
        <f>TEXT(Sales_of_Jordan[[#This Row],[Sale_Date]],"mmm")</f>
        <v>Sep</v>
      </c>
    </row>
    <row r="3492" spans="1:11" x14ac:dyDescent="0.35">
      <c r="A3492" s="7" t="s">
        <v>3522</v>
      </c>
      <c r="B3492" s="8">
        <v>45554</v>
      </c>
      <c r="C3492" s="9" t="s">
        <v>21</v>
      </c>
      <c r="D3492" s="9" t="s">
        <v>17</v>
      </c>
      <c r="E3492" s="9" t="s">
        <v>29</v>
      </c>
      <c r="F3492" s="9">
        <v>217</v>
      </c>
      <c r="G3492" s="9">
        <v>270.22000000000003</v>
      </c>
      <c r="H3492" s="9" t="s">
        <v>32</v>
      </c>
      <c r="I3492" s="9">
        <v>8</v>
      </c>
      <c r="J3492" s="10">
        <v>53.22</v>
      </c>
      <c r="K3492" s="9" t="str">
        <f>TEXT(Sales_of_Jordan[[#This Row],[Sale_Date]],"mmm")</f>
        <v>Sep</v>
      </c>
    </row>
    <row r="3493" spans="1:11" x14ac:dyDescent="0.35">
      <c r="A3493" s="7" t="s">
        <v>3523</v>
      </c>
      <c r="B3493" s="8">
        <v>45666</v>
      </c>
      <c r="C3493" s="9" t="s">
        <v>21</v>
      </c>
      <c r="D3493" s="9" t="s">
        <v>12</v>
      </c>
      <c r="E3493" s="9" t="s">
        <v>29</v>
      </c>
      <c r="F3493" s="9">
        <v>215</v>
      </c>
      <c r="G3493" s="9">
        <v>238.86</v>
      </c>
      <c r="H3493" s="9" t="s">
        <v>14</v>
      </c>
      <c r="I3493" s="9">
        <v>10</v>
      </c>
      <c r="J3493" s="10">
        <v>23.86</v>
      </c>
      <c r="K3493" s="9" t="str">
        <f>TEXT(Sales_of_Jordan[[#This Row],[Sale_Date]],"mmm")</f>
        <v>Jan</v>
      </c>
    </row>
    <row r="3494" spans="1:11" x14ac:dyDescent="0.35">
      <c r="A3494" s="7" t="s">
        <v>3524</v>
      </c>
      <c r="B3494" s="8">
        <v>45859</v>
      </c>
      <c r="C3494" s="9" t="s">
        <v>16</v>
      </c>
      <c r="D3494" s="9" t="s">
        <v>12</v>
      </c>
      <c r="E3494" s="9" t="s">
        <v>18</v>
      </c>
      <c r="F3494" s="9">
        <v>172</v>
      </c>
      <c r="G3494" s="9">
        <v>510.69</v>
      </c>
      <c r="H3494" s="9" t="s">
        <v>32</v>
      </c>
      <c r="I3494" s="9">
        <v>11</v>
      </c>
      <c r="J3494" s="10">
        <v>338.69</v>
      </c>
      <c r="K3494" s="9" t="str">
        <f>TEXT(Sales_of_Jordan[[#This Row],[Sale_Date]],"mmm")</f>
        <v>Jul</v>
      </c>
    </row>
    <row r="3495" spans="1:11" x14ac:dyDescent="0.35">
      <c r="A3495" s="7" t="s">
        <v>3525</v>
      </c>
      <c r="B3495" s="8">
        <v>45137</v>
      </c>
      <c r="C3495" s="9" t="s">
        <v>31</v>
      </c>
      <c r="D3495" s="9" t="s">
        <v>36</v>
      </c>
      <c r="E3495" s="9" t="s">
        <v>13</v>
      </c>
      <c r="F3495" s="9">
        <v>203</v>
      </c>
      <c r="G3495" s="9">
        <v>113.43</v>
      </c>
      <c r="H3495" s="9" t="s">
        <v>25</v>
      </c>
      <c r="I3495" s="9">
        <v>37</v>
      </c>
      <c r="J3495" s="10">
        <v>-89.57</v>
      </c>
      <c r="K3495" s="9" t="str">
        <f>TEXT(Sales_of_Jordan[[#This Row],[Sale_Date]],"mmm")</f>
        <v>Jul</v>
      </c>
    </row>
    <row r="3496" spans="1:11" x14ac:dyDescent="0.35">
      <c r="A3496" s="7" t="s">
        <v>3526</v>
      </c>
      <c r="B3496" s="8">
        <v>45370</v>
      </c>
      <c r="C3496" s="9" t="s">
        <v>21</v>
      </c>
      <c r="D3496" s="9" t="s">
        <v>17</v>
      </c>
      <c r="E3496" s="9" t="s">
        <v>29</v>
      </c>
      <c r="F3496" s="9">
        <v>216</v>
      </c>
      <c r="G3496" s="9">
        <v>276.27999999999997</v>
      </c>
      <c r="H3496" s="9" t="s">
        <v>14</v>
      </c>
      <c r="I3496" s="9">
        <v>6</v>
      </c>
      <c r="J3496" s="10">
        <v>60.279999999999902</v>
      </c>
      <c r="K3496" s="9" t="str">
        <f>TEXT(Sales_of_Jordan[[#This Row],[Sale_Date]],"mmm")</f>
        <v>Mar</v>
      </c>
    </row>
    <row r="3497" spans="1:11" x14ac:dyDescent="0.35">
      <c r="A3497" s="7" t="s">
        <v>3527</v>
      </c>
      <c r="B3497" s="8">
        <v>45531</v>
      </c>
      <c r="C3497" s="9" t="s">
        <v>31</v>
      </c>
      <c r="D3497" s="9" t="s">
        <v>34</v>
      </c>
      <c r="E3497" s="9" t="s">
        <v>13</v>
      </c>
      <c r="F3497" s="9">
        <v>207</v>
      </c>
      <c r="G3497" s="9">
        <v>132.85</v>
      </c>
      <c r="H3497" s="9" t="s">
        <v>19</v>
      </c>
      <c r="I3497" s="9">
        <v>3</v>
      </c>
      <c r="J3497" s="10">
        <v>-74.150000000000006</v>
      </c>
      <c r="K3497" s="9" t="str">
        <f>TEXT(Sales_of_Jordan[[#This Row],[Sale_Date]],"mmm")</f>
        <v>Aug</v>
      </c>
    </row>
    <row r="3498" spans="1:11" x14ac:dyDescent="0.35">
      <c r="A3498" s="7" t="s">
        <v>3528</v>
      </c>
      <c r="B3498" s="8">
        <v>45792</v>
      </c>
      <c r="C3498" s="9" t="s">
        <v>11</v>
      </c>
      <c r="D3498" s="9" t="s">
        <v>34</v>
      </c>
      <c r="E3498" s="9" t="s">
        <v>18</v>
      </c>
      <c r="F3498" s="9">
        <v>230</v>
      </c>
      <c r="G3498" s="9">
        <v>773.22</v>
      </c>
      <c r="H3498" s="9" t="s">
        <v>23</v>
      </c>
      <c r="I3498" s="9">
        <v>31</v>
      </c>
      <c r="J3498" s="10">
        <v>543.22</v>
      </c>
      <c r="K3498" s="9" t="str">
        <f>TEXT(Sales_of_Jordan[[#This Row],[Sale_Date]],"mmm")</f>
        <v>May</v>
      </c>
    </row>
    <row r="3499" spans="1:11" x14ac:dyDescent="0.35">
      <c r="A3499" s="7" t="s">
        <v>3529</v>
      </c>
      <c r="B3499" s="8">
        <v>45509</v>
      </c>
      <c r="C3499" s="9" t="s">
        <v>11</v>
      </c>
      <c r="D3499" s="9" t="s">
        <v>22</v>
      </c>
      <c r="E3499" s="9" t="s">
        <v>13</v>
      </c>
      <c r="F3499" s="9">
        <v>229</v>
      </c>
      <c r="G3499" s="9">
        <v>156</v>
      </c>
      <c r="H3499" s="9" t="s">
        <v>14</v>
      </c>
      <c r="I3499" s="9">
        <v>13</v>
      </c>
      <c r="J3499" s="10">
        <v>-73</v>
      </c>
      <c r="K3499" s="9" t="str">
        <f>TEXT(Sales_of_Jordan[[#This Row],[Sale_Date]],"mmm")</f>
        <v>Aug</v>
      </c>
    </row>
    <row r="3500" spans="1:11" x14ac:dyDescent="0.35">
      <c r="A3500" s="7" t="s">
        <v>3530</v>
      </c>
      <c r="B3500" s="8">
        <v>45699</v>
      </c>
      <c r="C3500" s="9" t="s">
        <v>31</v>
      </c>
      <c r="D3500" s="9" t="s">
        <v>12</v>
      </c>
      <c r="E3500" s="9" t="s">
        <v>13</v>
      </c>
      <c r="F3500" s="9">
        <v>200</v>
      </c>
      <c r="G3500" s="9">
        <v>109.9</v>
      </c>
      <c r="H3500" s="9" t="s">
        <v>25</v>
      </c>
      <c r="I3500" s="9">
        <v>43</v>
      </c>
      <c r="J3500" s="10">
        <v>-90.1</v>
      </c>
      <c r="K3500" s="9" t="str">
        <f>TEXT(Sales_of_Jordan[[#This Row],[Sale_Date]],"mmm")</f>
        <v>Feb</v>
      </c>
    </row>
    <row r="3501" spans="1:11" x14ac:dyDescent="0.35">
      <c r="A3501" s="7" t="s">
        <v>3531</v>
      </c>
      <c r="B3501" s="8">
        <v>45261</v>
      </c>
      <c r="C3501" s="9" t="s">
        <v>11</v>
      </c>
      <c r="D3501" s="9" t="s">
        <v>34</v>
      </c>
      <c r="E3501" s="9" t="s">
        <v>13</v>
      </c>
      <c r="F3501" s="9">
        <v>228</v>
      </c>
      <c r="G3501" s="9">
        <v>154.08000000000001</v>
      </c>
      <c r="H3501" s="9" t="s">
        <v>19</v>
      </c>
      <c r="I3501" s="9">
        <v>6</v>
      </c>
      <c r="J3501" s="10">
        <v>-73.919999999999902</v>
      </c>
      <c r="K3501" s="9" t="str">
        <f>TEXT(Sales_of_Jordan[[#This Row],[Sale_Date]],"mmm")</f>
        <v>Dec</v>
      </c>
    </row>
    <row r="3502" spans="1:11" x14ac:dyDescent="0.35">
      <c r="A3502" s="7" t="s">
        <v>3532</v>
      </c>
      <c r="B3502" s="8">
        <v>45211</v>
      </c>
      <c r="C3502" s="9" t="s">
        <v>27</v>
      </c>
      <c r="D3502" s="9" t="s">
        <v>34</v>
      </c>
      <c r="E3502" s="9" t="s">
        <v>13</v>
      </c>
      <c r="F3502" s="9">
        <v>112</v>
      </c>
      <c r="G3502" s="9">
        <v>99.46</v>
      </c>
      <c r="H3502" s="9" t="s">
        <v>14</v>
      </c>
      <c r="I3502" s="9">
        <v>8</v>
      </c>
      <c r="J3502" s="10">
        <v>-12.54</v>
      </c>
      <c r="K3502" s="9" t="str">
        <f>TEXT(Sales_of_Jordan[[#This Row],[Sale_Date]],"mmm")</f>
        <v>Oct</v>
      </c>
    </row>
    <row r="3503" spans="1:11" x14ac:dyDescent="0.35">
      <c r="A3503" s="7" t="s">
        <v>3533</v>
      </c>
      <c r="B3503" s="8">
        <v>45190</v>
      </c>
      <c r="C3503" s="9" t="s">
        <v>11</v>
      </c>
      <c r="D3503" s="9" t="s">
        <v>36</v>
      </c>
      <c r="E3503" s="9" t="s">
        <v>18</v>
      </c>
      <c r="F3503" s="9">
        <v>230</v>
      </c>
      <c r="G3503" s="9">
        <v>355.19</v>
      </c>
      <c r="H3503" s="9" t="s">
        <v>19</v>
      </c>
      <c r="I3503" s="9">
        <v>7</v>
      </c>
      <c r="J3503" s="10">
        <v>125.19</v>
      </c>
      <c r="K3503" s="9" t="str">
        <f>TEXT(Sales_of_Jordan[[#This Row],[Sale_Date]],"mmm")</f>
        <v>Sep</v>
      </c>
    </row>
    <row r="3504" spans="1:11" x14ac:dyDescent="0.35">
      <c r="A3504" s="7" t="s">
        <v>3534</v>
      </c>
      <c r="B3504" s="8">
        <v>45189</v>
      </c>
      <c r="C3504" s="9" t="s">
        <v>16</v>
      </c>
      <c r="D3504" s="9" t="s">
        <v>22</v>
      </c>
      <c r="E3504" s="9" t="s">
        <v>29</v>
      </c>
      <c r="F3504" s="9">
        <v>186</v>
      </c>
      <c r="G3504" s="9">
        <v>191.88</v>
      </c>
      <c r="H3504" s="9" t="s">
        <v>32</v>
      </c>
      <c r="I3504" s="9">
        <v>53</v>
      </c>
      <c r="J3504" s="10">
        <v>5.8799999999999901</v>
      </c>
      <c r="K3504" s="9" t="str">
        <f>TEXT(Sales_of_Jordan[[#This Row],[Sale_Date]],"mmm")</f>
        <v>Sep</v>
      </c>
    </row>
    <row r="3505" spans="1:11" x14ac:dyDescent="0.35">
      <c r="A3505" s="7" t="s">
        <v>3535</v>
      </c>
      <c r="B3505" s="8">
        <v>45927</v>
      </c>
      <c r="C3505" s="9" t="s">
        <v>21</v>
      </c>
      <c r="D3505" s="9" t="s">
        <v>46</v>
      </c>
      <c r="E3505" s="9" t="s">
        <v>29</v>
      </c>
      <c r="F3505" s="9">
        <v>220</v>
      </c>
      <c r="G3505" s="9">
        <v>309.07</v>
      </c>
      <c r="H3505" s="9" t="s">
        <v>32</v>
      </c>
      <c r="I3505" s="9">
        <v>36</v>
      </c>
      <c r="J3505" s="10">
        <v>89.07</v>
      </c>
      <c r="K3505" s="9" t="str">
        <f>TEXT(Sales_of_Jordan[[#This Row],[Sale_Date]],"mmm")</f>
        <v>Sep</v>
      </c>
    </row>
    <row r="3506" spans="1:11" x14ac:dyDescent="0.35">
      <c r="A3506" s="7" t="s">
        <v>3536</v>
      </c>
      <c r="B3506" s="8">
        <v>45496</v>
      </c>
      <c r="C3506" s="9" t="s">
        <v>21</v>
      </c>
      <c r="D3506" s="9" t="s">
        <v>22</v>
      </c>
      <c r="E3506" s="9" t="s">
        <v>29</v>
      </c>
      <c r="F3506" s="9">
        <v>215</v>
      </c>
      <c r="G3506" s="9">
        <v>203.6</v>
      </c>
      <c r="H3506" s="9" t="s">
        <v>14</v>
      </c>
      <c r="I3506" s="9">
        <v>13</v>
      </c>
      <c r="J3506" s="10">
        <v>-11.4</v>
      </c>
      <c r="K3506" s="9" t="str">
        <f>TEXT(Sales_of_Jordan[[#This Row],[Sale_Date]],"mmm")</f>
        <v>Jul</v>
      </c>
    </row>
    <row r="3507" spans="1:11" x14ac:dyDescent="0.35">
      <c r="A3507" s="7" t="s">
        <v>3537</v>
      </c>
      <c r="B3507" s="8">
        <v>45529</v>
      </c>
      <c r="C3507" s="9" t="s">
        <v>11</v>
      </c>
      <c r="D3507" s="9" t="s">
        <v>46</v>
      </c>
      <c r="E3507" s="9" t="s">
        <v>18</v>
      </c>
      <c r="F3507" s="9">
        <v>225</v>
      </c>
      <c r="G3507" s="9">
        <v>695.36</v>
      </c>
      <c r="H3507" s="9" t="s">
        <v>25</v>
      </c>
      <c r="I3507" s="9">
        <v>25</v>
      </c>
      <c r="J3507" s="10">
        <v>470.36</v>
      </c>
      <c r="K3507" s="9" t="str">
        <f>TEXT(Sales_of_Jordan[[#This Row],[Sale_Date]],"mmm")</f>
        <v>Aug</v>
      </c>
    </row>
    <row r="3508" spans="1:11" x14ac:dyDescent="0.35">
      <c r="A3508" s="7" t="s">
        <v>3538</v>
      </c>
      <c r="B3508" s="8">
        <v>45669</v>
      </c>
      <c r="C3508" s="9" t="s">
        <v>11</v>
      </c>
      <c r="D3508" s="9" t="s">
        <v>22</v>
      </c>
      <c r="E3508" s="9" t="s">
        <v>13</v>
      </c>
      <c r="F3508" s="9">
        <v>230</v>
      </c>
      <c r="G3508" s="9">
        <v>148.35</v>
      </c>
      <c r="H3508" s="9" t="s">
        <v>14</v>
      </c>
      <c r="I3508" s="9">
        <v>8</v>
      </c>
      <c r="J3508" s="10">
        <v>-81.650000000000006</v>
      </c>
      <c r="K3508" s="9" t="str">
        <f>TEXT(Sales_of_Jordan[[#This Row],[Sale_Date]],"mmm")</f>
        <v>Jan</v>
      </c>
    </row>
    <row r="3509" spans="1:11" x14ac:dyDescent="0.35">
      <c r="A3509" s="7" t="s">
        <v>3539</v>
      </c>
      <c r="B3509" s="8">
        <v>45209</v>
      </c>
      <c r="C3509" s="9" t="s">
        <v>11</v>
      </c>
      <c r="D3509" s="9" t="s">
        <v>22</v>
      </c>
      <c r="E3509" s="9" t="s">
        <v>29</v>
      </c>
      <c r="F3509" s="9">
        <v>230</v>
      </c>
      <c r="G3509" s="9">
        <v>214.55</v>
      </c>
      <c r="H3509" s="9" t="s">
        <v>32</v>
      </c>
      <c r="I3509" s="9">
        <v>21</v>
      </c>
      <c r="J3509" s="10">
        <v>-15.4499999999999</v>
      </c>
      <c r="K3509" s="9" t="str">
        <f>TEXT(Sales_of_Jordan[[#This Row],[Sale_Date]],"mmm")</f>
        <v>Oct</v>
      </c>
    </row>
    <row r="3510" spans="1:11" x14ac:dyDescent="0.35">
      <c r="A3510" s="7" t="s">
        <v>3540</v>
      </c>
      <c r="B3510" s="8">
        <v>45568</v>
      </c>
      <c r="C3510" s="9" t="s">
        <v>11</v>
      </c>
      <c r="D3510" s="9" t="s">
        <v>46</v>
      </c>
      <c r="E3510" s="9" t="s">
        <v>13</v>
      </c>
      <c r="F3510" s="9">
        <v>226</v>
      </c>
      <c r="G3510" s="9">
        <v>164.56</v>
      </c>
      <c r="H3510" s="9" t="s">
        <v>32</v>
      </c>
      <c r="I3510" s="9">
        <v>58</v>
      </c>
      <c r="J3510" s="10">
        <v>-61.44</v>
      </c>
      <c r="K3510" s="9" t="str">
        <f>TEXT(Sales_of_Jordan[[#This Row],[Sale_Date]],"mmm")</f>
        <v>Oct</v>
      </c>
    </row>
    <row r="3511" spans="1:11" x14ac:dyDescent="0.35">
      <c r="A3511" s="7" t="s">
        <v>3541</v>
      </c>
      <c r="B3511" s="8">
        <v>45924</v>
      </c>
      <c r="C3511" s="9" t="s">
        <v>16</v>
      </c>
      <c r="D3511" s="9" t="s">
        <v>34</v>
      </c>
      <c r="E3511" s="9" t="s">
        <v>29</v>
      </c>
      <c r="F3511" s="9">
        <v>181</v>
      </c>
      <c r="G3511" s="9">
        <v>174.39</v>
      </c>
      <c r="H3511" s="9" t="s">
        <v>14</v>
      </c>
      <c r="I3511" s="9">
        <v>14</v>
      </c>
      <c r="J3511" s="10">
        <v>-6.6100000000000101</v>
      </c>
      <c r="K3511" s="9" t="str">
        <f>TEXT(Sales_of_Jordan[[#This Row],[Sale_Date]],"mmm")</f>
        <v>Sep</v>
      </c>
    </row>
    <row r="3512" spans="1:11" x14ac:dyDescent="0.35">
      <c r="A3512" s="7" t="s">
        <v>3542</v>
      </c>
      <c r="B3512" s="8">
        <v>45677</v>
      </c>
      <c r="C3512" s="9" t="s">
        <v>11</v>
      </c>
      <c r="D3512" s="9" t="s">
        <v>53</v>
      </c>
      <c r="E3512" s="9" t="s">
        <v>29</v>
      </c>
      <c r="F3512" s="9">
        <v>228</v>
      </c>
      <c r="G3512" s="9">
        <v>228.63</v>
      </c>
      <c r="H3512" s="9" t="s">
        <v>14</v>
      </c>
      <c r="I3512" s="9">
        <v>13</v>
      </c>
      <c r="J3512" s="10">
        <v>0.62999999999999501</v>
      </c>
      <c r="K3512" s="9" t="str">
        <f>TEXT(Sales_of_Jordan[[#This Row],[Sale_Date]],"mmm")</f>
        <v>Jan</v>
      </c>
    </row>
    <row r="3513" spans="1:11" x14ac:dyDescent="0.35">
      <c r="A3513" s="7" t="s">
        <v>3543</v>
      </c>
      <c r="B3513" s="8">
        <v>45878</v>
      </c>
      <c r="C3513" s="9" t="s">
        <v>16</v>
      </c>
      <c r="D3513" s="9" t="s">
        <v>34</v>
      </c>
      <c r="E3513" s="9" t="s">
        <v>29</v>
      </c>
      <c r="F3513" s="9">
        <v>184</v>
      </c>
      <c r="G3513" s="9">
        <v>191.72</v>
      </c>
      <c r="H3513" s="9" t="s">
        <v>25</v>
      </c>
      <c r="I3513" s="9">
        <v>48</v>
      </c>
      <c r="J3513" s="10">
        <v>7.71999999999999</v>
      </c>
      <c r="K3513" s="9" t="str">
        <f>TEXT(Sales_of_Jordan[[#This Row],[Sale_Date]],"mmm")</f>
        <v>Aug</v>
      </c>
    </row>
    <row r="3514" spans="1:11" x14ac:dyDescent="0.35">
      <c r="A3514" s="7" t="s">
        <v>3544</v>
      </c>
      <c r="B3514" s="8">
        <v>45606</v>
      </c>
      <c r="C3514" s="9" t="s">
        <v>21</v>
      </c>
      <c r="D3514" s="9" t="s">
        <v>36</v>
      </c>
      <c r="E3514" s="9" t="s">
        <v>29</v>
      </c>
      <c r="F3514" s="9">
        <v>224</v>
      </c>
      <c r="G3514" s="9">
        <v>255.84</v>
      </c>
      <c r="H3514" s="9" t="s">
        <v>14</v>
      </c>
      <c r="I3514" s="9">
        <v>3</v>
      </c>
      <c r="J3514" s="10">
        <v>31.84</v>
      </c>
      <c r="K3514" s="9" t="str">
        <f>TEXT(Sales_of_Jordan[[#This Row],[Sale_Date]],"mmm")</f>
        <v>Nov</v>
      </c>
    </row>
    <row r="3515" spans="1:11" x14ac:dyDescent="0.35">
      <c r="A3515" s="7" t="s">
        <v>3545</v>
      </c>
      <c r="B3515" s="8">
        <v>45641</v>
      </c>
      <c r="C3515" s="9" t="s">
        <v>21</v>
      </c>
      <c r="D3515" s="9" t="s">
        <v>34</v>
      </c>
      <c r="E3515" s="9" t="s">
        <v>18</v>
      </c>
      <c r="F3515" s="9">
        <v>224</v>
      </c>
      <c r="G3515" s="9">
        <v>513.94000000000005</v>
      </c>
      <c r="H3515" s="9" t="s">
        <v>19</v>
      </c>
      <c r="I3515" s="9">
        <v>4</v>
      </c>
      <c r="J3515" s="10">
        <v>289.94</v>
      </c>
      <c r="K3515" s="9" t="str">
        <f>TEXT(Sales_of_Jordan[[#This Row],[Sale_Date]],"mmm")</f>
        <v>Dec</v>
      </c>
    </row>
    <row r="3516" spans="1:11" x14ac:dyDescent="0.35">
      <c r="A3516" s="7" t="s">
        <v>3546</v>
      </c>
      <c r="B3516" s="8">
        <v>45359</v>
      </c>
      <c r="C3516" s="9" t="s">
        <v>16</v>
      </c>
      <c r="D3516" s="9" t="s">
        <v>55</v>
      </c>
      <c r="E3516" s="9" t="s">
        <v>13</v>
      </c>
      <c r="F3516" s="9">
        <v>170</v>
      </c>
      <c r="G3516" s="9">
        <v>124.85</v>
      </c>
      <c r="H3516" s="9" t="s">
        <v>14</v>
      </c>
      <c r="I3516" s="9">
        <v>11</v>
      </c>
      <c r="J3516" s="10">
        <v>-45.15</v>
      </c>
      <c r="K3516" s="9" t="str">
        <f>TEXT(Sales_of_Jordan[[#This Row],[Sale_Date]],"mmm")</f>
        <v>Mar</v>
      </c>
    </row>
    <row r="3517" spans="1:11" x14ac:dyDescent="0.35">
      <c r="A3517" s="7" t="s">
        <v>3547</v>
      </c>
      <c r="B3517" s="8">
        <v>45168</v>
      </c>
      <c r="C3517" s="9" t="s">
        <v>27</v>
      </c>
      <c r="D3517" s="9" t="s">
        <v>17</v>
      </c>
      <c r="E3517" s="9" t="s">
        <v>13</v>
      </c>
      <c r="F3517" s="9">
        <v>125</v>
      </c>
      <c r="G3517" s="9">
        <v>94.78</v>
      </c>
      <c r="H3517" s="9" t="s">
        <v>19</v>
      </c>
      <c r="I3517" s="9">
        <v>7</v>
      </c>
      <c r="J3517" s="10">
        <v>-30.22</v>
      </c>
      <c r="K3517" s="9" t="str">
        <f>TEXT(Sales_of_Jordan[[#This Row],[Sale_Date]],"mmm")</f>
        <v>Aug</v>
      </c>
    </row>
    <row r="3518" spans="1:11" x14ac:dyDescent="0.35">
      <c r="A3518" s="7" t="s">
        <v>3548</v>
      </c>
      <c r="B3518" s="8">
        <v>45877</v>
      </c>
      <c r="C3518" s="9" t="s">
        <v>11</v>
      </c>
      <c r="D3518" s="9" t="s">
        <v>46</v>
      </c>
      <c r="E3518" s="9" t="s">
        <v>13</v>
      </c>
      <c r="F3518" s="9">
        <v>227</v>
      </c>
      <c r="G3518" s="9">
        <v>199.57</v>
      </c>
      <c r="H3518" s="9" t="s">
        <v>19</v>
      </c>
      <c r="I3518" s="9">
        <v>11</v>
      </c>
      <c r="J3518" s="10">
        <v>-27.43</v>
      </c>
      <c r="K3518" s="9" t="str">
        <f>TEXT(Sales_of_Jordan[[#This Row],[Sale_Date]],"mmm")</f>
        <v>Aug</v>
      </c>
    </row>
    <row r="3519" spans="1:11" x14ac:dyDescent="0.35">
      <c r="A3519" s="7" t="s">
        <v>3549</v>
      </c>
      <c r="B3519" s="8">
        <v>45602</v>
      </c>
      <c r="C3519" s="9" t="s">
        <v>21</v>
      </c>
      <c r="D3519" s="9" t="s">
        <v>39</v>
      </c>
      <c r="E3519" s="9" t="s">
        <v>18</v>
      </c>
      <c r="F3519" s="9">
        <v>214</v>
      </c>
      <c r="G3519" s="9">
        <v>396.25</v>
      </c>
      <c r="H3519" s="9" t="s">
        <v>23</v>
      </c>
      <c r="I3519" s="9">
        <v>29</v>
      </c>
      <c r="J3519" s="10">
        <v>182.25</v>
      </c>
      <c r="K3519" s="9" t="str">
        <f>TEXT(Sales_of_Jordan[[#This Row],[Sale_Date]],"mmm")</f>
        <v>Nov</v>
      </c>
    </row>
    <row r="3520" spans="1:11" x14ac:dyDescent="0.35">
      <c r="A3520" s="7" t="s">
        <v>3550</v>
      </c>
      <c r="B3520" s="8">
        <v>45926</v>
      </c>
      <c r="C3520" s="9" t="s">
        <v>31</v>
      </c>
      <c r="D3520" s="9" t="s">
        <v>46</v>
      </c>
      <c r="E3520" s="9" t="s">
        <v>18</v>
      </c>
      <c r="F3520" s="9">
        <v>204</v>
      </c>
      <c r="G3520" s="9">
        <v>261.83999999999997</v>
      </c>
      <c r="H3520" s="9" t="s">
        <v>32</v>
      </c>
      <c r="I3520" s="9">
        <v>35</v>
      </c>
      <c r="J3520" s="10">
        <v>57.839999999999897</v>
      </c>
      <c r="K3520" s="9" t="str">
        <f>TEXT(Sales_of_Jordan[[#This Row],[Sale_Date]],"mmm")</f>
        <v>Sep</v>
      </c>
    </row>
    <row r="3521" spans="1:11" x14ac:dyDescent="0.35">
      <c r="A3521" s="7" t="s">
        <v>3551</v>
      </c>
      <c r="B3521" s="8">
        <v>45268</v>
      </c>
      <c r="C3521" s="9" t="s">
        <v>31</v>
      </c>
      <c r="D3521" s="9" t="s">
        <v>12</v>
      </c>
      <c r="E3521" s="9" t="s">
        <v>29</v>
      </c>
      <c r="F3521" s="9">
        <v>200</v>
      </c>
      <c r="G3521" s="9">
        <v>268.25</v>
      </c>
      <c r="H3521" s="9" t="s">
        <v>32</v>
      </c>
      <c r="I3521" s="9">
        <v>41</v>
      </c>
      <c r="J3521" s="10">
        <v>68.25</v>
      </c>
      <c r="K3521" s="9" t="str">
        <f>TEXT(Sales_of_Jordan[[#This Row],[Sale_Date]],"mmm")</f>
        <v>Dec</v>
      </c>
    </row>
    <row r="3522" spans="1:11" x14ac:dyDescent="0.35">
      <c r="A3522" s="7" t="s">
        <v>3552</v>
      </c>
      <c r="B3522" s="8">
        <v>45858</v>
      </c>
      <c r="C3522" s="9" t="s">
        <v>21</v>
      </c>
      <c r="D3522" s="9" t="s">
        <v>22</v>
      </c>
      <c r="E3522" s="9" t="s">
        <v>18</v>
      </c>
      <c r="F3522" s="9">
        <v>213</v>
      </c>
      <c r="G3522" s="9">
        <v>572.07000000000005</v>
      </c>
      <c r="H3522" s="9" t="s">
        <v>25</v>
      </c>
      <c r="I3522" s="9">
        <v>39</v>
      </c>
      <c r="J3522" s="10">
        <v>359.07</v>
      </c>
      <c r="K3522" s="9" t="str">
        <f>TEXT(Sales_of_Jordan[[#This Row],[Sale_Date]],"mmm")</f>
        <v>Jul</v>
      </c>
    </row>
    <row r="3523" spans="1:11" x14ac:dyDescent="0.35">
      <c r="A3523" s="7" t="s">
        <v>3553</v>
      </c>
      <c r="B3523" s="8">
        <v>44981</v>
      </c>
      <c r="C3523" s="9" t="s">
        <v>21</v>
      </c>
      <c r="D3523" s="9" t="s">
        <v>53</v>
      </c>
      <c r="E3523" s="9" t="s">
        <v>13</v>
      </c>
      <c r="F3523" s="9">
        <v>211</v>
      </c>
      <c r="G3523" s="9">
        <v>146.97</v>
      </c>
      <c r="H3523" s="9" t="s">
        <v>23</v>
      </c>
      <c r="I3523" s="9">
        <v>37</v>
      </c>
      <c r="J3523" s="10">
        <v>-64.03</v>
      </c>
      <c r="K3523" s="9" t="str">
        <f>TEXT(Sales_of_Jordan[[#This Row],[Sale_Date]],"mmm")</f>
        <v>Feb</v>
      </c>
    </row>
    <row r="3524" spans="1:11" x14ac:dyDescent="0.35">
      <c r="A3524" s="7" t="s">
        <v>3554</v>
      </c>
      <c r="B3524" s="8">
        <v>45545</v>
      </c>
      <c r="C3524" s="9" t="s">
        <v>21</v>
      </c>
      <c r="D3524" s="9" t="s">
        <v>39</v>
      </c>
      <c r="E3524" s="9" t="s">
        <v>29</v>
      </c>
      <c r="F3524" s="9">
        <v>222</v>
      </c>
      <c r="G3524" s="9">
        <v>250.18</v>
      </c>
      <c r="H3524" s="9" t="s">
        <v>14</v>
      </c>
      <c r="I3524" s="9">
        <v>14</v>
      </c>
      <c r="J3524" s="10">
        <v>28.18</v>
      </c>
      <c r="K3524" s="9" t="str">
        <f>TEXT(Sales_of_Jordan[[#This Row],[Sale_Date]],"mmm")</f>
        <v>Sep</v>
      </c>
    </row>
    <row r="3525" spans="1:11" x14ac:dyDescent="0.35">
      <c r="A3525" s="7" t="s">
        <v>3555</v>
      </c>
      <c r="B3525" s="8">
        <v>45876</v>
      </c>
      <c r="C3525" s="9" t="s">
        <v>21</v>
      </c>
      <c r="D3525" s="9" t="s">
        <v>36</v>
      </c>
      <c r="E3525" s="9" t="s">
        <v>18</v>
      </c>
      <c r="F3525" s="9">
        <v>219</v>
      </c>
      <c r="G3525" s="9">
        <v>287.66000000000003</v>
      </c>
      <c r="H3525" s="9" t="s">
        <v>14</v>
      </c>
      <c r="I3525" s="9">
        <v>9</v>
      </c>
      <c r="J3525" s="10">
        <v>68.66</v>
      </c>
      <c r="K3525" s="9" t="str">
        <f>TEXT(Sales_of_Jordan[[#This Row],[Sale_Date]],"mmm")</f>
        <v>Aug</v>
      </c>
    </row>
    <row r="3526" spans="1:11" x14ac:dyDescent="0.35">
      <c r="A3526" s="7" t="s">
        <v>3556</v>
      </c>
      <c r="B3526" s="8">
        <v>45768</v>
      </c>
      <c r="C3526" s="9" t="s">
        <v>11</v>
      </c>
      <c r="D3526" s="9" t="s">
        <v>55</v>
      </c>
      <c r="E3526" s="9" t="s">
        <v>18</v>
      </c>
      <c r="F3526" s="9">
        <v>227</v>
      </c>
      <c r="G3526" s="9">
        <v>783.85</v>
      </c>
      <c r="H3526" s="9" t="s">
        <v>23</v>
      </c>
      <c r="I3526" s="9">
        <v>23</v>
      </c>
      <c r="J3526" s="10">
        <v>556.85</v>
      </c>
      <c r="K3526" s="9" t="str">
        <f>TEXT(Sales_of_Jordan[[#This Row],[Sale_Date]],"mmm")</f>
        <v>Apr</v>
      </c>
    </row>
    <row r="3527" spans="1:11" x14ac:dyDescent="0.35">
      <c r="A3527" s="7" t="s">
        <v>3557</v>
      </c>
      <c r="B3527" s="8">
        <v>45395</v>
      </c>
      <c r="C3527" s="9" t="s">
        <v>31</v>
      </c>
      <c r="D3527" s="9" t="s">
        <v>46</v>
      </c>
      <c r="E3527" s="9" t="s">
        <v>29</v>
      </c>
      <c r="F3527" s="9">
        <v>200</v>
      </c>
      <c r="G3527" s="9">
        <v>295.32</v>
      </c>
      <c r="H3527" s="9" t="s">
        <v>19</v>
      </c>
      <c r="I3527" s="9">
        <v>4</v>
      </c>
      <c r="J3527" s="10">
        <v>95.32</v>
      </c>
      <c r="K3527" s="9" t="str">
        <f>TEXT(Sales_of_Jordan[[#This Row],[Sale_Date]],"mmm")</f>
        <v>Apr</v>
      </c>
    </row>
    <row r="3528" spans="1:11" x14ac:dyDescent="0.35">
      <c r="A3528" s="7" t="s">
        <v>3558</v>
      </c>
      <c r="B3528" s="8">
        <v>44933</v>
      </c>
      <c r="C3528" s="9" t="s">
        <v>31</v>
      </c>
      <c r="D3528" s="9" t="s">
        <v>22</v>
      </c>
      <c r="E3528" s="9" t="s">
        <v>13</v>
      </c>
      <c r="F3528" s="9">
        <v>200</v>
      </c>
      <c r="G3528" s="9">
        <v>156.09</v>
      </c>
      <c r="H3528" s="9" t="s">
        <v>32</v>
      </c>
      <c r="I3528" s="9">
        <v>33</v>
      </c>
      <c r="J3528" s="10">
        <v>-43.91</v>
      </c>
      <c r="K3528" s="9" t="str">
        <f>TEXT(Sales_of_Jordan[[#This Row],[Sale_Date]],"mmm")</f>
        <v>Jan</v>
      </c>
    </row>
    <row r="3529" spans="1:11" x14ac:dyDescent="0.35">
      <c r="A3529" s="7" t="s">
        <v>3559</v>
      </c>
      <c r="B3529" s="8">
        <v>45314</v>
      </c>
      <c r="C3529" s="9" t="s">
        <v>16</v>
      </c>
      <c r="D3529" s="9" t="s">
        <v>39</v>
      </c>
      <c r="E3529" s="9" t="s">
        <v>13</v>
      </c>
      <c r="F3529" s="9">
        <v>178</v>
      </c>
      <c r="G3529" s="9">
        <v>141.35</v>
      </c>
      <c r="H3529" s="9" t="s">
        <v>32</v>
      </c>
      <c r="I3529" s="9">
        <v>58</v>
      </c>
      <c r="J3529" s="10">
        <v>-36.65</v>
      </c>
      <c r="K3529" s="9" t="str">
        <f>TEXT(Sales_of_Jordan[[#This Row],[Sale_Date]],"mmm")</f>
        <v>Jan</v>
      </c>
    </row>
    <row r="3530" spans="1:11" x14ac:dyDescent="0.35">
      <c r="A3530" s="7" t="s">
        <v>3560</v>
      </c>
      <c r="B3530" s="8">
        <v>45600</v>
      </c>
      <c r="C3530" s="9" t="s">
        <v>21</v>
      </c>
      <c r="D3530" s="9" t="s">
        <v>53</v>
      </c>
      <c r="E3530" s="9" t="s">
        <v>29</v>
      </c>
      <c r="F3530" s="9">
        <v>212</v>
      </c>
      <c r="G3530" s="9">
        <v>285.56</v>
      </c>
      <c r="H3530" s="9" t="s">
        <v>25</v>
      </c>
      <c r="I3530" s="9">
        <v>41</v>
      </c>
      <c r="J3530" s="10">
        <v>73.56</v>
      </c>
      <c r="K3530" s="9" t="str">
        <f>TEXT(Sales_of_Jordan[[#This Row],[Sale_Date]],"mmm")</f>
        <v>Nov</v>
      </c>
    </row>
    <row r="3531" spans="1:11" x14ac:dyDescent="0.35">
      <c r="A3531" s="7" t="s">
        <v>3561</v>
      </c>
      <c r="B3531" s="8">
        <v>45831</v>
      </c>
      <c r="C3531" s="9" t="s">
        <v>27</v>
      </c>
      <c r="D3531" s="9" t="s">
        <v>46</v>
      </c>
      <c r="E3531" s="9" t="s">
        <v>18</v>
      </c>
      <c r="F3531" s="9">
        <v>129</v>
      </c>
      <c r="G3531" s="9">
        <v>370.49</v>
      </c>
      <c r="H3531" s="9" t="s">
        <v>19</v>
      </c>
      <c r="I3531" s="9">
        <v>4</v>
      </c>
      <c r="J3531" s="10">
        <v>241.49</v>
      </c>
      <c r="K3531" s="9" t="str">
        <f>TEXT(Sales_of_Jordan[[#This Row],[Sale_Date]],"mmm")</f>
        <v>Jun</v>
      </c>
    </row>
    <row r="3532" spans="1:11" x14ac:dyDescent="0.35">
      <c r="A3532" s="7" t="s">
        <v>3562</v>
      </c>
      <c r="B3532" s="8">
        <v>45308</v>
      </c>
      <c r="C3532" s="9" t="s">
        <v>16</v>
      </c>
      <c r="D3532" s="9" t="s">
        <v>55</v>
      </c>
      <c r="E3532" s="9" t="s">
        <v>13</v>
      </c>
      <c r="F3532" s="9">
        <v>189</v>
      </c>
      <c r="G3532" s="9">
        <v>161.65</v>
      </c>
      <c r="H3532" s="9" t="s">
        <v>23</v>
      </c>
      <c r="I3532" s="9">
        <v>36</v>
      </c>
      <c r="J3532" s="10">
        <v>-27.349999999999898</v>
      </c>
      <c r="K3532" s="9" t="str">
        <f>TEXT(Sales_of_Jordan[[#This Row],[Sale_Date]],"mmm")</f>
        <v>Jan</v>
      </c>
    </row>
    <row r="3533" spans="1:11" x14ac:dyDescent="0.35">
      <c r="A3533" s="7" t="s">
        <v>3563</v>
      </c>
      <c r="B3533" s="8">
        <v>45767</v>
      </c>
      <c r="C3533" s="9" t="s">
        <v>31</v>
      </c>
      <c r="D3533" s="9" t="s">
        <v>17</v>
      </c>
      <c r="E3533" s="9" t="s">
        <v>13</v>
      </c>
      <c r="F3533" s="9">
        <v>203</v>
      </c>
      <c r="G3533" s="9">
        <v>153.76</v>
      </c>
      <c r="H3533" s="9" t="s">
        <v>19</v>
      </c>
      <c r="I3533" s="9">
        <v>10</v>
      </c>
      <c r="J3533" s="10">
        <v>-49.24</v>
      </c>
      <c r="K3533" s="9" t="str">
        <f>TEXT(Sales_of_Jordan[[#This Row],[Sale_Date]],"mmm")</f>
        <v>Apr</v>
      </c>
    </row>
    <row r="3534" spans="1:11" x14ac:dyDescent="0.35">
      <c r="A3534" s="7" t="s">
        <v>3564</v>
      </c>
      <c r="B3534" s="8">
        <v>44985</v>
      </c>
      <c r="C3534" s="9" t="s">
        <v>16</v>
      </c>
      <c r="D3534" s="9" t="s">
        <v>34</v>
      </c>
      <c r="E3534" s="9" t="s">
        <v>13</v>
      </c>
      <c r="F3534" s="9">
        <v>170</v>
      </c>
      <c r="G3534" s="9">
        <v>138.6</v>
      </c>
      <c r="H3534" s="9" t="s">
        <v>25</v>
      </c>
      <c r="I3534" s="9">
        <v>49</v>
      </c>
      <c r="J3534" s="10">
        <v>-31.4</v>
      </c>
      <c r="K3534" s="9" t="str">
        <f>TEXT(Sales_of_Jordan[[#This Row],[Sale_Date]],"mmm")</f>
        <v>Feb</v>
      </c>
    </row>
    <row r="3535" spans="1:11" x14ac:dyDescent="0.35">
      <c r="A3535" s="7" t="s">
        <v>3565</v>
      </c>
      <c r="B3535" s="8">
        <v>45551</v>
      </c>
      <c r="C3535" s="9" t="s">
        <v>11</v>
      </c>
      <c r="D3535" s="9" t="s">
        <v>46</v>
      </c>
      <c r="E3535" s="9" t="s">
        <v>29</v>
      </c>
      <c r="F3535" s="9">
        <v>228</v>
      </c>
      <c r="G3535" s="9">
        <v>236.43</v>
      </c>
      <c r="H3535" s="9" t="s">
        <v>32</v>
      </c>
      <c r="I3535" s="9">
        <v>24</v>
      </c>
      <c r="J3535" s="10">
        <v>8.43</v>
      </c>
      <c r="K3535" s="9" t="str">
        <f>TEXT(Sales_of_Jordan[[#This Row],[Sale_Date]],"mmm")</f>
        <v>Sep</v>
      </c>
    </row>
    <row r="3536" spans="1:11" x14ac:dyDescent="0.35">
      <c r="A3536" s="7" t="s">
        <v>3566</v>
      </c>
      <c r="B3536" s="8">
        <v>45484</v>
      </c>
      <c r="C3536" s="9" t="s">
        <v>11</v>
      </c>
      <c r="D3536" s="9" t="s">
        <v>39</v>
      </c>
      <c r="E3536" s="9" t="s">
        <v>29</v>
      </c>
      <c r="F3536" s="9">
        <v>229</v>
      </c>
      <c r="G3536" s="9">
        <v>323.92</v>
      </c>
      <c r="H3536" s="9" t="s">
        <v>32</v>
      </c>
      <c r="I3536" s="9">
        <v>55</v>
      </c>
      <c r="J3536" s="10">
        <v>94.92</v>
      </c>
      <c r="K3536" s="9" t="str">
        <f>TEXT(Sales_of_Jordan[[#This Row],[Sale_Date]],"mmm")</f>
        <v>Jul</v>
      </c>
    </row>
    <row r="3537" spans="1:11" x14ac:dyDescent="0.35">
      <c r="A3537" s="7" t="s">
        <v>3567</v>
      </c>
      <c r="B3537" s="8">
        <v>45610</v>
      </c>
      <c r="C3537" s="9" t="s">
        <v>16</v>
      </c>
      <c r="D3537" s="9" t="s">
        <v>22</v>
      </c>
      <c r="E3537" s="9" t="s">
        <v>18</v>
      </c>
      <c r="F3537" s="9">
        <v>189</v>
      </c>
      <c r="G3537" s="9">
        <v>401.56</v>
      </c>
      <c r="H3537" s="9" t="s">
        <v>32</v>
      </c>
      <c r="I3537" s="9">
        <v>43</v>
      </c>
      <c r="J3537" s="10">
        <v>212.56</v>
      </c>
      <c r="K3537" s="9" t="str">
        <f>TEXT(Sales_of_Jordan[[#This Row],[Sale_Date]],"mmm")</f>
        <v>Nov</v>
      </c>
    </row>
    <row r="3538" spans="1:11" x14ac:dyDescent="0.35">
      <c r="A3538" s="7" t="s">
        <v>3568</v>
      </c>
      <c r="B3538" s="8">
        <v>45264</v>
      </c>
      <c r="C3538" s="9" t="s">
        <v>27</v>
      </c>
      <c r="D3538" s="9" t="s">
        <v>46</v>
      </c>
      <c r="E3538" s="9" t="s">
        <v>18</v>
      </c>
      <c r="F3538" s="9">
        <v>124</v>
      </c>
      <c r="G3538" s="9">
        <v>335.38</v>
      </c>
      <c r="H3538" s="9" t="s">
        <v>14</v>
      </c>
      <c r="I3538" s="9">
        <v>14</v>
      </c>
      <c r="J3538" s="10">
        <v>211.38</v>
      </c>
      <c r="K3538" s="9" t="str">
        <f>TEXT(Sales_of_Jordan[[#This Row],[Sale_Date]],"mmm")</f>
        <v>Dec</v>
      </c>
    </row>
    <row r="3539" spans="1:11" x14ac:dyDescent="0.35">
      <c r="A3539" s="7" t="s">
        <v>3569</v>
      </c>
      <c r="B3539" s="8">
        <v>45353</v>
      </c>
      <c r="C3539" s="9" t="s">
        <v>31</v>
      </c>
      <c r="D3539" s="9" t="s">
        <v>46</v>
      </c>
      <c r="E3539" s="9" t="s">
        <v>29</v>
      </c>
      <c r="F3539" s="9">
        <v>207</v>
      </c>
      <c r="G3539" s="9">
        <v>271.98</v>
      </c>
      <c r="H3539" s="9" t="s">
        <v>32</v>
      </c>
      <c r="I3539" s="9">
        <v>60</v>
      </c>
      <c r="J3539" s="10">
        <v>64.98</v>
      </c>
      <c r="K3539" s="9" t="str">
        <f>TEXT(Sales_of_Jordan[[#This Row],[Sale_Date]],"mmm")</f>
        <v>Mar</v>
      </c>
    </row>
    <row r="3540" spans="1:11" x14ac:dyDescent="0.35">
      <c r="A3540" s="7" t="s">
        <v>3570</v>
      </c>
      <c r="B3540" s="8">
        <v>45003</v>
      </c>
      <c r="C3540" s="9" t="s">
        <v>21</v>
      </c>
      <c r="D3540" s="9" t="s">
        <v>22</v>
      </c>
      <c r="E3540" s="9" t="s">
        <v>18</v>
      </c>
      <c r="F3540" s="9">
        <v>213</v>
      </c>
      <c r="G3540" s="9">
        <v>669.79</v>
      </c>
      <c r="H3540" s="9" t="s">
        <v>19</v>
      </c>
      <c r="I3540" s="9">
        <v>8</v>
      </c>
      <c r="J3540" s="10">
        <v>456.789999999999</v>
      </c>
      <c r="K3540" s="9" t="str">
        <f>TEXT(Sales_of_Jordan[[#This Row],[Sale_Date]],"mmm")</f>
        <v>Mar</v>
      </c>
    </row>
    <row r="3541" spans="1:11" x14ac:dyDescent="0.35">
      <c r="A3541" s="7" t="s">
        <v>3571</v>
      </c>
      <c r="B3541" s="8">
        <v>45662</v>
      </c>
      <c r="C3541" s="9" t="s">
        <v>27</v>
      </c>
      <c r="D3541" s="9" t="s">
        <v>12</v>
      </c>
      <c r="E3541" s="9" t="s">
        <v>18</v>
      </c>
      <c r="F3541" s="9">
        <v>135</v>
      </c>
      <c r="G3541" s="9">
        <v>458.09</v>
      </c>
      <c r="H3541" s="9" t="s">
        <v>19</v>
      </c>
      <c r="I3541" s="9">
        <v>14</v>
      </c>
      <c r="J3541" s="10">
        <v>323.08999999999997</v>
      </c>
      <c r="K3541" s="9" t="str">
        <f>TEXT(Sales_of_Jordan[[#This Row],[Sale_Date]],"mmm")</f>
        <v>Jan</v>
      </c>
    </row>
    <row r="3542" spans="1:11" x14ac:dyDescent="0.35">
      <c r="A3542" s="7" t="s">
        <v>3572</v>
      </c>
      <c r="B3542" s="8">
        <v>45014</v>
      </c>
      <c r="C3542" s="9" t="s">
        <v>27</v>
      </c>
      <c r="D3542" s="9" t="s">
        <v>34</v>
      </c>
      <c r="E3542" s="9" t="s">
        <v>13</v>
      </c>
      <c r="F3542" s="9">
        <v>131</v>
      </c>
      <c r="G3542" s="9">
        <v>67.709999999999994</v>
      </c>
      <c r="H3542" s="9" t="s">
        <v>32</v>
      </c>
      <c r="I3542" s="9">
        <v>25</v>
      </c>
      <c r="J3542" s="10">
        <v>-63.29</v>
      </c>
      <c r="K3542" s="9" t="str">
        <f>TEXT(Sales_of_Jordan[[#This Row],[Sale_Date]],"mmm")</f>
        <v>Mar</v>
      </c>
    </row>
    <row r="3543" spans="1:11" x14ac:dyDescent="0.35">
      <c r="A3543" s="7" t="s">
        <v>3573</v>
      </c>
      <c r="B3543" s="8">
        <v>45151</v>
      </c>
      <c r="C3543" s="9" t="s">
        <v>31</v>
      </c>
      <c r="D3543" s="9" t="s">
        <v>46</v>
      </c>
      <c r="E3543" s="9" t="s">
        <v>18</v>
      </c>
      <c r="F3543" s="9">
        <v>206</v>
      </c>
      <c r="G3543" s="9">
        <v>257.60000000000002</v>
      </c>
      <c r="H3543" s="9" t="s">
        <v>14</v>
      </c>
      <c r="I3543" s="9">
        <v>10</v>
      </c>
      <c r="J3543" s="10">
        <v>51.6</v>
      </c>
      <c r="K3543" s="9" t="str">
        <f>TEXT(Sales_of_Jordan[[#This Row],[Sale_Date]],"mmm")</f>
        <v>Aug</v>
      </c>
    </row>
    <row r="3544" spans="1:11" x14ac:dyDescent="0.35">
      <c r="A3544" s="7" t="s">
        <v>3574</v>
      </c>
      <c r="B3544" s="8">
        <v>45638</v>
      </c>
      <c r="C3544" s="9" t="s">
        <v>16</v>
      </c>
      <c r="D3544" s="9" t="s">
        <v>46</v>
      </c>
      <c r="E3544" s="9" t="s">
        <v>29</v>
      </c>
      <c r="F3544" s="9">
        <v>188</v>
      </c>
      <c r="G3544" s="9">
        <v>268.38</v>
      </c>
      <c r="H3544" s="9" t="s">
        <v>32</v>
      </c>
      <c r="I3544" s="9">
        <v>33</v>
      </c>
      <c r="J3544" s="10">
        <v>80.38</v>
      </c>
      <c r="K3544" s="9" t="str">
        <f>TEXT(Sales_of_Jordan[[#This Row],[Sale_Date]],"mmm")</f>
        <v>Dec</v>
      </c>
    </row>
    <row r="3545" spans="1:11" x14ac:dyDescent="0.35">
      <c r="A3545" s="7" t="s">
        <v>3575</v>
      </c>
      <c r="B3545" s="8">
        <v>45879</v>
      </c>
      <c r="C3545" s="9" t="s">
        <v>27</v>
      </c>
      <c r="D3545" s="9" t="s">
        <v>17</v>
      </c>
      <c r="E3545" s="9" t="s">
        <v>13</v>
      </c>
      <c r="F3545" s="9">
        <v>131</v>
      </c>
      <c r="G3545" s="9">
        <v>105.91</v>
      </c>
      <c r="H3545" s="9" t="s">
        <v>25</v>
      </c>
      <c r="I3545" s="9">
        <v>32</v>
      </c>
      <c r="J3545" s="10">
        <v>-25.09</v>
      </c>
      <c r="K3545" s="9" t="str">
        <f>TEXT(Sales_of_Jordan[[#This Row],[Sale_Date]],"mmm")</f>
        <v>Aug</v>
      </c>
    </row>
    <row r="3546" spans="1:11" x14ac:dyDescent="0.35">
      <c r="A3546" s="7" t="s">
        <v>3576</v>
      </c>
      <c r="B3546" s="8">
        <v>45865</v>
      </c>
      <c r="C3546" s="9" t="s">
        <v>31</v>
      </c>
      <c r="D3546" s="9" t="s">
        <v>46</v>
      </c>
      <c r="E3546" s="9" t="s">
        <v>29</v>
      </c>
      <c r="F3546" s="9">
        <v>205</v>
      </c>
      <c r="G3546" s="9">
        <v>187.78</v>
      </c>
      <c r="H3546" s="9" t="s">
        <v>32</v>
      </c>
      <c r="I3546" s="9">
        <v>56</v>
      </c>
      <c r="J3546" s="10">
        <v>-17.22</v>
      </c>
      <c r="K3546" s="9" t="str">
        <f>TEXT(Sales_of_Jordan[[#This Row],[Sale_Date]],"mmm")</f>
        <v>Jul</v>
      </c>
    </row>
    <row r="3547" spans="1:11" x14ac:dyDescent="0.35">
      <c r="A3547" s="7" t="s">
        <v>3577</v>
      </c>
      <c r="B3547" s="8">
        <v>45108</v>
      </c>
      <c r="C3547" s="9" t="s">
        <v>16</v>
      </c>
      <c r="D3547" s="9" t="s">
        <v>17</v>
      </c>
      <c r="E3547" s="9" t="s">
        <v>18</v>
      </c>
      <c r="F3547" s="9">
        <v>189</v>
      </c>
      <c r="G3547" s="9">
        <v>254.74</v>
      </c>
      <c r="H3547" s="9" t="s">
        <v>19</v>
      </c>
      <c r="I3547" s="9">
        <v>12</v>
      </c>
      <c r="J3547" s="10">
        <v>65.739999999999995</v>
      </c>
      <c r="K3547" s="9" t="str">
        <f>TEXT(Sales_of_Jordan[[#This Row],[Sale_Date]],"mmm")</f>
        <v>Jul</v>
      </c>
    </row>
    <row r="3548" spans="1:11" x14ac:dyDescent="0.35">
      <c r="A3548" s="7" t="s">
        <v>3578</v>
      </c>
      <c r="B3548" s="8">
        <v>45627</v>
      </c>
      <c r="C3548" s="9" t="s">
        <v>11</v>
      </c>
      <c r="D3548" s="9" t="s">
        <v>36</v>
      </c>
      <c r="E3548" s="9" t="s">
        <v>29</v>
      </c>
      <c r="F3548" s="9">
        <v>226</v>
      </c>
      <c r="G3548" s="9">
        <v>284.38</v>
      </c>
      <c r="H3548" s="9" t="s">
        <v>14</v>
      </c>
      <c r="I3548" s="9">
        <v>3</v>
      </c>
      <c r="J3548" s="10">
        <v>58.379999999999903</v>
      </c>
      <c r="K3548" s="9" t="str">
        <f>TEXT(Sales_of_Jordan[[#This Row],[Sale_Date]],"mmm")</f>
        <v>Dec</v>
      </c>
    </row>
    <row r="3549" spans="1:11" x14ac:dyDescent="0.35">
      <c r="A3549" s="7" t="s">
        <v>3579</v>
      </c>
      <c r="B3549" s="8">
        <v>45068</v>
      </c>
      <c r="C3549" s="9" t="s">
        <v>21</v>
      </c>
      <c r="D3549" s="9" t="s">
        <v>36</v>
      </c>
      <c r="E3549" s="9" t="s">
        <v>18</v>
      </c>
      <c r="F3549" s="9">
        <v>217</v>
      </c>
      <c r="G3549" s="9">
        <v>725.88</v>
      </c>
      <c r="H3549" s="9" t="s">
        <v>25</v>
      </c>
      <c r="I3549" s="9">
        <v>53</v>
      </c>
      <c r="J3549" s="10">
        <v>508.88</v>
      </c>
      <c r="K3549" s="9" t="str">
        <f>TEXT(Sales_of_Jordan[[#This Row],[Sale_Date]],"mmm")</f>
        <v>May</v>
      </c>
    </row>
    <row r="3550" spans="1:11" x14ac:dyDescent="0.35">
      <c r="A3550" s="7" t="s">
        <v>3580</v>
      </c>
      <c r="B3550" s="8">
        <v>45441</v>
      </c>
      <c r="C3550" s="9" t="s">
        <v>21</v>
      </c>
      <c r="D3550" s="9" t="s">
        <v>53</v>
      </c>
      <c r="E3550" s="9" t="s">
        <v>18</v>
      </c>
      <c r="F3550" s="9">
        <v>216</v>
      </c>
      <c r="G3550" s="9">
        <v>549.76</v>
      </c>
      <c r="H3550" s="9" t="s">
        <v>19</v>
      </c>
      <c r="I3550" s="9">
        <v>11</v>
      </c>
      <c r="J3550" s="10">
        <v>333.76</v>
      </c>
      <c r="K3550" s="9" t="str">
        <f>TEXT(Sales_of_Jordan[[#This Row],[Sale_Date]],"mmm")</f>
        <v>May</v>
      </c>
    </row>
    <row r="3551" spans="1:11" x14ac:dyDescent="0.35">
      <c r="A3551" s="7" t="s">
        <v>3581</v>
      </c>
      <c r="B3551" s="8">
        <v>45748</v>
      </c>
      <c r="C3551" s="9" t="s">
        <v>21</v>
      </c>
      <c r="D3551" s="9" t="s">
        <v>17</v>
      </c>
      <c r="E3551" s="9" t="s">
        <v>29</v>
      </c>
      <c r="F3551" s="9">
        <v>215</v>
      </c>
      <c r="G3551" s="9">
        <v>204.06</v>
      </c>
      <c r="H3551" s="9" t="s">
        <v>19</v>
      </c>
      <c r="I3551" s="9">
        <v>6</v>
      </c>
      <c r="J3551" s="10">
        <v>-10.9399999999999</v>
      </c>
      <c r="K3551" s="9" t="str">
        <f>TEXT(Sales_of_Jordan[[#This Row],[Sale_Date]],"mmm")</f>
        <v>Apr</v>
      </c>
    </row>
    <row r="3552" spans="1:11" x14ac:dyDescent="0.35">
      <c r="A3552" s="7" t="s">
        <v>3582</v>
      </c>
      <c r="B3552" s="8">
        <v>45288</v>
      </c>
      <c r="C3552" s="9" t="s">
        <v>16</v>
      </c>
      <c r="D3552" s="9" t="s">
        <v>12</v>
      </c>
      <c r="E3552" s="9" t="s">
        <v>13</v>
      </c>
      <c r="F3552" s="9">
        <v>183</v>
      </c>
      <c r="G3552" s="9">
        <v>119.84</v>
      </c>
      <c r="H3552" s="9" t="s">
        <v>32</v>
      </c>
      <c r="I3552" s="9">
        <v>39</v>
      </c>
      <c r="J3552" s="10">
        <v>-63.16</v>
      </c>
      <c r="K3552" s="9" t="str">
        <f>TEXT(Sales_of_Jordan[[#This Row],[Sale_Date]],"mmm")</f>
        <v>Dec</v>
      </c>
    </row>
    <row r="3553" spans="1:11" x14ac:dyDescent="0.35">
      <c r="A3553" s="7" t="s">
        <v>3583</v>
      </c>
      <c r="B3553" s="8">
        <v>45265</v>
      </c>
      <c r="C3553" s="9" t="s">
        <v>16</v>
      </c>
      <c r="D3553" s="9" t="s">
        <v>53</v>
      </c>
      <c r="E3553" s="9" t="s">
        <v>18</v>
      </c>
      <c r="F3553" s="9">
        <v>179</v>
      </c>
      <c r="G3553" s="9">
        <v>297.72000000000003</v>
      </c>
      <c r="H3553" s="9" t="s">
        <v>23</v>
      </c>
      <c r="I3553" s="9">
        <v>40</v>
      </c>
      <c r="J3553" s="10">
        <v>118.72</v>
      </c>
      <c r="K3553" s="9" t="str">
        <f>TEXT(Sales_of_Jordan[[#This Row],[Sale_Date]],"mmm")</f>
        <v>Dec</v>
      </c>
    </row>
    <row r="3554" spans="1:11" x14ac:dyDescent="0.35">
      <c r="A3554" s="7" t="s">
        <v>3584</v>
      </c>
      <c r="B3554" s="8">
        <v>45790</v>
      </c>
      <c r="C3554" s="9" t="s">
        <v>11</v>
      </c>
      <c r="D3554" s="9" t="s">
        <v>55</v>
      </c>
      <c r="E3554" s="9" t="s">
        <v>18</v>
      </c>
      <c r="F3554" s="9">
        <v>229</v>
      </c>
      <c r="G3554" s="9">
        <v>779.05</v>
      </c>
      <c r="H3554" s="9" t="s">
        <v>19</v>
      </c>
      <c r="I3554" s="9">
        <v>10</v>
      </c>
      <c r="J3554" s="10">
        <v>550.04999999999995</v>
      </c>
      <c r="K3554" s="9" t="str">
        <f>TEXT(Sales_of_Jordan[[#This Row],[Sale_Date]],"mmm")</f>
        <v>May</v>
      </c>
    </row>
    <row r="3555" spans="1:11" x14ac:dyDescent="0.35">
      <c r="A3555" s="7" t="s">
        <v>3585</v>
      </c>
      <c r="B3555" s="8">
        <v>45500</v>
      </c>
      <c r="C3555" s="9" t="s">
        <v>21</v>
      </c>
      <c r="D3555" s="9" t="s">
        <v>36</v>
      </c>
      <c r="E3555" s="9" t="s">
        <v>29</v>
      </c>
      <c r="F3555" s="9">
        <v>211</v>
      </c>
      <c r="G3555" s="9">
        <v>238.73</v>
      </c>
      <c r="H3555" s="9" t="s">
        <v>32</v>
      </c>
      <c r="I3555" s="9">
        <v>58</v>
      </c>
      <c r="J3555" s="10">
        <v>27.729999999999901</v>
      </c>
      <c r="K3555" s="9" t="str">
        <f>TEXT(Sales_of_Jordan[[#This Row],[Sale_Date]],"mmm")</f>
        <v>Jul</v>
      </c>
    </row>
    <row r="3556" spans="1:11" x14ac:dyDescent="0.35">
      <c r="A3556" s="7" t="s">
        <v>3586</v>
      </c>
      <c r="B3556" s="8">
        <v>45865</v>
      </c>
      <c r="C3556" s="9" t="s">
        <v>16</v>
      </c>
      <c r="D3556" s="9" t="s">
        <v>53</v>
      </c>
      <c r="E3556" s="9" t="s">
        <v>18</v>
      </c>
      <c r="F3556" s="9">
        <v>182</v>
      </c>
      <c r="G3556" s="9">
        <v>435.39</v>
      </c>
      <c r="H3556" s="9" t="s">
        <v>19</v>
      </c>
      <c r="I3556" s="9">
        <v>8</v>
      </c>
      <c r="J3556" s="10">
        <v>253.39</v>
      </c>
      <c r="K3556" s="9" t="str">
        <f>TEXT(Sales_of_Jordan[[#This Row],[Sale_Date]],"mmm")</f>
        <v>Jul</v>
      </c>
    </row>
    <row r="3557" spans="1:11" x14ac:dyDescent="0.35">
      <c r="A3557" s="7" t="s">
        <v>3587</v>
      </c>
      <c r="B3557" s="8">
        <v>45759</v>
      </c>
      <c r="C3557" s="9" t="s">
        <v>11</v>
      </c>
      <c r="D3557" s="9" t="s">
        <v>22</v>
      </c>
      <c r="E3557" s="9" t="s">
        <v>13</v>
      </c>
      <c r="F3557" s="9">
        <v>227</v>
      </c>
      <c r="G3557" s="9">
        <v>177.11</v>
      </c>
      <c r="H3557" s="9" t="s">
        <v>14</v>
      </c>
      <c r="I3557" s="9">
        <v>10</v>
      </c>
      <c r="J3557" s="10">
        <v>-49.889999999999901</v>
      </c>
      <c r="K3557" s="9" t="str">
        <f>TEXT(Sales_of_Jordan[[#This Row],[Sale_Date]],"mmm")</f>
        <v>Apr</v>
      </c>
    </row>
    <row r="3558" spans="1:11" x14ac:dyDescent="0.35">
      <c r="A3558" s="7" t="s">
        <v>3588</v>
      </c>
      <c r="B3558" s="8">
        <v>45300</v>
      </c>
      <c r="C3558" s="9" t="s">
        <v>31</v>
      </c>
      <c r="D3558" s="9" t="s">
        <v>12</v>
      </c>
      <c r="E3558" s="9" t="s">
        <v>18</v>
      </c>
      <c r="F3558" s="9">
        <v>203</v>
      </c>
      <c r="G3558" s="9">
        <v>321.76</v>
      </c>
      <c r="H3558" s="9" t="s">
        <v>32</v>
      </c>
      <c r="I3558" s="9">
        <v>35</v>
      </c>
      <c r="J3558" s="10">
        <v>118.759999999999</v>
      </c>
      <c r="K3558" s="9" t="str">
        <f>TEXT(Sales_of_Jordan[[#This Row],[Sale_Date]],"mmm")</f>
        <v>Jan</v>
      </c>
    </row>
    <row r="3559" spans="1:11" x14ac:dyDescent="0.35">
      <c r="A3559" s="7" t="s">
        <v>3589</v>
      </c>
      <c r="B3559" s="8">
        <v>45721</v>
      </c>
      <c r="C3559" s="9" t="s">
        <v>11</v>
      </c>
      <c r="D3559" s="9" t="s">
        <v>22</v>
      </c>
      <c r="E3559" s="9" t="s">
        <v>13</v>
      </c>
      <c r="F3559" s="9">
        <v>227</v>
      </c>
      <c r="G3559" s="9">
        <v>118.1</v>
      </c>
      <c r="H3559" s="9" t="s">
        <v>14</v>
      </c>
      <c r="I3559" s="9">
        <v>6</v>
      </c>
      <c r="J3559" s="10">
        <v>-108.9</v>
      </c>
      <c r="K3559" s="9" t="str">
        <f>TEXT(Sales_of_Jordan[[#This Row],[Sale_Date]],"mmm")</f>
        <v>Mar</v>
      </c>
    </row>
    <row r="3560" spans="1:11" x14ac:dyDescent="0.35">
      <c r="A3560" s="7" t="s">
        <v>3590</v>
      </c>
      <c r="B3560" s="8">
        <v>45481</v>
      </c>
      <c r="C3560" s="9" t="s">
        <v>16</v>
      </c>
      <c r="D3560" s="9" t="s">
        <v>17</v>
      </c>
      <c r="E3560" s="9" t="s">
        <v>13</v>
      </c>
      <c r="F3560" s="9">
        <v>188</v>
      </c>
      <c r="G3560" s="9">
        <v>168.16</v>
      </c>
      <c r="H3560" s="9" t="s">
        <v>19</v>
      </c>
      <c r="I3560" s="9">
        <v>1</v>
      </c>
      <c r="J3560" s="10">
        <v>-19.84</v>
      </c>
      <c r="K3560" s="9" t="str">
        <f>TEXT(Sales_of_Jordan[[#This Row],[Sale_Date]],"mmm")</f>
        <v>Jul</v>
      </c>
    </row>
    <row r="3561" spans="1:11" x14ac:dyDescent="0.35">
      <c r="A3561" s="7" t="s">
        <v>3591</v>
      </c>
      <c r="B3561" s="8">
        <v>44992</v>
      </c>
      <c r="C3561" s="9" t="s">
        <v>11</v>
      </c>
      <c r="D3561" s="9" t="s">
        <v>17</v>
      </c>
      <c r="E3561" s="9" t="s">
        <v>13</v>
      </c>
      <c r="F3561" s="9">
        <v>226</v>
      </c>
      <c r="G3561" s="9">
        <v>153.82</v>
      </c>
      <c r="H3561" s="9" t="s">
        <v>19</v>
      </c>
      <c r="I3561" s="9">
        <v>1</v>
      </c>
      <c r="J3561" s="10">
        <v>-72.180000000000007</v>
      </c>
      <c r="K3561" s="9" t="str">
        <f>TEXT(Sales_of_Jordan[[#This Row],[Sale_Date]],"mmm")</f>
        <v>Mar</v>
      </c>
    </row>
    <row r="3562" spans="1:11" x14ac:dyDescent="0.35">
      <c r="A3562" s="7" t="s">
        <v>3592</v>
      </c>
      <c r="B3562" s="8">
        <v>44935</v>
      </c>
      <c r="C3562" s="9" t="s">
        <v>11</v>
      </c>
      <c r="D3562" s="9" t="s">
        <v>34</v>
      </c>
      <c r="E3562" s="9" t="s">
        <v>13</v>
      </c>
      <c r="F3562" s="9">
        <v>225</v>
      </c>
      <c r="G3562" s="9">
        <v>160.63</v>
      </c>
      <c r="H3562" s="9" t="s">
        <v>14</v>
      </c>
      <c r="I3562" s="9">
        <v>1</v>
      </c>
      <c r="J3562" s="10">
        <v>-64.37</v>
      </c>
      <c r="K3562" s="9" t="str">
        <f>TEXT(Sales_of_Jordan[[#This Row],[Sale_Date]],"mmm")</f>
        <v>Jan</v>
      </c>
    </row>
    <row r="3563" spans="1:11" x14ac:dyDescent="0.35">
      <c r="A3563" s="7" t="s">
        <v>3593</v>
      </c>
      <c r="B3563" s="8">
        <v>45135</v>
      </c>
      <c r="C3563" s="9" t="s">
        <v>31</v>
      </c>
      <c r="D3563" s="9" t="s">
        <v>12</v>
      </c>
      <c r="E3563" s="9" t="s">
        <v>18</v>
      </c>
      <c r="F3563" s="9">
        <v>210</v>
      </c>
      <c r="G3563" s="9">
        <v>628.70000000000005</v>
      </c>
      <c r="H3563" s="9" t="s">
        <v>23</v>
      </c>
      <c r="I3563" s="9">
        <v>48</v>
      </c>
      <c r="J3563" s="10">
        <v>418.7</v>
      </c>
      <c r="K3563" s="9" t="str">
        <f>TEXT(Sales_of_Jordan[[#This Row],[Sale_Date]],"mmm")</f>
        <v>Jul</v>
      </c>
    </row>
    <row r="3564" spans="1:11" x14ac:dyDescent="0.35">
      <c r="A3564" s="7" t="s">
        <v>3594</v>
      </c>
      <c r="B3564" s="8">
        <v>45601</v>
      </c>
      <c r="C3564" s="9" t="s">
        <v>11</v>
      </c>
      <c r="D3564" s="9" t="s">
        <v>53</v>
      </c>
      <c r="E3564" s="9" t="s">
        <v>18</v>
      </c>
      <c r="F3564" s="9">
        <v>227</v>
      </c>
      <c r="G3564" s="9">
        <v>315.42</v>
      </c>
      <c r="H3564" s="9" t="s">
        <v>32</v>
      </c>
      <c r="I3564" s="9">
        <v>54</v>
      </c>
      <c r="J3564" s="10">
        <v>88.42</v>
      </c>
      <c r="K3564" s="9" t="str">
        <f>TEXT(Sales_of_Jordan[[#This Row],[Sale_Date]],"mmm")</f>
        <v>Nov</v>
      </c>
    </row>
    <row r="3565" spans="1:11" x14ac:dyDescent="0.35">
      <c r="A3565" s="7" t="s">
        <v>3595</v>
      </c>
      <c r="B3565" s="8">
        <v>45802</v>
      </c>
      <c r="C3565" s="9" t="s">
        <v>11</v>
      </c>
      <c r="D3565" s="9" t="s">
        <v>36</v>
      </c>
      <c r="E3565" s="9" t="s">
        <v>13</v>
      </c>
      <c r="F3565" s="9">
        <v>226</v>
      </c>
      <c r="G3565" s="9">
        <v>161.07</v>
      </c>
      <c r="H3565" s="9" t="s">
        <v>32</v>
      </c>
      <c r="I3565" s="9">
        <v>49</v>
      </c>
      <c r="J3565" s="10">
        <v>-64.930000000000007</v>
      </c>
      <c r="K3565" s="9" t="str">
        <f>TEXT(Sales_of_Jordan[[#This Row],[Sale_Date]],"mmm")</f>
        <v>May</v>
      </c>
    </row>
    <row r="3566" spans="1:11" x14ac:dyDescent="0.35">
      <c r="A3566" s="7" t="s">
        <v>3596</v>
      </c>
      <c r="B3566" s="8">
        <v>45533</v>
      </c>
      <c r="C3566" s="9" t="s">
        <v>11</v>
      </c>
      <c r="D3566" s="9" t="s">
        <v>46</v>
      </c>
      <c r="E3566" s="9" t="s">
        <v>18</v>
      </c>
      <c r="F3566" s="9">
        <v>228</v>
      </c>
      <c r="G3566" s="9">
        <v>507.85</v>
      </c>
      <c r="H3566" s="9" t="s">
        <v>19</v>
      </c>
      <c r="I3566" s="9">
        <v>6</v>
      </c>
      <c r="J3566" s="10">
        <v>279.85000000000002</v>
      </c>
      <c r="K3566" s="9" t="str">
        <f>TEXT(Sales_of_Jordan[[#This Row],[Sale_Date]],"mmm")</f>
        <v>Aug</v>
      </c>
    </row>
    <row r="3567" spans="1:11" x14ac:dyDescent="0.35">
      <c r="A3567" s="7" t="s">
        <v>3597</v>
      </c>
      <c r="B3567" s="8">
        <v>45878</v>
      </c>
      <c r="C3567" s="9" t="s">
        <v>11</v>
      </c>
      <c r="D3567" s="9" t="s">
        <v>55</v>
      </c>
      <c r="E3567" s="9" t="s">
        <v>29</v>
      </c>
      <c r="F3567" s="9">
        <v>227</v>
      </c>
      <c r="G3567" s="9">
        <v>207.13</v>
      </c>
      <c r="H3567" s="9" t="s">
        <v>25</v>
      </c>
      <c r="I3567" s="9">
        <v>6</v>
      </c>
      <c r="J3567" s="10">
        <v>-19.87</v>
      </c>
      <c r="K3567" s="9" t="str">
        <f>TEXT(Sales_of_Jordan[[#This Row],[Sale_Date]],"mmm")</f>
        <v>Aug</v>
      </c>
    </row>
    <row r="3568" spans="1:11" x14ac:dyDescent="0.35">
      <c r="A3568" s="7" t="s">
        <v>3598</v>
      </c>
      <c r="B3568" s="8">
        <v>45311</v>
      </c>
      <c r="C3568" s="9" t="s">
        <v>31</v>
      </c>
      <c r="D3568" s="9" t="s">
        <v>55</v>
      </c>
      <c r="E3568" s="9" t="s">
        <v>13</v>
      </c>
      <c r="F3568" s="9">
        <v>209</v>
      </c>
      <c r="G3568" s="9">
        <v>178.47</v>
      </c>
      <c r="H3568" s="9" t="s">
        <v>32</v>
      </c>
      <c r="I3568" s="9">
        <v>39</v>
      </c>
      <c r="J3568" s="10">
        <v>-30.53</v>
      </c>
      <c r="K3568" s="9" t="str">
        <f>TEXT(Sales_of_Jordan[[#This Row],[Sale_Date]],"mmm")</f>
        <v>Jan</v>
      </c>
    </row>
    <row r="3569" spans="1:11" x14ac:dyDescent="0.35">
      <c r="A3569" s="7" t="s">
        <v>3599</v>
      </c>
      <c r="B3569" s="8">
        <v>45148</v>
      </c>
      <c r="C3569" s="9" t="s">
        <v>31</v>
      </c>
      <c r="D3569" s="9" t="s">
        <v>17</v>
      </c>
      <c r="E3569" s="9" t="s">
        <v>29</v>
      </c>
      <c r="F3569" s="9">
        <v>207</v>
      </c>
      <c r="G3569" s="9">
        <v>216.84</v>
      </c>
      <c r="H3569" s="9" t="s">
        <v>19</v>
      </c>
      <c r="I3569" s="9">
        <v>11</v>
      </c>
      <c r="J3569" s="10">
        <v>9.84</v>
      </c>
      <c r="K3569" s="9" t="str">
        <f>TEXT(Sales_of_Jordan[[#This Row],[Sale_Date]],"mmm")</f>
        <v>Aug</v>
      </c>
    </row>
    <row r="3570" spans="1:11" x14ac:dyDescent="0.35">
      <c r="A3570" s="7" t="s">
        <v>3600</v>
      </c>
      <c r="B3570" s="8">
        <v>45375</v>
      </c>
      <c r="C3570" s="9" t="s">
        <v>21</v>
      </c>
      <c r="D3570" s="9" t="s">
        <v>53</v>
      </c>
      <c r="E3570" s="9" t="s">
        <v>18</v>
      </c>
      <c r="F3570" s="9">
        <v>215</v>
      </c>
      <c r="G3570" s="9">
        <v>270.83999999999997</v>
      </c>
      <c r="H3570" s="9" t="s">
        <v>14</v>
      </c>
      <c r="I3570" s="9">
        <v>10</v>
      </c>
      <c r="J3570" s="10">
        <v>55.839999999999897</v>
      </c>
      <c r="K3570" s="9" t="str">
        <f>TEXT(Sales_of_Jordan[[#This Row],[Sale_Date]],"mmm")</f>
        <v>Mar</v>
      </c>
    </row>
    <row r="3571" spans="1:11" x14ac:dyDescent="0.35">
      <c r="A3571" s="7" t="s">
        <v>3601</v>
      </c>
      <c r="B3571" s="8">
        <v>45841</v>
      </c>
      <c r="C3571" s="9" t="s">
        <v>27</v>
      </c>
      <c r="D3571" s="9" t="s">
        <v>46</v>
      </c>
      <c r="E3571" s="9" t="s">
        <v>29</v>
      </c>
      <c r="F3571" s="9">
        <v>121</v>
      </c>
      <c r="G3571" s="9">
        <v>159.46</v>
      </c>
      <c r="H3571" s="9" t="s">
        <v>19</v>
      </c>
      <c r="I3571" s="9">
        <v>14</v>
      </c>
      <c r="J3571" s="10">
        <v>38.46</v>
      </c>
      <c r="K3571" s="9" t="str">
        <f>TEXT(Sales_of_Jordan[[#This Row],[Sale_Date]],"mmm")</f>
        <v>Jul</v>
      </c>
    </row>
    <row r="3572" spans="1:11" x14ac:dyDescent="0.35">
      <c r="A3572" s="7" t="s">
        <v>3602</v>
      </c>
      <c r="B3572" s="8">
        <v>45819</v>
      </c>
      <c r="C3572" s="9" t="s">
        <v>21</v>
      </c>
      <c r="D3572" s="9" t="s">
        <v>22</v>
      </c>
      <c r="E3572" s="9" t="s">
        <v>29</v>
      </c>
      <c r="F3572" s="9">
        <v>211</v>
      </c>
      <c r="G3572" s="9">
        <v>209.58</v>
      </c>
      <c r="H3572" s="9" t="s">
        <v>32</v>
      </c>
      <c r="I3572" s="9">
        <v>54</v>
      </c>
      <c r="J3572" s="10">
        <v>-1.4199999999999799</v>
      </c>
      <c r="K3572" s="9" t="str">
        <f>TEXT(Sales_of_Jordan[[#This Row],[Sale_Date]],"mmm")</f>
        <v>Jun</v>
      </c>
    </row>
    <row r="3573" spans="1:11" x14ac:dyDescent="0.35">
      <c r="A3573" s="7" t="s">
        <v>3603</v>
      </c>
      <c r="B3573" s="8">
        <v>44944</v>
      </c>
      <c r="C3573" s="9" t="s">
        <v>27</v>
      </c>
      <c r="D3573" s="9" t="s">
        <v>46</v>
      </c>
      <c r="E3573" s="9" t="s">
        <v>29</v>
      </c>
      <c r="F3573" s="9">
        <v>117</v>
      </c>
      <c r="G3573" s="9">
        <v>171.49</v>
      </c>
      <c r="H3573" s="9" t="s">
        <v>14</v>
      </c>
      <c r="I3573" s="9">
        <v>5</v>
      </c>
      <c r="J3573" s="10">
        <v>54.49</v>
      </c>
      <c r="K3573" s="9" t="str">
        <f>TEXT(Sales_of_Jordan[[#This Row],[Sale_Date]],"mmm")</f>
        <v>Jan</v>
      </c>
    </row>
    <row r="3574" spans="1:11" x14ac:dyDescent="0.35">
      <c r="A3574" s="7" t="s">
        <v>3604</v>
      </c>
      <c r="B3574" s="8">
        <v>45686</v>
      </c>
      <c r="C3574" s="9" t="s">
        <v>31</v>
      </c>
      <c r="D3574" s="9" t="s">
        <v>39</v>
      </c>
      <c r="E3574" s="9" t="s">
        <v>29</v>
      </c>
      <c r="F3574" s="9">
        <v>200</v>
      </c>
      <c r="G3574" s="9">
        <v>237.58</v>
      </c>
      <c r="H3574" s="9" t="s">
        <v>23</v>
      </c>
      <c r="I3574" s="9">
        <v>27</v>
      </c>
      <c r="J3574" s="10">
        <v>37.58</v>
      </c>
      <c r="K3574" s="9" t="str">
        <f>TEXT(Sales_of_Jordan[[#This Row],[Sale_Date]],"mmm")</f>
        <v>Jan</v>
      </c>
    </row>
    <row r="3575" spans="1:11" x14ac:dyDescent="0.35">
      <c r="A3575" s="7" t="s">
        <v>3605</v>
      </c>
      <c r="B3575" s="8">
        <v>44956</v>
      </c>
      <c r="C3575" s="9" t="s">
        <v>16</v>
      </c>
      <c r="D3575" s="9" t="s">
        <v>55</v>
      </c>
      <c r="E3575" s="9" t="s">
        <v>18</v>
      </c>
      <c r="F3575" s="9">
        <v>176</v>
      </c>
      <c r="G3575" s="9">
        <v>409.42</v>
      </c>
      <c r="H3575" s="9" t="s">
        <v>14</v>
      </c>
      <c r="I3575" s="9">
        <v>3</v>
      </c>
      <c r="J3575" s="10">
        <v>233.42</v>
      </c>
      <c r="K3575" s="9" t="str">
        <f>TEXT(Sales_of_Jordan[[#This Row],[Sale_Date]],"mmm")</f>
        <v>Jan</v>
      </c>
    </row>
    <row r="3576" spans="1:11" x14ac:dyDescent="0.35">
      <c r="A3576" s="7" t="s">
        <v>3606</v>
      </c>
      <c r="B3576" s="8">
        <v>45200</v>
      </c>
      <c r="C3576" s="9" t="s">
        <v>11</v>
      </c>
      <c r="D3576" s="9" t="s">
        <v>55</v>
      </c>
      <c r="E3576" s="9" t="s">
        <v>18</v>
      </c>
      <c r="F3576" s="9">
        <v>228</v>
      </c>
      <c r="G3576" s="9">
        <v>750.01</v>
      </c>
      <c r="H3576" s="9" t="s">
        <v>25</v>
      </c>
      <c r="I3576" s="9">
        <v>10</v>
      </c>
      <c r="J3576" s="10">
        <v>522.01</v>
      </c>
      <c r="K3576" s="9" t="str">
        <f>TEXT(Sales_of_Jordan[[#This Row],[Sale_Date]],"mmm")</f>
        <v>Oct</v>
      </c>
    </row>
    <row r="3577" spans="1:11" x14ac:dyDescent="0.35">
      <c r="A3577" s="7" t="s">
        <v>3607</v>
      </c>
      <c r="B3577" s="8">
        <v>45459</v>
      </c>
      <c r="C3577" s="9" t="s">
        <v>11</v>
      </c>
      <c r="D3577" s="9" t="s">
        <v>53</v>
      </c>
      <c r="E3577" s="9" t="s">
        <v>29</v>
      </c>
      <c r="F3577" s="9">
        <v>226</v>
      </c>
      <c r="G3577" s="9">
        <v>284.73</v>
      </c>
      <c r="H3577" s="9" t="s">
        <v>14</v>
      </c>
      <c r="I3577" s="9">
        <v>1</v>
      </c>
      <c r="J3577" s="10">
        <v>58.73</v>
      </c>
      <c r="K3577" s="9" t="str">
        <f>TEXT(Sales_of_Jordan[[#This Row],[Sale_Date]],"mmm")</f>
        <v>Jun</v>
      </c>
    </row>
    <row r="3578" spans="1:11" x14ac:dyDescent="0.35">
      <c r="A3578" s="7" t="s">
        <v>3608</v>
      </c>
      <c r="B3578" s="8">
        <v>45476</v>
      </c>
      <c r="C3578" s="9" t="s">
        <v>31</v>
      </c>
      <c r="D3578" s="9" t="s">
        <v>55</v>
      </c>
      <c r="E3578" s="9" t="s">
        <v>29</v>
      </c>
      <c r="F3578" s="9">
        <v>209</v>
      </c>
      <c r="G3578" s="9">
        <v>212.02</v>
      </c>
      <c r="H3578" s="9" t="s">
        <v>23</v>
      </c>
      <c r="I3578" s="9">
        <v>41</v>
      </c>
      <c r="J3578" s="10">
        <v>3.0200000000000098</v>
      </c>
      <c r="K3578" s="9" t="str">
        <f>TEXT(Sales_of_Jordan[[#This Row],[Sale_Date]],"mmm")</f>
        <v>Jul</v>
      </c>
    </row>
    <row r="3579" spans="1:11" x14ac:dyDescent="0.35">
      <c r="A3579" s="7" t="s">
        <v>3609</v>
      </c>
      <c r="B3579" s="8">
        <v>45085</v>
      </c>
      <c r="C3579" s="9" t="s">
        <v>27</v>
      </c>
      <c r="D3579" s="9" t="s">
        <v>53</v>
      </c>
      <c r="E3579" s="9" t="s">
        <v>29</v>
      </c>
      <c r="F3579" s="9">
        <v>131</v>
      </c>
      <c r="G3579" s="9">
        <v>150.47</v>
      </c>
      <c r="H3579" s="9" t="s">
        <v>23</v>
      </c>
      <c r="I3579" s="9">
        <v>18</v>
      </c>
      <c r="J3579" s="10">
        <v>19.47</v>
      </c>
      <c r="K3579" s="9" t="str">
        <f>TEXT(Sales_of_Jordan[[#This Row],[Sale_Date]],"mmm")</f>
        <v>Jun</v>
      </c>
    </row>
    <row r="3580" spans="1:11" x14ac:dyDescent="0.35">
      <c r="A3580" s="7" t="s">
        <v>3610</v>
      </c>
      <c r="B3580" s="8">
        <v>45487</v>
      </c>
      <c r="C3580" s="9" t="s">
        <v>16</v>
      </c>
      <c r="D3580" s="9" t="s">
        <v>22</v>
      </c>
      <c r="E3580" s="9" t="s">
        <v>29</v>
      </c>
      <c r="F3580" s="9">
        <v>187</v>
      </c>
      <c r="G3580" s="9">
        <v>215.26</v>
      </c>
      <c r="H3580" s="9" t="s">
        <v>25</v>
      </c>
      <c r="I3580" s="9">
        <v>43</v>
      </c>
      <c r="J3580" s="10">
        <v>28.259999999999899</v>
      </c>
      <c r="K3580" s="9" t="str">
        <f>TEXT(Sales_of_Jordan[[#This Row],[Sale_Date]],"mmm")</f>
        <v>Jul</v>
      </c>
    </row>
    <row r="3581" spans="1:11" x14ac:dyDescent="0.35">
      <c r="A3581" s="7" t="s">
        <v>3611</v>
      </c>
      <c r="B3581" s="8">
        <v>45529</v>
      </c>
      <c r="C3581" s="9" t="s">
        <v>16</v>
      </c>
      <c r="D3581" s="9" t="s">
        <v>39</v>
      </c>
      <c r="E3581" s="9" t="s">
        <v>29</v>
      </c>
      <c r="F3581" s="9">
        <v>189</v>
      </c>
      <c r="G3581" s="9">
        <v>247.91</v>
      </c>
      <c r="H3581" s="9" t="s">
        <v>14</v>
      </c>
      <c r="I3581" s="9">
        <v>14</v>
      </c>
      <c r="J3581" s="10">
        <v>58.91</v>
      </c>
      <c r="K3581" s="9" t="str">
        <f>TEXT(Sales_of_Jordan[[#This Row],[Sale_Date]],"mmm")</f>
        <v>Aug</v>
      </c>
    </row>
    <row r="3582" spans="1:11" x14ac:dyDescent="0.35">
      <c r="A3582" s="7" t="s">
        <v>3612</v>
      </c>
      <c r="B3582" s="8">
        <v>45119</v>
      </c>
      <c r="C3582" s="9" t="s">
        <v>31</v>
      </c>
      <c r="D3582" s="9" t="s">
        <v>39</v>
      </c>
      <c r="E3582" s="9" t="s">
        <v>13</v>
      </c>
      <c r="F3582" s="9">
        <v>210</v>
      </c>
      <c r="G3582" s="9">
        <v>153.44</v>
      </c>
      <c r="H3582" s="9" t="s">
        <v>19</v>
      </c>
      <c r="I3582" s="9">
        <v>7</v>
      </c>
      <c r="J3582" s="10">
        <v>-56.56</v>
      </c>
      <c r="K3582" s="9" t="str">
        <f>TEXT(Sales_of_Jordan[[#This Row],[Sale_Date]],"mmm")</f>
        <v>Jul</v>
      </c>
    </row>
    <row r="3583" spans="1:11" x14ac:dyDescent="0.35">
      <c r="A3583" s="7" t="s">
        <v>3613</v>
      </c>
      <c r="B3583" s="8">
        <v>44965</v>
      </c>
      <c r="C3583" s="9" t="s">
        <v>27</v>
      </c>
      <c r="D3583" s="9" t="s">
        <v>55</v>
      </c>
      <c r="E3583" s="9" t="s">
        <v>29</v>
      </c>
      <c r="F3583" s="9">
        <v>138</v>
      </c>
      <c r="G3583" s="9">
        <v>173.24</v>
      </c>
      <c r="H3583" s="9" t="s">
        <v>25</v>
      </c>
      <c r="I3583" s="9">
        <v>12</v>
      </c>
      <c r="J3583" s="10">
        <v>35.24</v>
      </c>
      <c r="K3583" s="9" t="str">
        <f>TEXT(Sales_of_Jordan[[#This Row],[Sale_Date]],"mmm")</f>
        <v>Feb</v>
      </c>
    </row>
    <row r="3584" spans="1:11" x14ac:dyDescent="0.35">
      <c r="A3584" s="7" t="s">
        <v>3614</v>
      </c>
      <c r="B3584" s="8">
        <v>45470</v>
      </c>
      <c r="C3584" s="9" t="s">
        <v>21</v>
      </c>
      <c r="D3584" s="9" t="s">
        <v>55</v>
      </c>
      <c r="E3584" s="9" t="s">
        <v>18</v>
      </c>
      <c r="F3584" s="9">
        <v>214</v>
      </c>
      <c r="G3584" s="9">
        <v>587.72</v>
      </c>
      <c r="H3584" s="9" t="s">
        <v>23</v>
      </c>
      <c r="I3584" s="9">
        <v>51</v>
      </c>
      <c r="J3584" s="10">
        <v>373.72</v>
      </c>
      <c r="K3584" s="9" t="str">
        <f>TEXT(Sales_of_Jordan[[#This Row],[Sale_Date]],"mmm")</f>
        <v>Jun</v>
      </c>
    </row>
    <row r="3585" spans="1:11" x14ac:dyDescent="0.35">
      <c r="A3585" s="7" t="s">
        <v>3615</v>
      </c>
      <c r="B3585" s="8">
        <v>45821</v>
      </c>
      <c r="C3585" s="9" t="s">
        <v>31</v>
      </c>
      <c r="D3585" s="9" t="s">
        <v>53</v>
      </c>
      <c r="E3585" s="9" t="s">
        <v>18</v>
      </c>
      <c r="F3585" s="9">
        <v>207</v>
      </c>
      <c r="G3585" s="9">
        <v>371.6</v>
      </c>
      <c r="H3585" s="9" t="s">
        <v>14</v>
      </c>
      <c r="I3585" s="9">
        <v>7</v>
      </c>
      <c r="J3585" s="10">
        <v>164.6</v>
      </c>
      <c r="K3585" s="9" t="str">
        <f>TEXT(Sales_of_Jordan[[#This Row],[Sale_Date]],"mmm")</f>
        <v>Jun</v>
      </c>
    </row>
    <row r="3586" spans="1:11" x14ac:dyDescent="0.35">
      <c r="A3586" s="7" t="s">
        <v>3616</v>
      </c>
      <c r="B3586" s="8">
        <v>45167</v>
      </c>
      <c r="C3586" s="9" t="s">
        <v>11</v>
      </c>
      <c r="D3586" s="9" t="s">
        <v>36</v>
      </c>
      <c r="E3586" s="9" t="s">
        <v>13</v>
      </c>
      <c r="F3586" s="9">
        <v>227</v>
      </c>
      <c r="G3586" s="9">
        <v>202.34</v>
      </c>
      <c r="H3586" s="9" t="s">
        <v>23</v>
      </c>
      <c r="I3586" s="9">
        <v>7</v>
      </c>
      <c r="J3586" s="10">
        <v>-24.659999999999901</v>
      </c>
      <c r="K3586" s="9" t="str">
        <f>TEXT(Sales_of_Jordan[[#This Row],[Sale_Date]],"mmm")</f>
        <v>Aug</v>
      </c>
    </row>
    <row r="3587" spans="1:11" x14ac:dyDescent="0.35">
      <c r="A3587" s="7" t="s">
        <v>3617</v>
      </c>
      <c r="B3587" s="8">
        <v>45924</v>
      </c>
      <c r="C3587" s="9" t="s">
        <v>31</v>
      </c>
      <c r="D3587" s="9" t="s">
        <v>46</v>
      </c>
      <c r="E3587" s="9" t="s">
        <v>29</v>
      </c>
      <c r="F3587" s="9">
        <v>208</v>
      </c>
      <c r="G3587" s="9">
        <v>249.79</v>
      </c>
      <c r="H3587" s="9" t="s">
        <v>25</v>
      </c>
      <c r="I3587" s="9">
        <v>25</v>
      </c>
      <c r="J3587" s="10">
        <v>41.7899999999999</v>
      </c>
      <c r="K3587" s="9" t="str">
        <f>TEXT(Sales_of_Jordan[[#This Row],[Sale_Date]],"mmm")</f>
        <v>Sep</v>
      </c>
    </row>
    <row r="3588" spans="1:11" x14ac:dyDescent="0.35">
      <c r="A3588" s="7" t="s">
        <v>3618</v>
      </c>
      <c r="B3588" s="8">
        <v>45757</v>
      </c>
      <c r="C3588" s="9" t="s">
        <v>27</v>
      </c>
      <c r="D3588" s="9" t="s">
        <v>53</v>
      </c>
      <c r="E3588" s="9" t="s">
        <v>13</v>
      </c>
      <c r="F3588" s="9">
        <v>112</v>
      </c>
      <c r="G3588" s="9">
        <v>76.930000000000007</v>
      </c>
      <c r="H3588" s="9" t="s">
        <v>14</v>
      </c>
      <c r="I3588" s="9">
        <v>8</v>
      </c>
      <c r="J3588" s="10">
        <v>-35.069999999999901</v>
      </c>
      <c r="K3588" s="9" t="str">
        <f>TEXT(Sales_of_Jordan[[#This Row],[Sale_Date]],"mmm")</f>
        <v>Apr</v>
      </c>
    </row>
    <row r="3589" spans="1:11" x14ac:dyDescent="0.35">
      <c r="A3589" s="7" t="s">
        <v>3619</v>
      </c>
      <c r="B3589" s="8">
        <v>45364</v>
      </c>
      <c r="C3589" s="9" t="s">
        <v>21</v>
      </c>
      <c r="D3589" s="9" t="s">
        <v>22</v>
      </c>
      <c r="E3589" s="9" t="s">
        <v>18</v>
      </c>
      <c r="F3589" s="9">
        <v>211</v>
      </c>
      <c r="G3589" s="9">
        <v>678.84</v>
      </c>
      <c r="H3589" s="9" t="s">
        <v>14</v>
      </c>
      <c r="I3589" s="9">
        <v>14</v>
      </c>
      <c r="J3589" s="10">
        <v>467.84</v>
      </c>
      <c r="K3589" s="9" t="str">
        <f>TEXT(Sales_of_Jordan[[#This Row],[Sale_Date]],"mmm")</f>
        <v>Mar</v>
      </c>
    </row>
    <row r="3590" spans="1:11" x14ac:dyDescent="0.35">
      <c r="A3590" s="7" t="s">
        <v>3620</v>
      </c>
      <c r="B3590" s="8">
        <v>45049</v>
      </c>
      <c r="C3590" s="9" t="s">
        <v>21</v>
      </c>
      <c r="D3590" s="9" t="s">
        <v>22</v>
      </c>
      <c r="E3590" s="9" t="s">
        <v>29</v>
      </c>
      <c r="F3590" s="9">
        <v>217</v>
      </c>
      <c r="G3590" s="9">
        <v>270.8</v>
      </c>
      <c r="H3590" s="9" t="s">
        <v>14</v>
      </c>
      <c r="I3590" s="9">
        <v>6</v>
      </c>
      <c r="J3590" s="10">
        <v>53.8</v>
      </c>
      <c r="K3590" s="9" t="str">
        <f>TEXT(Sales_of_Jordan[[#This Row],[Sale_Date]],"mmm")</f>
        <v>May</v>
      </c>
    </row>
    <row r="3591" spans="1:11" x14ac:dyDescent="0.35">
      <c r="A3591" s="7" t="s">
        <v>3621</v>
      </c>
      <c r="B3591" s="8">
        <v>45035</v>
      </c>
      <c r="C3591" s="9" t="s">
        <v>31</v>
      </c>
      <c r="D3591" s="9" t="s">
        <v>53</v>
      </c>
      <c r="E3591" s="9" t="s">
        <v>29</v>
      </c>
      <c r="F3591" s="9">
        <v>200</v>
      </c>
      <c r="G3591" s="9">
        <v>182.34</v>
      </c>
      <c r="H3591" s="9" t="s">
        <v>32</v>
      </c>
      <c r="I3591" s="9">
        <v>8</v>
      </c>
      <c r="J3591" s="10">
        <v>-17.659999999999901</v>
      </c>
      <c r="K3591" s="9" t="str">
        <f>TEXT(Sales_of_Jordan[[#This Row],[Sale_Date]],"mmm")</f>
        <v>Apr</v>
      </c>
    </row>
    <row r="3592" spans="1:11" x14ac:dyDescent="0.35">
      <c r="A3592" s="7" t="s">
        <v>3622</v>
      </c>
      <c r="B3592" s="8">
        <v>45023</v>
      </c>
      <c r="C3592" s="9" t="s">
        <v>21</v>
      </c>
      <c r="D3592" s="9" t="s">
        <v>39</v>
      </c>
      <c r="E3592" s="9" t="s">
        <v>29</v>
      </c>
      <c r="F3592" s="9">
        <v>222</v>
      </c>
      <c r="G3592" s="9">
        <v>203.24</v>
      </c>
      <c r="H3592" s="9" t="s">
        <v>19</v>
      </c>
      <c r="I3592" s="9">
        <v>9</v>
      </c>
      <c r="J3592" s="10">
        <v>-18.759999999999899</v>
      </c>
      <c r="K3592" s="9" t="str">
        <f>TEXT(Sales_of_Jordan[[#This Row],[Sale_Date]],"mmm")</f>
        <v>Apr</v>
      </c>
    </row>
    <row r="3593" spans="1:11" x14ac:dyDescent="0.35">
      <c r="A3593" s="7" t="s">
        <v>3623</v>
      </c>
      <c r="B3593" s="8">
        <v>45099</v>
      </c>
      <c r="C3593" s="9" t="s">
        <v>11</v>
      </c>
      <c r="D3593" s="9" t="s">
        <v>12</v>
      </c>
      <c r="E3593" s="9" t="s">
        <v>29</v>
      </c>
      <c r="F3593" s="9">
        <v>230</v>
      </c>
      <c r="G3593" s="9">
        <v>235.47</v>
      </c>
      <c r="H3593" s="9" t="s">
        <v>23</v>
      </c>
      <c r="I3593" s="9">
        <v>23</v>
      </c>
      <c r="J3593" s="10">
        <v>5.46999999999999</v>
      </c>
      <c r="K3593" s="9" t="str">
        <f>TEXT(Sales_of_Jordan[[#This Row],[Sale_Date]],"mmm")</f>
        <v>Jun</v>
      </c>
    </row>
    <row r="3594" spans="1:11" x14ac:dyDescent="0.35">
      <c r="A3594" s="7" t="s">
        <v>3624</v>
      </c>
      <c r="B3594" s="8">
        <v>45575</v>
      </c>
      <c r="C3594" s="9" t="s">
        <v>27</v>
      </c>
      <c r="D3594" s="9" t="s">
        <v>46</v>
      </c>
      <c r="E3594" s="9" t="s">
        <v>18</v>
      </c>
      <c r="F3594" s="9">
        <v>122</v>
      </c>
      <c r="G3594" s="9">
        <v>178.67</v>
      </c>
      <c r="H3594" s="9" t="s">
        <v>25</v>
      </c>
      <c r="I3594" s="9">
        <v>16</v>
      </c>
      <c r="J3594" s="10">
        <v>56.669999999999902</v>
      </c>
      <c r="K3594" s="9" t="str">
        <f>TEXT(Sales_of_Jordan[[#This Row],[Sale_Date]],"mmm")</f>
        <v>Oct</v>
      </c>
    </row>
    <row r="3595" spans="1:11" x14ac:dyDescent="0.35">
      <c r="A3595" s="7" t="s">
        <v>3625</v>
      </c>
      <c r="B3595" s="8">
        <v>45762</v>
      </c>
      <c r="C3595" s="9" t="s">
        <v>11</v>
      </c>
      <c r="D3595" s="9" t="s">
        <v>39</v>
      </c>
      <c r="E3595" s="9" t="s">
        <v>29</v>
      </c>
      <c r="F3595" s="9">
        <v>228</v>
      </c>
      <c r="G3595" s="9">
        <v>260.7</v>
      </c>
      <c r="H3595" s="9" t="s">
        <v>19</v>
      </c>
      <c r="I3595" s="9">
        <v>10</v>
      </c>
      <c r="J3595" s="10">
        <v>32.699999999999903</v>
      </c>
      <c r="K3595" s="9" t="str">
        <f>TEXT(Sales_of_Jordan[[#This Row],[Sale_Date]],"mmm")</f>
        <v>Apr</v>
      </c>
    </row>
    <row r="3596" spans="1:11" x14ac:dyDescent="0.35">
      <c r="A3596" s="7" t="s">
        <v>3626</v>
      </c>
      <c r="B3596" s="8">
        <v>45182</v>
      </c>
      <c r="C3596" s="9" t="s">
        <v>27</v>
      </c>
      <c r="D3596" s="9" t="s">
        <v>46</v>
      </c>
      <c r="E3596" s="9" t="s">
        <v>18</v>
      </c>
      <c r="F3596" s="9">
        <v>120</v>
      </c>
      <c r="G3596" s="9">
        <v>191.23</v>
      </c>
      <c r="H3596" s="9" t="s">
        <v>19</v>
      </c>
      <c r="I3596" s="9">
        <v>10</v>
      </c>
      <c r="J3596" s="10">
        <v>71.229999999999905</v>
      </c>
      <c r="K3596" s="9" t="str">
        <f>TEXT(Sales_of_Jordan[[#This Row],[Sale_Date]],"mmm")</f>
        <v>Sep</v>
      </c>
    </row>
    <row r="3597" spans="1:11" x14ac:dyDescent="0.35">
      <c r="A3597" s="7" t="s">
        <v>3627</v>
      </c>
      <c r="B3597" s="8">
        <v>45292</v>
      </c>
      <c r="C3597" s="9" t="s">
        <v>11</v>
      </c>
      <c r="D3597" s="9" t="s">
        <v>22</v>
      </c>
      <c r="E3597" s="9" t="s">
        <v>29</v>
      </c>
      <c r="F3597" s="9">
        <v>228</v>
      </c>
      <c r="G3597" s="9">
        <v>282.08</v>
      </c>
      <c r="H3597" s="9" t="s">
        <v>32</v>
      </c>
      <c r="I3597" s="9">
        <v>29</v>
      </c>
      <c r="J3597" s="10">
        <v>54.079999999999899</v>
      </c>
      <c r="K3597" s="9" t="str">
        <f>TEXT(Sales_of_Jordan[[#This Row],[Sale_Date]],"mmm")</f>
        <v>Jan</v>
      </c>
    </row>
    <row r="3598" spans="1:11" x14ac:dyDescent="0.35">
      <c r="A3598" s="7" t="s">
        <v>3628</v>
      </c>
      <c r="B3598" s="8">
        <v>45340</v>
      </c>
      <c r="C3598" s="9" t="s">
        <v>16</v>
      </c>
      <c r="D3598" s="9" t="s">
        <v>12</v>
      </c>
      <c r="E3598" s="9" t="s">
        <v>13</v>
      </c>
      <c r="F3598" s="9">
        <v>186</v>
      </c>
      <c r="G3598" s="9">
        <v>157.13</v>
      </c>
      <c r="H3598" s="9" t="s">
        <v>32</v>
      </c>
      <c r="I3598" s="9">
        <v>57</v>
      </c>
      <c r="J3598" s="10">
        <v>-28.87</v>
      </c>
      <c r="K3598" s="9" t="str">
        <f>TEXT(Sales_of_Jordan[[#This Row],[Sale_Date]],"mmm")</f>
        <v>Feb</v>
      </c>
    </row>
    <row r="3599" spans="1:11" x14ac:dyDescent="0.35">
      <c r="A3599" s="7" t="s">
        <v>3629</v>
      </c>
      <c r="B3599" s="8">
        <v>45724</v>
      </c>
      <c r="C3599" s="9" t="s">
        <v>11</v>
      </c>
      <c r="D3599" s="9" t="s">
        <v>53</v>
      </c>
      <c r="E3599" s="9" t="s">
        <v>18</v>
      </c>
      <c r="F3599" s="9">
        <v>229</v>
      </c>
      <c r="G3599" s="9">
        <v>684.31</v>
      </c>
      <c r="H3599" s="9" t="s">
        <v>32</v>
      </c>
      <c r="I3599" s="9">
        <v>41</v>
      </c>
      <c r="J3599" s="10">
        <v>455.30999999999898</v>
      </c>
      <c r="K3599" s="9" t="str">
        <f>TEXT(Sales_of_Jordan[[#This Row],[Sale_Date]],"mmm")</f>
        <v>Mar</v>
      </c>
    </row>
    <row r="3600" spans="1:11" x14ac:dyDescent="0.35">
      <c r="A3600" s="7" t="s">
        <v>3630</v>
      </c>
      <c r="B3600" s="8">
        <v>45800</v>
      </c>
      <c r="C3600" s="9" t="s">
        <v>11</v>
      </c>
      <c r="D3600" s="9" t="s">
        <v>39</v>
      </c>
      <c r="E3600" s="9" t="s">
        <v>18</v>
      </c>
      <c r="F3600" s="9">
        <v>226</v>
      </c>
      <c r="G3600" s="9">
        <v>302.37</v>
      </c>
      <c r="H3600" s="9" t="s">
        <v>25</v>
      </c>
      <c r="I3600" s="9">
        <v>44</v>
      </c>
      <c r="J3600" s="10">
        <v>76.37</v>
      </c>
      <c r="K3600" s="9" t="str">
        <f>TEXT(Sales_of_Jordan[[#This Row],[Sale_Date]],"mmm")</f>
        <v>May</v>
      </c>
    </row>
    <row r="3601" spans="1:11" x14ac:dyDescent="0.35">
      <c r="A3601" s="7" t="s">
        <v>3631</v>
      </c>
      <c r="B3601" s="8">
        <v>45304</v>
      </c>
      <c r="C3601" s="9" t="s">
        <v>27</v>
      </c>
      <c r="D3601" s="9" t="s">
        <v>55</v>
      </c>
      <c r="E3601" s="9" t="s">
        <v>13</v>
      </c>
      <c r="F3601" s="9">
        <v>121</v>
      </c>
      <c r="G3601" s="9">
        <v>92.93</v>
      </c>
      <c r="H3601" s="9" t="s">
        <v>19</v>
      </c>
      <c r="I3601" s="9">
        <v>3</v>
      </c>
      <c r="J3601" s="10">
        <v>-28.069999999999901</v>
      </c>
      <c r="K3601" s="9" t="str">
        <f>TEXT(Sales_of_Jordan[[#This Row],[Sale_Date]],"mmm")</f>
        <v>Jan</v>
      </c>
    </row>
    <row r="3602" spans="1:11" x14ac:dyDescent="0.35">
      <c r="A3602" s="7" t="s">
        <v>3632</v>
      </c>
      <c r="B3602" s="8">
        <v>45198</v>
      </c>
      <c r="C3602" s="9" t="s">
        <v>11</v>
      </c>
      <c r="D3602" s="9" t="s">
        <v>22</v>
      </c>
      <c r="E3602" s="9" t="s">
        <v>13</v>
      </c>
      <c r="F3602" s="9">
        <v>230</v>
      </c>
      <c r="G3602" s="9">
        <v>180.26</v>
      </c>
      <c r="H3602" s="9" t="s">
        <v>14</v>
      </c>
      <c r="I3602" s="9">
        <v>8</v>
      </c>
      <c r="J3602" s="10">
        <v>-49.74</v>
      </c>
      <c r="K3602" s="9" t="str">
        <f>TEXT(Sales_of_Jordan[[#This Row],[Sale_Date]],"mmm")</f>
        <v>Sep</v>
      </c>
    </row>
    <row r="3603" spans="1:11" x14ac:dyDescent="0.35">
      <c r="A3603" s="7" t="s">
        <v>3633</v>
      </c>
      <c r="B3603" s="8">
        <v>45540</v>
      </c>
      <c r="C3603" s="9" t="s">
        <v>11</v>
      </c>
      <c r="D3603" s="9" t="s">
        <v>46</v>
      </c>
      <c r="E3603" s="9" t="s">
        <v>29</v>
      </c>
      <c r="F3603" s="9">
        <v>225</v>
      </c>
      <c r="G3603" s="9">
        <v>305.08</v>
      </c>
      <c r="H3603" s="9" t="s">
        <v>19</v>
      </c>
      <c r="I3603" s="9">
        <v>10</v>
      </c>
      <c r="J3603" s="10">
        <v>80.079999999999899</v>
      </c>
      <c r="K3603" s="9" t="str">
        <f>TEXT(Sales_of_Jordan[[#This Row],[Sale_Date]],"mmm")</f>
        <v>Sep</v>
      </c>
    </row>
    <row r="3604" spans="1:11" x14ac:dyDescent="0.35">
      <c r="A3604" s="7" t="s">
        <v>3634</v>
      </c>
      <c r="B3604" s="8">
        <v>45771</v>
      </c>
      <c r="C3604" s="9" t="s">
        <v>16</v>
      </c>
      <c r="D3604" s="9" t="s">
        <v>22</v>
      </c>
      <c r="E3604" s="9" t="s">
        <v>18</v>
      </c>
      <c r="F3604" s="9">
        <v>186</v>
      </c>
      <c r="G3604" s="9">
        <v>494.55</v>
      </c>
      <c r="H3604" s="9" t="s">
        <v>23</v>
      </c>
      <c r="I3604" s="9">
        <v>44</v>
      </c>
      <c r="J3604" s="10">
        <v>308.55</v>
      </c>
      <c r="K3604" s="9" t="str">
        <f>TEXT(Sales_of_Jordan[[#This Row],[Sale_Date]],"mmm")</f>
        <v>Apr</v>
      </c>
    </row>
    <row r="3605" spans="1:11" x14ac:dyDescent="0.35">
      <c r="A3605" s="7" t="s">
        <v>3635</v>
      </c>
      <c r="B3605" s="8">
        <v>45725</v>
      </c>
      <c r="C3605" s="9" t="s">
        <v>31</v>
      </c>
      <c r="D3605" s="9" t="s">
        <v>53</v>
      </c>
      <c r="E3605" s="9" t="s">
        <v>29</v>
      </c>
      <c r="F3605" s="9">
        <v>202</v>
      </c>
      <c r="G3605" s="9">
        <v>188.06</v>
      </c>
      <c r="H3605" s="9" t="s">
        <v>32</v>
      </c>
      <c r="I3605" s="9">
        <v>15</v>
      </c>
      <c r="J3605" s="10">
        <v>-13.9399999999999</v>
      </c>
      <c r="K3605" s="9" t="str">
        <f>TEXT(Sales_of_Jordan[[#This Row],[Sale_Date]],"mmm")</f>
        <v>Mar</v>
      </c>
    </row>
    <row r="3606" spans="1:11" x14ac:dyDescent="0.35">
      <c r="A3606" s="7" t="s">
        <v>3636</v>
      </c>
      <c r="B3606" s="8">
        <v>45409</v>
      </c>
      <c r="C3606" s="9" t="s">
        <v>11</v>
      </c>
      <c r="D3606" s="9" t="s">
        <v>53</v>
      </c>
      <c r="E3606" s="9" t="s">
        <v>29</v>
      </c>
      <c r="F3606" s="9">
        <v>227</v>
      </c>
      <c r="G3606" s="9">
        <v>221.09</v>
      </c>
      <c r="H3606" s="9" t="s">
        <v>23</v>
      </c>
      <c r="I3606" s="9">
        <v>7</v>
      </c>
      <c r="J3606" s="10">
        <v>-5.9099999999999904</v>
      </c>
      <c r="K3606" s="9" t="str">
        <f>TEXT(Sales_of_Jordan[[#This Row],[Sale_Date]],"mmm")</f>
        <v>Apr</v>
      </c>
    </row>
    <row r="3607" spans="1:11" x14ac:dyDescent="0.35">
      <c r="A3607" s="7" t="s">
        <v>3637</v>
      </c>
      <c r="B3607" s="8">
        <v>45535</v>
      </c>
      <c r="C3607" s="9" t="s">
        <v>31</v>
      </c>
      <c r="D3607" s="9" t="s">
        <v>39</v>
      </c>
      <c r="E3607" s="9" t="s">
        <v>13</v>
      </c>
      <c r="F3607" s="9">
        <v>201</v>
      </c>
      <c r="G3607" s="9">
        <v>135.08000000000001</v>
      </c>
      <c r="H3607" s="9" t="s">
        <v>23</v>
      </c>
      <c r="I3607" s="9">
        <v>27</v>
      </c>
      <c r="J3607" s="10">
        <v>-65.919999999999902</v>
      </c>
      <c r="K3607" s="9" t="str">
        <f>TEXT(Sales_of_Jordan[[#This Row],[Sale_Date]],"mmm")</f>
        <v>Aug</v>
      </c>
    </row>
    <row r="3608" spans="1:11" x14ac:dyDescent="0.35">
      <c r="A3608" s="7" t="s">
        <v>3638</v>
      </c>
      <c r="B3608" s="8">
        <v>45194</v>
      </c>
      <c r="C3608" s="9" t="s">
        <v>31</v>
      </c>
      <c r="D3608" s="9" t="s">
        <v>12</v>
      </c>
      <c r="E3608" s="9" t="s">
        <v>18</v>
      </c>
      <c r="F3608" s="9">
        <v>201</v>
      </c>
      <c r="G3608" s="9">
        <v>683.79</v>
      </c>
      <c r="H3608" s="9" t="s">
        <v>14</v>
      </c>
      <c r="I3608" s="9">
        <v>13</v>
      </c>
      <c r="J3608" s="10">
        <v>482.789999999999</v>
      </c>
      <c r="K3608" s="9" t="str">
        <f>TEXT(Sales_of_Jordan[[#This Row],[Sale_Date]],"mmm")</f>
        <v>Sep</v>
      </c>
    </row>
    <row r="3609" spans="1:11" x14ac:dyDescent="0.35">
      <c r="A3609" s="7" t="s">
        <v>3639</v>
      </c>
      <c r="B3609" s="8">
        <v>45816</v>
      </c>
      <c r="C3609" s="9" t="s">
        <v>31</v>
      </c>
      <c r="D3609" s="9" t="s">
        <v>22</v>
      </c>
      <c r="E3609" s="9" t="s">
        <v>13</v>
      </c>
      <c r="F3609" s="9">
        <v>206</v>
      </c>
      <c r="G3609" s="9">
        <v>104.77</v>
      </c>
      <c r="H3609" s="9" t="s">
        <v>14</v>
      </c>
      <c r="I3609" s="9">
        <v>4</v>
      </c>
      <c r="J3609" s="10">
        <v>-101.23</v>
      </c>
      <c r="K3609" s="9" t="str">
        <f>TEXT(Sales_of_Jordan[[#This Row],[Sale_Date]],"mmm")</f>
        <v>Jun</v>
      </c>
    </row>
    <row r="3610" spans="1:11" x14ac:dyDescent="0.35">
      <c r="A3610" s="7" t="s">
        <v>3640</v>
      </c>
      <c r="B3610" s="8">
        <v>45236</v>
      </c>
      <c r="C3610" s="9" t="s">
        <v>21</v>
      </c>
      <c r="D3610" s="9" t="s">
        <v>39</v>
      </c>
      <c r="E3610" s="9" t="s">
        <v>13</v>
      </c>
      <c r="F3610" s="9">
        <v>217</v>
      </c>
      <c r="G3610" s="9">
        <v>179.68</v>
      </c>
      <c r="H3610" s="9" t="s">
        <v>14</v>
      </c>
      <c r="I3610" s="9">
        <v>13</v>
      </c>
      <c r="J3610" s="10">
        <v>-37.319999999999901</v>
      </c>
      <c r="K3610" s="9" t="str">
        <f>TEXT(Sales_of_Jordan[[#This Row],[Sale_Date]],"mmm")</f>
        <v>Nov</v>
      </c>
    </row>
    <row r="3611" spans="1:11" x14ac:dyDescent="0.35">
      <c r="A3611" s="7" t="s">
        <v>3641</v>
      </c>
      <c r="B3611" s="8">
        <v>45569</v>
      </c>
      <c r="C3611" s="9" t="s">
        <v>27</v>
      </c>
      <c r="D3611" s="9" t="s">
        <v>55</v>
      </c>
      <c r="E3611" s="9" t="s">
        <v>29</v>
      </c>
      <c r="F3611" s="9">
        <v>131</v>
      </c>
      <c r="G3611" s="9">
        <v>193.66</v>
      </c>
      <c r="H3611" s="9" t="s">
        <v>19</v>
      </c>
      <c r="I3611" s="9">
        <v>6</v>
      </c>
      <c r="J3611" s="10">
        <v>62.66</v>
      </c>
      <c r="K3611" s="9" t="str">
        <f>TEXT(Sales_of_Jordan[[#This Row],[Sale_Date]],"mmm")</f>
        <v>Oct</v>
      </c>
    </row>
    <row r="3612" spans="1:11" x14ac:dyDescent="0.35">
      <c r="A3612" s="7" t="s">
        <v>3642</v>
      </c>
      <c r="B3612" s="8">
        <v>45707</v>
      </c>
      <c r="C3612" s="9" t="s">
        <v>11</v>
      </c>
      <c r="D3612" s="9" t="s">
        <v>39</v>
      </c>
      <c r="E3612" s="9" t="s">
        <v>18</v>
      </c>
      <c r="F3612" s="9">
        <v>225</v>
      </c>
      <c r="G3612" s="9">
        <v>327.18</v>
      </c>
      <c r="H3612" s="9" t="s">
        <v>32</v>
      </c>
      <c r="I3612" s="9">
        <v>43</v>
      </c>
      <c r="J3612" s="10">
        <v>102.18</v>
      </c>
      <c r="K3612" s="9" t="str">
        <f>TEXT(Sales_of_Jordan[[#This Row],[Sale_Date]],"mmm")</f>
        <v>Feb</v>
      </c>
    </row>
    <row r="3613" spans="1:11" x14ac:dyDescent="0.35">
      <c r="A3613" s="7" t="s">
        <v>3643</v>
      </c>
      <c r="B3613" s="8">
        <v>45769</v>
      </c>
      <c r="C3613" s="9" t="s">
        <v>11</v>
      </c>
      <c r="D3613" s="9" t="s">
        <v>17</v>
      </c>
      <c r="E3613" s="9" t="s">
        <v>29</v>
      </c>
      <c r="F3613" s="9">
        <v>226</v>
      </c>
      <c r="G3613" s="9">
        <v>294.22000000000003</v>
      </c>
      <c r="H3613" s="9" t="s">
        <v>23</v>
      </c>
      <c r="I3613" s="9">
        <v>8</v>
      </c>
      <c r="J3613" s="10">
        <v>68.22</v>
      </c>
      <c r="K3613" s="9" t="str">
        <f>TEXT(Sales_of_Jordan[[#This Row],[Sale_Date]],"mmm")</f>
        <v>Apr</v>
      </c>
    </row>
    <row r="3614" spans="1:11" x14ac:dyDescent="0.35">
      <c r="A3614" s="7" t="s">
        <v>3644</v>
      </c>
      <c r="B3614" s="8">
        <v>45249</v>
      </c>
      <c r="C3614" s="9" t="s">
        <v>31</v>
      </c>
      <c r="D3614" s="9" t="s">
        <v>17</v>
      </c>
      <c r="E3614" s="9" t="s">
        <v>29</v>
      </c>
      <c r="F3614" s="9">
        <v>204</v>
      </c>
      <c r="G3614" s="9">
        <v>300.63</v>
      </c>
      <c r="H3614" s="9" t="s">
        <v>23</v>
      </c>
      <c r="I3614" s="9">
        <v>39</v>
      </c>
      <c r="J3614" s="10">
        <v>96.63</v>
      </c>
      <c r="K3614" s="9" t="str">
        <f>TEXT(Sales_of_Jordan[[#This Row],[Sale_Date]],"mmm")</f>
        <v>Nov</v>
      </c>
    </row>
    <row r="3615" spans="1:11" x14ac:dyDescent="0.35">
      <c r="A3615" s="7" t="s">
        <v>3645</v>
      </c>
      <c r="B3615" s="8">
        <v>45650</v>
      </c>
      <c r="C3615" s="9" t="s">
        <v>11</v>
      </c>
      <c r="D3615" s="9" t="s">
        <v>17</v>
      </c>
      <c r="E3615" s="9" t="s">
        <v>29</v>
      </c>
      <c r="F3615" s="9">
        <v>229</v>
      </c>
      <c r="G3615" s="9">
        <v>228.65</v>
      </c>
      <c r="H3615" s="9" t="s">
        <v>14</v>
      </c>
      <c r="I3615" s="9">
        <v>10</v>
      </c>
      <c r="J3615" s="10">
        <v>-0.34999999999999398</v>
      </c>
      <c r="K3615" s="9" t="str">
        <f>TEXT(Sales_of_Jordan[[#This Row],[Sale_Date]],"mmm")</f>
        <v>Dec</v>
      </c>
    </row>
    <row r="3616" spans="1:11" x14ac:dyDescent="0.35">
      <c r="A3616" s="7" t="s">
        <v>3646</v>
      </c>
      <c r="B3616" s="8">
        <v>45723</v>
      </c>
      <c r="C3616" s="9" t="s">
        <v>27</v>
      </c>
      <c r="D3616" s="9" t="s">
        <v>55</v>
      </c>
      <c r="E3616" s="9" t="s">
        <v>18</v>
      </c>
      <c r="F3616" s="9">
        <v>139</v>
      </c>
      <c r="G3616" s="9">
        <v>420.46</v>
      </c>
      <c r="H3616" s="9" t="s">
        <v>14</v>
      </c>
      <c r="I3616" s="9">
        <v>13</v>
      </c>
      <c r="J3616" s="10">
        <v>281.45999999999998</v>
      </c>
      <c r="K3616" s="9" t="str">
        <f>TEXT(Sales_of_Jordan[[#This Row],[Sale_Date]],"mmm")</f>
        <v>Mar</v>
      </c>
    </row>
    <row r="3617" spans="1:11" x14ac:dyDescent="0.35">
      <c r="A3617" s="7" t="s">
        <v>3647</v>
      </c>
      <c r="B3617" s="8">
        <v>45611</v>
      </c>
      <c r="C3617" s="9" t="s">
        <v>16</v>
      </c>
      <c r="D3617" s="9" t="s">
        <v>34</v>
      </c>
      <c r="E3617" s="9" t="s">
        <v>29</v>
      </c>
      <c r="F3617" s="9">
        <v>172</v>
      </c>
      <c r="G3617" s="9">
        <v>234.11</v>
      </c>
      <c r="H3617" s="9" t="s">
        <v>19</v>
      </c>
      <c r="I3617" s="9">
        <v>8</v>
      </c>
      <c r="J3617" s="10">
        <v>62.11</v>
      </c>
      <c r="K3617" s="9" t="str">
        <f>TEXT(Sales_of_Jordan[[#This Row],[Sale_Date]],"mmm")</f>
        <v>Nov</v>
      </c>
    </row>
    <row r="3618" spans="1:11" x14ac:dyDescent="0.35">
      <c r="A3618" s="7" t="s">
        <v>3648</v>
      </c>
      <c r="B3618" s="8">
        <v>44955</v>
      </c>
      <c r="C3618" s="9" t="s">
        <v>27</v>
      </c>
      <c r="D3618" s="9" t="s">
        <v>55</v>
      </c>
      <c r="E3618" s="9" t="s">
        <v>29</v>
      </c>
      <c r="F3618" s="9">
        <v>139</v>
      </c>
      <c r="G3618" s="9">
        <v>154.69999999999999</v>
      </c>
      <c r="H3618" s="9" t="s">
        <v>19</v>
      </c>
      <c r="I3618" s="9">
        <v>4</v>
      </c>
      <c r="J3618" s="10">
        <v>15.6999999999999</v>
      </c>
      <c r="K3618" s="9" t="str">
        <f>TEXT(Sales_of_Jordan[[#This Row],[Sale_Date]],"mmm")</f>
        <v>Jan</v>
      </c>
    </row>
    <row r="3619" spans="1:11" x14ac:dyDescent="0.35">
      <c r="A3619" s="7" t="s">
        <v>3649</v>
      </c>
      <c r="B3619" s="8">
        <v>45892</v>
      </c>
      <c r="C3619" s="9" t="s">
        <v>11</v>
      </c>
      <c r="D3619" s="9" t="s">
        <v>36</v>
      </c>
      <c r="E3619" s="9" t="s">
        <v>18</v>
      </c>
      <c r="F3619" s="9">
        <v>227</v>
      </c>
      <c r="G3619" s="9">
        <v>309.51</v>
      </c>
      <c r="H3619" s="9" t="s">
        <v>19</v>
      </c>
      <c r="I3619" s="9">
        <v>4</v>
      </c>
      <c r="J3619" s="10">
        <v>82.509999999999906</v>
      </c>
      <c r="K3619" s="9" t="str">
        <f>TEXT(Sales_of_Jordan[[#This Row],[Sale_Date]],"mmm")</f>
        <v>Aug</v>
      </c>
    </row>
    <row r="3620" spans="1:11" x14ac:dyDescent="0.35">
      <c r="A3620" s="7" t="s">
        <v>3650</v>
      </c>
      <c r="B3620" s="8">
        <v>45678</v>
      </c>
      <c r="C3620" s="9" t="s">
        <v>11</v>
      </c>
      <c r="D3620" s="9" t="s">
        <v>53</v>
      </c>
      <c r="E3620" s="9" t="s">
        <v>13</v>
      </c>
      <c r="F3620" s="9">
        <v>230</v>
      </c>
      <c r="G3620" s="9">
        <v>156.09</v>
      </c>
      <c r="H3620" s="9" t="s">
        <v>14</v>
      </c>
      <c r="I3620" s="9">
        <v>11</v>
      </c>
      <c r="J3620" s="10">
        <v>-73.91</v>
      </c>
      <c r="K3620" s="9" t="str">
        <f>TEXT(Sales_of_Jordan[[#This Row],[Sale_Date]],"mmm")</f>
        <v>Jan</v>
      </c>
    </row>
    <row r="3621" spans="1:11" x14ac:dyDescent="0.35">
      <c r="A3621" s="7" t="s">
        <v>3651</v>
      </c>
      <c r="B3621" s="8">
        <v>45047</v>
      </c>
      <c r="C3621" s="9" t="s">
        <v>21</v>
      </c>
      <c r="D3621" s="9" t="s">
        <v>53</v>
      </c>
      <c r="E3621" s="9" t="s">
        <v>13</v>
      </c>
      <c r="F3621" s="9">
        <v>211</v>
      </c>
      <c r="G3621" s="9">
        <v>172.53</v>
      </c>
      <c r="H3621" s="9" t="s">
        <v>14</v>
      </c>
      <c r="I3621" s="9">
        <v>13</v>
      </c>
      <c r="J3621" s="10">
        <v>-38.47</v>
      </c>
      <c r="K3621" s="9" t="str">
        <f>TEXT(Sales_of_Jordan[[#This Row],[Sale_Date]],"mmm")</f>
        <v>May</v>
      </c>
    </row>
    <row r="3622" spans="1:11" x14ac:dyDescent="0.35">
      <c r="A3622" s="7" t="s">
        <v>3652</v>
      </c>
      <c r="B3622" s="8">
        <v>45666</v>
      </c>
      <c r="C3622" s="9" t="s">
        <v>21</v>
      </c>
      <c r="D3622" s="9" t="s">
        <v>12</v>
      </c>
      <c r="E3622" s="9" t="s">
        <v>18</v>
      </c>
      <c r="F3622" s="9">
        <v>211</v>
      </c>
      <c r="G3622" s="9">
        <v>363.29</v>
      </c>
      <c r="H3622" s="9" t="s">
        <v>25</v>
      </c>
      <c r="I3622" s="9">
        <v>8</v>
      </c>
      <c r="J3622" s="10">
        <v>152.29</v>
      </c>
      <c r="K3622" s="9" t="str">
        <f>TEXT(Sales_of_Jordan[[#This Row],[Sale_Date]],"mmm")</f>
        <v>Jan</v>
      </c>
    </row>
    <row r="3623" spans="1:11" x14ac:dyDescent="0.35">
      <c r="A3623" s="7" t="s">
        <v>3653</v>
      </c>
      <c r="B3623" s="8">
        <v>45566</v>
      </c>
      <c r="C3623" s="9" t="s">
        <v>11</v>
      </c>
      <c r="D3623" s="9" t="s">
        <v>12</v>
      </c>
      <c r="E3623" s="9" t="s">
        <v>13</v>
      </c>
      <c r="F3623" s="9">
        <v>227</v>
      </c>
      <c r="G3623" s="9">
        <v>166.52</v>
      </c>
      <c r="H3623" s="9" t="s">
        <v>23</v>
      </c>
      <c r="I3623" s="9">
        <v>51</v>
      </c>
      <c r="J3623" s="10">
        <v>-60.479999999999897</v>
      </c>
      <c r="K3623" s="9" t="str">
        <f>TEXT(Sales_of_Jordan[[#This Row],[Sale_Date]],"mmm")</f>
        <v>Oct</v>
      </c>
    </row>
    <row r="3624" spans="1:11" x14ac:dyDescent="0.35">
      <c r="A3624" s="7" t="s">
        <v>3654</v>
      </c>
      <c r="B3624" s="8">
        <v>45210</v>
      </c>
      <c r="C3624" s="9" t="s">
        <v>11</v>
      </c>
      <c r="D3624" s="9" t="s">
        <v>46</v>
      </c>
      <c r="E3624" s="9" t="s">
        <v>29</v>
      </c>
      <c r="F3624" s="9">
        <v>227</v>
      </c>
      <c r="G3624" s="9">
        <v>290.88</v>
      </c>
      <c r="H3624" s="9" t="s">
        <v>23</v>
      </c>
      <c r="I3624" s="9">
        <v>13</v>
      </c>
      <c r="J3624" s="10">
        <v>63.879999999999903</v>
      </c>
      <c r="K3624" s="9" t="str">
        <f>TEXT(Sales_of_Jordan[[#This Row],[Sale_Date]],"mmm")</f>
        <v>Oct</v>
      </c>
    </row>
    <row r="3625" spans="1:11" x14ac:dyDescent="0.35">
      <c r="A3625" s="7" t="s">
        <v>3655</v>
      </c>
      <c r="B3625" s="8">
        <v>45498</v>
      </c>
      <c r="C3625" s="9" t="s">
        <v>27</v>
      </c>
      <c r="D3625" s="9" t="s">
        <v>55</v>
      </c>
      <c r="E3625" s="9" t="s">
        <v>18</v>
      </c>
      <c r="F3625" s="9">
        <v>112</v>
      </c>
      <c r="G3625" s="9">
        <v>160.30000000000001</v>
      </c>
      <c r="H3625" s="9" t="s">
        <v>23</v>
      </c>
      <c r="I3625" s="9">
        <v>45</v>
      </c>
      <c r="J3625" s="10">
        <v>48.3</v>
      </c>
      <c r="K3625" s="9" t="str">
        <f>TEXT(Sales_of_Jordan[[#This Row],[Sale_Date]],"mmm")</f>
        <v>Jul</v>
      </c>
    </row>
    <row r="3626" spans="1:11" x14ac:dyDescent="0.35">
      <c r="A3626" s="7" t="s">
        <v>3656</v>
      </c>
      <c r="B3626" s="8">
        <v>45405</v>
      </c>
      <c r="C3626" s="9" t="s">
        <v>16</v>
      </c>
      <c r="D3626" s="9" t="s">
        <v>12</v>
      </c>
      <c r="E3626" s="9" t="s">
        <v>18</v>
      </c>
      <c r="F3626" s="9">
        <v>184</v>
      </c>
      <c r="G3626" s="9">
        <v>512.86</v>
      </c>
      <c r="H3626" s="9" t="s">
        <v>25</v>
      </c>
      <c r="I3626" s="9">
        <v>60</v>
      </c>
      <c r="J3626" s="10">
        <v>328.86</v>
      </c>
      <c r="K3626" s="9" t="str">
        <f>TEXT(Sales_of_Jordan[[#This Row],[Sale_Date]],"mmm")</f>
        <v>Apr</v>
      </c>
    </row>
    <row r="3627" spans="1:11" x14ac:dyDescent="0.35">
      <c r="A3627" s="7" t="s">
        <v>3657</v>
      </c>
      <c r="B3627" s="8">
        <v>45075</v>
      </c>
      <c r="C3627" s="9" t="s">
        <v>31</v>
      </c>
      <c r="D3627" s="9" t="s">
        <v>17</v>
      </c>
      <c r="E3627" s="9" t="s">
        <v>29</v>
      </c>
      <c r="F3627" s="9">
        <v>206</v>
      </c>
      <c r="G3627" s="9">
        <v>274.41000000000003</v>
      </c>
      <c r="H3627" s="9" t="s">
        <v>32</v>
      </c>
      <c r="I3627" s="9">
        <v>7</v>
      </c>
      <c r="J3627" s="10">
        <v>68.41</v>
      </c>
      <c r="K3627" s="9" t="str">
        <f>TEXT(Sales_of_Jordan[[#This Row],[Sale_Date]],"mmm")</f>
        <v>May</v>
      </c>
    </row>
    <row r="3628" spans="1:11" x14ac:dyDescent="0.35">
      <c r="A3628" s="7" t="s">
        <v>3658</v>
      </c>
      <c r="B3628" s="8">
        <v>45345</v>
      </c>
      <c r="C3628" s="9" t="s">
        <v>16</v>
      </c>
      <c r="D3628" s="9" t="s">
        <v>53</v>
      </c>
      <c r="E3628" s="9" t="s">
        <v>18</v>
      </c>
      <c r="F3628" s="9">
        <v>184</v>
      </c>
      <c r="G3628" s="9">
        <v>613.34</v>
      </c>
      <c r="H3628" s="9" t="s">
        <v>25</v>
      </c>
      <c r="I3628" s="9">
        <v>57</v>
      </c>
      <c r="J3628" s="10">
        <v>429.34</v>
      </c>
      <c r="K3628" s="9" t="str">
        <f>TEXT(Sales_of_Jordan[[#This Row],[Sale_Date]],"mmm")</f>
        <v>Feb</v>
      </c>
    </row>
    <row r="3629" spans="1:11" x14ac:dyDescent="0.35">
      <c r="A3629" s="7" t="s">
        <v>3659</v>
      </c>
      <c r="B3629" s="8">
        <v>45509</v>
      </c>
      <c r="C3629" s="9" t="s">
        <v>27</v>
      </c>
      <c r="D3629" s="9" t="s">
        <v>39</v>
      </c>
      <c r="E3629" s="9" t="s">
        <v>13</v>
      </c>
      <c r="F3629" s="9">
        <v>113</v>
      </c>
      <c r="G3629" s="9">
        <v>101.39</v>
      </c>
      <c r="H3629" s="9" t="s">
        <v>23</v>
      </c>
      <c r="I3629" s="9">
        <v>29</v>
      </c>
      <c r="J3629" s="10">
        <v>-11.61</v>
      </c>
      <c r="K3629" s="9" t="str">
        <f>TEXT(Sales_of_Jordan[[#This Row],[Sale_Date]],"mmm")</f>
        <v>Aug</v>
      </c>
    </row>
    <row r="3630" spans="1:11" x14ac:dyDescent="0.35">
      <c r="A3630" s="7" t="s">
        <v>3660</v>
      </c>
      <c r="B3630" s="8">
        <v>45404</v>
      </c>
      <c r="C3630" s="9" t="s">
        <v>31</v>
      </c>
      <c r="D3630" s="9" t="s">
        <v>36</v>
      </c>
      <c r="E3630" s="9" t="s">
        <v>18</v>
      </c>
      <c r="F3630" s="9">
        <v>210</v>
      </c>
      <c r="G3630" s="9">
        <v>274.01</v>
      </c>
      <c r="H3630" s="9" t="s">
        <v>19</v>
      </c>
      <c r="I3630" s="9">
        <v>12</v>
      </c>
      <c r="J3630" s="10">
        <v>64.009999999999906</v>
      </c>
      <c r="K3630" s="9" t="str">
        <f>TEXT(Sales_of_Jordan[[#This Row],[Sale_Date]],"mmm")</f>
        <v>Apr</v>
      </c>
    </row>
    <row r="3631" spans="1:11" x14ac:dyDescent="0.35">
      <c r="A3631" s="7" t="s">
        <v>3661</v>
      </c>
      <c r="B3631" s="8">
        <v>45134</v>
      </c>
      <c r="C3631" s="9" t="s">
        <v>21</v>
      </c>
      <c r="D3631" s="9" t="s">
        <v>17</v>
      </c>
      <c r="E3631" s="9" t="s">
        <v>18</v>
      </c>
      <c r="F3631" s="9">
        <v>219</v>
      </c>
      <c r="G3631" s="9">
        <v>738.74</v>
      </c>
      <c r="H3631" s="9" t="s">
        <v>23</v>
      </c>
      <c r="I3631" s="9">
        <v>9</v>
      </c>
      <c r="J3631" s="10">
        <v>519.74</v>
      </c>
      <c r="K3631" s="9" t="str">
        <f>TEXT(Sales_of_Jordan[[#This Row],[Sale_Date]],"mmm")</f>
        <v>Jul</v>
      </c>
    </row>
    <row r="3632" spans="1:11" x14ac:dyDescent="0.35">
      <c r="A3632" s="7" t="s">
        <v>3662</v>
      </c>
      <c r="B3632" s="8">
        <v>45124</v>
      </c>
      <c r="C3632" s="9" t="s">
        <v>21</v>
      </c>
      <c r="D3632" s="9" t="s">
        <v>17</v>
      </c>
      <c r="E3632" s="9" t="s">
        <v>18</v>
      </c>
      <c r="F3632" s="9">
        <v>222</v>
      </c>
      <c r="G3632" s="9">
        <v>558.62</v>
      </c>
      <c r="H3632" s="9" t="s">
        <v>32</v>
      </c>
      <c r="I3632" s="9">
        <v>39</v>
      </c>
      <c r="J3632" s="10">
        <v>336.62</v>
      </c>
      <c r="K3632" s="9" t="str">
        <f>TEXT(Sales_of_Jordan[[#This Row],[Sale_Date]],"mmm")</f>
        <v>Jul</v>
      </c>
    </row>
    <row r="3633" spans="1:11" x14ac:dyDescent="0.35">
      <c r="A3633" s="7" t="s">
        <v>3663</v>
      </c>
      <c r="B3633" s="8">
        <v>44958</v>
      </c>
      <c r="C3633" s="9" t="s">
        <v>11</v>
      </c>
      <c r="D3633" s="9" t="s">
        <v>39</v>
      </c>
      <c r="E3633" s="9" t="s">
        <v>29</v>
      </c>
      <c r="F3633" s="9">
        <v>227</v>
      </c>
      <c r="G3633" s="9">
        <v>301.01</v>
      </c>
      <c r="H3633" s="9" t="s">
        <v>14</v>
      </c>
      <c r="I3633" s="9">
        <v>5</v>
      </c>
      <c r="J3633" s="10">
        <v>74.009999999999906</v>
      </c>
      <c r="K3633" s="9" t="str">
        <f>TEXT(Sales_of_Jordan[[#This Row],[Sale_Date]],"mmm")</f>
        <v>Feb</v>
      </c>
    </row>
    <row r="3634" spans="1:11" x14ac:dyDescent="0.35">
      <c r="A3634" s="7" t="s">
        <v>3664</v>
      </c>
      <c r="B3634" s="8">
        <v>45671</v>
      </c>
      <c r="C3634" s="9" t="s">
        <v>27</v>
      </c>
      <c r="D3634" s="9" t="s">
        <v>55</v>
      </c>
      <c r="E3634" s="9" t="s">
        <v>29</v>
      </c>
      <c r="F3634" s="9">
        <v>112</v>
      </c>
      <c r="G3634" s="9">
        <v>116.78</v>
      </c>
      <c r="H3634" s="9" t="s">
        <v>25</v>
      </c>
      <c r="I3634" s="9">
        <v>8</v>
      </c>
      <c r="J3634" s="10">
        <v>4.78</v>
      </c>
      <c r="K3634" s="9" t="str">
        <f>TEXT(Sales_of_Jordan[[#This Row],[Sale_Date]],"mmm")</f>
        <v>Jan</v>
      </c>
    </row>
    <row r="3635" spans="1:11" x14ac:dyDescent="0.35">
      <c r="A3635" s="7" t="s">
        <v>3665</v>
      </c>
      <c r="B3635" s="8">
        <v>45546</v>
      </c>
      <c r="C3635" s="9" t="s">
        <v>27</v>
      </c>
      <c r="D3635" s="9" t="s">
        <v>53</v>
      </c>
      <c r="E3635" s="9" t="s">
        <v>18</v>
      </c>
      <c r="F3635" s="9">
        <v>128</v>
      </c>
      <c r="G3635" s="9">
        <v>210.37</v>
      </c>
      <c r="H3635" s="9" t="s">
        <v>32</v>
      </c>
      <c r="I3635" s="9">
        <v>52</v>
      </c>
      <c r="J3635" s="10">
        <v>82.37</v>
      </c>
      <c r="K3635" s="9" t="str">
        <f>TEXT(Sales_of_Jordan[[#This Row],[Sale_Date]],"mmm")</f>
        <v>Sep</v>
      </c>
    </row>
    <row r="3636" spans="1:11" x14ac:dyDescent="0.35">
      <c r="A3636" s="7" t="s">
        <v>3666</v>
      </c>
      <c r="B3636" s="8">
        <v>45707</v>
      </c>
      <c r="C3636" s="9" t="s">
        <v>31</v>
      </c>
      <c r="D3636" s="9" t="s">
        <v>17</v>
      </c>
      <c r="E3636" s="9" t="s">
        <v>13</v>
      </c>
      <c r="F3636" s="9">
        <v>210</v>
      </c>
      <c r="G3636" s="9">
        <v>115.22</v>
      </c>
      <c r="H3636" s="9" t="s">
        <v>19</v>
      </c>
      <c r="I3636" s="9">
        <v>13</v>
      </c>
      <c r="J3636" s="10">
        <v>-94.78</v>
      </c>
      <c r="K3636" s="9" t="str">
        <f>TEXT(Sales_of_Jordan[[#This Row],[Sale_Date]],"mmm")</f>
        <v>Feb</v>
      </c>
    </row>
    <row r="3637" spans="1:11" x14ac:dyDescent="0.35">
      <c r="A3637" s="7" t="s">
        <v>3667</v>
      </c>
      <c r="B3637" s="8">
        <v>45621</v>
      </c>
      <c r="C3637" s="9" t="s">
        <v>27</v>
      </c>
      <c r="D3637" s="9" t="s">
        <v>39</v>
      </c>
      <c r="E3637" s="9" t="s">
        <v>13</v>
      </c>
      <c r="F3637" s="9">
        <v>135</v>
      </c>
      <c r="G3637" s="9">
        <v>69.41</v>
      </c>
      <c r="H3637" s="9" t="s">
        <v>32</v>
      </c>
      <c r="I3637" s="9">
        <v>34</v>
      </c>
      <c r="J3637" s="10">
        <v>-65.59</v>
      </c>
      <c r="K3637" s="9" t="str">
        <f>TEXT(Sales_of_Jordan[[#This Row],[Sale_Date]],"mmm")</f>
        <v>Nov</v>
      </c>
    </row>
    <row r="3638" spans="1:11" x14ac:dyDescent="0.35">
      <c r="A3638" s="7" t="s">
        <v>3668</v>
      </c>
      <c r="B3638" s="8">
        <v>45107</v>
      </c>
      <c r="C3638" s="9" t="s">
        <v>11</v>
      </c>
      <c r="D3638" s="9" t="s">
        <v>22</v>
      </c>
      <c r="E3638" s="9" t="s">
        <v>13</v>
      </c>
      <c r="F3638" s="9">
        <v>230</v>
      </c>
      <c r="G3638" s="9">
        <v>150.13</v>
      </c>
      <c r="H3638" s="9" t="s">
        <v>23</v>
      </c>
      <c r="I3638" s="9">
        <v>27</v>
      </c>
      <c r="J3638" s="10">
        <v>-79.87</v>
      </c>
      <c r="K3638" s="9" t="str">
        <f>TEXT(Sales_of_Jordan[[#This Row],[Sale_Date]],"mmm")</f>
        <v>Jun</v>
      </c>
    </row>
    <row r="3639" spans="1:11" x14ac:dyDescent="0.35">
      <c r="A3639" s="7" t="s">
        <v>3669</v>
      </c>
      <c r="B3639" s="8">
        <v>45045</v>
      </c>
      <c r="C3639" s="9" t="s">
        <v>16</v>
      </c>
      <c r="D3639" s="9" t="s">
        <v>34</v>
      </c>
      <c r="E3639" s="9" t="s">
        <v>13</v>
      </c>
      <c r="F3639" s="9">
        <v>186</v>
      </c>
      <c r="G3639" s="9">
        <v>104.97</v>
      </c>
      <c r="H3639" s="9" t="s">
        <v>32</v>
      </c>
      <c r="I3639" s="9">
        <v>5</v>
      </c>
      <c r="J3639" s="10">
        <v>-81.03</v>
      </c>
      <c r="K3639" s="9" t="str">
        <f>TEXT(Sales_of_Jordan[[#This Row],[Sale_Date]],"mmm")</f>
        <v>Apr</v>
      </c>
    </row>
    <row r="3640" spans="1:11" x14ac:dyDescent="0.35">
      <c r="A3640" s="7" t="s">
        <v>3670</v>
      </c>
      <c r="B3640" s="8">
        <v>45873</v>
      </c>
      <c r="C3640" s="9" t="s">
        <v>27</v>
      </c>
      <c r="D3640" s="9" t="s">
        <v>22</v>
      </c>
      <c r="E3640" s="9" t="s">
        <v>29</v>
      </c>
      <c r="F3640" s="9">
        <v>119</v>
      </c>
      <c r="G3640" s="9">
        <v>134.38</v>
      </c>
      <c r="H3640" s="9" t="s">
        <v>23</v>
      </c>
      <c r="I3640" s="9">
        <v>26</v>
      </c>
      <c r="J3640" s="10">
        <v>15.3799999999999</v>
      </c>
      <c r="K3640" s="9" t="str">
        <f>TEXT(Sales_of_Jordan[[#This Row],[Sale_Date]],"mmm")</f>
        <v>Aug</v>
      </c>
    </row>
    <row r="3641" spans="1:11" x14ac:dyDescent="0.35">
      <c r="A3641" s="7" t="s">
        <v>3671</v>
      </c>
      <c r="B3641" s="8">
        <v>45657</v>
      </c>
      <c r="C3641" s="9" t="s">
        <v>21</v>
      </c>
      <c r="D3641" s="9" t="s">
        <v>46</v>
      </c>
      <c r="E3641" s="9" t="s">
        <v>13</v>
      </c>
      <c r="F3641" s="9">
        <v>213</v>
      </c>
      <c r="G3641" s="9">
        <v>171.67</v>
      </c>
      <c r="H3641" s="9" t="s">
        <v>23</v>
      </c>
      <c r="I3641" s="9">
        <v>31</v>
      </c>
      <c r="J3641" s="10">
        <v>-41.33</v>
      </c>
      <c r="K3641" s="9" t="str">
        <f>TEXT(Sales_of_Jordan[[#This Row],[Sale_Date]],"mmm")</f>
        <v>Dec</v>
      </c>
    </row>
    <row r="3642" spans="1:11" x14ac:dyDescent="0.35">
      <c r="A3642" s="7" t="s">
        <v>3672</v>
      </c>
      <c r="B3642" s="8">
        <v>45423</v>
      </c>
      <c r="C3642" s="9" t="s">
        <v>27</v>
      </c>
      <c r="D3642" s="9" t="s">
        <v>17</v>
      </c>
      <c r="E3642" s="9" t="s">
        <v>13</v>
      </c>
      <c r="F3642" s="9">
        <v>129</v>
      </c>
      <c r="G3642" s="9">
        <v>75.930000000000007</v>
      </c>
      <c r="H3642" s="9" t="s">
        <v>19</v>
      </c>
      <c r="I3642" s="9">
        <v>8</v>
      </c>
      <c r="J3642" s="10">
        <v>-53.069999999999901</v>
      </c>
      <c r="K3642" s="9" t="str">
        <f>TEXT(Sales_of_Jordan[[#This Row],[Sale_Date]],"mmm")</f>
        <v>May</v>
      </c>
    </row>
    <row r="3643" spans="1:11" x14ac:dyDescent="0.35">
      <c r="A3643" s="7" t="s">
        <v>3673</v>
      </c>
      <c r="B3643" s="8">
        <v>45132</v>
      </c>
      <c r="C3643" s="9" t="s">
        <v>21</v>
      </c>
      <c r="D3643" s="9" t="s">
        <v>53</v>
      </c>
      <c r="E3643" s="9" t="s">
        <v>13</v>
      </c>
      <c r="F3643" s="9">
        <v>210</v>
      </c>
      <c r="G3643" s="9">
        <v>119.19</v>
      </c>
      <c r="H3643" s="9" t="s">
        <v>32</v>
      </c>
      <c r="I3643" s="9">
        <v>20</v>
      </c>
      <c r="J3643" s="10">
        <v>-90.81</v>
      </c>
      <c r="K3643" s="9" t="str">
        <f>TEXT(Sales_of_Jordan[[#This Row],[Sale_Date]],"mmm")</f>
        <v>Jul</v>
      </c>
    </row>
    <row r="3644" spans="1:11" x14ac:dyDescent="0.35">
      <c r="A3644" s="7" t="s">
        <v>3674</v>
      </c>
      <c r="B3644" s="8">
        <v>45348</v>
      </c>
      <c r="C3644" s="9" t="s">
        <v>11</v>
      </c>
      <c r="D3644" s="9" t="s">
        <v>36</v>
      </c>
      <c r="E3644" s="9" t="s">
        <v>18</v>
      </c>
      <c r="F3644" s="9">
        <v>228</v>
      </c>
      <c r="G3644" s="9">
        <v>661.93</v>
      </c>
      <c r="H3644" s="9" t="s">
        <v>25</v>
      </c>
      <c r="I3644" s="9">
        <v>44</v>
      </c>
      <c r="J3644" s="10">
        <v>433.92999999999898</v>
      </c>
      <c r="K3644" s="9" t="str">
        <f>TEXT(Sales_of_Jordan[[#This Row],[Sale_Date]],"mmm")</f>
        <v>Feb</v>
      </c>
    </row>
    <row r="3645" spans="1:11" x14ac:dyDescent="0.35">
      <c r="A3645" s="7" t="s">
        <v>3675</v>
      </c>
      <c r="B3645" s="8">
        <v>45812</v>
      </c>
      <c r="C3645" s="9" t="s">
        <v>31</v>
      </c>
      <c r="D3645" s="9" t="s">
        <v>39</v>
      </c>
      <c r="E3645" s="9" t="s">
        <v>18</v>
      </c>
      <c r="F3645" s="9">
        <v>210</v>
      </c>
      <c r="G3645" s="9">
        <v>698.19</v>
      </c>
      <c r="H3645" s="9" t="s">
        <v>19</v>
      </c>
      <c r="I3645" s="9">
        <v>4</v>
      </c>
      <c r="J3645" s="10">
        <v>488.19</v>
      </c>
      <c r="K3645" s="9" t="str">
        <f>TEXT(Sales_of_Jordan[[#This Row],[Sale_Date]],"mmm")</f>
        <v>Jun</v>
      </c>
    </row>
    <row r="3646" spans="1:11" x14ac:dyDescent="0.35">
      <c r="A3646" s="7" t="s">
        <v>3676</v>
      </c>
      <c r="B3646" s="8">
        <v>45647</v>
      </c>
      <c r="C3646" s="9" t="s">
        <v>27</v>
      </c>
      <c r="D3646" s="9" t="s">
        <v>53</v>
      </c>
      <c r="E3646" s="9" t="s">
        <v>18</v>
      </c>
      <c r="F3646" s="9">
        <v>123</v>
      </c>
      <c r="G3646" s="9">
        <v>411.34</v>
      </c>
      <c r="H3646" s="9" t="s">
        <v>14</v>
      </c>
      <c r="I3646" s="9">
        <v>2</v>
      </c>
      <c r="J3646" s="10">
        <v>288.33999999999997</v>
      </c>
      <c r="K3646" s="9" t="str">
        <f>TEXT(Sales_of_Jordan[[#This Row],[Sale_Date]],"mmm")</f>
        <v>Dec</v>
      </c>
    </row>
    <row r="3647" spans="1:11" x14ac:dyDescent="0.35">
      <c r="A3647" s="7" t="s">
        <v>3677</v>
      </c>
      <c r="B3647" s="8">
        <v>45827</v>
      </c>
      <c r="C3647" s="9" t="s">
        <v>16</v>
      </c>
      <c r="D3647" s="9" t="s">
        <v>46</v>
      </c>
      <c r="E3647" s="9" t="s">
        <v>29</v>
      </c>
      <c r="F3647" s="9">
        <v>190</v>
      </c>
      <c r="G3647" s="9">
        <v>246.3</v>
      </c>
      <c r="H3647" s="9" t="s">
        <v>23</v>
      </c>
      <c r="I3647" s="9">
        <v>17</v>
      </c>
      <c r="J3647" s="10">
        <v>56.3</v>
      </c>
      <c r="K3647" s="9" t="str">
        <f>TEXT(Sales_of_Jordan[[#This Row],[Sale_Date]],"mmm")</f>
        <v>Jun</v>
      </c>
    </row>
    <row r="3648" spans="1:11" x14ac:dyDescent="0.35">
      <c r="A3648" s="7" t="s">
        <v>3678</v>
      </c>
      <c r="B3648" s="8">
        <v>45331</v>
      </c>
      <c r="C3648" s="9" t="s">
        <v>21</v>
      </c>
      <c r="D3648" s="9" t="s">
        <v>22</v>
      </c>
      <c r="E3648" s="9" t="s">
        <v>29</v>
      </c>
      <c r="F3648" s="9">
        <v>214</v>
      </c>
      <c r="G3648" s="9">
        <v>317.43</v>
      </c>
      <c r="H3648" s="9" t="s">
        <v>23</v>
      </c>
      <c r="I3648" s="9">
        <v>16</v>
      </c>
      <c r="J3648" s="10">
        <v>103.43</v>
      </c>
      <c r="K3648" s="9" t="str">
        <f>TEXT(Sales_of_Jordan[[#This Row],[Sale_Date]],"mmm")</f>
        <v>Feb</v>
      </c>
    </row>
    <row r="3649" spans="1:11" x14ac:dyDescent="0.35">
      <c r="A3649" s="7" t="s">
        <v>3679</v>
      </c>
      <c r="B3649" s="8">
        <v>45089</v>
      </c>
      <c r="C3649" s="9" t="s">
        <v>11</v>
      </c>
      <c r="D3649" s="9" t="s">
        <v>34</v>
      </c>
      <c r="E3649" s="9" t="s">
        <v>29</v>
      </c>
      <c r="F3649" s="9">
        <v>227</v>
      </c>
      <c r="G3649" s="9">
        <v>246.42</v>
      </c>
      <c r="H3649" s="9" t="s">
        <v>14</v>
      </c>
      <c r="I3649" s="9">
        <v>1</v>
      </c>
      <c r="J3649" s="10">
        <v>19.419999999999899</v>
      </c>
      <c r="K3649" s="9" t="str">
        <f>TEXT(Sales_of_Jordan[[#This Row],[Sale_Date]],"mmm")</f>
        <v>Jun</v>
      </c>
    </row>
    <row r="3650" spans="1:11" x14ac:dyDescent="0.35">
      <c r="A3650" s="7" t="s">
        <v>3680</v>
      </c>
      <c r="B3650" s="8">
        <v>45770</v>
      </c>
      <c r="C3650" s="9" t="s">
        <v>31</v>
      </c>
      <c r="D3650" s="9" t="s">
        <v>55</v>
      </c>
      <c r="E3650" s="9" t="s">
        <v>13</v>
      </c>
      <c r="F3650" s="9">
        <v>200</v>
      </c>
      <c r="G3650" s="9">
        <v>117.26</v>
      </c>
      <c r="H3650" s="9" t="s">
        <v>14</v>
      </c>
      <c r="I3650" s="9">
        <v>11</v>
      </c>
      <c r="J3650" s="10">
        <v>-82.74</v>
      </c>
      <c r="K3650" s="9" t="str">
        <f>TEXT(Sales_of_Jordan[[#This Row],[Sale_Date]],"mmm")</f>
        <v>Apr</v>
      </c>
    </row>
    <row r="3651" spans="1:11" x14ac:dyDescent="0.35">
      <c r="A3651" s="7" t="s">
        <v>3681</v>
      </c>
      <c r="B3651" s="8">
        <v>45567</v>
      </c>
      <c r="C3651" s="9" t="s">
        <v>27</v>
      </c>
      <c r="D3651" s="9" t="s">
        <v>36</v>
      </c>
      <c r="E3651" s="9" t="s">
        <v>29</v>
      </c>
      <c r="F3651" s="9">
        <v>122</v>
      </c>
      <c r="G3651" s="9">
        <v>115.75</v>
      </c>
      <c r="H3651" s="9" t="s">
        <v>25</v>
      </c>
      <c r="I3651" s="9">
        <v>28</v>
      </c>
      <c r="J3651" s="10">
        <v>-6.25</v>
      </c>
      <c r="K3651" s="9" t="str">
        <f>TEXT(Sales_of_Jordan[[#This Row],[Sale_Date]],"mmm")</f>
        <v>Oct</v>
      </c>
    </row>
    <row r="3652" spans="1:11" x14ac:dyDescent="0.35">
      <c r="A3652" s="7" t="s">
        <v>3682</v>
      </c>
      <c r="B3652" s="8">
        <v>45495</v>
      </c>
      <c r="C3652" s="9" t="s">
        <v>11</v>
      </c>
      <c r="D3652" s="9" t="s">
        <v>22</v>
      </c>
      <c r="E3652" s="9" t="s">
        <v>13</v>
      </c>
      <c r="F3652" s="9">
        <v>230</v>
      </c>
      <c r="G3652" s="9">
        <v>200.23</v>
      </c>
      <c r="H3652" s="9" t="s">
        <v>32</v>
      </c>
      <c r="I3652" s="9">
        <v>28</v>
      </c>
      <c r="J3652" s="10">
        <v>-29.77</v>
      </c>
      <c r="K3652" s="9" t="str">
        <f>TEXT(Sales_of_Jordan[[#This Row],[Sale_Date]],"mmm")</f>
        <v>Jul</v>
      </c>
    </row>
    <row r="3653" spans="1:11" x14ac:dyDescent="0.35">
      <c r="A3653" s="7" t="s">
        <v>3683</v>
      </c>
      <c r="B3653" s="8">
        <v>45460</v>
      </c>
      <c r="C3653" s="9" t="s">
        <v>21</v>
      </c>
      <c r="D3653" s="9" t="s">
        <v>53</v>
      </c>
      <c r="E3653" s="9" t="s">
        <v>18</v>
      </c>
      <c r="F3653" s="9">
        <v>220</v>
      </c>
      <c r="G3653" s="9">
        <v>755.06</v>
      </c>
      <c r="H3653" s="9" t="s">
        <v>32</v>
      </c>
      <c r="I3653" s="9">
        <v>58</v>
      </c>
      <c r="J3653" s="10">
        <v>535.05999999999995</v>
      </c>
      <c r="K3653" s="9" t="str">
        <f>TEXT(Sales_of_Jordan[[#This Row],[Sale_Date]],"mmm")</f>
        <v>Jun</v>
      </c>
    </row>
    <row r="3654" spans="1:11" x14ac:dyDescent="0.35">
      <c r="A3654" s="7" t="s">
        <v>3684</v>
      </c>
      <c r="B3654" s="8">
        <v>45155</v>
      </c>
      <c r="C3654" s="9" t="s">
        <v>16</v>
      </c>
      <c r="D3654" s="9" t="s">
        <v>46</v>
      </c>
      <c r="E3654" s="9" t="s">
        <v>18</v>
      </c>
      <c r="F3654" s="9">
        <v>175</v>
      </c>
      <c r="G3654" s="9">
        <v>258.52</v>
      </c>
      <c r="H3654" s="9" t="s">
        <v>14</v>
      </c>
      <c r="I3654" s="9">
        <v>9</v>
      </c>
      <c r="J3654" s="10">
        <v>83.519999999999897</v>
      </c>
      <c r="K3654" s="9" t="str">
        <f>TEXT(Sales_of_Jordan[[#This Row],[Sale_Date]],"mmm")</f>
        <v>Aug</v>
      </c>
    </row>
    <row r="3655" spans="1:11" x14ac:dyDescent="0.35">
      <c r="A3655" s="7" t="s">
        <v>3685</v>
      </c>
      <c r="B3655" s="8">
        <v>45273</v>
      </c>
      <c r="C3655" s="9" t="s">
        <v>31</v>
      </c>
      <c r="D3655" s="9" t="s">
        <v>39</v>
      </c>
      <c r="E3655" s="9" t="s">
        <v>29</v>
      </c>
      <c r="F3655" s="9">
        <v>208</v>
      </c>
      <c r="G3655" s="9">
        <v>230.74</v>
      </c>
      <c r="H3655" s="9" t="s">
        <v>32</v>
      </c>
      <c r="I3655" s="9">
        <v>27</v>
      </c>
      <c r="J3655" s="10">
        <v>22.74</v>
      </c>
      <c r="K3655" s="9" t="str">
        <f>TEXT(Sales_of_Jordan[[#This Row],[Sale_Date]],"mmm")</f>
        <v>Dec</v>
      </c>
    </row>
    <row r="3656" spans="1:11" x14ac:dyDescent="0.35">
      <c r="A3656" s="7" t="s">
        <v>3686</v>
      </c>
      <c r="B3656" s="8">
        <v>45921</v>
      </c>
      <c r="C3656" s="9" t="s">
        <v>11</v>
      </c>
      <c r="D3656" s="9" t="s">
        <v>34</v>
      </c>
      <c r="E3656" s="9" t="s">
        <v>13</v>
      </c>
      <c r="F3656" s="9">
        <v>229</v>
      </c>
      <c r="G3656" s="9">
        <v>200.07</v>
      </c>
      <c r="H3656" s="9" t="s">
        <v>23</v>
      </c>
      <c r="I3656" s="9">
        <v>55</v>
      </c>
      <c r="J3656" s="10">
        <v>-28.93</v>
      </c>
      <c r="K3656" s="9" t="str">
        <f>TEXT(Sales_of_Jordan[[#This Row],[Sale_Date]],"mmm")</f>
        <v>Sep</v>
      </c>
    </row>
    <row r="3657" spans="1:11" x14ac:dyDescent="0.35">
      <c r="A3657" s="7" t="s">
        <v>3687</v>
      </c>
      <c r="B3657" s="8">
        <v>45470</v>
      </c>
      <c r="C3657" s="9" t="s">
        <v>21</v>
      </c>
      <c r="D3657" s="9" t="s">
        <v>34</v>
      </c>
      <c r="E3657" s="9" t="s">
        <v>29</v>
      </c>
      <c r="F3657" s="9">
        <v>221</v>
      </c>
      <c r="G3657" s="9">
        <v>255.92</v>
      </c>
      <c r="H3657" s="9" t="s">
        <v>19</v>
      </c>
      <c r="I3657" s="9">
        <v>14</v>
      </c>
      <c r="J3657" s="10">
        <v>34.919999999999902</v>
      </c>
      <c r="K3657" s="9" t="str">
        <f>TEXT(Sales_of_Jordan[[#This Row],[Sale_Date]],"mmm")</f>
        <v>Jun</v>
      </c>
    </row>
    <row r="3658" spans="1:11" x14ac:dyDescent="0.35">
      <c r="A3658" s="7" t="s">
        <v>3688</v>
      </c>
      <c r="B3658" s="8">
        <v>45172</v>
      </c>
      <c r="C3658" s="9" t="s">
        <v>21</v>
      </c>
      <c r="D3658" s="9" t="s">
        <v>46</v>
      </c>
      <c r="E3658" s="9" t="s">
        <v>18</v>
      </c>
      <c r="F3658" s="9">
        <v>214</v>
      </c>
      <c r="G3658" s="9">
        <v>283.60000000000002</v>
      </c>
      <c r="H3658" s="9" t="s">
        <v>19</v>
      </c>
      <c r="I3658" s="9">
        <v>7</v>
      </c>
      <c r="J3658" s="10">
        <v>69.599999999999994</v>
      </c>
      <c r="K3658" s="9" t="str">
        <f>TEXT(Sales_of_Jordan[[#This Row],[Sale_Date]],"mmm")</f>
        <v>Sep</v>
      </c>
    </row>
    <row r="3659" spans="1:11" x14ac:dyDescent="0.35">
      <c r="A3659" s="7" t="s">
        <v>3689</v>
      </c>
      <c r="B3659" s="8">
        <v>45257</v>
      </c>
      <c r="C3659" s="9" t="s">
        <v>27</v>
      </c>
      <c r="D3659" s="9" t="s">
        <v>36</v>
      </c>
      <c r="E3659" s="9" t="s">
        <v>18</v>
      </c>
      <c r="F3659" s="9">
        <v>135</v>
      </c>
      <c r="G3659" s="9">
        <v>239.52</v>
      </c>
      <c r="H3659" s="9" t="s">
        <v>23</v>
      </c>
      <c r="I3659" s="9">
        <v>19</v>
      </c>
      <c r="J3659" s="10">
        <v>104.52</v>
      </c>
      <c r="K3659" s="9" t="str">
        <f>TEXT(Sales_of_Jordan[[#This Row],[Sale_Date]],"mmm")</f>
        <v>Nov</v>
      </c>
    </row>
    <row r="3660" spans="1:11" x14ac:dyDescent="0.35">
      <c r="A3660" s="7" t="s">
        <v>3690</v>
      </c>
      <c r="B3660" s="8">
        <v>45612</v>
      </c>
      <c r="C3660" s="9" t="s">
        <v>31</v>
      </c>
      <c r="D3660" s="9" t="s">
        <v>22</v>
      </c>
      <c r="E3660" s="9" t="s">
        <v>29</v>
      </c>
      <c r="F3660" s="9">
        <v>210</v>
      </c>
      <c r="G3660" s="9">
        <v>294.29000000000002</v>
      </c>
      <c r="H3660" s="9" t="s">
        <v>23</v>
      </c>
      <c r="I3660" s="9">
        <v>21</v>
      </c>
      <c r="J3660" s="10">
        <v>84.29</v>
      </c>
      <c r="K3660" s="9" t="str">
        <f>TEXT(Sales_of_Jordan[[#This Row],[Sale_Date]],"mmm")</f>
        <v>Nov</v>
      </c>
    </row>
    <row r="3661" spans="1:11" x14ac:dyDescent="0.35">
      <c r="A3661" s="7" t="s">
        <v>3691</v>
      </c>
      <c r="B3661" s="8">
        <v>45011</v>
      </c>
      <c r="C3661" s="9" t="s">
        <v>27</v>
      </c>
      <c r="D3661" s="9" t="s">
        <v>36</v>
      </c>
      <c r="E3661" s="9" t="s">
        <v>29</v>
      </c>
      <c r="F3661" s="9">
        <v>124</v>
      </c>
      <c r="G3661" s="9">
        <v>144.09</v>
      </c>
      <c r="H3661" s="9" t="s">
        <v>19</v>
      </c>
      <c r="I3661" s="9">
        <v>11</v>
      </c>
      <c r="J3661" s="10">
        <v>20.09</v>
      </c>
      <c r="K3661" s="9" t="str">
        <f>TEXT(Sales_of_Jordan[[#This Row],[Sale_Date]],"mmm")</f>
        <v>Mar</v>
      </c>
    </row>
    <row r="3662" spans="1:11" x14ac:dyDescent="0.35">
      <c r="A3662" s="7" t="s">
        <v>3692</v>
      </c>
      <c r="B3662" s="8">
        <v>45118</v>
      </c>
      <c r="C3662" s="9" t="s">
        <v>27</v>
      </c>
      <c r="D3662" s="9" t="s">
        <v>34</v>
      </c>
      <c r="E3662" s="9" t="s">
        <v>18</v>
      </c>
      <c r="F3662" s="9">
        <v>121</v>
      </c>
      <c r="G3662" s="9">
        <v>174.41</v>
      </c>
      <c r="H3662" s="9" t="s">
        <v>19</v>
      </c>
      <c r="I3662" s="9">
        <v>14</v>
      </c>
      <c r="J3662" s="10">
        <v>53.41</v>
      </c>
      <c r="K3662" s="9" t="str">
        <f>TEXT(Sales_of_Jordan[[#This Row],[Sale_Date]],"mmm")</f>
        <v>Jul</v>
      </c>
    </row>
    <row r="3663" spans="1:11" x14ac:dyDescent="0.35">
      <c r="A3663" s="7" t="s">
        <v>3693</v>
      </c>
      <c r="B3663" s="8">
        <v>45556</v>
      </c>
      <c r="C3663" s="9" t="s">
        <v>11</v>
      </c>
      <c r="D3663" s="9" t="s">
        <v>55</v>
      </c>
      <c r="E3663" s="9" t="s">
        <v>18</v>
      </c>
      <c r="F3663" s="9">
        <v>225</v>
      </c>
      <c r="G3663" s="9">
        <v>483.7</v>
      </c>
      <c r="H3663" s="9" t="s">
        <v>14</v>
      </c>
      <c r="I3663" s="9">
        <v>1</v>
      </c>
      <c r="J3663" s="10">
        <v>258.7</v>
      </c>
      <c r="K3663" s="9" t="str">
        <f>TEXT(Sales_of_Jordan[[#This Row],[Sale_Date]],"mmm")</f>
        <v>Sep</v>
      </c>
    </row>
    <row r="3664" spans="1:11" x14ac:dyDescent="0.35">
      <c r="A3664" s="7" t="s">
        <v>3694</v>
      </c>
      <c r="B3664" s="8">
        <v>45620</v>
      </c>
      <c r="C3664" s="9" t="s">
        <v>21</v>
      </c>
      <c r="D3664" s="9" t="s">
        <v>36</v>
      </c>
      <c r="E3664" s="9" t="s">
        <v>18</v>
      </c>
      <c r="F3664" s="9">
        <v>222</v>
      </c>
      <c r="G3664" s="9">
        <v>356.11</v>
      </c>
      <c r="H3664" s="9" t="s">
        <v>19</v>
      </c>
      <c r="I3664" s="9">
        <v>2</v>
      </c>
      <c r="J3664" s="10">
        <v>134.11000000000001</v>
      </c>
      <c r="K3664" s="9" t="str">
        <f>TEXT(Sales_of_Jordan[[#This Row],[Sale_Date]],"mmm")</f>
        <v>Nov</v>
      </c>
    </row>
    <row r="3665" spans="1:11" x14ac:dyDescent="0.35">
      <c r="A3665" s="7" t="s">
        <v>3695</v>
      </c>
      <c r="B3665" s="8">
        <v>45424</v>
      </c>
      <c r="C3665" s="9" t="s">
        <v>27</v>
      </c>
      <c r="D3665" s="9" t="s">
        <v>53</v>
      </c>
      <c r="E3665" s="9" t="s">
        <v>13</v>
      </c>
      <c r="F3665" s="9">
        <v>115</v>
      </c>
      <c r="G3665" s="9">
        <v>85.07</v>
      </c>
      <c r="H3665" s="9" t="s">
        <v>14</v>
      </c>
      <c r="I3665" s="9">
        <v>5</v>
      </c>
      <c r="J3665" s="10">
        <v>-29.93</v>
      </c>
      <c r="K3665" s="9" t="str">
        <f>TEXT(Sales_of_Jordan[[#This Row],[Sale_Date]],"mmm")</f>
        <v>May</v>
      </c>
    </row>
    <row r="3666" spans="1:11" x14ac:dyDescent="0.35">
      <c r="A3666" s="7" t="s">
        <v>3696</v>
      </c>
      <c r="B3666" s="8">
        <v>45474</v>
      </c>
      <c r="C3666" s="9" t="s">
        <v>31</v>
      </c>
      <c r="D3666" s="9" t="s">
        <v>55</v>
      </c>
      <c r="E3666" s="9" t="s">
        <v>13</v>
      </c>
      <c r="F3666" s="9">
        <v>210</v>
      </c>
      <c r="G3666" s="9">
        <v>110.39</v>
      </c>
      <c r="H3666" s="9" t="s">
        <v>19</v>
      </c>
      <c r="I3666" s="9">
        <v>10</v>
      </c>
      <c r="J3666" s="10">
        <v>-99.61</v>
      </c>
      <c r="K3666" s="9" t="str">
        <f>TEXT(Sales_of_Jordan[[#This Row],[Sale_Date]],"mmm")</f>
        <v>Jul</v>
      </c>
    </row>
    <row r="3667" spans="1:11" x14ac:dyDescent="0.35">
      <c r="A3667" s="7" t="s">
        <v>3697</v>
      </c>
      <c r="B3667" s="8">
        <v>44928</v>
      </c>
      <c r="C3667" s="9" t="s">
        <v>11</v>
      </c>
      <c r="D3667" s="9" t="s">
        <v>12</v>
      </c>
      <c r="E3667" s="9" t="s">
        <v>18</v>
      </c>
      <c r="F3667" s="9">
        <v>227</v>
      </c>
      <c r="G3667" s="9">
        <v>294.75</v>
      </c>
      <c r="H3667" s="9" t="s">
        <v>19</v>
      </c>
      <c r="I3667" s="9">
        <v>3</v>
      </c>
      <c r="J3667" s="10">
        <v>67.75</v>
      </c>
      <c r="K3667" s="9" t="str">
        <f>TEXT(Sales_of_Jordan[[#This Row],[Sale_Date]],"mmm")</f>
        <v>Jan</v>
      </c>
    </row>
    <row r="3668" spans="1:11" x14ac:dyDescent="0.35">
      <c r="A3668" s="7" t="s">
        <v>3698</v>
      </c>
      <c r="B3668" s="8">
        <v>45411</v>
      </c>
      <c r="C3668" s="9" t="s">
        <v>27</v>
      </c>
      <c r="D3668" s="9" t="s">
        <v>46</v>
      </c>
      <c r="E3668" s="9" t="s">
        <v>13</v>
      </c>
      <c r="F3668" s="9">
        <v>131</v>
      </c>
      <c r="G3668" s="9">
        <v>65.64</v>
      </c>
      <c r="H3668" s="9" t="s">
        <v>23</v>
      </c>
      <c r="I3668" s="9">
        <v>52</v>
      </c>
      <c r="J3668" s="10">
        <v>-65.36</v>
      </c>
      <c r="K3668" s="9" t="str">
        <f>TEXT(Sales_of_Jordan[[#This Row],[Sale_Date]],"mmm")</f>
        <v>Apr</v>
      </c>
    </row>
    <row r="3669" spans="1:11" x14ac:dyDescent="0.35">
      <c r="A3669" s="7" t="s">
        <v>3699</v>
      </c>
      <c r="B3669" s="8">
        <v>45529</v>
      </c>
      <c r="C3669" s="9" t="s">
        <v>11</v>
      </c>
      <c r="D3669" s="9" t="s">
        <v>46</v>
      </c>
      <c r="E3669" s="9" t="s">
        <v>13</v>
      </c>
      <c r="F3669" s="9">
        <v>229</v>
      </c>
      <c r="G3669" s="9">
        <v>120.75</v>
      </c>
      <c r="H3669" s="9" t="s">
        <v>19</v>
      </c>
      <c r="I3669" s="9">
        <v>12</v>
      </c>
      <c r="J3669" s="10">
        <v>-108.25</v>
      </c>
      <c r="K3669" s="9" t="str">
        <f>TEXT(Sales_of_Jordan[[#This Row],[Sale_Date]],"mmm")</f>
        <v>Aug</v>
      </c>
    </row>
    <row r="3670" spans="1:11" x14ac:dyDescent="0.35">
      <c r="A3670" s="7" t="s">
        <v>3700</v>
      </c>
      <c r="B3670" s="8">
        <v>45637</v>
      </c>
      <c r="C3670" s="9" t="s">
        <v>16</v>
      </c>
      <c r="D3670" s="9" t="s">
        <v>53</v>
      </c>
      <c r="E3670" s="9" t="s">
        <v>18</v>
      </c>
      <c r="F3670" s="9">
        <v>180</v>
      </c>
      <c r="G3670" s="9">
        <v>381.28</v>
      </c>
      <c r="H3670" s="9" t="s">
        <v>14</v>
      </c>
      <c r="I3670" s="9">
        <v>11</v>
      </c>
      <c r="J3670" s="10">
        <v>201.27999999999901</v>
      </c>
      <c r="K3670" s="9" t="str">
        <f>TEXT(Sales_of_Jordan[[#This Row],[Sale_Date]],"mmm")</f>
        <v>Dec</v>
      </c>
    </row>
    <row r="3671" spans="1:11" x14ac:dyDescent="0.35">
      <c r="A3671" s="7" t="s">
        <v>3701</v>
      </c>
      <c r="B3671" s="8">
        <v>45799</v>
      </c>
      <c r="C3671" s="9" t="s">
        <v>16</v>
      </c>
      <c r="D3671" s="9" t="s">
        <v>39</v>
      </c>
      <c r="E3671" s="9" t="s">
        <v>18</v>
      </c>
      <c r="F3671" s="9">
        <v>175</v>
      </c>
      <c r="G3671" s="9">
        <v>226.45</v>
      </c>
      <c r="H3671" s="9" t="s">
        <v>32</v>
      </c>
      <c r="I3671" s="9">
        <v>35</v>
      </c>
      <c r="J3671" s="10">
        <v>51.449999999999903</v>
      </c>
      <c r="K3671" s="9" t="str">
        <f>TEXT(Sales_of_Jordan[[#This Row],[Sale_Date]],"mmm")</f>
        <v>May</v>
      </c>
    </row>
    <row r="3672" spans="1:11" x14ac:dyDescent="0.35">
      <c r="A3672" s="7" t="s">
        <v>3702</v>
      </c>
      <c r="B3672" s="8">
        <v>45689</v>
      </c>
      <c r="C3672" s="9" t="s">
        <v>16</v>
      </c>
      <c r="D3672" s="9" t="s">
        <v>39</v>
      </c>
      <c r="E3672" s="9" t="s">
        <v>18</v>
      </c>
      <c r="F3672" s="9">
        <v>177</v>
      </c>
      <c r="G3672" s="9">
        <v>514.24</v>
      </c>
      <c r="H3672" s="9" t="s">
        <v>19</v>
      </c>
      <c r="I3672" s="9">
        <v>11</v>
      </c>
      <c r="J3672" s="10">
        <v>337.24</v>
      </c>
      <c r="K3672" s="9" t="str">
        <f>TEXT(Sales_of_Jordan[[#This Row],[Sale_Date]],"mmm")</f>
        <v>Feb</v>
      </c>
    </row>
    <row r="3673" spans="1:11" x14ac:dyDescent="0.35">
      <c r="A3673" s="7" t="s">
        <v>3703</v>
      </c>
      <c r="B3673" s="8">
        <v>45439</v>
      </c>
      <c r="C3673" s="9" t="s">
        <v>21</v>
      </c>
      <c r="D3673" s="9" t="s">
        <v>36</v>
      </c>
      <c r="E3673" s="9" t="s">
        <v>18</v>
      </c>
      <c r="F3673" s="9">
        <v>219</v>
      </c>
      <c r="G3673" s="9">
        <v>395.25</v>
      </c>
      <c r="H3673" s="9" t="s">
        <v>23</v>
      </c>
      <c r="I3673" s="9">
        <v>12</v>
      </c>
      <c r="J3673" s="10">
        <v>176.25</v>
      </c>
      <c r="K3673" s="9" t="str">
        <f>TEXT(Sales_of_Jordan[[#This Row],[Sale_Date]],"mmm")</f>
        <v>May</v>
      </c>
    </row>
    <row r="3674" spans="1:11" x14ac:dyDescent="0.35">
      <c r="A3674" s="7" t="s">
        <v>3704</v>
      </c>
      <c r="B3674" s="8">
        <v>45903</v>
      </c>
      <c r="C3674" s="9" t="s">
        <v>21</v>
      </c>
      <c r="D3674" s="9" t="s">
        <v>39</v>
      </c>
      <c r="E3674" s="9" t="s">
        <v>29</v>
      </c>
      <c r="F3674" s="9">
        <v>213</v>
      </c>
      <c r="G3674" s="9">
        <v>286.45999999999998</v>
      </c>
      <c r="H3674" s="9" t="s">
        <v>19</v>
      </c>
      <c r="I3674" s="9">
        <v>4</v>
      </c>
      <c r="J3674" s="10">
        <v>73.459999999999894</v>
      </c>
      <c r="K3674" s="9" t="str">
        <f>TEXT(Sales_of_Jordan[[#This Row],[Sale_Date]],"mmm")</f>
        <v>Sep</v>
      </c>
    </row>
    <row r="3675" spans="1:11" x14ac:dyDescent="0.35">
      <c r="A3675" s="7" t="s">
        <v>3705</v>
      </c>
      <c r="B3675" s="8">
        <v>45080</v>
      </c>
      <c r="C3675" s="9" t="s">
        <v>16</v>
      </c>
      <c r="D3675" s="9" t="s">
        <v>22</v>
      </c>
      <c r="E3675" s="9" t="s">
        <v>18</v>
      </c>
      <c r="F3675" s="9">
        <v>188</v>
      </c>
      <c r="G3675" s="9">
        <v>374.84</v>
      </c>
      <c r="H3675" s="9" t="s">
        <v>25</v>
      </c>
      <c r="I3675" s="9">
        <v>10</v>
      </c>
      <c r="J3675" s="10">
        <v>186.83999999999901</v>
      </c>
      <c r="K3675" s="9" t="str">
        <f>TEXT(Sales_of_Jordan[[#This Row],[Sale_Date]],"mmm")</f>
        <v>Jun</v>
      </c>
    </row>
    <row r="3676" spans="1:11" x14ac:dyDescent="0.35">
      <c r="A3676" s="7" t="s">
        <v>3706</v>
      </c>
      <c r="B3676" s="8">
        <v>45435</v>
      </c>
      <c r="C3676" s="9" t="s">
        <v>31</v>
      </c>
      <c r="D3676" s="9" t="s">
        <v>22</v>
      </c>
      <c r="E3676" s="9" t="s">
        <v>13</v>
      </c>
      <c r="F3676" s="9">
        <v>209</v>
      </c>
      <c r="G3676" s="9">
        <v>122.82</v>
      </c>
      <c r="H3676" s="9" t="s">
        <v>19</v>
      </c>
      <c r="I3676" s="9">
        <v>9</v>
      </c>
      <c r="J3676" s="10">
        <v>-86.18</v>
      </c>
      <c r="K3676" s="9" t="str">
        <f>TEXT(Sales_of_Jordan[[#This Row],[Sale_Date]],"mmm")</f>
        <v>May</v>
      </c>
    </row>
    <row r="3677" spans="1:11" x14ac:dyDescent="0.35">
      <c r="A3677" s="7" t="s">
        <v>3707</v>
      </c>
      <c r="B3677" s="8">
        <v>45131</v>
      </c>
      <c r="C3677" s="9" t="s">
        <v>21</v>
      </c>
      <c r="D3677" s="9" t="s">
        <v>36</v>
      </c>
      <c r="E3677" s="9" t="s">
        <v>13</v>
      </c>
      <c r="F3677" s="9">
        <v>221</v>
      </c>
      <c r="G3677" s="9">
        <v>144.41</v>
      </c>
      <c r="H3677" s="9" t="s">
        <v>19</v>
      </c>
      <c r="I3677" s="9">
        <v>13</v>
      </c>
      <c r="J3677" s="10">
        <v>-76.59</v>
      </c>
      <c r="K3677" s="9" t="str">
        <f>TEXT(Sales_of_Jordan[[#This Row],[Sale_Date]],"mmm")</f>
        <v>Jul</v>
      </c>
    </row>
    <row r="3678" spans="1:11" x14ac:dyDescent="0.35">
      <c r="A3678" s="7" t="s">
        <v>3708</v>
      </c>
      <c r="B3678" s="8">
        <v>45718</v>
      </c>
      <c r="C3678" s="9" t="s">
        <v>31</v>
      </c>
      <c r="D3678" s="9" t="s">
        <v>55</v>
      </c>
      <c r="E3678" s="9" t="s">
        <v>29</v>
      </c>
      <c r="F3678" s="9">
        <v>205</v>
      </c>
      <c r="G3678" s="9">
        <v>199.54</v>
      </c>
      <c r="H3678" s="9" t="s">
        <v>23</v>
      </c>
      <c r="I3678" s="9">
        <v>18</v>
      </c>
      <c r="J3678" s="10">
        <v>-5.46</v>
      </c>
      <c r="K3678" s="9" t="str">
        <f>TEXT(Sales_of_Jordan[[#This Row],[Sale_Date]],"mmm")</f>
        <v>Mar</v>
      </c>
    </row>
    <row r="3679" spans="1:11" x14ac:dyDescent="0.35">
      <c r="A3679" s="7" t="s">
        <v>3709</v>
      </c>
      <c r="B3679" s="8">
        <v>45573</v>
      </c>
      <c r="C3679" s="9" t="s">
        <v>11</v>
      </c>
      <c r="D3679" s="9" t="s">
        <v>39</v>
      </c>
      <c r="E3679" s="9" t="s">
        <v>29</v>
      </c>
      <c r="F3679" s="9">
        <v>227</v>
      </c>
      <c r="G3679" s="9">
        <v>220.5</v>
      </c>
      <c r="H3679" s="9" t="s">
        <v>19</v>
      </c>
      <c r="I3679" s="9">
        <v>7</v>
      </c>
      <c r="J3679" s="10">
        <v>-6.5</v>
      </c>
      <c r="K3679" s="9" t="str">
        <f>TEXT(Sales_of_Jordan[[#This Row],[Sale_Date]],"mmm")</f>
        <v>Oct</v>
      </c>
    </row>
    <row r="3680" spans="1:11" x14ac:dyDescent="0.35">
      <c r="A3680" s="7" t="s">
        <v>3710</v>
      </c>
      <c r="B3680" s="8">
        <v>45396</v>
      </c>
      <c r="C3680" s="9" t="s">
        <v>16</v>
      </c>
      <c r="D3680" s="9" t="s">
        <v>55</v>
      </c>
      <c r="E3680" s="9" t="s">
        <v>29</v>
      </c>
      <c r="F3680" s="9">
        <v>186</v>
      </c>
      <c r="G3680" s="9">
        <v>204.87</v>
      </c>
      <c r="H3680" s="9" t="s">
        <v>19</v>
      </c>
      <c r="I3680" s="9">
        <v>9</v>
      </c>
      <c r="J3680" s="10">
        <v>18.87</v>
      </c>
      <c r="K3680" s="9" t="str">
        <f>TEXT(Sales_of_Jordan[[#This Row],[Sale_Date]],"mmm")</f>
        <v>Apr</v>
      </c>
    </row>
    <row r="3681" spans="1:11" x14ac:dyDescent="0.35">
      <c r="A3681" s="7" t="s">
        <v>3711</v>
      </c>
      <c r="B3681" s="8">
        <v>45688</v>
      </c>
      <c r="C3681" s="9" t="s">
        <v>11</v>
      </c>
      <c r="D3681" s="9" t="s">
        <v>46</v>
      </c>
      <c r="E3681" s="9" t="s">
        <v>18</v>
      </c>
      <c r="F3681" s="9">
        <v>226</v>
      </c>
      <c r="G3681" s="9">
        <v>580.55999999999995</v>
      </c>
      <c r="H3681" s="9" t="s">
        <v>19</v>
      </c>
      <c r="I3681" s="9">
        <v>2</v>
      </c>
      <c r="J3681" s="10">
        <v>354.55999999999898</v>
      </c>
      <c r="K3681" s="9" t="str">
        <f>TEXT(Sales_of_Jordan[[#This Row],[Sale_Date]],"mmm")</f>
        <v>Jan</v>
      </c>
    </row>
    <row r="3682" spans="1:11" x14ac:dyDescent="0.35">
      <c r="A3682" s="7" t="s">
        <v>3712</v>
      </c>
      <c r="B3682" s="8">
        <v>45098</v>
      </c>
      <c r="C3682" s="9" t="s">
        <v>21</v>
      </c>
      <c r="D3682" s="9" t="s">
        <v>46</v>
      </c>
      <c r="E3682" s="9" t="s">
        <v>13</v>
      </c>
      <c r="F3682" s="9">
        <v>212</v>
      </c>
      <c r="G3682" s="9">
        <v>129.94999999999999</v>
      </c>
      <c r="H3682" s="9" t="s">
        <v>14</v>
      </c>
      <c r="I3682" s="9">
        <v>2</v>
      </c>
      <c r="J3682" s="10">
        <v>-82.05</v>
      </c>
      <c r="K3682" s="9" t="str">
        <f>TEXT(Sales_of_Jordan[[#This Row],[Sale_Date]],"mmm")</f>
        <v>Jun</v>
      </c>
    </row>
    <row r="3683" spans="1:11" x14ac:dyDescent="0.35">
      <c r="A3683" s="7" t="s">
        <v>3713</v>
      </c>
      <c r="B3683" s="8">
        <v>45331</v>
      </c>
      <c r="C3683" s="9" t="s">
        <v>11</v>
      </c>
      <c r="D3683" s="9" t="s">
        <v>36</v>
      </c>
      <c r="E3683" s="9" t="s">
        <v>29</v>
      </c>
      <c r="F3683" s="9">
        <v>227</v>
      </c>
      <c r="G3683" s="9">
        <v>208.22</v>
      </c>
      <c r="H3683" s="9" t="s">
        <v>19</v>
      </c>
      <c r="I3683" s="9">
        <v>12</v>
      </c>
      <c r="J3683" s="10">
        <v>-18.78</v>
      </c>
      <c r="K3683" s="9" t="str">
        <f>TEXT(Sales_of_Jordan[[#This Row],[Sale_Date]],"mmm")</f>
        <v>Feb</v>
      </c>
    </row>
    <row r="3684" spans="1:11" x14ac:dyDescent="0.35">
      <c r="A3684" s="7" t="s">
        <v>3714</v>
      </c>
      <c r="B3684" s="8">
        <v>44928</v>
      </c>
      <c r="C3684" s="9" t="s">
        <v>11</v>
      </c>
      <c r="D3684" s="9" t="s">
        <v>39</v>
      </c>
      <c r="E3684" s="9" t="s">
        <v>13</v>
      </c>
      <c r="F3684" s="9">
        <v>229</v>
      </c>
      <c r="G3684" s="9">
        <v>126.86</v>
      </c>
      <c r="H3684" s="9" t="s">
        <v>14</v>
      </c>
      <c r="I3684" s="9">
        <v>13</v>
      </c>
      <c r="J3684" s="10">
        <v>-102.14</v>
      </c>
      <c r="K3684" s="9" t="str">
        <f>TEXT(Sales_of_Jordan[[#This Row],[Sale_Date]],"mmm")</f>
        <v>Jan</v>
      </c>
    </row>
    <row r="3685" spans="1:11" x14ac:dyDescent="0.35">
      <c r="A3685" s="7" t="s">
        <v>3715</v>
      </c>
      <c r="B3685" s="8">
        <v>45369</v>
      </c>
      <c r="C3685" s="9" t="s">
        <v>21</v>
      </c>
      <c r="D3685" s="9" t="s">
        <v>55</v>
      </c>
      <c r="E3685" s="9" t="s">
        <v>29</v>
      </c>
      <c r="F3685" s="9">
        <v>220</v>
      </c>
      <c r="G3685" s="9">
        <v>307.67</v>
      </c>
      <c r="H3685" s="9" t="s">
        <v>32</v>
      </c>
      <c r="I3685" s="9">
        <v>58</v>
      </c>
      <c r="J3685" s="10">
        <v>87.67</v>
      </c>
      <c r="K3685" s="9" t="str">
        <f>TEXT(Sales_of_Jordan[[#This Row],[Sale_Date]],"mmm")</f>
        <v>Mar</v>
      </c>
    </row>
    <row r="3686" spans="1:11" x14ac:dyDescent="0.35">
      <c r="A3686" s="7" t="s">
        <v>3716</v>
      </c>
      <c r="B3686" s="8">
        <v>45099</v>
      </c>
      <c r="C3686" s="9" t="s">
        <v>11</v>
      </c>
      <c r="D3686" s="9" t="s">
        <v>34</v>
      </c>
      <c r="E3686" s="9" t="s">
        <v>29</v>
      </c>
      <c r="F3686" s="9">
        <v>230</v>
      </c>
      <c r="G3686" s="9">
        <v>221.95</v>
      </c>
      <c r="H3686" s="9" t="s">
        <v>32</v>
      </c>
      <c r="I3686" s="9">
        <v>37</v>
      </c>
      <c r="J3686" s="10">
        <v>-8.0500000000000096</v>
      </c>
      <c r="K3686" s="9" t="str">
        <f>TEXT(Sales_of_Jordan[[#This Row],[Sale_Date]],"mmm")</f>
        <v>Jun</v>
      </c>
    </row>
    <row r="3687" spans="1:11" x14ac:dyDescent="0.35">
      <c r="A3687" s="7" t="s">
        <v>3717</v>
      </c>
      <c r="B3687" s="8">
        <v>45117</v>
      </c>
      <c r="C3687" s="9" t="s">
        <v>21</v>
      </c>
      <c r="D3687" s="9" t="s">
        <v>39</v>
      </c>
      <c r="E3687" s="9" t="s">
        <v>13</v>
      </c>
      <c r="F3687" s="9">
        <v>216</v>
      </c>
      <c r="G3687" s="9">
        <v>175.98</v>
      </c>
      <c r="H3687" s="9" t="s">
        <v>19</v>
      </c>
      <c r="I3687" s="9">
        <v>8</v>
      </c>
      <c r="J3687" s="10">
        <v>-40.020000000000003</v>
      </c>
      <c r="K3687" s="9" t="str">
        <f>TEXT(Sales_of_Jordan[[#This Row],[Sale_Date]],"mmm")</f>
        <v>Jul</v>
      </c>
    </row>
    <row r="3688" spans="1:11" x14ac:dyDescent="0.35">
      <c r="A3688" s="7" t="s">
        <v>3718</v>
      </c>
      <c r="B3688" s="8">
        <v>45734</v>
      </c>
      <c r="C3688" s="9" t="s">
        <v>11</v>
      </c>
      <c r="D3688" s="9" t="s">
        <v>34</v>
      </c>
      <c r="E3688" s="9" t="s">
        <v>13</v>
      </c>
      <c r="F3688" s="9">
        <v>228</v>
      </c>
      <c r="G3688" s="9">
        <v>156.27000000000001</v>
      </c>
      <c r="H3688" s="9" t="s">
        <v>23</v>
      </c>
      <c r="I3688" s="9">
        <v>9</v>
      </c>
      <c r="J3688" s="10">
        <v>-71.729999999999905</v>
      </c>
      <c r="K3688" s="9" t="str">
        <f>TEXT(Sales_of_Jordan[[#This Row],[Sale_Date]],"mmm")</f>
        <v>Mar</v>
      </c>
    </row>
    <row r="3689" spans="1:11" x14ac:dyDescent="0.35">
      <c r="A3689" s="7" t="s">
        <v>3719</v>
      </c>
      <c r="B3689" s="8">
        <v>45742</v>
      </c>
      <c r="C3689" s="9" t="s">
        <v>27</v>
      </c>
      <c r="D3689" s="9" t="s">
        <v>39</v>
      </c>
      <c r="E3689" s="9" t="s">
        <v>13</v>
      </c>
      <c r="F3689" s="9">
        <v>140</v>
      </c>
      <c r="G3689" s="9">
        <v>79.25</v>
      </c>
      <c r="H3689" s="9" t="s">
        <v>14</v>
      </c>
      <c r="I3689" s="9">
        <v>13</v>
      </c>
      <c r="J3689" s="10">
        <v>-60.75</v>
      </c>
      <c r="K3689" s="9" t="str">
        <f>TEXT(Sales_of_Jordan[[#This Row],[Sale_Date]],"mmm")</f>
        <v>Mar</v>
      </c>
    </row>
    <row r="3690" spans="1:11" x14ac:dyDescent="0.35">
      <c r="A3690" s="7" t="s">
        <v>3720</v>
      </c>
      <c r="B3690" s="8">
        <v>45141</v>
      </c>
      <c r="C3690" s="9" t="s">
        <v>31</v>
      </c>
      <c r="D3690" s="9" t="s">
        <v>34</v>
      </c>
      <c r="E3690" s="9" t="s">
        <v>18</v>
      </c>
      <c r="F3690" s="9">
        <v>200</v>
      </c>
      <c r="G3690" s="9">
        <v>604.38</v>
      </c>
      <c r="H3690" s="9" t="s">
        <v>14</v>
      </c>
      <c r="I3690" s="9">
        <v>1</v>
      </c>
      <c r="J3690" s="10">
        <v>404.38</v>
      </c>
      <c r="K3690" s="9" t="str">
        <f>TEXT(Sales_of_Jordan[[#This Row],[Sale_Date]],"mmm")</f>
        <v>Aug</v>
      </c>
    </row>
    <row r="3691" spans="1:11" x14ac:dyDescent="0.35">
      <c r="A3691" s="7" t="s">
        <v>3721</v>
      </c>
      <c r="B3691" s="8">
        <v>45759</v>
      </c>
      <c r="C3691" s="9" t="s">
        <v>21</v>
      </c>
      <c r="D3691" s="9" t="s">
        <v>22</v>
      </c>
      <c r="E3691" s="9" t="s">
        <v>13</v>
      </c>
      <c r="F3691" s="9">
        <v>214</v>
      </c>
      <c r="G3691" s="9">
        <v>147.34</v>
      </c>
      <c r="H3691" s="9" t="s">
        <v>25</v>
      </c>
      <c r="I3691" s="9">
        <v>8</v>
      </c>
      <c r="J3691" s="10">
        <v>-66.66</v>
      </c>
      <c r="K3691" s="9" t="str">
        <f>TEXT(Sales_of_Jordan[[#This Row],[Sale_Date]],"mmm")</f>
        <v>Apr</v>
      </c>
    </row>
    <row r="3692" spans="1:11" x14ac:dyDescent="0.35">
      <c r="A3692" s="7" t="s">
        <v>3722</v>
      </c>
      <c r="B3692" s="8">
        <v>45464</v>
      </c>
      <c r="C3692" s="9" t="s">
        <v>11</v>
      </c>
      <c r="D3692" s="9" t="s">
        <v>53</v>
      </c>
      <c r="E3692" s="9" t="s">
        <v>18</v>
      </c>
      <c r="F3692" s="9">
        <v>228</v>
      </c>
      <c r="G3692" s="9">
        <v>601.01</v>
      </c>
      <c r="H3692" s="9" t="s">
        <v>14</v>
      </c>
      <c r="I3692" s="9">
        <v>12</v>
      </c>
      <c r="J3692" s="10">
        <v>373.01</v>
      </c>
      <c r="K3692" s="9" t="str">
        <f>TEXT(Sales_of_Jordan[[#This Row],[Sale_Date]],"mmm")</f>
        <v>Jun</v>
      </c>
    </row>
    <row r="3693" spans="1:11" x14ac:dyDescent="0.35">
      <c r="A3693" s="7" t="s">
        <v>3723</v>
      </c>
      <c r="B3693" s="8">
        <v>45641</v>
      </c>
      <c r="C3693" s="9" t="s">
        <v>21</v>
      </c>
      <c r="D3693" s="9" t="s">
        <v>34</v>
      </c>
      <c r="E3693" s="9" t="s">
        <v>29</v>
      </c>
      <c r="F3693" s="9">
        <v>222</v>
      </c>
      <c r="G3693" s="9">
        <v>277.89999999999998</v>
      </c>
      <c r="H3693" s="9" t="s">
        <v>23</v>
      </c>
      <c r="I3693" s="9">
        <v>11</v>
      </c>
      <c r="J3693" s="10">
        <v>55.899999999999899</v>
      </c>
      <c r="K3693" s="9" t="str">
        <f>TEXT(Sales_of_Jordan[[#This Row],[Sale_Date]],"mmm")</f>
        <v>Dec</v>
      </c>
    </row>
    <row r="3694" spans="1:11" x14ac:dyDescent="0.35">
      <c r="A3694" s="7" t="s">
        <v>3724</v>
      </c>
      <c r="B3694" s="8">
        <v>45351</v>
      </c>
      <c r="C3694" s="9" t="s">
        <v>16</v>
      </c>
      <c r="D3694" s="9" t="s">
        <v>39</v>
      </c>
      <c r="E3694" s="9" t="s">
        <v>29</v>
      </c>
      <c r="F3694" s="9">
        <v>188</v>
      </c>
      <c r="G3694" s="9">
        <v>277.45</v>
      </c>
      <c r="H3694" s="9" t="s">
        <v>25</v>
      </c>
      <c r="I3694" s="9">
        <v>17</v>
      </c>
      <c r="J3694" s="10">
        <v>89.449999999999903</v>
      </c>
      <c r="K3694" s="9" t="str">
        <f>TEXT(Sales_of_Jordan[[#This Row],[Sale_Date]],"mmm")</f>
        <v>Feb</v>
      </c>
    </row>
    <row r="3695" spans="1:11" x14ac:dyDescent="0.35">
      <c r="A3695" s="7" t="s">
        <v>3725</v>
      </c>
      <c r="B3695" s="8">
        <v>45860</v>
      </c>
      <c r="C3695" s="9" t="s">
        <v>21</v>
      </c>
      <c r="D3695" s="9" t="s">
        <v>53</v>
      </c>
      <c r="E3695" s="9" t="s">
        <v>18</v>
      </c>
      <c r="F3695" s="9">
        <v>220</v>
      </c>
      <c r="G3695" s="9">
        <v>471.28</v>
      </c>
      <c r="H3695" s="9" t="s">
        <v>23</v>
      </c>
      <c r="I3695" s="9">
        <v>19</v>
      </c>
      <c r="J3695" s="10">
        <v>251.27999999999901</v>
      </c>
      <c r="K3695" s="9" t="str">
        <f>TEXT(Sales_of_Jordan[[#This Row],[Sale_Date]],"mmm")</f>
        <v>Jul</v>
      </c>
    </row>
    <row r="3696" spans="1:11" x14ac:dyDescent="0.35">
      <c r="A3696" s="7" t="s">
        <v>3726</v>
      </c>
      <c r="B3696" s="8">
        <v>45422</v>
      </c>
      <c r="C3696" s="9" t="s">
        <v>21</v>
      </c>
      <c r="D3696" s="9" t="s">
        <v>46</v>
      </c>
      <c r="E3696" s="9" t="s">
        <v>18</v>
      </c>
      <c r="F3696" s="9">
        <v>210</v>
      </c>
      <c r="G3696" s="9">
        <v>485.91</v>
      </c>
      <c r="H3696" s="9" t="s">
        <v>32</v>
      </c>
      <c r="I3696" s="9">
        <v>42</v>
      </c>
      <c r="J3696" s="10">
        <v>275.91000000000003</v>
      </c>
      <c r="K3696" s="9" t="str">
        <f>TEXT(Sales_of_Jordan[[#This Row],[Sale_Date]],"mmm")</f>
        <v>May</v>
      </c>
    </row>
    <row r="3697" spans="1:11" x14ac:dyDescent="0.35">
      <c r="A3697" s="7" t="s">
        <v>3727</v>
      </c>
      <c r="B3697" s="8">
        <v>45573</v>
      </c>
      <c r="C3697" s="9" t="s">
        <v>21</v>
      </c>
      <c r="D3697" s="9" t="s">
        <v>46</v>
      </c>
      <c r="E3697" s="9" t="s">
        <v>18</v>
      </c>
      <c r="F3697" s="9">
        <v>224</v>
      </c>
      <c r="G3697" s="9">
        <v>587.38</v>
      </c>
      <c r="H3697" s="9" t="s">
        <v>25</v>
      </c>
      <c r="I3697" s="9">
        <v>20</v>
      </c>
      <c r="J3697" s="10">
        <v>363.38</v>
      </c>
      <c r="K3697" s="9" t="str">
        <f>TEXT(Sales_of_Jordan[[#This Row],[Sale_Date]],"mmm")</f>
        <v>Oct</v>
      </c>
    </row>
    <row r="3698" spans="1:11" x14ac:dyDescent="0.35">
      <c r="A3698" s="7" t="s">
        <v>3728</v>
      </c>
      <c r="B3698" s="8">
        <v>45701</v>
      </c>
      <c r="C3698" s="9" t="s">
        <v>31</v>
      </c>
      <c r="D3698" s="9" t="s">
        <v>39</v>
      </c>
      <c r="E3698" s="9" t="s">
        <v>18</v>
      </c>
      <c r="F3698" s="9">
        <v>207</v>
      </c>
      <c r="G3698" s="9">
        <v>542.45000000000005</v>
      </c>
      <c r="H3698" s="9" t="s">
        <v>32</v>
      </c>
      <c r="I3698" s="9">
        <v>11</v>
      </c>
      <c r="J3698" s="10">
        <v>335.45</v>
      </c>
      <c r="K3698" s="9" t="str">
        <f>TEXT(Sales_of_Jordan[[#This Row],[Sale_Date]],"mmm")</f>
        <v>Feb</v>
      </c>
    </row>
    <row r="3699" spans="1:11" x14ac:dyDescent="0.35">
      <c r="A3699" s="7" t="s">
        <v>3729</v>
      </c>
      <c r="B3699" s="8">
        <v>45880</v>
      </c>
      <c r="C3699" s="9" t="s">
        <v>11</v>
      </c>
      <c r="D3699" s="9" t="s">
        <v>53</v>
      </c>
      <c r="E3699" s="9" t="s">
        <v>18</v>
      </c>
      <c r="F3699" s="9">
        <v>229</v>
      </c>
      <c r="G3699" s="9">
        <v>436.58</v>
      </c>
      <c r="H3699" s="9" t="s">
        <v>19</v>
      </c>
      <c r="I3699" s="9">
        <v>7</v>
      </c>
      <c r="J3699" s="10">
        <v>207.57999999999899</v>
      </c>
      <c r="K3699" s="9" t="str">
        <f>TEXT(Sales_of_Jordan[[#This Row],[Sale_Date]],"mmm")</f>
        <v>Aug</v>
      </c>
    </row>
    <row r="3700" spans="1:11" x14ac:dyDescent="0.35">
      <c r="A3700" s="7" t="s">
        <v>3730</v>
      </c>
      <c r="B3700" s="8">
        <v>45826</v>
      </c>
      <c r="C3700" s="9" t="s">
        <v>27</v>
      </c>
      <c r="D3700" s="9" t="s">
        <v>22</v>
      </c>
      <c r="E3700" s="9" t="s">
        <v>18</v>
      </c>
      <c r="F3700" s="9">
        <v>121</v>
      </c>
      <c r="G3700" s="9">
        <v>249.13</v>
      </c>
      <c r="H3700" s="9" t="s">
        <v>23</v>
      </c>
      <c r="I3700" s="9">
        <v>33</v>
      </c>
      <c r="J3700" s="10">
        <v>128.13</v>
      </c>
      <c r="K3700" s="9" t="str">
        <f>TEXT(Sales_of_Jordan[[#This Row],[Sale_Date]],"mmm")</f>
        <v>Jun</v>
      </c>
    </row>
    <row r="3701" spans="1:11" x14ac:dyDescent="0.35">
      <c r="A3701" s="7" t="s">
        <v>3731</v>
      </c>
      <c r="B3701" s="8">
        <v>45110</v>
      </c>
      <c r="C3701" s="9" t="s">
        <v>11</v>
      </c>
      <c r="D3701" s="9" t="s">
        <v>46</v>
      </c>
      <c r="E3701" s="9" t="s">
        <v>29</v>
      </c>
      <c r="F3701" s="9">
        <v>229</v>
      </c>
      <c r="G3701" s="9">
        <v>312.77999999999997</v>
      </c>
      <c r="H3701" s="9" t="s">
        <v>25</v>
      </c>
      <c r="I3701" s="9">
        <v>22</v>
      </c>
      <c r="J3701" s="10">
        <v>83.779999999999902</v>
      </c>
      <c r="K3701" s="9" t="str">
        <f>TEXT(Sales_of_Jordan[[#This Row],[Sale_Date]],"mmm")</f>
        <v>Jul</v>
      </c>
    </row>
    <row r="3702" spans="1:11" x14ac:dyDescent="0.35">
      <c r="A3702" s="7" t="s">
        <v>3732</v>
      </c>
      <c r="B3702" s="8">
        <v>45272</v>
      </c>
      <c r="C3702" s="9" t="s">
        <v>21</v>
      </c>
      <c r="D3702" s="9" t="s">
        <v>55</v>
      </c>
      <c r="E3702" s="9" t="s">
        <v>13</v>
      </c>
      <c r="F3702" s="9">
        <v>225</v>
      </c>
      <c r="G3702" s="9">
        <v>173.42</v>
      </c>
      <c r="H3702" s="9" t="s">
        <v>14</v>
      </c>
      <c r="I3702" s="9">
        <v>6</v>
      </c>
      <c r="J3702" s="10">
        <v>-51.58</v>
      </c>
      <c r="K3702" s="9" t="str">
        <f>TEXT(Sales_of_Jordan[[#This Row],[Sale_Date]],"mmm")</f>
        <v>Dec</v>
      </c>
    </row>
    <row r="3703" spans="1:11" x14ac:dyDescent="0.35">
      <c r="A3703" s="7" t="s">
        <v>3733</v>
      </c>
      <c r="B3703" s="8">
        <v>45218</v>
      </c>
      <c r="C3703" s="9" t="s">
        <v>16</v>
      </c>
      <c r="D3703" s="9" t="s">
        <v>53</v>
      </c>
      <c r="E3703" s="9" t="s">
        <v>13</v>
      </c>
      <c r="F3703" s="9">
        <v>190</v>
      </c>
      <c r="G3703" s="9">
        <v>159.27000000000001</v>
      </c>
      <c r="H3703" s="9" t="s">
        <v>23</v>
      </c>
      <c r="I3703" s="9">
        <v>6</v>
      </c>
      <c r="J3703" s="10">
        <v>-30.729999999999901</v>
      </c>
      <c r="K3703" s="9" t="str">
        <f>TEXT(Sales_of_Jordan[[#This Row],[Sale_Date]],"mmm")</f>
        <v>Oct</v>
      </c>
    </row>
    <row r="3704" spans="1:11" x14ac:dyDescent="0.35">
      <c r="A3704" s="7" t="s">
        <v>3734</v>
      </c>
      <c r="B3704" s="8">
        <v>45435</v>
      </c>
      <c r="C3704" s="9" t="s">
        <v>21</v>
      </c>
      <c r="D3704" s="9" t="s">
        <v>39</v>
      </c>
      <c r="E3704" s="9" t="s">
        <v>18</v>
      </c>
      <c r="F3704" s="9">
        <v>217</v>
      </c>
      <c r="G3704" s="9">
        <v>680.75</v>
      </c>
      <c r="H3704" s="9" t="s">
        <v>23</v>
      </c>
      <c r="I3704" s="9">
        <v>34</v>
      </c>
      <c r="J3704" s="10">
        <v>463.75</v>
      </c>
      <c r="K3704" s="9" t="str">
        <f>TEXT(Sales_of_Jordan[[#This Row],[Sale_Date]],"mmm")</f>
        <v>May</v>
      </c>
    </row>
    <row r="3705" spans="1:11" x14ac:dyDescent="0.35">
      <c r="A3705" s="7" t="s">
        <v>3735</v>
      </c>
      <c r="B3705" s="8">
        <v>44997</v>
      </c>
      <c r="C3705" s="9" t="s">
        <v>31</v>
      </c>
      <c r="D3705" s="9" t="s">
        <v>12</v>
      </c>
      <c r="E3705" s="9" t="s">
        <v>13</v>
      </c>
      <c r="F3705" s="9">
        <v>210</v>
      </c>
      <c r="G3705" s="9">
        <v>118.06</v>
      </c>
      <c r="H3705" s="9" t="s">
        <v>32</v>
      </c>
      <c r="I3705" s="9">
        <v>37</v>
      </c>
      <c r="J3705" s="10">
        <v>-91.94</v>
      </c>
      <c r="K3705" s="9" t="str">
        <f>TEXT(Sales_of_Jordan[[#This Row],[Sale_Date]],"mmm")</f>
        <v>Mar</v>
      </c>
    </row>
    <row r="3706" spans="1:11" x14ac:dyDescent="0.35">
      <c r="A3706" s="7" t="s">
        <v>3736</v>
      </c>
      <c r="B3706" s="8">
        <v>45629</v>
      </c>
      <c r="C3706" s="9" t="s">
        <v>21</v>
      </c>
      <c r="D3706" s="9" t="s">
        <v>39</v>
      </c>
      <c r="E3706" s="9" t="s">
        <v>13</v>
      </c>
      <c r="F3706" s="9">
        <v>211</v>
      </c>
      <c r="G3706" s="9">
        <v>176.94</v>
      </c>
      <c r="H3706" s="9" t="s">
        <v>19</v>
      </c>
      <c r="I3706" s="9">
        <v>12</v>
      </c>
      <c r="J3706" s="10">
        <v>-34.06</v>
      </c>
      <c r="K3706" s="9" t="str">
        <f>TEXT(Sales_of_Jordan[[#This Row],[Sale_Date]],"mmm")</f>
        <v>Dec</v>
      </c>
    </row>
    <row r="3707" spans="1:11" x14ac:dyDescent="0.35">
      <c r="A3707" s="7" t="s">
        <v>3737</v>
      </c>
      <c r="B3707" s="8">
        <v>45754</v>
      </c>
      <c r="C3707" s="9" t="s">
        <v>16</v>
      </c>
      <c r="D3707" s="9" t="s">
        <v>36</v>
      </c>
      <c r="E3707" s="9" t="s">
        <v>29</v>
      </c>
      <c r="F3707" s="9">
        <v>186</v>
      </c>
      <c r="G3707" s="9">
        <v>223.71</v>
      </c>
      <c r="H3707" s="9" t="s">
        <v>32</v>
      </c>
      <c r="I3707" s="9">
        <v>41</v>
      </c>
      <c r="J3707" s="10">
        <v>37.71</v>
      </c>
      <c r="K3707" s="9" t="str">
        <f>TEXT(Sales_of_Jordan[[#This Row],[Sale_Date]],"mmm")</f>
        <v>Apr</v>
      </c>
    </row>
    <row r="3708" spans="1:11" x14ac:dyDescent="0.35">
      <c r="A3708" s="7" t="s">
        <v>3738</v>
      </c>
      <c r="B3708" s="8">
        <v>45358</v>
      </c>
      <c r="C3708" s="9" t="s">
        <v>16</v>
      </c>
      <c r="D3708" s="9" t="s">
        <v>39</v>
      </c>
      <c r="E3708" s="9" t="s">
        <v>18</v>
      </c>
      <c r="F3708" s="9">
        <v>187</v>
      </c>
      <c r="G3708" s="9">
        <v>612.77</v>
      </c>
      <c r="H3708" s="9" t="s">
        <v>32</v>
      </c>
      <c r="I3708" s="9">
        <v>26</v>
      </c>
      <c r="J3708" s="10">
        <v>425.77</v>
      </c>
      <c r="K3708" s="9" t="str">
        <f>TEXT(Sales_of_Jordan[[#This Row],[Sale_Date]],"mmm")</f>
        <v>Mar</v>
      </c>
    </row>
    <row r="3709" spans="1:11" x14ac:dyDescent="0.35">
      <c r="A3709" s="7" t="s">
        <v>3739</v>
      </c>
      <c r="B3709" s="8">
        <v>45824</v>
      </c>
      <c r="C3709" s="9" t="s">
        <v>16</v>
      </c>
      <c r="D3709" s="9" t="s">
        <v>22</v>
      </c>
      <c r="E3709" s="9" t="s">
        <v>13</v>
      </c>
      <c r="F3709" s="9">
        <v>177</v>
      </c>
      <c r="G3709" s="9">
        <v>115.57</v>
      </c>
      <c r="H3709" s="9" t="s">
        <v>14</v>
      </c>
      <c r="I3709" s="9">
        <v>3</v>
      </c>
      <c r="J3709" s="10">
        <v>-61.43</v>
      </c>
      <c r="K3709" s="9" t="str">
        <f>TEXT(Sales_of_Jordan[[#This Row],[Sale_Date]],"mmm")</f>
        <v>Jun</v>
      </c>
    </row>
    <row r="3710" spans="1:11" x14ac:dyDescent="0.35">
      <c r="A3710" s="7" t="s">
        <v>3740</v>
      </c>
      <c r="B3710" s="8">
        <v>45470</v>
      </c>
      <c r="C3710" s="9" t="s">
        <v>21</v>
      </c>
      <c r="D3710" s="9" t="s">
        <v>34</v>
      </c>
      <c r="E3710" s="9" t="s">
        <v>29</v>
      </c>
      <c r="F3710" s="9">
        <v>220</v>
      </c>
      <c r="G3710" s="9">
        <v>237.77</v>
      </c>
      <c r="H3710" s="9" t="s">
        <v>23</v>
      </c>
      <c r="I3710" s="9">
        <v>41</v>
      </c>
      <c r="J3710" s="10">
        <v>17.77</v>
      </c>
      <c r="K3710" s="9" t="str">
        <f>TEXT(Sales_of_Jordan[[#This Row],[Sale_Date]],"mmm")</f>
        <v>Jun</v>
      </c>
    </row>
    <row r="3711" spans="1:11" x14ac:dyDescent="0.35">
      <c r="A3711" s="7" t="s">
        <v>3741</v>
      </c>
      <c r="B3711" s="8">
        <v>45409</v>
      </c>
      <c r="C3711" s="9" t="s">
        <v>31</v>
      </c>
      <c r="D3711" s="9" t="s">
        <v>39</v>
      </c>
      <c r="E3711" s="9" t="s">
        <v>18</v>
      </c>
      <c r="F3711" s="9">
        <v>203</v>
      </c>
      <c r="G3711" s="9">
        <v>495.86</v>
      </c>
      <c r="H3711" s="9" t="s">
        <v>19</v>
      </c>
      <c r="I3711" s="9">
        <v>12</v>
      </c>
      <c r="J3711" s="10">
        <v>292.86</v>
      </c>
      <c r="K3711" s="9" t="str">
        <f>TEXT(Sales_of_Jordan[[#This Row],[Sale_Date]],"mmm")</f>
        <v>Apr</v>
      </c>
    </row>
    <row r="3712" spans="1:11" x14ac:dyDescent="0.35">
      <c r="A3712" s="7" t="s">
        <v>3742</v>
      </c>
      <c r="B3712" s="8">
        <v>45428</v>
      </c>
      <c r="C3712" s="9" t="s">
        <v>21</v>
      </c>
      <c r="D3712" s="9" t="s">
        <v>55</v>
      </c>
      <c r="E3712" s="9" t="s">
        <v>29</v>
      </c>
      <c r="F3712" s="9">
        <v>219</v>
      </c>
      <c r="G3712" s="9">
        <v>239.22</v>
      </c>
      <c r="H3712" s="9" t="s">
        <v>25</v>
      </c>
      <c r="I3712" s="9">
        <v>42</v>
      </c>
      <c r="J3712" s="10">
        <v>20.22</v>
      </c>
      <c r="K3712" s="9" t="str">
        <f>TEXT(Sales_of_Jordan[[#This Row],[Sale_Date]],"mmm")</f>
        <v>May</v>
      </c>
    </row>
    <row r="3713" spans="1:11" x14ac:dyDescent="0.35">
      <c r="A3713" s="7" t="s">
        <v>3743</v>
      </c>
      <c r="B3713" s="8">
        <v>45320</v>
      </c>
      <c r="C3713" s="9" t="s">
        <v>16</v>
      </c>
      <c r="D3713" s="9" t="s">
        <v>17</v>
      </c>
      <c r="E3713" s="9" t="s">
        <v>29</v>
      </c>
      <c r="F3713" s="9">
        <v>180</v>
      </c>
      <c r="G3713" s="9">
        <v>206.74</v>
      </c>
      <c r="H3713" s="9" t="s">
        <v>23</v>
      </c>
      <c r="I3713" s="9">
        <v>57</v>
      </c>
      <c r="J3713" s="10">
        <v>26.74</v>
      </c>
      <c r="K3713" s="9" t="str">
        <f>TEXT(Sales_of_Jordan[[#This Row],[Sale_Date]],"mmm")</f>
        <v>Jan</v>
      </c>
    </row>
    <row r="3714" spans="1:11" x14ac:dyDescent="0.35">
      <c r="A3714" s="7" t="s">
        <v>3744</v>
      </c>
      <c r="B3714" s="8">
        <v>45115</v>
      </c>
      <c r="C3714" s="9" t="s">
        <v>21</v>
      </c>
      <c r="D3714" s="9" t="s">
        <v>36</v>
      </c>
      <c r="E3714" s="9" t="s">
        <v>29</v>
      </c>
      <c r="F3714" s="9">
        <v>214</v>
      </c>
      <c r="G3714" s="9">
        <v>294.33999999999997</v>
      </c>
      <c r="H3714" s="9" t="s">
        <v>14</v>
      </c>
      <c r="I3714" s="9">
        <v>14</v>
      </c>
      <c r="J3714" s="10">
        <v>80.339999999999904</v>
      </c>
      <c r="K3714" s="9" t="str">
        <f>TEXT(Sales_of_Jordan[[#This Row],[Sale_Date]],"mmm")</f>
        <v>Jul</v>
      </c>
    </row>
    <row r="3715" spans="1:11" x14ac:dyDescent="0.35">
      <c r="A3715" s="7" t="s">
        <v>3745</v>
      </c>
      <c r="B3715" s="8">
        <v>45630</v>
      </c>
      <c r="C3715" s="9" t="s">
        <v>21</v>
      </c>
      <c r="D3715" s="9" t="s">
        <v>12</v>
      </c>
      <c r="E3715" s="9" t="s">
        <v>18</v>
      </c>
      <c r="F3715" s="9">
        <v>220</v>
      </c>
      <c r="G3715" s="9">
        <v>365.62</v>
      </c>
      <c r="H3715" s="9" t="s">
        <v>14</v>
      </c>
      <c r="I3715" s="9">
        <v>11</v>
      </c>
      <c r="J3715" s="10">
        <v>145.62</v>
      </c>
      <c r="K3715" s="9" t="str">
        <f>TEXT(Sales_of_Jordan[[#This Row],[Sale_Date]],"mmm")</f>
        <v>Dec</v>
      </c>
    </row>
    <row r="3716" spans="1:11" x14ac:dyDescent="0.35">
      <c r="A3716" s="7" t="s">
        <v>3746</v>
      </c>
      <c r="B3716" s="8">
        <v>44993</v>
      </c>
      <c r="C3716" s="9" t="s">
        <v>31</v>
      </c>
      <c r="D3716" s="9" t="s">
        <v>34</v>
      </c>
      <c r="E3716" s="9" t="s">
        <v>18</v>
      </c>
      <c r="F3716" s="9">
        <v>204</v>
      </c>
      <c r="G3716" s="9">
        <v>505.15</v>
      </c>
      <c r="H3716" s="9" t="s">
        <v>19</v>
      </c>
      <c r="I3716" s="9">
        <v>6</v>
      </c>
      <c r="J3716" s="10">
        <v>301.14999999999998</v>
      </c>
      <c r="K3716" s="9" t="str">
        <f>TEXT(Sales_of_Jordan[[#This Row],[Sale_Date]],"mmm")</f>
        <v>Mar</v>
      </c>
    </row>
    <row r="3717" spans="1:11" x14ac:dyDescent="0.35">
      <c r="A3717" s="7" t="s">
        <v>3747</v>
      </c>
      <c r="B3717" s="8">
        <v>45029</v>
      </c>
      <c r="C3717" s="9" t="s">
        <v>11</v>
      </c>
      <c r="D3717" s="9" t="s">
        <v>55</v>
      </c>
      <c r="E3717" s="9" t="s">
        <v>29</v>
      </c>
      <c r="F3717" s="9">
        <v>230</v>
      </c>
      <c r="G3717" s="9">
        <v>235.2</v>
      </c>
      <c r="H3717" s="9" t="s">
        <v>19</v>
      </c>
      <c r="I3717" s="9">
        <v>1</v>
      </c>
      <c r="J3717" s="10">
        <v>5.1999999999999797</v>
      </c>
      <c r="K3717" s="9" t="str">
        <f>TEXT(Sales_of_Jordan[[#This Row],[Sale_Date]],"mmm")</f>
        <v>Apr</v>
      </c>
    </row>
    <row r="3718" spans="1:11" x14ac:dyDescent="0.35">
      <c r="A3718" s="7" t="s">
        <v>3748</v>
      </c>
      <c r="B3718" s="8">
        <v>45665</v>
      </c>
      <c r="C3718" s="9" t="s">
        <v>21</v>
      </c>
      <c r="D3718" s="9" t="s">
        <v>22</v>
      </c>
      <c r="E3718" s="9" t="s">
        <v>18</v>
      </c>
      <c r="F3718" s="9">
        <v>212</v>
      </c>
      <c r="G3718" s="9">
        <v>301.31</v>
      </c>
      <c r="H3718" s="9" t="s">
        <v>23</v>
      </c>
      <c r="I3718" s="9">
        <v>56</v>
      </c>
      <c r="J3718" s="10">
        <v>89.31</v>
      </c>
      <c r="K3718" s="9" t="str">
        <f>TEXT(Sales_of_Jordan[[#This Row],[Sale_Date]],"mmm")</f>
        <v>Jan</v>
      </c>
    </row>
    <row r="3719" spans="1:11" x14ac:dyDescent="0.35">
      <c r="A3719" s="7" t="s">
        <v>3749</v>
      </c>
      <c r="B3719" s="8">
        <v>45678</v>
      </c>
      <c r="C3719" s="9" t="s">
        <v>27</v>
      </c>
      <c r="D3719" s="9" t="s">
        <v>17</v>
      </c>
      <c r="E3719" s="9" t="s">
        <v>13</v>
      </c>
      <c r="F3719" s="9">
        <v>134</v>
      </c>
      <c r="G3719" s="9">
        <v>118.68</v>
      </c>
      <c r="H3719" s="9" t="s">
        <v>14</v>
      </c>
      <c r="I3719" s="9">
        <v>12</v>
      </c>
      <c r="J3719" s="10">
        <v>-15.319999999999901</v>
      </c>
      <c r="K3719" s="9" t="str">
        <f>TEXT(Sales_of_Jordan[[#This Row],[Sale_Date]],"mmm")</f>
        <v>Jan</v>
      </c>
    </row>
    <row r="3720" spans="1:11" x14ac:dyDescent="0.35">
      <c r="A3720" s="7" t="s">
        <v>3750</v>
      </c>
      <c r="B3720" s="8">
        <v>45218</v>
      </c>
      <c r="C3720" s="9" t="s">
        <v>31</v>
      </c>
      <c r="D3720" s="9" t="s">
        <v>39</v>
      </c>
      <c r="E3720" s="9" t="s">
        <v>29</v>
      </c>
      <c r="F3720" s="9">
        <v>207</v>
      </c>
      <c r="G3720" s="9">
        <v>302.91000000000003</v>
      </c>
      <c r="H3720" s="9" t="s">
        <v>25</v>
      </c>
      <c r="I3720" s="9">
        <v>19</v>
      </c>
      <c r="J3720" s="10">
        <v>95.91</v>
      </c>
      <c r="K3720" s="9" t="str">
        <f>TEXT(Sales_of_Jordan[[#This Row],[Sale_Date]],"mmm")</f>
        <v>Oct</v>
      </c>
    </row>
    <row r="3721" spans="1:11" x14ac:dyDescent="0.35">
      <c r="A3721" s="7" t="s">
        <v>3751</v>
      </c>
      <c r="B3721" s="8">
        <v>45713</v>
      </c>
      <c r="C3721" s="9" t="s">
        <v>11</v>
      </c>
      <c r="D3721" s="9" t="s">
        <v>53</v>
      </c>
      <c r="E3721" s="9" t="s">
        <v>18</v>
      </c>
      <c r="F3721" s="9">
        <v>226</v>
      </c>
      <c r="G3721" s="9">
        <v>674.59</v>
      </c>
      <c r="H3721" s="9" t="s">
        <v>14</v>
      </c>
      <c r="I3721" s="9">
        <v>4</v>
      </c>
      <c r="J3721" s="10">
        <v>448.59</v>
      </c>
      <c r="K3721" s="9" t="str">
        <f>TEXT(Sales_of_Jordan[[#This Row],[Sale_Date]],"mmm")</f>
        <v>Feb</v>
      </c>
    </row>
    <row r="3722" spans="1:11" x14ac:dyDescent="0.35">
      <c r="A3722" s="7" t="s">
        <v>3752</v>
      </c>
      <c r="B3722" s="8">
        <v>44933</v>
      </c>
      <c r="C3722" s="9" t="s">
        <v>11</v>
      </c>
      <c r="D3722" s="9" t="s">
        <v>39</v>
      </c>
      <c r="E3722" s="9" t="s">
        <v>13</v>
      </c>
      <c r="F3722" s="9">
        <v>228</v>
      </c>
      <c r="G3722" s="9">
        <v>151.72999999999999</v>
      </c>
      <c r="H3722" s="9" t="s">
        <v>14</v>
      </c>
      <c r="I3722" s="9">
        <v>2</v>
      </c>
      <c r="J3722" s="10">
        <v>-76.27</v>
      </c>
      <c r="K3722" s="9" t="str">
        <f>TEXT(Sales_of_Jordan[[#This Row],[Sale_Date]],"mmm")</f>
        <v>Jan</v>
      </c>
    </row>
    <row r="3723" spans="1:11" x14ac:dyDescent="0.35">
      <c r="A3723" s="7" t="s">
        <v>3753</v>
      </c>
      <c r="B3723" s="8">
        <v>45330</v>
      </c>
      <c r="C3723" s="9" t="s">
        <v>21</v>
      </c>
      <c r="D3723" s="9" t="s">
        <v>22</v>
      </c>
      <c r="E3723" s="9" t="s">
        <v>13</v>
      </c>
      <c r="F3723" s="9">
        <v>225</v>
      </c>
      <c r="G3723" s="9">
        <v>146.29</v>
      </c>
      <c r="H3723" s="9" t="s">
        <v>14</v>
      </c>
      <c r="I3723" s="9">
        <v>4</v>
      </c>
      <c r="J3723" s="10">
        <v>-78.709999999999994</v>
      </c>
      <c r="K3723" s="9" t="str">
        <f>TEXT(Sales_of_Jordan[[#This Row],[Sale_Date]],"mmm")</f>
        <v>Feb</v>
      </c>
    </row>
    <row r="3724" spans="1:11" x14ac:dyDescent="0.35">
      <c r="A3724" s="7" t="s">
        <v>3754</v>
      </c>
      <c r="B3724" s="8">
        <v>45907</v>
      </c>
      <c r="C3724" s="9" t="s">
        <v>16</v>
      </c>
      <c r="D3724" s="9" t="s">
        <v>12</v>
      </c>
      <c r="E3724" s="9" t="s">
        <v>29</v>
      </c>
      <c r="F3724" s="9">
        <v>174</v>
      </c>
      <c r="G3724" s="9">
        <v>251.7</v>
      </c>
      <c r="H3724" s="9" t="s">
        <v>14</v>
      </c>
      <c r="I3724" s="9">
        <v>3</v>
      </c>
      <c r="J3724" s="10">
        <v>77.699999999999903</v>
      </c>
      <c r="K3724" s="9" t="str">
        <f>TEXT(Sales_of_Jordan[[#This Row],[Sale_Date]],"mmm")</f>
        <v>Sep</v>
      </c>
    </row>
    <row r="3725" spans="1:11" x14ac:dyDescent="0.35">
      <c r="A3725" s="7" t="s">
        <v>3755</v>
      </c>
      <c r="B3725" s="8">
        <v>45603</v>
      </c>
      <c r="C3725" s="9" t="s">
        <v>31</v>
      </c>
      <c r="D3725" s="9" t="s">
        <v>22</v>
      </c>
      <c r="E3725" s="9" t="s">
        <v>18</v>
      </c>
      <c r="F3725" s="9">
        <v>200</v>
      </c>
      <c r="G3725" s="9">
        <v>656.5</v>
      </c>
      <c r="H3725" s="9" t="s">
        <v>25</v>
      </c>
      <c r="I3725" s="9">
        <v>10</v>
      </c>
      <c r="J3725" s="10">
        <v>456.5</v>
      </c>
      <c r="K3725" s="9" t="str">
        <f>TEXT(Sales_of_Jordan[[#This Row],[Sale_Date]],"mmm")</f>
        <v>Nov</v>
      </c>
    </row>
    <row r="3726" spans="1:11" x14ac:dyDescent="0.35">
      <c r="A3726" s="7" t="s">
        <v>3756</v>
      </c>
      <c r="B3726" s="8">
        <v>45480</v>
      </c>
      <c r="C3726" s="9" t="s">
        <v>31</v>
      </c>
      <c r="D3726" s="9" t="s">
        <v>34</v>
      </c>
      <c r="E3726" s="9" t="s">
        <v>13</v>
      </c>
      <c r="F3726" s="9">
        <v>204</v>
      </c>
      <c r="G3726" s="9">
        <v>117.49</v>
      </c>
      <c r="H3726" s="9" t="s">
        <v>19</v>
      </c>
      <c r="I3726" s="9">
        <v>11</v>
      </c>
      <c r="J3726" s="10">
        <v>-86.51</v>
      </c>
      <c r="K3726" s="9" t="str">
        <f>TEXT(Sales_of_Jordan[[#This Row],[Sale_Date]],"mmm")</f>
        <v>Jul</v>
      </c>
    </row>
    <row r="3727" spans="1:11" x14ac:dyDescent="0.35">
      <c r="A3727" s="7" t="s">
        <v>3757</v>
      </c>
      <c r="B3727" s="8">
        <v>45429</v>
      </c>
      <c r="C3727" s="9" t="s">
        <v>27</v>
      </c>
      <c r="D3727" s="9" t="s">
        <v>12</v>
      </c>
      <c r="E3727" s="9" t="s">
        <v>18</v>
      </c>
      <c r="F3727" s="9">
        <v>128</v>
      </c>
      <c r="G3727" s="9">
        <v>295.08</v>
      </c>
      <c r="H3727" s="9" t="s">
        <v>32</v>
      </c>
      <c r="I3727" s="9">
        <v>27</v>
      </c>
      <c r="J3727" s="10">
        <v>167.07999999999899</v>
      </c>
      <c r="K3727" s="9" t="str">
        <f>TEXT(Sales_of_Jordan[[#This Row],[Sale_Date]],"mmm")</f>
        <v>May</v>
      </c>
    </row>
    <row r="3728" spans="1:11" x14ac:dyDescent="0.35">
      <c r="A3728" s="7" t="s">
        <v>3758</v>
      </c>
      <c r="B3728" s="8">
        <v>45816</v>
      </c>
      <c r="C3728" s="9" t="s">
        <v>31</v>
      </c>
      <c r="D3728" s="9" t="s">
        <v>46</v>
      </c>
      <c r="E3728" s="9" t="s">
        <v>13</v>
      </c>
      <c r="F3728" s="9">
        <v>204</v>
      </c>
      <c r="G3728" s="9">
        <v>154.99</v>
      </c>
      <c r="H3728" s="9" t="s">
        <v>19</v>
      </c>
      <c r="I3728" s="9">
        <v>6</v>
      </c>
      <c r="J3728" s="10">
        <v>-49.009999999999899</v>
      </c>
      <c r="K3728" s="9" t="str">
        <f>TEXT(Sales_of_Jordan[[#This Row],[Sale_Date]],"mmm")</f>
        <v>Jun</v>
      </c>
    </row>
    <row r="3729" spans="1:11" x14ac:dyDescent="0.35">
      <c r="A3729" s="7" t="s">
        <v>3759</v>
      </c>
      <c r="B3729" s="8">
        <v>45294</v>
      </c>
      <c r="C3729" s="9" t="s">
        <v>11</v>
      </c>
      <c r="D3729" s="9" t="s">
        <v>22</v>
      </c>
      <c r="E3729" s="9" t="s">
        <v>13</v>
      </c>
      <c r="F3729" s="9">
        <v>226</v>
      </c>
      <c r="G3729" s="9">
        <v>127.47</v>
      </c>
      <c r="H3729" s="9" t="s">
        <v>32</v>
      </c>
      <c r="I3729" s="9">
        <v>11</v>
      </c>
      <c r="J3729" s="10">
        <v>-98.53</v>
      </c>
      <c r="K3729" s="9" t="str">
        <f>TEXT(Sales_of_Jordan[[#This Row],[Sale_Date]],"mmm")</f>
        <v>Jan</v>
      </c>
    </row>
    <row r="3730" spans="1:11" x14ac:dyDescent="0.35">
      <c r="A3730" s="7" t="s">
        <v>3760</v>
      </c>
      <c r="B3730" s="8">
        <v>45091</v>
      </c>
      <c r="C3730" s="9" t="s">
        <v>16</v>
      </c>
      <c r="D3730" s="9" t="s">
        <v>53</v>
      </c>
      <c r="E3730" s="9" t="s">
        <v>29</v>
      </c>
      <c r="F3730" s="9">
        <v>184</v>
      </c>
      <c r="G3730" s="9">
        <v>174.41</v>
      </c>
      <c r="H3730" s="9" t="s">
        <v>25</v>
      </c>
      <c r="I3730" s="9">
        <v>28</v>
      </c>
      <c r="J3730" s="10">
        <v>-9.59</v>
      </c>
      <c r="K3730" s="9" t="str">
        <f>TEXT(Sales_of_Jordan[[#This Row],[Sale_Date]],"mmm")</f>
        <v>Jun</v>
      </c>
    </row>
    <row r="3731" spans="1:11" x14ac:dyDescent="0.35">
      <c r="A3731" s="7" t="s">
        <v>3761</v>
      </c>
      <c r="B3731" s="8">
        <v>45340</v>
      </c>
      <c r="C3731" s="9" t="s">
        <v>11</v>
      </c>
      <c r="D3731" s="9" t="s">
        <v>17</v>
      </c>
      <c r="E3731" s="9" t="s">
        <v>13</v>
      </c>
      <c r="F3731" s="9">
        <v>227</v>
      </c>
      <c r="G3731" s="9">
        <v>191.64</v>
      </c>
      <c r="H3731" s="9" t="s">
        <v>25</v>
      </c>
      <c r="I3731" s="9">
        <v>48</v>
      </c>
      <c r="J3731" s="10">
        <v>-35.36</v>
      </c>
      <c r="K3731" s="9" t="str">
        <f>TEXT(Sales_of_Jordan[[#This Row],[Sale_Date]],"mmm")</f>
        <v>Feb</v>
      </c>
    </row>
    <row r="3732" spans="1:11" x14ac:dyDescent="0.35">
      <c r="A3732" s="7" t="s">
        <v>3762</v>
      </c>
      <c r="B3732" s="8">
        <v>45441</v>
      </c>
      <c r="C3732" s="9" t="s">
        <v>27</v>
      </c>
      <c r="D3732" s="9" t="s">
        <v>39</v>
      </c>
      <c r="E3732" s="9" t="s">
        <v>13</v>
      </c>
      <c r="F3732" s="9">
        <v>128</v>
      </c>
      <c r="G3732" s="9">
        <v>98.69</v>
      </c>
      <c r="H3732" s="9" t="s">
        <v>25</v>
      </c>
      <c r="I3732" s="9">
        <v>26</v>
      </c>
      <c r="J3732" s="10">
        <v>-29.31</v>
      </c>
      <c r="K3732" s="9" t="str">
        <f>TEXT(Sales_of_Jordan[[#This Row],[Sale_Date]],"mmm")</f>
        <v>May</v>
      </c>
    </row>
    <row r="3733" spans="1:11" x14ac:dyDescent="0.35">
      <c r="A3733" s="7" t="s">
        <v>3763</v>
      </c>
      <c r="B3733" s="8">
        <v>45376</v>
      </c>
      <c r="C3733" s="9" t="s">
        <v>11</v>
      </c>
      <c r="D3733" s="9" t="s">
        <v>34</v>
      </c>
      <c r="E3733" s="9" t="s">
        <v>13</v>
      </c>
      <c r="F3733" s="9">
        <v>228</v>
      </c>
      <c r="G3733" s="9">
        <v>137.9</v>
      </c>
      <c r="H3733" s="9" t="s">
        <v>32</v>
      </c>
      <c r="I3733" s="9">
        <v>34</v>
      </c>
      <c r="J3733" s="10">
        <v>-90.1</v>
      </c>
      <c r="K3733" s="9" t="str">
        <f>TEXT(Sales_of_Jordan[[#This Row],[Sale_Date]],"mmm")</f>
        <v>Mar</v>
      </c>
    </row>
    <row r="3734" spans="1:11" x14ac:dyDescent="0.35">
      <c r="A3734" s="7" t="s">
        <v>3764</v>
      </c>
      <c r="B3734" s="8">
        <v>45247</v>
      </c>
      <c r="C3734" s="9" t="s">
        <v>27</v>
      </c>
      <c r="D3734" s="9" t="s">
        <v>34</v>
      </c>
      <c r="E3734" s="9" t="s">
        <v>13</v>
      </c>
      <c r="F3734" s="9">
        <v>136</v>
      </c>
      <c r="G3734" s="9">
        <v>101.24</v>
      </c>
      <c r="H3734" s="9" t="s">
        <v>23</v>
      </c>
      <c r="I3734" s="9">
        <v>32</v>
      </c>
      <c r="J3734" s="10">
        <v>-34.76</v>
      </c>
      <c r="K3734" s="9" t="str">
        <f>TEXT(Sales_of_Jordan[[#This Row],[Sale_Date]],"mmm")</f>
        <v>Nov</v>
      </c>
    </row>
    <row r="3735" spans="1:11" x14ac:dyDescent="0.35">
      <c r="A3735" s="7" t="s">
        <v>3765</v>
      </c>
      <c r="B3735" s="8">
        <v>45703</v>
      </c>
      <c r="C3735" s="9" t="s">
        <v>31</v>
      </c>
      <c r="D3735" s="9" t="s">
        <v>22</v>
      </c>
      <c r="E3735" s="9" t="s">
        <v>29</v>
      </c>
      <c r="F3735" s="9">
        <v>202</v>
      </c>
      <c r="G3735" s="9">
        <v>262.26</v>
      </c>
      <c r="H3735" s="9" t="s">
        <v>23</v>
      </c>
      <c r="I3735" s="9">
        <v>16</v>
      </c>
      <c r="J3735" s="10">
        <v>60.259999999999899</v>
      </c>
      <c r="K3735" s="9" t="str">
        <f>TEXT(Sales_of_Jordan[[#This Row],[Sale_Date]],"mmm")</f>
        <v>Feb</v>
      </c>
    </row>
    <row r="3736" spans="1:11" x14ac:dyDescent="0.35">
      <c r="A3736" s="7" t="s">
        <v>3766</v>
      </c>
      <c r="B3736" s="8">
        <v>44947</v>
      </c>
      <c r="C3736" s="9" t="s">
        <v>11</v>
      </c>
      <c r="D3736" s="9" t="s">
        <v>55</v>
      </c>
      <c r="E3736" s="9" t="s">
        <v>18</v>
      </c>
      <c r="F3736" s="9">
        <v>225</v>
      </c>
      <c r="G3736" s="9">
        <v>776.79</v>
      </c>
      <c r="H3736" s="9" t="s">
        <v>32</v>
      </c>
      <c r="I3736" s="9">
        <v>11</v>
      </c>
      <c r="J3736" s="10">
        <v>551.79</v>
      </c>
      <c r="K3736" s="9" t="str">
        <f>TEXT(Sales_of_Jordan[[#This Row],[Sale_Date]],"mmm")</f>
        <v>Jan</v>
      </c>
    </row>
    <row r="3737" spans="1:11" x14ac:dyDescent="0.35">
      <c r="A3737" s="7" t="s">
        <v>3767</v>
      </c>
      <c r="B3737" s="8">
        <v>45196</v>
      </c>
      <c r="C3737" s="9" t="s">
        <v>21</v>
      </c>
      <c r="D3737" s="9" t="s">
        <v>55</v>
      </c>
      <c r="E3737" s="9" t="s">
        <v>13</v>
      </c>
      <c r="F3737" s="9">
        <v>222</v>
      </c>
      <c r="G3737" s="9">
        <v>162.61000000000001</v>
      </c>
      <c r="H3737" s="9" t="s">
        <v>25</v>
      </c>
      <c r="I3737" s="9">
        <v>6</v>
      </c>
      <c r="J3737" s="10">
        <v>-59.389999999999901</v>
      </c>
      <c r="K3737" s="9" t="str">
        <f>TEXT(Sales_of_Jordan[[#This Row],[Sale_Date]],"mmm")</f>
        <v>Sep</v>
      </c>
    </row>
    <row r="3738" spans="1:11" x14ac:dyDescent="0.35">
      <c r="A3738" s="7" t="s">
        <v>3768</v>
      </c>
      <c r="B3738" s="8">
        <v>45665</v>
      </c>
      <c r="C3738" s="9" t="s">
        <v>27</v>
      </c>
      <c r="D3738" s="9" t="s">
        <v>34</v>
      </c>
      <c r="E3738" s="9" t="s">
        <v>29</v>
      </c>
      <c r="F3738" s="9">
        <v>121</v>
      </c>
      <c r="G3738" s="9">
        <v>163.69999999999999</v>
      </c>
      <c r="H3738" s="9" t="s">
        <v>14</v>
      </c>
      <c r="I3738" s="9">
        <v>11</v>
      </c>
      <c r="J3738" s="10">
        <v>42.699999999999903</v>
      </c>
      <c r="K3738" s="9" t="str">
        <f>TEXT(Sales_of_Jordan[[#This Row],[Sale_Date]],"mmm")</f>
        <v>Jan</v>
      </c>
    </row>
    <row r="3739" spans="1:11" x14ac:dyDescent="0.35">
      <c r="A3739" s="7" t="s">
        <v>3769</v>
      </c>
      <c r="B3739" s="8">
        <v>45244</v>
      </c>
      <c r="C3739" s="9" t="s">
        <v>16</v>
      </c>
      <c r="D3739" s="9" t="s">
        <v>17</v>
      </c>
      <c r="E3739" s="9" t="s">
        <v>18</v>
      </c>
      <c r="F3739" s="9">
        <v>180</v>
      </c>
      <c r="G3739" s="9">
        <v>488.81</v>
      </c>
      <c r="H3739" s="9" t="s">
        <v>14</v>
      </c>
      <c r="I3739" s="9">
        <v>6</v>
      </c>
      <c r="J3739" s="10">
        <v>308.81</v>
      </c>
      <c r="K3739" s="9" t="str">
        <f>TEXT(Sales_of_Jordan[[#This Row],[Sale_Date]],"mmm")</f>
        <v>Nov</v>
      </c>
    </row>
    <row r="3740" spans="1:11" x14ac:dyDescent="0.35">
      <c r="A3740" s="7" t="s">
        <v>3770</v>
      </c>
      <c r="B3740" s="8">
        <v>45646</v>
      </c>
      <c r="C3740" s="9" t="s">
        <v>11</v>
      </c>
      <c r="D3740" s="9" t="s">
        <v>17</v>
      </c>
      <c r="E3740" s="9" t="s">
        <v>29</v>
      </c>
      <c r="F3740" s="9">
        <v>226</v>
      </c>
      <c r="G3740" s="9">
        <v>313.43</v>
      </c>
      <c r="H3740" s="9" t="s">
        <v>25</v>
      </c>
      <c r="I3740" s="9">
        <v>15</v>
      </c>
      <c r="J3740" s="10">
        <v>87.43</v>
      </c>
      <c r="K3740" s="9" t="str">
        <f>TEXT(Sales_of_Jordan[[#This Row],[Sale_Date]],"mmm")</f>
        <v>Dec</v>
      </c>
    </row>
    <row r="3741" spans="1:11" x14ac:dyDescent="0.35">
      <c r="A3741" s="7" t="s">
        <v>3771</v>
      </c>
      <c r="B3741" s="8">
        <v>45646</v>
      </c>
      <c r="C3741" s="9" t="s">
        <v>16</v>
      </c>
      <c r="D3741" s="9" t="s">
        <v>17</v>
      </c>
      <c r="E3741" s="9" t="s">
        <v>13</v>
      </c>
      <c r="F3741" s="9">
        <v>186</v>
      </c>
      <c r="G3741" s="9">
        <v>154.82</v>
      </c>
      <c r="H3741" s="9" t="s">
        <v>19</v>
      </c>
      <c r="I3741" s="9">
        <v>8</v>
      </c>
      <c r="J3741" s="10">
        <v>-31.18</v>
      </c>
      <c r="K3741" s="9" t="str">
        <f>TEXT(Sales_of_Jordan[[#This Row],[Sale_Date]],"mmm")</f>
        <v>Dec</v>
      </c>
    </row>
    <row r="3742" spans="1:11" x14ac:dyDescent="0.35">
      <c r="A3742" s="7" t="s">
        <v>3772</v>
      </c>
      <c r="B3742" s="8">
        <v>45488</v>
      </c>
      <c r="C3742" s="9" t="s">
        <v>16</v>
      </c>
      <c r="D3742" s="9" t="s">
        <v>22</v>
      </c>
      <c r="E3742" s="9" t="s">
        <v>29</v>
      </c>
      <c r="F3742" s="9">
        <v>189</v>
      </c>
      <c r="G3742" s="9">
        <v>219.24</v>
      </c>
      <c r="H3742" s="9" t="s">
        <v>19</v>
      </c>
      <c r="I3742" s="9">
        <v>14</v>
      </c>
      <c r="J3742" s="10">
        <v>30.24</v>
      </c>
      <c r="K3742" s="9" t="str">
        <f>TEXT(Sales_of_Jordan[[#This Row],[Sale_Date]],"mmm")</f>
        <v>Jul</v>
      </c>
    </row>
    <row r="3743" spans="1:11" x14ac:dyDescent="0.35">
      <c r="A3743" s="7" t="s">
        <v>3773</v>
      </c>
      <c r="B3743" s="8">
        <v>45855</v>
      </c>
      <c r="C3743" s="9" t="s">
        <v>16</v>
      </c>
      <c r="D3743" s="9" t="s">
        <v>39</v>
      </c>
      <c r="E3743" s="9" t="s">
        <v>18</v>
      </c>
      <c r="F3743" s="9">
        <v>189</v>
      </c>
      <c r="G3743" s="9">
        <v>441.89</v>
      </c>
      <c r="H3743" s="9" t="s">
        <v>14</v>
      </c>
      <c r="I3743" s="9">
        <v>8</v>
      </c>
      <c r="J3743" s="10">
        <v>252.89</v>
      </c>
      <c r="K3743" s="9" t="str">
        <f>TEXT(Sales_of_Jordan[[#This Row],[Sale_Date]],"mmm")</f>
        <v>Jul</v>
      </c>
    </row>
    <row r="3744" spans="1:11" x14ac:dyDescent="0.35">
      <c r="A3744" s="7" t="s">
        <v>3774</v>
      </c>
      <c r="B3744" s="8">
        <v>45581</v>
      </c>
      <c r="C3744" s="9" t="s">
        <v>16</v>
      </c>
      <c r="D3744" s="9" t="s">
        <v>12</v>
      </c>
      <c r="E3744" s="9" t="s">
        <v>13</v>
      </c>
      <c r="F3744" s="9">
        <v>179</v>
      </c>
      <c r="G3744" s="9">
        <v>144.19</v>
      </c>
      <c r="H3744" s="9" t="s">
        <v>25</v>
      </c>
      <c r="I3744" s="9">
        <v>23</v>
      </c>
      <c r="J3744" s="10">
        <v>-34.81</v>
      </c>
      <c r="K3744" s="9" t="str">
        <f>TEXT(Sales_of_Jordan[[#This Row],[Sale_Date]],"mmm")</f>
        <v>Oct</v>
      </c>
    </row>
    <row r="3745" spans="1:11" x14ac:dyDescent="0.35">
      <c r="A3745" s="7" t="s">
        <v>3775</v>
      </c>
      <c r="B3745" s="8">
        <v>45797</v>
      </c>
      <c r="C3745" s="9" t="s">
        <v>16</v>
      </c>
      <c r="D3745" s="9" t="s">
        <v>34</v>
      </c>
      <c r="E3745" s="9" t="s">
        <v>29</v>
      </c>
      <c r="F3745" s="9">
        <v>178</v>
      </c>
      <c r="G3745" s="9">
        <v>214.62</v>
      </c>
      <c r="H3745" s="9" t="s">
        <v>19</v>
      </c>
      <c r="I3745" s="9">
        <v>5</v>
      </c>
      <c r="J3745" s="10">
        <v>36.619999999999997</v>
      </c>
      <c r="K3745" s="9" t="str">
        <f>TEXT(Sales_of_Jordan[[#This Row],[Sale_Date]],"mmm")</f>
        <v>May</v>
      </c>
    </row>
    <row r="3746" spans="1:11" x14ac:dyDescent="0.35">
      <c r="A3746" s="7" t="s">
        <v>3776</v>
      </c>
      <c r="B3746" s="8">
        <v>45651</v>
      </c>
      <c r="C3746" s="9" t="s">
        <v>16</v>
      </c>
      <c r="D3746" s="9" t="s">
        <v>17</v>
      </c>
      <c r="E3746" s="9" t="s">
        <v>18</v>
      </c>
      <c r="F3746" s="9">
        <v>171</v>
      </c>
      <c r="G3746" s="9">
        <v>376.53</v>
      </c>
      <c r="H3746" s="9" t="s">
        <v>14</v>
      </c>
      <c r="I3746" s="9">
        <v>10</v>
      </c>
      <c r="J3746" s="10">
        <v>205.52999999999901</v>
      </c>
      <c r="K3746" s="9" t="str">
        <f>TEXT(Sales_of_Jordan[[#This Row],[Sale_Date]],"mmm")</f>
        <v>Dec</v>
      </c>
    </row>
    <row r="3747" spans="1:11" x14ac:dyDescent="0.35">
      <c r="A3747" s="7" t="s">
        <v>3777</v>
      </c>
      <c r="B3747" s="8">
        <v>44982</v>
      </c>
      <c r="C3747" s="9" t="s">
        <v>16</v>
      </c>
      <c r="D3747" s="9" t="s">
        <v>17</v>
      </c>
      <c r="E3747" s="9" t="s">
        <v>18</v>
      </c>
      <c r="F3747" s="9">
        <v>188</v>
      </c>
      <c r="G3747" s="9">
        <v>533.59</v>
      </c>
      <c r="H3747" s="9" t="s">
        <v>25</v>
      </c>
      <c r="I3747" s="9">
        <v>30</v>
      </c>
      <c r="J3747" s="10">
        <v>345.59</v>
      </c>
      <c r="K3747" s="9" t="str">
        <f>TEXT(Sales_of_Jordan[[#This Row],[Sale_Date]],"mmm")</f>
        <v>Feb</v>
      </c>
    </row>
    <row r="3748" spans="1:11" x14ac:dyDescent="0.35">
      <c r="A3748" s="7" t="s">
        <v>3778</v>
      </c>
      <c r="B3748" s="8">
        <v>45132</v>
      </c>
      <c r="C3748" s="9" t="s">
        <v>11</v>
      </c>
      <c r="D3748" s="9" t="s">
        <v>55</v>
      </c>
      <c r="E3748" s="9" t="s">
        <v>13</v>
      </c>
      <c r="F3748" s="9">
        <v>227</v>
      </c>
      <c r="G3748" s="9">
        <v>120.56</v>
      </c>
      <c r="H3748" s="9" t="s">
        <v>25</v>
      </c>
      <c r="I3748" s="9">
        <v>42</v>
      </c>
      <c r="J3748" s="10">
        <v>-106.44</v>
      </c>
      <c r="K3748" s="9" t="str">
        <f>TEXT(Sales_of_Jordan[[#This Row],[Sale_Date]],"mmm")</f>
        <v>Jul</v>
      </c>
    </row>
    <row r="3749" spans="1:11" x14ac:dyDescent="0.35">
      <c r="A3749" s="7" t="s">
        <v>3779</v>
      </c>
      <c r="B3749" s="8">
        <v>45336</v>
      </c>
      <c r="C3749" s="9" t="s">
        <v>27</v>
      </c>
      <c r="D3749" s="9" t="s">
        <v>12</v>
      </c>
      <c r="E3749" s="9" t="s">
        <v>13</v>
      </c>
      <c r="F3749" s="9">
        <v>117</v>
      </c>
      <c r="G3749" s="9">
        <v>92.45</v>
      </c>
      <c r="H3749" s="9" t="s">
        <v>23</v>
      </c>
      <c r="I3749" s="9">
        <v>29</v>
      </c>
      <c r="J3749" s="10">
        <v>-24.549999999999901</v>
      </c>
      <c r="K3749" s="9" t="str">
        <f>TEXT(Sales_of_Jordan[[#This Row],[Sale_Date]],"mmm")</f>
        <v>Feb</v>
      </c>
    </row>
    <row r="3750" spans="1:11" x14ac:dyDescent="0.35">
      <c r="A3750" s="7" t="s">
        <v>3780</v>
      </c>
      <c r="B3750" s="8">
        <v>45805</v>
      </c>
      <c r="C3750" s="9" t="s">
        <v>16</v>
      </c>
      <c r="D3750" s="9" t="s">
        <v>53</v>
      </c>
      <c r="E3750" s="9" t="s">
        <v>18</v>
      </c>
      <c r="F3750" s="9">
        <v>176</v>
      </c>
      <c r="G3750" s="9">
        <v>414.29</v>
      </c>
      <c r="H3750" s="9" t="s">
        <v>14</v>
      </c>
      <c r="I3750" s="9">
        <v>11</v>
      </c>
      <c r="J3750" s="10">
        <v>238.29</v>
      </c>
      <c r="K3750" s="9" t="str">
        <f>TEXT(Sales_of_Jordan[[#This Row],[Sale_Date]],"mmm")</f>
        <v>May</v>
      </c>
    </row>
    <row r="3751" spans="1:11" x14ac:dyDescent="0.35">
      <c r="A3751" s="7" t="s">
        <v>3781</v>
      </c>
      <c r="B3751" s="8">
        <v>45564</v>
      </c>
      <c r="C3751" s="9" t="s">
        <v>27</v>
      </c>
      <c r="D3751" s="9" t="s">
        <v>17</v>
      </c>
      <c r="E3751" s="9" t="s">
        <v>13</v>
      </c>
      <c r="F3751" s="9">
        <v>122</v>
      </c>
      <c r="G3751" s="9">
        <v>84.29</v>
      </c>
      <c r="H3751" s="9" t="s">
        <v>19</v>
      </c>
      <c r="I3751" s="9">
        <v>11</v>
      </c>
      <c r="J3751" s="10">
        <v>-37.709999999999901</v>
      </c>
      <c r="K3751" s="9" t="str">
        <f>TEXT(Sales_of_Jordan[[#This Row],[Sale_Date]],"mmm")</f>
        <v>Sep</v>
      </c>
    </row>
    <row r="3752" spans="1:11" x14ac:dyDescent="0.35">
      <c r="A3752" s="7" t="s">
        <v>3782</v>
      </c>
      <c r="B3752" s="8">
        <v>44975</v>
      </c>
      <c r="C3752" s="9" t="s">
        <v>31</v>
      </c>
      <c r="D3752" s="9" t="s">
        <v>22</v>
      </c>
      <c r="E3752" s="9" t="s">
        <v>29</v>
      </c>
      <c r="F3752" s="9">
        <v>205</v>
      </c>
      <c r="G3752" s="9">
        <v>220.98</v>
      </c>
      <c r="H3752" s="9" t="s">
        <v>32</v>
      </c>
      <c r="I3752" s="9">
        <v>41</v>
      </c>
      <c r="J3752" s="10">
        <v>15.979999999999899</v>
      </c>
      <c r="K3752" s="9" t="str">
        <f>TEXT(Sales_of_Jordan[[#This Row],[Sale_Date]],"mmm")</f>
        <v>Feb</v>
      </c>
    </row>
    <row r="3753" spans="1:11" x14ac:dyDescent="0.35">
      <c r="A3753" s="7" t="s">
        <v>3783</v>
      </c>
      <c r="B3753" s="8">
        <v>45589</v>
      </c>
      <c r="C3753" s="9" t="s">
        <v>16</v>
      </c>
      <c r="D3753" s="9" t="s">
        <v>46</v>
      </c>
      <c r="E3753" s="9" t="s">
        <v>18</v>
      </c>
      <c r="F3753" s="9">
        <v>177</v>
      </c>
      <c r="G3753" s="9">
        <v>538.21</v>
      </c>
      <c r="H3753" s="9" t="s">
        <v>23</v>
      </c>
      <c r="I3753" s="9">
        <v>11</v>
      </c>
      <c r="J3753" s="10">
        <v>361.21</v>
      </c>
      <c r="K3753" s="9" t="str">
        <f>TEXT(Sales_of_Jordan[[#This Row],[Sale_Date]],"mmm")</f>
        <v>Oct</v>
      </c>
    </row>
    <row r="3754" spans="1:11" x14ac:dyDescent="0.35">
      <c r="A3754" s="7" t="s">
        <v>3784</v>
      </c>
      <c r="B3754" s="8">
        <v>45376</v>
      </c>
      <c r="C3754" s="9" t="s">
        <v>27</v>
      </c>
      <c r="D3754" s="9" t="s">
        <v>39</v>
      </c>
      <c r="E3754" s="9" t="s">
        <v>13</v>
      </c>
      <c r="F3754" s="9">
        <v>140</v>
      </c>
      <c r="G3754" s="9">
        <v>104.05</v>
      </c>
      <c r="H3754" s="9" t="s">
        <v>25</v>
      </c>
      <c r="I3754" s="9">
        <v>8</v>
      </c>
      <c r="J3754" s="10">
        <v>-35.950000000000003</v>
      </c>
      <c r="K3754" s="9" t="str">
        <f>TEXT(Sales_of_Jordan[[#This Row],[Sale_Date]],"mmm")</f>
        <v>Mar</v>
      </c>
    </row>
    <row r="3755" spans="1:11" x14ac:dyDescent="0.35">
      <c r="A3755" s="7" t="s">
        <v>3785</v>
      </c>
      <c r="B3755" s="8">
        <v>45198</v>
      </c>
      <c r="C3755" s="9" t="s">
        <v>31</v>
      </c>
      <c r="D3755" s="9" t="s">
        <v>39</v>
      </c>
      <c r="E3755" s="9" t="s">
        <v>13</v>
      </c>
      <c r="F3755" s="9">
        <v>204</v>
      </c>
      <c r="G3755" s="9">
        <v>159.96</v>
      </c>
      <c r="H3755" s="9" t="s">
        <v>19</v>
      </c>
      <c r="I3755" s="9">
        <v>2</v>
      </c>
      <c r="J3755" s="10">
        <v>-44.0399999999999</v>
      </c>
      <c r="K3755" s="9" t="str">
        <f>TEXT(Sales_of_Jordan[[#This Row],[Sale_Date]],"mmm")</f>
        <v>Sep</v>
      </c>
    </row>
    <row r="3756" spans="1:11" x14ac:dyDescent="0.35">
      <c r="A3756" s="7" t="s">
        <v>3786</v>
      </c>
      <c r="B3756" s="8">
        <v>45820</v>
      </c>
      <c r="C3756" s="9" t="s">
        <v>16</v>
      </c>
      <c r="D3756" s="9" t="s">
        <v>55</v>
      </c>
      <c r="E3756" s="9" t="s">
        <v>29</v>
      </c>
      <c r="F3756" s="9">
        <v>172</v>
      </c>
      <c r="G3756" s="9">
        <v>163.16999999999999</v>
      </c>
      <c r="H3756" s="9" t="s">
        <v>19</v>
      </c>
      <c r="I3756" s="9">
        <v>5</v>
      </c>
      <c r="J3756" s="10">
        <v>-8.8300000000000107</v>
      </c>
      <c r="K3756" s="9" t="str">
        <f>TEXT(Sales_of_Jordan[[#This Row],[Sale_Date]],"mmm")</f>
        <v>Jun</v>
      </c>
    </row>
    <row r="3757" spans="1:11" x14ac:dyDescent="0.35">
      <c r="A3757" s="7" t="s">
        <v>3787</v>
      </c>
      <c r="B3757" s="8">
        <v>45605</v>
      </c>
      <c r="C3757" s="9" t="s">
        <v>31</v>
      </c>
      <c r="D3757" s="9" t="s">
        <v>34</v>
      </c>
      <c r="E3757" s="9" t="s">
        <v>13</v>
      </c>
      <c r="F3757" s="9">
        <v>202</v>
      </c>
      <c r="G3757" s="9">
        <v>137.88</v>
      </c>
      <c r="H3757" s="9" t="s">
        <v>25</v>
      </c>
      <c r="I3757" s="9">
        <v>20</v>
      </c>
      <c r="J3757" s="10">
        <v>-64.12</v>
      </c>
      <c r="K3757" s="9" t="str">
        <f>TEXT(Sales_of_Jordan[[#This Row],[Sale_Date]],"mmm")</f>
        <v>Nov</v>
      </c>
    </row>
    <row r="3758" spans="1:11" x14ac:dyDescent="0.35">
      <c r="A3758" s="7" t="s">
        <v>3788</v>
      </c>
      <c r="B3758" s="8">
        <v>45736</v>
      </c>
      <c r="C3758" s="9" t="s">
        <v>27</v>
      </c>
      <c r="D3758" s="9" t="s">
        <v>36</v>
      </c>
      <c r="E3758" s="9" t="s">
        <v>13</v>
      </c>
      <c r="F3758" s="9">
        <v>126</v>
      </c>
      <c r="G3758" s="9">
        <v>72.239999999999995</v>
      </c>
      <c r="H3758" s="9" t="s">
        <v>23</v>
      </c>
      <c r="I3758" s="9">
        <v>28</v>
      </c>
      <c r="J3758" s="10">
        <v>-53.76</v>
      </c>
      <c r="K3758" s="9" t="str">
        <f>TEXT(Sales_of_Jordan[[#This Row],[Sale_Date]],"mmm")</f>
        <v>Mar</v>
      </c>
    </row>
    <row r="3759" spans="1:11" x14ac:dyDescent="0.35">
      <c r="A3759" s="7" t="s">
        <v>3789</v>
      </c>
      <c r="B3759" s="8">
        <v>45896</v>
      </c>
      <c r="C3759" s="9" t="s">
        <v>31</v>
      </c>
      <c r="D3759" s="9" t="s">
        <v>22</v>
      </c>
      <c r="E3759" s="9" t="s">
        <v>13</v>
      </c>
      <c r="F3759" s="9">
        <v>203</v>
      </c>
      <c r="G3759" s="9">
        <v>171.51</v>
      </c>
      <c r="H3759" s="9" t="s">
        <v>14</v>
      </c>
      <c r="I3759" s="9">
        <v>11</v>
      </c>
      <c r="J3759" s="10">
        <v>-31.49</v>
      </c>
      <c r="K3759" s="9" t="str">
        <f>TEXT(Sales_of_Jordan[[#This Row],[Sale_Date]],"mmm")</f>
        <v>Aug</v>
      </c>
    </row>
    <row r="3760" spans="1:11" x14ac:dyDescent="0.35">
      <c r="A3760" s="7" t="s">
        <v>3790</v>
      </c>
      <c r="B3760" s="8">
        <v>45423</v>
      </c>
      <c r="C3760" s="9" t="s">
        <v>11</v>
      </c>
      <c r="D3760" s="9" t="s">
        <v>36</v>
      </c>
      <c r="E3760" s="9" t="s">
        <v>18</v>
      </c>
      <c r="F3760" s="9">
        <v>229</v>
      </c>
      <c r="G3760" s="9">
        <v>554.41999999999996</v>
      </c>
      <c r="H3760" s="9" t="s">
        <v>19</v>
      </c>
      <c r="I3760" s="9">
        <v>10</v>
      </c>
      <c r="J3760" s="10">
        <v>325.41999999999899</v>
      </c>
      <c r="K3760" s="9" t="str">
        <f>TEXT(Sales_of_Jordan[[#This Row],[Sale_Date]],"mmm")</f>
        <v>May</v>
      </c>
    </row>
    <row r="3761" spans="1:11" x14ac:dyDescent="0.35">
      <c r="A3761" s="7" t="s">
        <v>3791</v>
      </c>
      <c r="B3761" s="8">
        <v>45467</v>
      </c>
      <c r="C3761" s="9" t="s">
        <v>31</v>
      </c>
      <c r="D3761" s="9" t="s">
        <v>53</v>
      </c>
      <c r="E3761" s="9" t="s">
        <v>13</v>
      </c>
      <c r="F3761" s="9">
        <v>210</v>
      </c>
      <c r="G3761" s="9">
        <v>187.83</v>
      </c>
      <c r="H3761" s="9" t="s">
        <v>19</v>
      </c>
      <c r="I3761" s="9">
        <v>2</v>
      </c>
      <c r="J3761" s="10">
        <v>-22.169999999999899</v>
      </c>
      <c r="K3761" s="9" t="str">
        <f>TEXT(Sales_of_Jordan[[#This Row],[Sale_Date]],"mmm")</f>
        <v>Jun</v>
      </c>
    </row>
    <row r="3762" spans="1:11" x14ac:dyDescent="0.35">
      <c r="A3762" s="7" t="s">
        <v>3792</v>
      </c>
      <c r="B3762" s="8">
        <v>45081</v>
      </c>
      <c r="C3762" s="9" t="s">
        <v>21</v>
      </c>
      <c r="D3762" s="9" t="s">
        <v>12</v>
      </c>
      <c r="E3762" s="9" t="s">
        <v>18</v>
      </c>
      <c r="F3762" s="9">
        <v>219</v>
      </c>
      <c r="G3762" s="9">
        <v>505.56</v>
      </c>
      <c r="H3762" s="9" t="s">
        <v>14</v>
      </c>
      <c r="I3762" s="9">
        <v>14</v>
      </c>
      <c r="J3762" s="10">
        <v>286.56</v>
      </c>
      <c r="K3762" s="9" t="str">
        <f>TEXT(Sales_of_Jordan[[#This Row],[Sale_Date]],"mmm")</f>
        <v>Jun</v>
      </c>
    </row>
    <row r="3763" spans="1:11" x14ac:dyDescent="0.35">
      <c r="A3763" s="7" t="s">
        <v>3793</v>
      </c>
      <c r="B3763" s="8">
        <v>45698</v>
      </c>
      <c r="C3763" s="9" t="s">
        <v>16</v>
      </c>
      <c r="D3763" s="9" t="s">
        <v>22</v>
      </c>
      <c r="E3763" s="9" t="s">
        <v>18</v>
      </c>
      <c r="F3763" s="9">
        <v>185</v>
      </c>
      <c r="G3763" s="9">
        <v>276.86</v>
      </c>
      <c r="H3763" s="9" t="s">
        <v>32</v>
      </c>
      <c r="I3763" s="9">
        <v>25</v>
      </c>
      <c r="J3763" s="10">
        <v>91.86</v>
      </c>
      <c r="K3763" s="9" t="str">
        <f>TEXT(Sales_of_Jordan[[#This Row],[Sale_Date]],"mmm")</f>
        <v>Feb</v>
      </c>
    </row>
    <row r="3764" spans="1:11" x14ac:dyDescent="0.35">
      <c r="A3764" s="7" t="s">
        <v>3794</v>
      </c>
      <c r="B3764" s="8">
        <v>45229</v>
      </c>
      <c r="C3764" s="9" t="s">
        <v>16</v>
      </c>
      <c r="D3764" s="9" t="s">
        <v>53</v>
      </c>
      <c r="E3764" s="9" t="s">
        <v>13</v>
      </c>
      <c r="F3764" s="9">
        <v>182</v>
      </c>
      <c r="G3764" s="9">
        <v>152.33000000000001</v>
      </c>
      <c r="H3764" s="9" t="s">
        <v>19</v>
      </c>
      <c r="I3764" s="9">
        <v>7</v>
      </c>
      <c r="J3764" s="10">
        <v>-29.669999999999899</v>
      </c>
      <c r="K3764" s="9" t="str">
        <f>TEXT(Sales_of_Jordan[[#This Row],[Sale_Date]],"mmm")</f>
        <v>Oct</v>
      </c>
    </row>
    <row r="3765" spans="1:11" x14ac:dyDescent="0.35">
      <c r="A3765" s="7" t="s">
        <v>3795</v>
      </c>
      <c r="B3765" s="8">
        <v>45397</v>
      </c>
      <c r="C3765" s="9" t="s">
        <v>31</v>
      </c>
      <c r="D3765" s="9" t="s">
        <v>22</v>
      </c>
      <c r="E3765" s="9" t="s">
        <v>29</v>
      </c>
      <c r="F3765" s="9">
        <v>202</v>
      </c>
      <c r="G3765" s="9">
        <v>216.67</v>
      </c>
      <c r="H3765" s="9" t="s">
        <v>32</v>
      </c>
      <c r="I3765" s="9">
        <v>36</v>
      </c>
      <c r="J3765" s="10">
        <v>14.6699999999999</v>
      </c>
      <c r="K3765" s="9" t="str">
        <f>TEXT(Sales_of_Jordan[[#This Row],[Sale_Date]],"mmm")</f>
        <v>Apr</v>
      </c>
    </row>
    <row r="3766" spans="1:11" x14ac:dyDescent="0.35">
      <c r="A3766" s="7" t="s">
        <v>3796</v>
      </c>
      <c r="B3766" s="8">
        <v>45895</v>
      </c>
      <c r="C3766" s="9" t="s">
        <v>21</v>
      </c>
      <c r="D3766" s="9" t="s">
        <v>46</v>
      </c>
      <c r="E3766" s="9" t="s">
        <v>18</v>
      </c>
      <c r="F3766" s="9">
        <v>216</v>
      </c>
      <c r="G3766" s="9">
        <v>380.48</v>
      </c>
      <c r="H3766" s="9" t="s">
        <v>32</v>
      </c>
      <c r="I3766" s="9">
        <v>9</v>
      </c>
      <c r="J3766" s="10">
        <v>164.48</v>
      </c>
      <c r="K3766" s="9" t="str">
        <f>TEXT(Sales_of_Jordan[[#This Row],[Sale_Date]],"mmm")</f>
        <v>Aug</v>
      </c>
    </row>
    <row r="3767" spans="1:11" x14ac:dyDescent="0.35">
      <c r="A3767" s="7" t="s">
        <v>3797</v>
      </c>
      <c r="B3767" s="8">
        <v>45594</v>
      </c>
      <c r="C3767" s="9" t="s">
        <v>11</v>
      </c>
      <c r="D3767" s="9" t="s">
        <v>17</v>
      </c>
      <c r="E3767" s="9" t="s">
        <v>18</v>
      </c>
      <c r="F3767" s="9">
        <v>226</v>
      </c>
      <c r="G3767" s="9">
        <v>531.6</v>
      </c>
      <c r="H3767" s="9" t="s">
        <v>32</v>
      </c>
      <c r="I3767" s="9">
        <v>26</v>
      </c>
      <c r="J3767" s="10">
        <v>305.60000000000002</v>
      </c>
      <c r="K3767" s="9" t="str">
        <f>TEXT(Sales_of_Jordan[[#This Row],[Sale_Date]],"mmm")</f>
        <v>Oct</v>
      </c>
    </row>
    <row r="3768" spans="1:11" x14ac:dyDescent="0.35">
      <c r="A3768" s="7" t="s">
        <v>3798</v>
      </c>
      <c r="B3768" s="8">
        <v>45804</v>
      </c>
      <c r="C3768" s="9" t="s">
        <v>16</v>
      </c>
      <c r="D3768" s="9" t="s">
        <v>34</v>
      </c>
      <c r="E3768" s="9" t="s">
        <v>18</v>
      </c>
      <c r="F3768" s="9">
        <v>188</v>
      </c>
      <c r="G3768" s="9">
        <v>436.38</v>
      </c>
      <c r="H3768" s="9" t="s">
        <v>23</v>
      </c>
      <c r="I3768" s="9">
        <v>58</v>
      </c>
      <c r="J3768" s="10">
        <v>248.38</v>
      </c>
      <c r="K3768" s="9" t="str">
        <f>TEXT(Sales_of_Jordan[[#This Row],[Sale_Date]],"mmm")</f>
        <v>May</v>
      </c>
    </row>
    <row r="3769" spans="1:11" x14ac:dyDescent="0.35">
      <c r="A3769" s="7" t="s">
        <v>3799</v>
      </c>
      <c r="B3769" s="8">
        <v>45630</v>
      </c>
      <c r="C3769" s="9" t="s">
        <v>16</v>
      </c>
      <c r="D3769" s="9" t="s">
        <v>34</v>
      </c>
      <c r="E3769" s="9" t="s">
        <v>29</v>
      </c>
      <c r="F3769" s="9">
        <v>187</v>
      </c>
      <c r="G3769" s="9">
        <v>225.07</v>
      </c>
      <c r="H3769" s="9" t="s">
        <v>32</v>
      </c>
      <c r="I3769" s="9">
        <v>49</v>
      </c>
      <c r="J3769" s="10">
        <v>38.069999999999901</v>
      </c>
      <c r="K3769" s="9" t="str">
        <f>TEXT(Sales_of_Jordan[[#This Row],[Sale_Date]],"mmm")</f>
        <v>Dec</v>
      </c>
    </row>
    <row r="3770" spans="1:11" x14ac:dyDescent="0.35">
      <c r="A3770" s="7" t="s">
        <v>3800</v>
      </c>
      <c r="B3770" s="8">
        <v>45113</v>
      </c>
      <c r="C3770" s="9" t="s">
        <v>16</v>
      </c>
      <c r="D3770" s="9" t="s">
        <v>34</v>
      </c>
      <c r="E3770" s="9" t="s">
        <v>13</v>
      </c>
      <c r="F3770" s="9">
        <v>171</v>
      </c>
      <c r="G3770" s="9">
        <v>100.65</v>
      </c>
      <c r="H3770" s="9" t="s">
        <v>14</v>
      </c>
      <c r="I3770" s="9">
        <v>13</v>
      </c>
      <c r="J3770" s="10">
        <v>-70.349999999999994</v>
      </c>
      <c r="K3770" s="9" t="str">
        <f>TEXT(Sales_of_Jordan[[#This Row],[Sale_Date]],"mmm")</f>
        <v>Jul</v>
      </c>
    </row>
    <row r="3771" spans="1:11" x14ac:dyDescent="0.35">
      <c r="A3771" s="7" t="s">
        <v>3801</v>
      </c>
      <c r="B3771" s="8">
        <v>45413</v>
      </c>
      <c r="C3771" s="9" t="s">
        <v>27</v>
      </c>
      <c r="D3771" s="9" t="s">
        <v>46</v>
      </c>
      <c r="E3771" s="9" t="s">
        <v>13</v>
      </c>
      <c r="F3771" s="9">
        <v>139</v>
      </c>
      <c r="G3771" s="9">
        <v>92.6</v>
      </c>
      <c r="H3771" s="9" t="s">
        <v>23</v>
      </c>
      <c r="I3771" s="9">
        <v>39</v>
      </c>
      <c r="J3771" s="10">
        <v>-46.4</v>
      </c>
      <c r="K3771" s="9" t="str">
        <f>TEXT(Sales_of_Jordan[[#This Row],[Sale_Date]],"mmm")</f>
        <v>May</v>
      </c>
    </row>
    <row r="3772" spans="1:11" x14ac:dyDescent="0.35">
      <c r="A3772" s="7" t="s">
        <v>3802</v>
      </c>
      <c r="B3772" s="8">
        <v>45254</v>
      </c>
      <c r="C3772" s="9" t="s">
        <v>21</v>
      </c>
      <c r="D3772" s="9" t="s">
        <v>17</v>
      </c>
      <c r="E3772" s="9" t="s">
        <v>13</v>
      </c>
      <c r="F3772" s="9">
        <v>212</v>
      </c>
      <c r="G3772" s="9">
        <v>161.46</v>
      </c>
      <c r="H3772" s="9" t="s">
        <v>25</v>
      </c>
      <c r="I3772" s="9">
        <v>24</v>
      </c>
      <c r="J3772" s="10">
        <v>-50.5399999999999</v>
      </c>
      <c r="K3772" s="9" t="str">
        <f>TEXT(Sales_of_Jordan[[#This Row],[Sale_Date]],"mmm")</f>
        <v>Nov</v>
      </c>
    </row>
    <row r="3773" spans="1:11" x14ac:dyDescent="0.35">
      <c r="A3773" s="7" t="s">
        <v>3803</v>
      </c>
      <c r="B3773" s="8">
        <v>45681</v>
      </c>
      <c r="C3773" s="9" t="s">
        <v>21</v>
      </c>
      <c r="D3773" s="9" t="s">
        <v>36</v>
      </c>
      <c r="E3773" s="9" t="s">
        <v>29</v>
      </c>
      <c r="F3773" s="9">
        <v>221</v>
      </c>
      <c r="G3773" s="9">
        <v>305.67</v>
      </c>
      <c r="H3773" s="9" t="s">
        <v>14</v>
      </c>
      <c r="I3773" s="9">
        <v>11</v>
      </c>
      <c r="J3773" s="10">
        <v>84.67</v>
      </c>
      <c r="K3773" s="9" t="str">
        <f>TEXT(Sales_of_Jordan[[#This Row],[Sale_Date]],"mmm")</f>
        <v>Jan</v>
      </c>
    </row>
    <row r="3774" spans="1:11" x14ac:dyDescent="0.35">
      <c r="A3774" s="7" t="s">
        <v>3804</v>
      </c>
      <c r="B3774" s="8">
        <v>45384</v>
      </c>
      <c r="C3774" s="9" t="s">
        <v>31</v>
      </c>
      <c r="D3774" s="9" t="s">
        <v>12</v>
      </c>
      <c r="E3774" s="9" t="s">
        <v>29</v>
      </c>
      <c r="F3774" s="9">
        <v>201</v>
      </c>
      <c r="G3774" s="9">
        <v>216.39</v>
      </c>
      <c r="H3774" s="9" t="s">
        <v>19</v>
      </c>
      <c r="I3774" s="9">
        <v>9</v>
      </c>
      <c r="J3774" s="10">
        <v>15.389999999999899</v>
      </c>
      <c r="K3774" s="9" t="str">
        <f>TEXT(Sales_of_Jordan[[#This Row],[Sale_Date]],"mmm")</f>
        <v>Apr</v>
      </c>
    </row>
    <row r="3775" spans="1:11" x14ac:dyDescent="0.35">
      <c r="A3775" s="7" t="s">
        <v>3805</v>
      </c>
      <c r="B3775" s="8">
        <v>45237</v>
      </c>
      <c r="C3775" s="9" t="s">
        <v>21</v>
      </c>
      <c r="D3775" s="9" t="s">
        <v>22</v>
      </c>
      <c r="E3775" s="9" t="s">
        <v>29</v>
      </c>
      <c r="F3775" s="9">
        <v>218</v>
      </c>
      <c r="G3775" s="9">
        <v>229.25</v>
      </c>
      <c r="H3775" s="9" t="s">
        <v>23</v>
      </c>
      <c r="I3775" s="9">
        <v>13</v>
      </c>
      <c r="J3775" s="10">
        <v>11.25</v>
      </c>
      <c r="K3775" s="9" t="str">
        <f>TEXT(Sales_of_Jordan[[#This Row],[Sale_Date]],"mmm")</f>
        <v>Nov</v>
      </c>
    </row>
    <row r="3776" spans="1:11" x14ac:dyDescent="0.35">
      <c r="A3776" s="7" t="s">
        <v>3806</v>
      </c>
      <c r="B3776" s="8">
        <v>45748</v>
      </c>
      <c r="C3776" s="9" t="s">
        <v>27</v>
      </c>
      <c r="D3776" s="9" t="s">
        <v>34</v>
      </c>
      <c r="E3776" s="9" t="s">
        <v>18</v>
      </c>
      <c r="F3776" s="9">
        <v>130</v>
      </c>
      <c r="G3776" s="9">
        <v>362.18</v>
      </c>
      <c r="H3776" s="9" t="s">
        <v>19</v>
      </c>
      <c r="I3776" s="9">
        <v>11</v>
      </c>
      <c r="J3776" s="10">
        <v>232.18</v>
      </c>
      <c r="K3776" s="9" t="str">
        <f>TEXT(Sales_of_Jordan[[#This Row],[Sale_Date]],"mmm")</f>
        <v>Apr</v>
      </c>
    </row>
    <row r="3777" spans="1:11" x14ac:dyDescent="0.35">
      <c r="A3777" s="7" t="s">
        <v>3807</v>
      </c>
      <c r="B3777" s="8">
        <v>45026</v>
      </c>
      <c r="C3777" s="9" t="s">
        <v>31</v>
      </c>
      <c r="D3777" s="9" t="s">
        <v>12</v>
      </c>
      <c r="E3777" s="9" t="s">
        <v>13</v>
      </c>
      <c r="F3777" s="9">
        <v>201</v>
      </c>
      <c r="G3777" s="9">
        <v>125.81</v>
      </c>
      <c r="H3777" s="9" t="s">
        <v>25</v>
      </c>
      <c r="I3777" s="9">
        <v>23</v>
      </c>
      <c r="J3777" s="10">
        <v>-75.19</v>
      </c>
      <c r="K3777" s="9" t="str">
        <f>TEXT(Sales_of_Jordan[[#This Row],[Sale_Date]],"mmm")</f>
        <v>Apr</v>
      </c>
    </row>
    <row r="3778" spans="1:11" x14ac:dyDescent="0.35">
      <c r="A3778" s="7" t="s">
        <v>3808</v>
      </c>
      <c r="B3778" s="8">
        <v>45682</v>
      </c>
      <c r="C3778" s="9" t="s">
        <v>27</v>
      </c>
      <c r="D3778" s="9" t="s">
        <v>12</v>
      </c>
      <c r="E3778" s="9" t="s">
        <v>13</v>
      </c>
      <c r="F3778" s="9">
        <v>116</v>
      </c>
      <c r="G3778" s="9">
        <v>69.81</v>
      </c>
      <c r="H3778" s="9" t="s">
        <v>23</v>
      </c>
      <c r="I3778" s="9">
        <v>44</v>
      </c>
      <c r="J3778" s="10">
        <v>-46.19</v>
      </c>
      <c r="K3778" s="9" t="str">
        <f>TEXT(Sales_of_Jordan[[#This Row],[Sale_Date]],"mmm")</f>
        <v>Jan</v>
      </c>
    </row>
    <row r="3779" spans="1:11" x14ac:dyDescent="0.35">
      <c r="A3779" s="7" t="s">
        <v>3809</v>
      </c>
      <c r="B3779" s="8">
        <v>45706</v>
      </c>
      <c r="C3779" s="9" t="s">
        <v>31</v>
      </c>
      <c r="D3779" s="9" t="s">
        <v>53</v>
      </c>
      <c r="E3779" s="9" t="s">
        <v>13</v>
      </c>
      <c r="F3779" s="9">
        <v>204</v>
      </c>
      <c r="G3779" s="9">
        <v>125.01</v>
      </c>
      <c r="H3779" s="9" t="s">
        <v>14</v>
      </c>
      <c r="I3779" s="9">
        <v>13</v>
      </c>
      <c r="J3779" s="10">
        <v>-78.989999999999995</v>
      </c>
      <c r="K3779" s="9" t="str">
        <f>TEXT(Sales_of_Jordan[[#This Row],[Sale_Date]],"mmm")</f>
        <v>Feb</v>
      </c>
    </row>
    <row r="3780" spans="1:11" x14ac:dyDescent="0.35">
      <c r="A3780" s="7" t="s">
        <v>3810</v>
      </c>
      <c r="B3780" s="8">
        <v>45023</v>
      </c>
      <c r="C3780" s="9" t="s">
        <v>27</v>
      </c>
      <c r="D3780" s="9" t="s">
        <v>12</v>
      </c>
      <c r="E3780" s="9" t="s">
        <v>29</v>
      </c>
      <c r="F3780" s="9">
        <v>127</v>
      </c>
      <c r="G3780" s="9">
        <v>134.21</v>
      </c>
      <c r="H3780" s="9" t="s">
        <v>14</v>
      </c>
      <c r="I3780" s="9">
        <v>5</v>
      </c>
      <c r="J3780" s="10">
        <v>7.21</v>
      </c>
      <c r="K3780" s="9" t="str">
        <f>TEXT(Sales_of_Jordan[[#This Row],[Sale_Date]],"mmm")</f>
        <v>Apr</v>
      </c>
    </row>
    <row r="3781" spans="1:11" x14ac:dyDescent="0.35">
      <c r="A3781" s="7" t="s">
        <v>3811</v>
      </c>
      <c r="B3781" s="8">
        <v>45473</v>
      </c>
      <c r="C3781" s="9" t="s">
        <v>27</v>
      </c>
      <c r="D3781" s="9" t="s">
        <v>12</v>
      </c>
      <c r="E3781" s="9" t="s">
        <v>13</v>
      </c>
      <c r="F3781" s="9">
        <v>134</v>
      </c>
      <c r="G3781" s="9">
        <v>90.31</v>
      </c>
      <c r="H3781" s="9" t="s">
        <v>32</v>
      </c>
      <c r="I3781" s="9">
        <v>9</v>
      </c>
      <c r="J3781" s="10">
        <v>-43.69</v>
      </c>
      <c r="K3781" s="9" t="str">
        <f>TEXT(Sales_of_Jordan[[#This Row],[Sale_Date]],"mmm")</f>
        <v>Jun</v>
      </c>
    </row>
    <row r="3782" spans="1:11" x14ac:dyDescent="0.35">
      <c r="A3782" s="7" t="s">
        <v>3812</v>
      </c>
      <c r="B3782" s="8">
        <v>45192</v>
      </c>
      <c r="C3782" s="9" t="s">
        <v>11</v>
      </c>
      <c r="D3782" s="9" t="s">
        <v>36</v>
      </c>
      <c r="E3782" s="9" t="s">
        <v>29</v>
      </c>
      <c r="F3782" s="9">
        <v>230</v>
      </c>
      <c r="G3782" s="9">
        <v>232.5</v>
      </c>
      <c r="H3782" s="9" t="s">
        <v>19</v>
      </c>
      <c r="I3782" s="9">
        <v>10</v>
      </c>
      <c r="J3782" s="10">
        <v>2.5</v>
      </c>
      <c r="K3782" s="9" t="str">
        <f>TEXT(Sales_of_Jordan[[#This Row],[Sale_Date]],"mmm")</f>
        <v>Sep</v>
      </c>
    </row>
    <row r="3783" spans="1:11" x14ac:dyDescent="0.35">
      <c r="A3783" s="7" t="s">
        <v>3813</v>
      </c>
      <c r="B3783" s="8">
        <v>45391</v>
      </c>
      <c r="C3783" s="9" t="s">
        <v>11</v>
      </c>
      <c r="D3783" s="9" t="s">
        <v>46</v>
      </c>
      <c r="E3783" s="9" t="s">
        <v>29</v>
      </c>
      <c r="F3783" s="9">
        <v>230</v>
      </c>
      <c r="G3783" s="9">
        <v>224.11</v>
      </c>
      <c r="H3783" s="9" t="s">
        <v>32</v>
      </c>
      <c r="I3783" s="9">
        <v>44</v>
      </c>
      <c r="J3783" s="10">
        <v>-5.8899999999999801</v>
      </c>
      <c r="K3783" s="9" t="str">
        <f>TEXT(Sales_of_Jordan[[#This Row],[Sale_Date]],"mmm")</f>
        <v>Apr</v>
      </c>
    </row>
    <row r="3784" spans="1:11" x14ac:dyDescent="0.35">
      <c r="A3784" s="7" t="s">
        <v>3814</v>
      </c>
      <c r="B3784" s="8">
        <v>45109</v>
      </c>
      <c r="C3784" s="9" t="s">
        <v>31</v>
      </c>
      <c r="D3784" s="9" t="s">
        <v>34</v>
      </c>
      <c r="E3784" s="9" t="s">
        <v>18</v>
      </c>
      <c r="F3784" s="9">
        <v>204</v>
      </c>
      <c r="G3784" s="9">
        <v>665.65</v>
      </c>
      <c r="H3784" s="9" t="s">
        <v>25</v>
      </c>
      <c r="I3784" s="9">
        <v>43</v>
      </c>
      <c r="J3784" s="10">
        <v>461.65</v>
      </c>
      <c r="K3784" s="9" t="str">
        <f>TEXT(Sales_of_Jordan[[#This Row],[Sale_Date]],"mmm")</f>
        <v>Jul</v>
      </c>
    </row>
    <row r="3785" spans="1:11" x14ac:dyDescent="0.35">
      <c r="A3785" s="7" t="s">
        <v>3815</v>
      </c>
      <c r="B3785" s="8">
        <v>45107</v>
      </c>
      <c r="C3785" s="9" t="s">
        <v>21</v>
      </c>
      <c r="D3785" s="9" t="s">
        <v>22</v>
      </c>
      <c r="E3785" s="9" t="s">
        <v>18</v>
      </c>
      <c r="F3785" s="9">
        <v>218</v>
      </c>
      <c r="G3785" s="9">
        <v>355.27</v>
      </c>
      <c r="H3785" s="9" t="s">
        <v>19</v>
      </c>
      <c r="I3785" s="9">
        <v>6</v>
      </c>
      <c r="J3785" s="10">
        <v>137.26999999999899</v>
      </c>
      <c r="K3785" s="9" t="str">
        <f>TEXT(Sales_of_Jordan[[#This Row],[Sale_Date]],"mmm")</f>
        <v>Jun</v>
      </c>
    </row>
    <row r="3786" spans="1:11" x14ac:dyDescent="0.35">
      <c r="A3786" s="7" t="s">
        <v>3816</v>
      </c>
      <c r="B3786" s="8">
        <v>45039</v>
      </c>
      <c r="C3786" s="9" t="s">
        <v>31</v>
      </c>
      <c r="D3786" s="9" t="s">
        <v>46</v>
      </c>
      <c r="E3786" s="9" t="s">
        <v>29</v>
      </c>
      <c r="F3786" s="9">
        <v>202</v>
      </c>
      <c r="G3786" s="9">
        <v>238.38</v>
      </c>
      <c r="H3786" s="9" t="s">
        <v>25</v>
      </c>
      <c r="I3786" s="9">
        <v>9</v>
      </c>
      <c r="J3786" s="10">
        <v>36.379999999999903</v>
      </c>
      <c r="K3786" s="9" t="str">
        <f>TEXT(Sales_of_Jordan[[#This Row],[Sale_Date]],"mmm")</f>
        <v>Apr</v>
      </c>
    </row>
    <row r="3787" spans="1:11" x14ac:dyDescent="0.35">
      <c r="A3787" s="7" t="s">
        <v>3817</v>
      </c>
      <c r="B3787" s="8">
        <v>45147</v>
      </c>
      <c r="C3787" s="9" t="s">
        <v>21</v>
      </c>
      <c r="D3787" s="9" t="s">
        <v>22</v>
      </c>
      <c r="E3787" s="9" t="s">
        <v>18</v>
      </c>
      <c r="F3787" s="9">
        <v>213</v>
      </c>
      <c r="G3787" s="9">
        <v>712.86</v>
      </c>
      <c r="H3787" s="9" t="s">
        <v>23</v>
      </c>
      <c r="I3787" s="9">
        <v>32</v>
      </c>
      <c r="J3787" s="10">
        <v>499.86</v>
      </c>
      <c r="K3787" s="9" t="str">
        <f>TEXT(Sales_of_Jordan[[#This Row],[Sale_Date]],"mmm")</f>
        <v>Aug</v>
      </c>
    </row>
    <row r="3788" spans="1:11" x14ac:dyDescent="0.35">
      <c r="A3788" s="7" t="s">
        <v>3818</v>
      </c>
      <c r="B3788" s="8">
        <v>45243</v>
      </c>
      <c r="C3788" s="9" t="s">
        <v>31</v>
      </c>
      <c r="D3788" s="9" t="s">
        <v>22</v>
      </c>
      <c r="E3788" s="9" t="s">
        <v>18</v>
      </c>
      <c r="F3788" s="9">
        <v>209</v>
      </c>
      <c r="G3788" s="9">
        <v>505.17</v>
      </c>
      <c r="H3788" s="9" t="s">
        <v>32</v>
      </c>
      <c r="I3788" s="9">
        <v>59</v>
      </c>
      <c r="J3788" s="10">
        <v>296.17</v>
      </c>
      <c r="K3788" s="9" t="str">
        <f>TEXT(Sales_of_Jordan[[#This Row],[Sale_Date]],"mmm")</f>
        <v>Nov</v>
      </c>
    </row>
    <row r="3789" spans="1:11" x14ac:dyDescent="0.35">
      <c r="A3789" s="7" t="s">
        <v>3819</v>
      </c>
      <c r="B3789" s="8">
        <v>45525</v>
      </c>
      <c r="C3789" s="9" t="s">
        <v>27</v>
      </c>
      <c r="D3789" s="9" t="s">
        <v>46</v>
      </c>
      <c r="E3789" s="9" t="s">
        <v>13</v>
      </c>
      <c r="F3789" s="9">
        <v>115</v>
      </c>
      <c r="G3789" s="9">
        <v>74.180000000000007</v>
      </c>
      <c r="H3789" s="9" t="s">
        <v>19</v>
      </c>
      <c r="I3789" s="9">
        <v>13</v>
      </c>
      <c r="J3789" s="10">
        <v>-40.819999999999901</v>
      </c>
      <c r="K3789" s="9" t="str">
        <f>TEXT(Sales_of_Jordan[[#This Row],[Sale_Date]],"mmm")</f>
        <v>Aug</v>
      </c>
    </row>
    <row r="3790" spans="1:11" x14ac:dyDescent="0.35">
      <c r="A3790" s="7" t="s">
        <v>3820</v>
      </c>
      <c r="B3790" s="8">
        <v>44968</v>
      </c>
      <c r="C3790" s="9" t="s">
        <v>21</v>
      </c>
      <c r="D3790" s="9" t="s">
        <v>53</v>
      </c>
      <c r="E3790" s="9" t="s">
        <v>13</v>
      </c>
      <c r="F3790" s="9">
        <v>210</v>
      </c>
      <c r="G3790" s="9">
        <v>108.42</v>
      </c>
      <c r="H3790" s="9" t="s">
        <v>23</v>
      </c>
      <c r="I3790" s="9">
        <v>41</v>
      </c>
      <c r="J3790" s="10">
        <v>-101.58</v>
      </c>
      <c r="K3790" s="9" t="str">
        <f>TEXT(Sales_of_Jordan[[#This Row],[Sale_Date]],"mmm")</f>
        <v>Feb</v>
      </c>
    </row>
    <row r="3791" spans="1:11" x14ac:dyDescent="0.35">
      <c r="A3791" s="7" t="s">
        <v>3821</v>
      </c>
      <c r="B3791" s="8">
        <v>45362</v>
      </c>
      <c r="C3791" s="9" t="s">
        <v>31</v>
      </c>
      <c r="D3791" s="9" t="s">
        <v>39</v>
      </c>
      <c r="E3791" s="9" t="s">
        <v>18</v>
      </c>
      <c r="F3791" s="9">
        <v>204</v>
      </c>
      <c r="G3791" s="9">
        <v>349.8</v>
      </c>
      <c r="H3791" s="9" t="s">
        <v>23</v>
      </c>
      <c r="I3791" s="9">
        <v>24</v>
      </c>
      <c r="J3791" s="10">
        <v>145.80000000000001</v>
      </c>
      <c r="K3791" s="9" t="str">
        <f>TEXT(Sales_of_Jordan[[#This Row],[Sale_Date]],"mmm")</f>
        <v>Mar</v>
      </c>
    </row>
    <row r="3792" spans="1:11" x14ac:dyDescent="0.35">
      <c r="A3792" s="7" t="s">
        <v>3822</v>
      </c>
      <c r="B3792" s="8">
        <v>45517</v>
      </c>
      <c r="C3792" s="9" t="s">
        <v>27</v>
      </c>
      <c r="D3792" s="9" t="s">
        <v>36</v>
      </c>
      <c r="E3792" s="9" t="s">
        <v>13</v>
      </c>
      <c r="F3792" s="9">
        <v>119</v>
      </c>
      <c r="G3792" s="9">
        <v>80.72</v>
      </c>
      <c r="H3792" s="9" t="s">
        <v>23</v>
      </c>
      <c r="I3792" s="9">
        <v>44</v>
      </c>
      <c r="J3792" s="10">
        <v>-38.28</v>
      </c>
      <c r="K3792" s="9" t="str">
        <f>TEXT(Sales_of_Jordan[[#This Row],[Sale_Date]],"mmm")</f>
        <v>Aug</v>
      </c>
    </row>
    <row r="3793" spans="1:11" x14ac:dyDescent="0.35">
      <c r="A3793" s="7" t="s">
        <v>3823</v>
      </c>
      <c r="B3793" s="8">
        <v>45154</v>
      </c>
      <c r="C3793" s="9" t="s">
        <v>21</v>
      </c>
      <c r="D3793" s="9" t="s">
        <v>12</v>
      </c>
      <c r="E3793" s="9" t="s">
        <v>18</v>
      </c>
      <c r="F3793" s="9">
        <v>211</v>
      </c>
      <c r="G3793" s="9">
        <v>403.02</v>
      </c>
      <c r="H3793" s="9" t="s">
        <v>19</v>
      </c>
      <c r="I3793" s="9">
        <v>8</v>
      </c>
      <c r="J3793" s="10">
        <v>192.01999999999899</v>
      </c>
      <c r="K3793" s="9" t="str">
        <f>TEXT(Sales_of_Jordan[[#This Row],[Sale_Date]],"mmm")</f>
        <v>Aug</v>
      </c>
    </row>
    <row r="3794" spans="1:11" x14ac:dyDescent="0.35">
      <c r="A3794" s="7" t="s">
        <v>3824</v>
      </c>
      <c r="B3794" s="8">
        <v>45045</v>
      </c>
      <c r="C3794" s="9" t="s">
        <v>27</v>
      </c>
      <c r="D3794" s="9" t="s">
        <v>39</v>
      </c>
      <c r="E3794" s="9" t="s">
        <v>13</v>
      </c>
      <c r="F3794" s="9">
        <v>127</v>
      </c>
      <c r="G3794" s="9">
        <v>112.7</v>
      </c>
      <c r="H3794" s="9" t="s">
        <v>25</v>
      </c>
      <c r="I3794" s="9">
        <v>44</v>
      </c>
      <c r="J3794" s="10">
        <v>-14.299999999999899</v>
      </c>
      <c r="K3794" s="9" t="str">
        <f>TEXT(Sales_of_Jordan[[#This Row],[Sale_Date]],"mmm")</f>
        <v>Apr</v>
      </c>
    </row>
    <row r="3795" spans="1:11" x14ac:dyDescent="0.35">
      <c r="A3795" s="7" t="s">
        <v>3825</v>
      </c>
      <c r="B3795" s="8">
        <v>45383</v>
      </c>
      <c r="C3795" s="9" t="s">
        <v>11</v>
      </c>
      <c r="D3795" s="9" t="s">
        <v>34</v>
      </c>
      <c r="E3795" s="9" t="s">
        <v>29</v>
      </c>
      <c r="F3795" s="9">
        <v>229</v>
      </c>
      <c r="G3795" s="9">
        <v>333.89</v>
      </c>
      <c r="H3795" s="9" t="s">
        <v>19</v>
      </c>
      <c r="I3795" s="9">
        <v>8</v>
      </c>
      <c r="J3795" s="10">
        <v>104.88999999999901</v>
      </c>
      <c r="K3795" s="9" t="str">
        <f>TEXT(Sales_of_Jordan[[#This Row],[Sale_Date]],"mmm")</f>
        <v>Apr</v>
      </c>
    </row>
    <row r="3796" spans="1:11" x14ac:dyDescent="0.35">
      <c r="A3796" s="7" t="s">
        <v>3826</v>
      </c>
      <c r="B3796" s="8">
        <v>45293</v>
      </c>
      <c r="C3796" s="9" t="s">
        <v>31</v>
      </c>
      <c r="D3796" s="9" t="s">
        <v>34</v>
      </c>
      <c r="E3796" s="9" t="s">
        <v>13</v>
      </c>
      <c r="F3796" s="9">
        <v>210</v>
      </c>
      <c r="G3796" s="9">
        <v>185.54</v>
      </c>
      <c r="H3796" s="9" t="s">
        <v>32</v>
      </c>
      <c r="I3796" s="9">
        <v>38</v>
      </c>
      <c r="J3796" s="10">
        <v>-24.46</v>
      </c>
      <c r="K3796" s="9" t="str">
        <f>TEXT(Sales_of_Jordan[[#This Row],[Sale_Date]],"mmm")</f>
        <v>Jan</v>
      </c>
    </row>
    <row r="3797" spans="1:11" x14ac:dyDescent="0.35">
      <c r="A3797" s="7" t="s">
        <v>3827</v>
      </c>
      <c r="B3797" s="8">
        <v>45629</v>
      </c>
      <c r="C3797" s="9" t="s">
        <v>16</v>
      </c>
      <c r="D3797" s="9" t="s">
        <v>17</v>
      </c>
      <c r="E3797" s="9" t="s">
        <v>18</v>
      </c>
      <c r="F3797" s="9">
        <v>189</v>
      </c>
      <c r="G3797" s="9">
        <v>568.11</v>
      </c>
      <c r="H3797" s="9" t="s">
        <v>25</v>
      </c>
      <c r="I3797" s="9">
        <v>8</v>
      </c>
      <c r="J3797" s="10">
        <v>379.11</v>
      </c>
      <c r="K3797" s="9" t="str">
        <f>TEXT(Sales_of_Jordan[[#This Row],[Sale_Date]],"mmm")</f>
        <v>Dec</v>
      </c>
    </row>
    <row r="3798" spans="1:11" x14ac:dyDescent="0.35">
      <c r="A3798" s="7" t="s">
        <v>3828</v>
      </c>
      <c r="B3798" s="8">
        <v>45823</v>
      </c>
      <c r="C3798" s="9" t="s">
        <v>27</v>
      </c>
      <c r="D3798" s="9" t="s">
        <v>39</v>
      </c>
      <c r="E3798" s="9" t="s">
        <v>13</v>
      </c>
      <c r="F3798" s="9">
        <v>119</v>
      </c>
      <c r="G3798" s="9">
        <v>102.34</v>
      </c>
      <c r="H3798" s="9" t="s">
        <v>14</v>
      </c>
      <c r="I3798" s="9">
        <v>9</v>
      </c>
      <c r="J3798" s="10">
        <v>-16.659999999999901</v>
      </c>
      <c r="K3798" s="9" t="str">
        <f>TEXT(Sales_of_Jordan[[#This Row],[Sale_Date]],"mmm")</f>
        <v>Jun</v>
      </c>
    </row>
    <row r="3799" spans="1:11" x14ac:dyDescent="0.35">
      <c r="A3799" s="7" t="s">
        <v>3829</v>
      </c>
      <c r="B3799" s="8">
        <v>45329</v>
      </c>
      <c r="C3799" s="9" t="s">
        <v>11</v>
      </c>
      <c r="D3799" s="9" t="s">
        <v>55</v>
      </c>
      <c r="E3799" s="9" t="s">
        <v>18</v>
      </c>
      <c r="F3799" s="9">
        <v>226</v>
      </c>
      <c r="G3799" s="9">
        <v>362.5</v>
      </c>
      <c r="H3799" s="9" t="s">
        <v>19</v>
      </c>
      <c r="I3799" s="9">
        <v>8</v>
      </c>
      <c r="J3799" s="10">
        <v>136.5</v>
      </c>
      <c r="K3799" s="9" t="str">
        <f>TEXT(Sales_of_Jordan[[#This Row],[Sale_Date]],"mmm")</f>
        <v>Feb</v>
      </c>
    </row>
    <row r="3800" spans="1:11" x14ac:dyDescent="0.35">
      <c r="A3800" s="7" t="s">
        <v>3830</v>
      </c>
      <c r="B3800" s="8">
        <v>45726</v>
      </c>
      <c r="C3800" s="9" t="s">
        <v>11</v>
      </c>
      <c r="D3800" s="9" t="s">
        <v>22</v>
      </c>
      <c r="E3800" s="9" t="s">
        <v>29</v>
      </c>
      <c r="F3800" s="9">
        <v>230</v>
      </c>
      <c r="G3800" s="9">
        <v>256.62</v>
      </c>
      <c r="H3800" s="9" t="s">
        <v>19</v>
      </c>
      <c r="I3800" s="9">
        <v>12</v>
      </c>
      <c r="J3800" s="10">
        <v>26.62</v>
      </c>
      <c r="K3800" s="9" t="str">
        <f>TEXT(Sales_of_Jordan[[#This Row],[Sale_Date]],"mmm")</f>
        <v>Mar</v>
      </c>
    </row>
    <row r="3801" spans="1:11" x14ac:dyDescent="0.35">
      <c r="A3801" s="7" t="s">
        <v>3831</v>
      </c>
      <c r="B3801" s="8">
        <v>45642</v>
      </c>
      <c r="C3801" s="9" t="s">
        <v>31</v>
      </c>
      <c r="D3801" s="9" t="s">
        <v>34</v>
      </c>
      <c r="E3801" s="9" t="s">
        <v>29</v>
      </c>
      <c r="F3801" s="9">
        <v>201</v>
      </c>
      <c r="G3801" s="9">
        <v>204.15</v>
      </c>
      <c r="H3801" s="9" t="s">
        <v>14</v>
      </c>
      <c r="I3801" s="9">
        <v>3</v>
      </c>
      <c r="J3801" s="10">
        <v>3.15</v>
      </c>
      <c r="K3801" s="9" t="str">
        <f>TEXT(Sales_of_Jordan[[#This Row],[Sale_Date]],"mmm")</f>
        <v>Dec</v>
      </c>
    </row>
    <row r="3802" spans="1:11" x14ac:dyDescent="0.35">
      <c r="A3802" s="7" t="s">
        <v>3832</v>
      </c>
      <c r="B3802" s="8">
        <v>45113</v>
      </c>
      <c r="C3802" s="9" t="s">
        <v>16</v>
      </c>
      <c r="D3802" s="9" t="s">
        <v>53</v>
      </c>
      <c r="E3802" s="9" t="s">
        <v>13</v>
      </c>
      <c r="F3802" s="9">
        <v>183</v>
      </c>
      <c r="G3802" s="9">
        <v>94.26</v>
      </c>
      <c r="H3802" s="9" t="s">
        <v>23</v>
      </c>
      <c r="I3802" s="9">
        <v>49</v>
      </c>
      <c r="J3802" s="10">
        <v>-88.74</v>
      </c>
      <c r="K3802" s="9" t="str">
        <f>TEXT(Sales_of_Jordan[[#This Row],[Sale_Date]],"mmm")</f>
        <v>Jul</v>
      </c>
    </row>
    <row r="3803" spans="1:11" x14ac:dyDescent="0.35">
      <c r="A3803" s="7" t="s">
        <v>3833</v>
      </c>
      <c r="B3803" s="8">
        <v>45371</v>
      </c>
      <c r="C3803" s="9" t="s">
        <v>27</v>
      </c>
      <c r="D3803" s="9" t="s">
        <v>39</v>
      </c>
      <c r="E3803" s="9" t="s">
        <v>18</v>
      </c>
      <c r="F3803" s="9">
        <v>131</v>
      </c>
      <c r="G3803" s="9">
        <v>165.02</v>
      </c>
      <c r="H3803" s="9" t="s">
        <v>25</v>
      </c>
      <c r="I3803" s="9">
        <v>18</v>
      </c>
      <c r="J3803" s="10">
        <v>34.020000000000003</v>
      </c>
      <c r="K3803" s="9" t="str">
        <f>TEXT(Sales_of_Jordan[[#This Row],[Sale_Date]],"mmm")</f>
        <v>Mar</v>
      </c>
    </row>
    <row r="3804" spans="1:11" x14ac:dyDescent="0.35">
      <c r="A3804" s="7" t="s">
        <v>3834</v>
      </c>
      <c r="B3804" s="8">
        <v>45514</v>
      </c>
      <c r="C3804" s="9" t="s">
        <v>11</v>
      </c>
      <c r="D3804" s="9" t="s">
        <v>17</v>
      </c>
      <c r="E3804" s="9" t="s">
        <v>29</v>
      </c>
      <c r="F3804" s="9">
        <v>227</v>
      </c>
      <c r="G3804" s="9">
        <v>259.29000000000002</v>
      </c>
      <c r="H3804" s="9" t="s">
        <v>25</v>
      </c>
      <c r="I3804" s="9">
        <v>44</v>
      </c>
      <c r="J3804" s="10">
        <v>32.29</v>
      </c>
      <c r="K3804" s="9" t="str">
        <f>TEXT(Sales_of_Jordan[[#This Row],[Sale_Date]],"mmm")</f>
        <v>Aug</v>
      </c>
    </row>
    <row r="3805" spans="1:11" x14ac:dyDescent="0.35">
      <c r="A3805" s="7" t="s">
        <v>3835</v>
      </c>
      <c r="B3805" s="8">
        <v>45414</v>
      </c>
      <c r="C3805" s="9" t="s">
        <v>21</v>
      </c>
      <c r="D3805" s="9" t="s">
        <v>46</v>
      </c>
      <c r="E3805" s="9" t="s">
        <v>13</v>
      </c>
      <c r="F3805" s="9">
        <v>222</v>
      </c>
      <c r="G3805" s="9">
        <v>153.71</v>
      </c>
      <c r="H3805" s="9" t="s">
        <v>32</v>
      </c>
      <c r="I3805" s="9">
        <v>28</v>
      </c>
      <c r="J3805" s="10">
        <v>-68.289999999999907</v>
      </c>
      <c r="K3805" s="9" t="str">
        <f>TEXT(Sales_of_Jordan[[#This Row],[Sale_Date]],"mmm")</f>
        <v>May</v>
      </c>
    </row>
    <row r="3806" spans="1:11" x14ac:dyDescent="0.35">
      <c r="A3806" s="7" t="s">
        <v>3836</v>
      </c>
      <c r="B3806" s="8">
        <v>45331</v>
      </c>
      <c r="C3806" s="9" t="s">
        <v>11</v>
      </c>
      <c r="D3806" s="9" t="s">
        <v>36</v>
      </c>
      <c r="E3806" s="9" t="s">
        <v>18</v>
      </c>
      <c r="F3806" s="9">
        <v>225</v>
      </c>
      <c r="G3806" s="9">
        <v>394.07</v>
      </c>
      <c r="H3806" s="9" t="s">
        <v>25</v>
      </c>
      <c r="I3806" s="9">
        <v>56</v>
      </c>
      <c r="J3806" s="10">
        <v>169.07</v>
      </c>
      <c r="K3806" s="9" t="str">
        <f>TEXT(Sales_of_Jordan[[#This Row],[Sale_Date]],"mmm")</f>
        <v>Feb</v>
      </c>
    </row>
    <row r="3807" spans="1:11" x14ac:dyDescent="0.35">
      <c r="A3807" s="7" t="s">
        <v>3837</v>
      </c>
      <c r="B3807" s="8">
        <v>45504</v>
      </c>
      <c r="C3807" s="9" t="s">
        <v>21</v>
      </c>
      <c r="D3807" s="9" t="s">
        <v>22</v>
      </c>
      <c r="E3807" s="9" t="s">
        <v>29</v>
      </c>
      <c r="F3807" s="9">
        <v>210</v>
      </c>
      <c r="G3807" s="9">
        <v>306.26</v>
      </c>
      <c r="H3807" s="9" t="s">
        <v>23</v>
      </c>
      <c r="I3807" s="9">
        <v>36</v>
      </c>
      <c r="J3807" s="10">
        <v>96.259999999999906</v>
      </c>
      <c r="K3807" s="9" t="str">
        <f>TEXT(Sales_of_Jordan[[#This Row],[Sale_Date]],"mmm")</f>
        <v>Jul</v>
      </c>
    </row>
    <row r="3808" spans="1:11" x14ac:dyDescent="0.35">
      <c r="A3808" s="7" t="s">
        <v>3838</v>
      </c>
      <c r="B3808" s="8">
        <v>44953</v>
      </c>
      <c r="C3808" s="9" t="s">
        <v>31</v>
      </c>
      <c r="D3808" s="9" t="s">
        <v>17</v>
      </c>
      <c r="E3808" s="9" t="s">
        <v>13</v>
      </c>
      <c r="F3808" s="9">
        <v>203</v>
      </c>
      <c r="G3808" s="9">
        <v>127.35</v>
      </c>
      <c r="H3808" s="9" t="s">
        <v>32</v>
      </c>
      <c r="I3808" s="9">
        <v>21</v>
      </c>
      <c r="J3808" s="10">
        <v>-75.650000000000006</v>
      </c>
      <c r="K3808" s="9" t="str">
        <f>TEXT(Sales_of_Jordan[[#This Row],[Sale_Date]],"mmm")</f>
        <v>Jan</v>
      </c>
    </row>
    <row r="3809" spans="1:11" x14ac:dyDescent="0.35">
      <c r="A3809" s="7" t="s">
        <v>3839</v>
      </c>
      <c r="B3809" s="8">
        <v>45910</v>
      </c>
      <c r="C3809" s="9" t="s">
        <v>21</v>
      </c>
      <c r="D3809" s="9" t="s">
        <v>46</v>
      </c>
      <c r="E3809" s="9" t="s">
        <v>13</v>
      </c>
      <c r="F3809" s="9">
        <v>210</v>
      </c>
      <c r="G3809" s="9">
        <v>143.19999999999999</v>
      </c>
      <c r="H3809" s="9" t="s">
        <v>32</v>
      </c>
      <c r="I3809" s="9">
        <v>55</v>
      </c>
      <c r="J3809" s="10">
        <v>-66.8</v>
      </c>
      <c r="K3809" s="9" t="str">
        <f>TEXT(Sales_of_Jordan[[#This Row],[Sale_Date]],"mmm")</f>
        <v>Sep</v>
      </c>
    </row>
    <row r="3810" spans="1:11" x14ac:dyDescent="0.35">
      <c r="A3810" s="7" t="s">
        <v>3840</v>
      </c>
      <c r="B3810" s="8">
        <v>45520</v>
      </c>
      <c r="C3810" s="9" t="s">
        <v>31</v>
      </c>
      <c r="D3810" s="9" t="s">
        <v>55</v>
      </c>
      <c r="E3810" s="9" t="s">
        <v>13</v>
      </c>
      <c r="F3810" s="9">
        <v>207</v>
      </c>
      <c r="G3810" s="9">
        <v>173.43</v>
      </c>
      <c r="H3810" s="9" t="s">
        <v>25</v>
      </c>
      <c r="I3810" s="9">
        <v>47</v>
      </c>
      <c r="J3810" s="10">
        <v>-33.569999999999901</v>
      </c>
      <c r="K3810" s="9" t="str">
        <f>TEXT(Sales_of_Jordan[[#This Row],[Sale_Date]],"mmm")</f>
        <v>Aug</v>
      </c>
    </row>
    <row r="3811" spans="1:11" x14ac:dyDescent="0.35">
      <c r="A3811" s="7" t="s">
        <v>3841</v>
      </c>
      <c r="B3811" s="8">
        <v>45253</v>
      </c>
      <c r="C3811" s="9" t="s">
        <v>31</v>
      </c>
      <c r="D3811" s="9" t="s">
        <v>12</v>
      </c>
      <c r="E3811" s="9" t="s">
        <v>29</v>
      </c>
      <c r="F3811" s="9">
        <v>201</v>
      </c>
      <c r="G3811" s="9">
        <v>297.52</v>
      </c>
      <c r="H3811" s="9" t="s">
        <v>23</v>
      </c>
      <c r="I3811" s="9">
        <v>60</v>
      </c>
      <c r="J3811" s="10">
        <v>96.519999999999897</v>
      </c>
      <c r="K3811" s="9" t="str">
        <f>TEXT(Sales_of_Jordan[[#This Row],[Sale_Date]],"mmm")</f>
        <v>Nov</v>
      </c>
    </row>
    <row r="3812" spans="1:11" x14ac:dyDescent="0.35">
      <c r="A3812" s="7" t="s">
        <v>3842</v>
      </c>
      <c r="B3812" s="8">
        <v>45354</v>
      </c>
      <c r="C3812" s="9" t="s">
        <v>27</v>
      </c>
      <c r="D3812" s="9" t="s">
        <v>39</v>
      </c>
      <c r="E3812" s="9" t="s">
        <v>18</v>
      </c>
      <c r="F3812" s="9">
        <v>140</v>
      </c>
      <c r="G3812" s="9">
        <v>444.94</v>
      </c>
      <c r="H3812" s="9" t="s">
        <v>14</v>
      </c>
      <c r="I3812" s="9">
        <v>11</v>
      </c>
      <c r="J3812" s="10">
        <v>304.94</v>
      </c>
      <c r="K3812" s="9" t="str">
        <f>TEXT(Sales_of_Jordan[[#This Row],[Sale_Date]],"mmm")</f>
        <v>Mar</v>
      </c>
    </row>
    <row r="3813" spans="1:11" x14ac:dyDescent="0.35">
      <c r="A3813" s="7" t="s">
        <v>3843</v>
      </c>
      <c r="B3813" s="8">
        <v>44951</v>
      </c>
      <c r="C3813" s="9" t="s">
        <v>27</v>
      </c>
      <c r="D3813" s="9" t="s">
        <v>55</v>
      </c>
      <c r="E3813" s="9" t="s">
        <v>29</v>
      </c>
      <c r="F3813" s="9">
        <v>115</v>
      </c>
      <c r="G3813" s="9">
        <v>139.61000000000001</v>
      </c>
      <c r="H3813" s="9" t="s">
        <v>25</v>
      </c>
      <c r="I3813" s="9">
        <v>28</v>
      </c>
      <c r="J3813" s="10">
        <v>24.61</v>
      </c>
      <c r="K3813" s="9" t="str">
        <f>TEXT(Sales_of_Jordan[[#This Row],[Sale_Date]],"mmm")</f>
        <v>Jan</v>
      </c>
    </row>
    <row r="3814" spans="1:11" x14ac:dyDescent="0.35">
      <c r="A3814" s="7" t="s">
        <v>3844</v>
      </c>
      <c r="B3814" s="8">
        <v>45597</v>
      </c>
      <c r="C3814" s="9" t="s">
        <v>27</v>
      </c>
      <c r="D3814" s="9" t="s">
        <v>36</v>
      </c>
      <c r="E3814" s="9" t="s">
        <v>29</v>
      </c>
      <c r="F3814" s="9">
        <v>115</v>
      </c>
      <c r="G3814" s="9">
        <v>159.47999999999999</v>
      </c>
      <c r="H3814" s="9" t="s">
        <v>32</v>
      </c>
      <c r="I3814" s="9">
        <v>50</v>
      </c>
      <c r="J3814" s="10">
        <v>44.479999999999897</v>
      </c>
      <c r="K3814" s="9" t="str">
        <f>TEXT(Sales_of_Jordan[[#This Row],[Sale_Date]],"mmm")</f>
        <v>Nov</v>
      </c>
    </row>
    <row r="3815" spans="1:11" x14ac:dyDescent="0.35">
      <c r="A3815" s="7" t="s">
        <v>3845</v>
      </c>
      <c r="B3815" s="8">
        <v>45276</v>
      </c>
      <c r="C3815" s="9" t="s">
        <v>11</v>
      </c>
      <c r="D3815" s="9" t="s">
        <v>53</v>
      </c>
      <c r="E3815" s="9" t="s">
        <v>29</v>
      </c>
      <c r="F3815" s="9">
        <v>226</v>
      </c>
      <c r="G3815" s="9">
        <v>307.13</v>
      </c>
      <c r="H3815" s="9" t="s">
        <v>25</v>
      </c>
      <c r="I3815" s="9">
        <v>45</v>
      </c>
      <c r="J3815" s="10">
        <v>81.13</v>
      </c>
      <c r="K3815" s="9" t="str">
        <f>TEXT(Sales_of_Jordan[[#This Row],[Sale_Date]],"mmm")</f>
        <v>Dec</v>
      </c>
    </row>
    <row r="3816" spans="1:11" x14ac:dyDescent="0.35">
      <c r="A3816" s="7" t="s">
        <v>3846</v>
      </c>
      <c r="B3816" s="8">
        <v>44934</v>
      </c>
      <c r="C3816" s="9" t="s">
        <v>16</v>
      </c>
      <c r="D3816" s="9" t="s">
        <v>22</v>
      </c>
      <c r="E3816" s="9" t="s">
        <v>18</v>
      </c>
      <c r="F3816" s="9">
        <v>189</v>
      </c>
      <c r="G3816" s="9">
        <v>459.56</v>
      </c>
      <c r="H3816" s="9" t="s">
        <v>32</v>
      </c>
      <c r="I3816" s="9">
        <v>32</v>
      </c>
      <c r="J3816" s="10">
        <v>270.56</v>
      </c>
      <c r="K3816" s="9" t="str">
        <f>TEXT(Sales_of_Jordan[[#This Row],[Sale_Date]],"mmm")</f>
        <v>Jan</v>
      </c>
    </row>
    <row r="3817" spans="1:11" x14ac:dyDescent="0.35">
      <c r="A3817" s="7" t="s">
        <v>3847</v>
      </c>
      <c r="B3817" s="8">
        <v>45220</v>
      </c>
      <c r="C3817" s="9" t="s">
        <v>31</v>
      </c>
      <c r="D3817" s="9" t="s">
        <v>12</v>
      </c>
      <c r="E3817" s="9" t="s">
        <v>13</v>
      </c>
      <c r="F3817" s="9">
        <v>202</v>
      </c>
      <c r="G3817" s="9">
        <v>119.19</v>
      </c>
      <c r="H3817" s="9" t="s">
        <v>25</v>
      </c>
      <c r="I3817" s="9">
        <v>37</v>
      </c>
      <c r="J3817" s="10">
        <v>-82.81</v>
      </c>
      <c r="K3817" s="9" t="str">
        <f>TEXT(Sales_of_Jordan[[#This Row],[Sale_Date]],"mmm")</f>
        <v>Oct</v>
      </c>
    </row>
    <row r="3818" spans="1:11" x14ac:dyDescent="0.35">
      <c r="A3818" s="7" t="s">
        <v>3848</v>
      </c>
      <c r="B3818" s="8">
        <v>45589</v>
      </c>
      <c r="C3818" s="9" t="s">
        <v>27</v>
      </c>
      <c r="D3818" s="9" t="s">
        <v>17</v>
      </c>
      <c r="E3818" s="9" t="s">
        <v>18</v>
      </c>
      <c r="F3818" s="9">
        <v>124</v>
      </c>
      <c r="G3818" s="9">
        <v>354.39</v>
      </c>
      <c r="H3818" s="9" t="s">
        <v>32</v>
      </c>
      <c r="I3818" s="9">
        <v>54</v>
      </c>
      <c r="J3818" s="10">
        <v>230.39</v>
      </c>
      <c r="K3818" s="9" t="str">
        <f>TEXT(Sales_of_Jordan[[#This Row],[Sale_Date]],"mmm")</f>
        <v>Oct</v>
      </c>
    </row>
    <row r="3819" spans="1:11" x14ac:dyDescent="0.35">
      <c r="A3819" s="7" t="s">
        <v>3849</v>
      </c>
      <c r="B3819" s="8">
        <v>45210</v>
      </c>
      <c r="C3819" s="9" t="s">
        <v>31</v>
      </c>
      <c r="D3819" s="9" t="s">
        <v>39</v>
      </c>
      <c r="E3819" s="9" t="s">
        <v>13</v>
      </c>
      <c r="F3819" s="9">
        <v>204</v>
      </c>
      <c r="G3819" s="9">
        <v>158.79</v>
      </c>
      <c r="H3819" s="9" t="s">
        <v>19</v>
      </c>
      <c r="I3819" s="9">
        <v>7</v>
      </c>
      <c r="J3819" s="10">
        <v>-45.21</v>
      </c>
      <c r="K3819" s="9" t="str">
        <f>TEXT(Sales_of_Jordan[[#This Row],[Sale_Date]],"mmm")</f>
        <v>Oct</v>
      </c>
    </row>
    <row r="3820" spans="1:11" x14ac:dyDescent="0.35">
      <c r="A3820" s="7" t="s">
        <v>3850</v>
      </c>
      <c r="B3820" s="8">
        <v>45060</v>
      </c>
      <c r="C3820" s="9" t="s">
        <v>11</v>
      </c>
      <c r="D3820" s="9" t="s">
        <v>46</v>
      </c>
      <c r="E3820" s="9" t="s">
        <v>29</v>
      </c>
      <c r="F3820" s="9">
        <v>229</v>
      </c>
      <c r="G3820" s="9">
        <v>301.14999999999998</v>
      </c>
      <c r="H3820" s="9" t="s">
        <v>19</v>
      </c>
      <c r="I3820" s="9">
        <v>3</v>
      </c>
      <c r="J3820" s="10">
        <v>72.149999999999906</v>
      </c>
      <c r="K3820" s="9" t="str">
        <f>TEXT(Sales_of_Jordan[[#This Row],[Sale_Date]],"mmm")</f>
        <v>May</v>
      </c>
    </row>
    <row r="3821" spans="1:11" x14ac:dyDescent="0.35">
      <c r="A3821" s="7" t="s">
        <v>3851</v>
      </c>
      <c r="B3821" s="8">
        <v>45643</v>
      </c>
      <c r="C3821" s="9" t="s">
        <v>21</v>
      </c>
      <c r="D3821" s="9" t="s">
        <v>34</v>
      </c>
      <c r="E3821" s="9" t="s">
        <v>18</v>
      </c>
      <c r="F3821" s="9">
        <v>211</v>
      </c>
      <c r="G3821" s="9">
        <v>323.55</v>
      </c>
      <c r="H3821" s="9" t="s">
        <v>19</v>
      </c>
      <c r="I3821" s="9">
        <v>14</v>
      </c>
      <c r="J3821" s="10">
        <v>112.55</v>
      </c>
      <c r="K3821" s="9" t="str">
        <f>TEXT(Sales_of_Jordan[[#This Row],[Sale_Date]],"mmm")</f>
        <v>Dec</v>
      </c>
    </row>
    <row r="3822" spans="1:11" x14ac:dyDescent="0.35">
      <c r="A3822" s="7" t="s">
        <v>3852</v>
      </c>
      <c r="B3822" s="8">
        <v>45084</v>
      </c>
      <c r="C3822" s="9" t="s">
        <v>27</v>
      </c>
      <c r="D3822" s="9" t="s">
        <v>36</v>
      </c>
      <c r="E3822" s="9" t="s">
        <v>29</v>
      </c>
      <c r="F3822" s="9">
        <v>125</v>
      </c>
      <c r="G3822" s="9">
        <v>176.39</v>
      </c>
      <c r="H3822" s="9" t="s">
        <v>23</v>
      </c>
      <c r="I3822" s="9">
        <v>20</v>
      </c>
      <c r="J3822" s="10">
        <v>51.389999999999901</v>
      </c>
      <c r="K3822" s="9" t="str">
        <f>TEXT(Sales_of_Jordan[[#This Row],[Sale_Date]],"mmm")</f>
        <v>Jun</v>
      </c>
    </row>
    <row r="3823" spans="1:11" x14ac:dyDescent="0.35">
      <c r="A3823" s="7" t="s">
        <v>3853</v>
      </c>
      <c r="B3823" s="8">
        <v>45211</v>
      </c>
      <c r="C3823" s="9" t="s">
        <v>27</v>
      </c>
      <c r="D3823" s="9" t="s">
        <v>53</v>
      </c>
      <c r="E3823" s="9" t="s">
        <v>13</v>
      </c>
      <c r="F3823" s="9">
        <v>130</v>
      </c>
      <c r="G3823" s="9">
        <v>74.28</v>
      </c>
      <c r="H3823" s="9" t="s">
        <v>14</v>
      </c>
      <c r="I3823" s="9">
        <v>10</v>
      </c>
      <c r="J3823" s="10">
        <v>-55.72</v>
      </c>
      <c r="K3823" s="9" t="str">
        <f>TEXT(Sales_of_Jordan[[#This Row],[Sale_Date]],"mmm")</f>
        <v>Oct</v>
      </c>
    </row>
    <row r="3824" spans="1:11" x14ac:dyDescent="0.35">
      <c r="A3824" s="7" t="s">
        <v>3854</v>
      </c>
      <c r="B3824" s="8">
        <v>44969</v>
      </c>
      <c r="C3824" s="9" t="s">
        <v>27</v>
      </c>
      <c r="D3824" s="9" t="s">
        <v>55</v>
      </c>
      <c r="E3824" s="9" t="s">
        <v>13</v>
      </c>
      <c r="F3824" s="9">
        <v>125</v>
      </c>
      <c r="G3824" s="9">
        <v>98.2</v>
      </c>
      <c r="H3824" s="9" t="s">
        <v>32</v>
      </c>
      <c r="I3824" s="9">
        <v>59</v>
      </c>
      <c r="J3824" s="10">
        <v>-26.799999999999901</v>
      </c>
      <c r="K3824" s="9" t="str">
        <f>TEXT(Sales_of_Jordan[[#This Row],[Sale_Date]],"mmm")</f>
        <v>Feb</v>
      </c>
    </row>
    <row r="3825" spans="1:11" x14ac:dyDescent="0.35">
      <c r="A3825" s="7" t="s">
        <v>3855</v>
      </c>
      <c r="B3825" s="8">
        <v>45461</v>
      </c>
      <c r="C3825" s="9" t="s">
        <v>27</v>
      </c>
      <c r="D3825" s="9" t="s">
        <v>39</v>
      </c>
      <c r="E3825" s="9" t="s">
        <v>18</v>
      </c>
      <c r="F3825" s="9">
        <v>132</v>
      </c>
      <c r="G3825" s="9">
        <v>397.96</v>
      </c>
      <c r="H3825" s="9" t="s">
        <v>25</v>
      </c>
      <c r="I3825" s="9">
        <v>11</v>
      </c>
      <c r="J3825" s="10">
        <v>265.95999999999998</v>
      </c>
      <c r="K3825" s="9" t="str">
        <f>TEXT(Sales_of_Jordan[[#This Row],[Sale_Date]],"mmm")</f>
        <v>Jun</v>
      </c>
    </row>
    <row r="3826" spans="1:11" x14ac:dyDescent="0.35">
      <c r="A3826" s="7" t="s">
        <v>3856</v>
      </c>
      <c r="B3826" s="8">
        <v>45209</v>
      </c>
      <c r="C3826" s="9" t="s">
        <v>21</v>
      </c>
      <c r="D3826" s="9" t="s">
        <v>17</v>
      </c>
      <c r="E3826" s="9" t="s">
        <v>18</v>
      </c>
      <c r="F3826" s="9">
        <v>213</v>
      </c>
      <c r="G3826" s="9">
        <v>287.55</v>
      </c>
      <c r="H3826" s="9" t="s">
        <v>32</v>
      </c>
      <c r="I3826" s="9">
        <v>55</v>
      </c>
      <c r="J3826" s="10">
        <v>74.55</v>
      </c>
      <c r="K3826" s="9" t="str">
        <f>TEXT(Sales_of_Jordan[[#This Row],[Sale_Date]],"mmm")</f>
        <v>Oct</v>
      </c>
    </row>
    <row r="3827" spans="1:11" x14ac:dyDescent="0.35">
      <c r="A3827" s="7" t="s">
        <v>3857</v>
      </c>
      <c r="B3827" s="8">
        <v>45648</v>
      </c>
      <c r="C3827" s="9" t="s">
        <v>16</v>
      </c>
      <c r="D3827" s="9" t="s">
        <v>39</v>
      </c>
      <c r="E3827" s="9" t="s">
        <v>29</v>
      </c>
      <c r="F3827" s="9">
        <v>187</v>
      </c>
      <c r="G3827" s="9">
        <v>221.78</v>
      </c>
      <c r="H3827" s="9" t="s">
        <v>14</v>
      </c>
      <c r="I3827" s="9">
        <v>14</v>
      </c>
      <c r="J3827" s="10">
        <v>34.78</v>
      </c>
      <c r="K3827" s="9" t="str">
        <f>TEXT(Sales_of_Jordan[[#This Row],[Sale_Date]],"mmm")</f>
        <v>Dec</v>
      </c>
    </row>
    <row r="3828" spans="1:11" x14ac:dyDescent="0.35">
      <c r="A3828" s="7" t="s">
        <v>3858</v>
      </c>
      <c r="B3828" s="8">
        <v>45664</v>
      </c>
      <c r="C3828" s="9" t="s">
        <v>31</v>
      </c>
      <c r="D3828" s="9" t="s">
        <v>22</v>
      </c>
      <c r="E3828" s="9" t="s">
        <v>18</v>
      </c>
      <c r="F3828" s="9">
        <v>208</v>
      </c>
      <c r="G3828" s="9">
        <v>249.79</v>
      </c>
      <c r="H3828" s="9" t="s">
        <v>14</v>
      </c>
      <c r="I3828" s="9">
        <v>6</v>
      </c>
      <c r="J3828" s="10">
        <v>41.7899999999999</v>
      </c>
      <c r="K3828" s="9" t="str">
        <f>TEXT(Sales_of_Jordan[[#This Row],[Sale_Date]],"mmm")</f>
        <v>Jan</v>
      </c>
    </row>
    <row r="3829" spans="1:11" x14ac:dyDescent="0.35">
      <c r="A3829" s="7" t="s">
        <v>3859</v>
      </c>
      <c r="B3829" s="8">
        <v>45715</v>
      </c>
      <c r="C3829" s="9" t="s">
        <v>16</v>
      </c>
      <c r="D3829" s="9" t="s">
        <v>17</v>
      </c>
      <c r="E3829" s="9" t="s">
        <v>18</v>
      </c>
      <c r="F3829" s="9">
        <v>182</v>
      </c>
      <c r="G3829" s="9">
        <v>462.68</v>
      </c>
      <c r="H3829" s="9" t="s">
        <v>19</v>
      </c>
      <c r="I3829" s="9">
        <v>9</v>
      </c>
      <c r="J3829" s="10">
        <v>280.68</v>
      </c>
      <c r="K3829" s="9" t="str">
        <f>TEXT(Sales_of_Jordan[[#This Row],[Sale_Date]],"mmm")</f>
        <v>Feb</v>
      </c>
    </row>
    <row r="3830" spans="1:11" x14ac:dyDescent="0.35">
      <c r="A3830" s="7" t="s">
        <v>3860</v>
      </c>
      <c r="B3830" s="8">
        <v>45582</v>
      </c>
      <c r="C3830" s="9" t="s">
        <v>21</v>
      </c>
      <c r="D3830" s="9" t="s">
        <v>55</v>
      </c>
      <c r="E3830" s="9" t="s">
        <v>13</v>
      </c>
      <c r="F3830" s="9">
        <v>221</v>
      </c>
      <c r="G3830" s="9">
        <v>148.71</v>
      </c>
      <c r="H3830" s="9" t="s">
        <v>19</v>
      </c>
      <c r="I3830" s="9">
        <v>11</v>
      </c>
      <c r="J3830" s="10">
        <v>-72.289999999999907</v>
      </c>
      <c r="K3830" s="9" t="str">
        <f>TEXT(Sales_of_Jordan[[#This Row],[Sale_Date]],"mmm")</f>
        <v>Oct</v>
      </c>
    </row>
    <row r="3831" spans="1:11" x14ac:dyDescent="0.35">
      <c r="A3831" s="7" t="s">
        <v>3861</v>
      </c>
      <c r="B3831" s="8">
        <v>45878</v>
      </c>
      <c r="C3831" s="9" t="s">
        <v>11</v>
      </c>
      <c r="D3831" s="9" t="s">
        <v>34</v>
      </c>
      <c r="E3831" s="9" t="s">
        <v>29</v>
      </c>
      <c r="F3831" s="9">
        <v>230</v>
      </c>
      <c r="G3831" s="9">
        <v>229.77</v>
      </c>
      <c r="H3831" s="9" t="s">
        <v>25</v>
      </c>
      <c r="I3831" s="9">
        <v>51</v>
      </c>
      <c r="J3831" s="10">
        <v>-0.22999999999998899</v>
      </c>
      <c r="K3831" s="9" t="str">
        <f>TEXT(Sales_of_Jordan[[#This Row],[Sale_Date]],"mmm")</f>
        <v>Aug</v>
      </c>
    </row>
    <row r="3832" spans="1:11" x14ac:dyDescent="0.35">
      <c r="A3832" s="7" t="s">
        <v>3862</v>
      </c>
      <c r="B3832" s="8">
        <v>45708</v>
      </c>
      <c r="C3832" s="9" t="s">
        <v>31</v>
      </c>
      <c r="D3832" s="9" t="s">
        <v>17</v>
      </c>
      <c r="E3832" s="9" t="s">
        <v>13</v>
      </c>
      <c r="F3832" s="9">
        <v>208</v>
      </c>
      <c r="G3832" s="9">
        <v>153.06</v>
      </c>
      <c r="H3832" s="9" t="s">
        <v>19</v>
      </c>
      <c r="I3832" s="9">
        <v>12</v>
      </c>
      <c r="J3832" s="10">
        <v>-54.94</v>
      </c>
      <c r="K3832" s="9" t="str">
        <f>TEXT(Sales_of_Jordan[[#This Row],[Sale_Date]],"mmm")</f>
        <v>Feb</v>
      </c>
    </row>
    <row r="3833" spans="1:11" x14ac:dyDescent="0.35">
      <c r="A3833" s="7" t="s">
        <v>3863</v>
      </c>
      <c r="B3833" s="8">
        <v>45006</v>
      </c>
      <c r="C3833" s="9" t="s">
        <v>31</v>
      </c>
      <c r="D3833" s="9" t="s">
        <v>55</v>
      </c>
      <c r="E3833" s="9" t="s">
        <v>29</v>
      </c>
      <c r="F3833" s="9">
        <v>209</v>
      </c>
      <c r="G3833" s="9">
        <v>245.58</v>
      </c>
      <c r="H3833" s="9" t="s">
        <v>23</v>
      </c>
      <c r="I3833" s="9">
        <v>10</v>
      </c>
      <c r="J3833" s="10">
        <v>36.58</v>
      </c>
      <c r="K3833" s="9" t="str">
        <f>TEXT(Sales_of_Jordan[[#This Row],[Sale_Date]],"mmm")</f>
        <v>Mar</v>
      </c>
    </row>
    <row r="3834" spans="1:11" x14ac:dyDescent="0.35">
      <c r="A3834" s="7" t="s">
        <v>3864</v>
      </c>
      <c r="B3834" s="8">
        <v>45363</v>
      </c>
      <c r="C3834" s="9" t="s">
        <v>16</v>
      </c>
      <c r="D3834" s="9" t="s">
        <v>46</v>
      </c>
      <c r="E3834" s="9" t="s">
        <v>29</v>
      </c>
      <c r="F3834" s="9">
        <v>170</v>
      </c>
      <c r="G3834" s="9">
        <v>239.66</v>
      </c>
      <c r="H3834" s="9" t="s">
        <v>19</v>
      </c>
      <c r="I3834" s="9">
        <v>12</v>
      </c>
      <c r="J3834" s="10">
        <v>69.66</v>
      </c>
      <c r="K3834" s="9" t="str">
        <f>TEXT(Sales_of_Jordan[[#This Row],[Sale_Date]],"mmm")</f>
        <v>Mar</v>
      </c>
    </row>
    <row r="3835" spans="1:11" x14ac:dyDescent="0.35">
      <c r="A3835" s="7" t="s">
        <v>3865</v>
      </c>
      <c r="B3835" s="8">
        <v>45129</v>
      </c>
      <c r="C3835" s="9" t="s">
        <v>31</v>
      </c>
      <c r="D3835" s="9" t="s">
        <v>55</v>
      </c>
      <c r="E3835" s="9" t="s">
        <v>29</v>
      </c>
      <c r="F3835" s="9">
        <v>207</v>
      </c>
      <c r="G3835" s="9">
        <v>245.73</v>
      </c>
      <c r="H3835" s="9" t="s">
        <v>25</v>
      </c>
      <c r="I3835" s="9">
        <v>10</v>
      </c>
      <c r="J3835" s="10">
        <v>38.729999999999897</v>
      </c>
      <c r="K3835" s="9" t="str">
        <f>TEXT(Sales_of_Jordan[[#This Row],[Sale_Date]],"mmm")</f>
        <v>Jul</v>
      </c>
    </row>
    <row r="3836" spans="1:11" x14ac:dyDescent="0.35">
      <c r="A3836" s="7" t="s">
        <v>3866</v>
      </c>
      <c r="B3836" s="8">
        <v>45419</v>
      </c>
      <c r="C3836" s="9" t="s">
        <v>21</v>
      </c>
      <c r="D3836" s="9" t="s">
        <v>53</v>
      </c>
      <c r="E3836" s="9" t="s">
        <v>18</v>
      </c>
      <c r="F3836" s="9">
        <v>211</v>
      </c>
      <c r="G3836" s="9">
        <v>329.25</v>
      </c>
      <c r="H3836" s="9" t="s">
        <v>23</v>
      </c>
      <c r="I3836" s="9">
        <v>56</v>
      </c>
      <c r="J3836" s="10">
        <v>118.25</v>
      </c>
      <c r="K3836" s="9" t="str">
        <f>TEXT(Sales_of_Jordan[[#This Row],[Sale_Date]],"mmm")</f>
        <v>May</v>
      </c>
    </row>
    <row r="3837" spans="1:11" x14ac:dyDescent="0.35">
      <c r="A3837" s="7" t="s">
        <v>3867</v>
      </c>
      <c r="B3837" s="8">
        <v>45894</v>
      </c>
      <c r="C3837" s="9" t="s">
        <v>27</v>
      </c>
      <c r="D3837" s="9" t="s">
        <v>55</v>
      </c>
      <c r="E3837" s="9" t="s">
        <v>29</v>
      </c>
      <c r="F3837" s="9">
        <v>126</v>
      </c>
      <c r="G3837" s="9">
        <v>121.55</v>
      </c>
      <c r="H3837" s="9" t="s">
        <v>19</v>
      </c>
      <c r="I3837" s="9">
        <v>2</v>
      </c>
      <c r="J3837" s="10">
        <v>-4.45</v>
      </c>
      <c r="K3837" s="9" t="str">
        <f>TEXT(Sales_of_Jordan[[#This Row],[Sale_Date]],"mmm")</f>
        <v>Aug</v>
      </c>
    </row>
    <row r="3838" spans="1:11" x14ac:dyDescent="0.35">
      <c r="A3838" s="7" t="s">
        <v>3868</v>
      </c>
      <c r="B3838" s="8">
        <v>45813</v>
      </c>
      <c r="C3838" s="9" t="s">
        <v>21</v>
      </c>
      <c r="D3838" s="9" t="s">
        <v>12</v>
      </c>
      <c r="E3838" s="9" t="s">
        <v>18</v>
      </c>
      <c r="F3838" s="9">
        <v>211</v>
      </c>
      <c r="G3838" s="9">
        <v>595.57000000000005</v>
      </c>
      <c r="H3838" s="9" t="s">
        <v>25</v>
      </c>
      <c r="I3838" s="9">
        <v>52</v>
      </c>
      <c r="J3838" s="10">
        <v>384.57</v>
      </c>
      <c r="K3838" s="9" t="str">
        <f>TEXT(Sales_of_Jordan[[#This Row],[Sale_Date]],"mmm")</f>
        <v>Jun</v>
      </c>
    </row>
    <row r="3839" spans="1:11" x14ac:dyDescent="0.35">
      <c r="A3839" s="7" t="s">
        <v>3869</v>
      </c>
      <c r="B3839" s="8">
        <v>45307</v>
      </c>
      <c r="C3839" s="9" t="s">
        <v>11</v>
      </c>
      <c r="D3839" s="9" t="s">
        <v>36</v>
      </c>
      <c r="E3839" s="9" t="s">
        <v>13</v>
      </c>
      <c r="F3839" s="9">
        <v>230</v>
      </c>
      <c r="G3839" s="9">
        <v>179.86</v>
      </c>
      <c r="H3839" s="9" t="s">
        <v>19</v>
      </c>
      <c r="I3839" s="9">
        <v>12</v>
      </c>
      <c r="J3839" s="10">
        <v>-50.139999999999901</v>
      </c>
      <c r="K3839" s="9" t="str">
        <f>TEXT(Sales_of_Jordan[[#This Row],[Sale_Date]],"mmm")</f>
        <v>Jan</v>
      </c>
    </row>
    <row r="3840" spans="1:11" x14ac:dyDescent="0.35">
      <c r="A3840" s="7" t="s">
        <v>3870</v>
      </c>
      <c r="B3840" s="8">
        <v>45918</v>
      </c>
      <c r="C3840" s="9" t="s">
        <v>11</v>
      </c>
      <c r="D3840" s="9" t="s">
        <v>22</v>
      </c>
      <c r="E3840" s="9" t="s">
        <v>29</v>
      </c>
      <c r="F3840" s="9">
        <v>226</v>
      </c>
      <c r="G3840" s="9">
        <v>293.86</v>
      </c>
      <c r="H3840" s="9" t="s">
        <v>23</v>
      </c>
      <c r="I3840" s="9">
        <v>5</v>
      </c>
      <c r="J3840" s="10">
        <v>67.86</v>
      </c>
      <c r="K3840" s="9" t="str">
        <f>TEXT(Sales_of_Jordan[[#This Row],[Sale_Date]],"mmm")</f>
        <v>Sep</v>
      </c>
    </row>
    <row r="3841" spans="1:11" x14ac:dyDescent="0.35">
      <c r="A3841" s="7" t="s">
        <v>3871</v>
      </c>
      <c r="B3841" s="8">
        <v>45175</v>
      </c>
      <c r="C3841" s="9" t="s">
        <v>31</v>
      </c>
      <c r="D3841" s="9" t="s">
        <v>17</v>
      </c>
      <c r="E3841" s="9" t="s">
        <v>18</v>
      </c>
      <c r="F3841" s="9">
        <v>207</v>
      </c>
      <c r="G3841" s="9">
        <v>719.2</v>
      </c>
      <c r="H3841" s="9" t="s">
        <v>23</v>
      </c>
      <c r="I3841" s="9">
        <v>29</v>
      </c>
      <c r="J3841" s="10">
        <v>512.20000000000005</v>
      </c>
      <c r="K3841" s="9" t="str">
        <f>TEXT(Sales_of_Jordan[[#This Row],[Sale_Date]],"mmm")</f>
        <v>Sep</v>
      </c>
    </row>
    <row r="3842" spans="1:11" x14ac:dyDescent="0.35">
      <c r="A3842" s="7" t="s">
        <v>3872</v>
      </c>
      <c r="B3842" s="8">
        <v>45916</v>
      </c>
      <c r="C3842" s="9" t="s">
        <v>16</v>
      </c>
      <c r="D3842" s="9" t="s">
        <v>55</v>
      </c>
      <c r="E3842" s="9" t="s">
        <v>29</v>
      </c>
      <c r="F3842" s="9">
        <v>179</v>
      </c>
      <c r="G3842" s="9">
        <v>168.74</v>
      </c>
      <c r="H3842" s="9" t="s">
        <v>32</v>
      </c>
      <c r="I3842" s="9">
        <v>45</v>
      </c>
      <c r="J3842" s="10">
        <v>-10.2599999999999</v>
      </c>
      <c r="K3842" s="9" t="str">
        <f>TEXT(Sales_of_Jordan[[#This Row],[Sale_Date]],"mmm")</f>
        <v>Sep</v>
      </c>
    </row>
    <row r="3843" spans="1:11" x14ac:dyDescent="0.35">
      <c r="A3843" s="7" t="s">
        <v>3873</v>
      </c>
      <c r="B3843" s="8">
        <v>45505</v>
      </c>
      <c r="C3843" s="9" t="s">
        <v>11</v>
      </c>
      <c r="D3843" s="9" t="s">
        <v>22</v>
      </c>
      <c r="E3843" s="9" t="s">
        <v>29</v>
      </c>
      <c r="F3843" s="9">
        <v>226</v>
      </c>
      <c r="G3843" s="9">
        <v>294</v>
      </c>
      <c r="H3843" s="9" t="s">
        <v>23</v>
      </c>
      <c r="I3843" s="9">
        <v>29</v>
      </c>
      <c r="J3843" s="10">
        <v>68</v>
      </c>
      <c r="K3843" s="9" t="str">
        <f>TEXT(Sales_of_Jordan[[#This Row],[Sale_Date]],"mmm")</f>
        <v>Aug</v>
      </c>
    </row>
    <row r="3844" spans="1:11" x14ac:dyDescent="0.35">
      <c r="A3844" s="7" t="s">
        <v>3874</v>
      </c>
      <c r="B3844" s="8">
        <v>45305</v>
      </c>
      <c r="C3844" s="9" t="s">
        <v>11</v>
      </c>
      <c r="D3844" s="9" t="s">
        <v>22</v>
      </c>
      <c r="E3844" s="9" t="s">
        <v>29</v>
      </c>
      <c r="F3844" s="9">
        <v>230</v>
      </c>
      <c r="G3844" s="9">
        <v>317.95</v>
      </c>
      <c r="H3844" s="9" t="s">
        <v>25</v>
      </c>
      <c r="I3844" s="9">
        <v>10</v>
      </c>
      <c r="J3844" s="10">
        <v>87.949999999999903</v>
      </c>
      <c r="K3844" s="9" t="str">
        <f>TEXT(Sales_of_Jordan[[#This Row],[Sale_Date]],"mmm")</f>
        <v>Jan</v>
      </c>
    </row>
    <row r="3845" spans="1:11" x14ac:dyDescent="0.35">
      <c r="A3845" s="7" t="s">
        <v>3875</v>
      </c>
      <c r="B3845" s="8">
        <v>45317</v>
      </c>
      <c r="C3845" s="9" t="s">
        <v>16</v>
      </c>
      <c r="D3845" s="9" t="s">
        <v>22</v>
      </c>
      <c r="E3845" s="9" t="s">
        <v>29</v>
      </c>
      <c r="F3845" s="9">
        <v>173</v>
      </c>
      <c r="G3845" s="9">
        <v>208.31</v>
      </c>
      <c r="H3845" s="9" t="s">
        <v>32</v>
      </c>
      <c r="I3845" s="9">
        <v>19</v>
      </c>
      <c r="J3845" s="10">
        <v>35.31</v>
      </c>
      <c r="K3845" s="9" t="str">
        <f>TEXT(Sales_of_Jordan[[#This Row],[Sale_Date]],"mmm")</f>
        <v>Jan</v>
      </c>
    </row>
    <row r="3846" spans="1:11" x14ac:dyDescent="0.35">
      <c r="A3846" s="7" t="s">
        <v>3876</v>
      </c>
      <c r="B3846" s="8">
        <v>45322</v>
      </c>
      <c r="C3846" s="9" t="s">
        <v>11</v>
      </c>
      <c r="D3846" s="9" t="s">
        <v>46</v>
      </c>
      <c r="E3846" s="9" t="s">
        <v>29</v>
      </c>
      <c r="F3846" s="9">
        <v>225</v>
      </c>
      <c r="G3846" s="9">
        <v>277.11</v>
      </c>
      <c r="H3846" s="9" t="s">
        <v>19</v>
      </c>
      <c r="I3846" s="9">
        <v>13</v>
      </c>
      <c r="J3846" s="10">
        <v>52.11</v>
      </c>
      <c r="K3846" s="9" t="str">
        <f>TEXT(Sales_of_Jordan[[#This Row],[Sale_Date]],"mmm")</f>
        <v>Jan</v>
      </c>
    </row>
    <row r="3847" spans="1:11" x14ac:dyDescent="0.35">
      <c r="A3847" s="7" t="s">
        <v>3877</v>
      </c>
      <c r="B3847" s="8">
        <v>45800</v>
      </c>
      <c r="C3847" s="9" t="s">
        <v>16</v>
      </c>
      <c r="D3847" s="9" t="s">
        <v>36</v>
      </c>
      <c r="E3847" s="9" t="s">
        <v>13</v>
      </c>
      <c r="F3847" s="9">
        <v>177</v>
      </c>
      <c r="G3847" s="9">
        <v>139.54</v>
      </c>
      <c r="H3847" s="9" t="s">
        <v>23</v>
      </c>
      <c r="I3847" s="9">
        <v>30</v>
      </c>
      <c r="J3847" s="10">
        <v>-37.46</v>
      </c>
      <c r="K3847" s="9" t="str">
        <f>TEXT(Sales_of_Jordan[[#This Row],[Sale_Date]],"mmm")</f>
        <v>May</v>
      </c>
    </row>
    <row r="3848" spans="1:11" x14ac:dyDescent="0.35">
      <c r="A3848" s="7" t="s">
        <v>3878</v>
      </c>
      <c r="B3848" s="8">
        <v>45427</v>
      </c>
      <c r="C3848" s="9" t="s">
        <v>16</v>
      </c>
      <c r="D3848" s="9" t="s">
        <v>55</v>
      </c>
      <c r="E3848" s="9" t="s">
        <v>13</v>
      </c>
      <c r="F3848" s="9">
        <v>188</v>
      </c>
      <c r="G3848" s="9">
        <v>116.41</v>
      </c>
      <c r="H3848" s="9" t="s">
        <v>14</v>
      </c>
      <c r="I3848" s="9">
        <v>11</v>
      </c>
      <c r="J3848" s="10">
        <v>-71.59</v>
      </c>
      <c r="K3848" s="9" t="str">
        <f>TEXT(Sales_of_Jordan[[#This Row],[Sale_Date]],"mmm")</f>
        <v>May</v>
      </c>
    </row>
    <row r="3849" spans="1:11" x14ac:dyDescent="0.35">
      <c r="A3849" s="7" t="s">
        <v>3879</v>
      </c>
      <c r="B3849" s="8">
        <v>45626</v>
      </c>
      <c r="C3849" s="9" t="s">
        <v>21</v>
      </c>
      <c r="D3849" s="9" t="s">
        <v>36</v>
      </c>
      <c r="E3849" s="9" t="s">
        <v>13</v>
      </c>
      <c r="F3849" s="9">
        <v>218</v>
      </c>
      <c r="G3849" s="9">
        <v>129.02000000000001</v>
      </c>
      <c r="H3849" s="9" t="s">
        <v>25</v>
      </c>
      <c r="I3849" s="9">
        <v>47</v>
      </c>
      <c r="J3849" s="10">
        <v>-88.979999999999905</v>
      </c>
      <c r="K3849" s="9" t="str">
        <f>TEXT(Sales_of_Jordan[[#This Row],[Sale_Date]],"mmm")</f>
        <v>Nov</v>
      </c>
    </row>
    <row r="3850" spans="1:11" x14ac:dyDescent="0.35">
      <c r="A3850" s="7" t="s">
        <v>3880</v>
      </c>
      <c r="B3850" s="8">
        <v>45852</v>
      </c>
      <c r="C3850" s="9" t="s">
        <v>31</v>
      </c>
      <c r="D3850" s="9" t="s">
        <v>46</v>
      </c>
      <c r="E3850" s="9" t="s">
        <v>13</v>
      </c>
      <c r="F3850" s="9">
        <v>209</v>
      </c>
      <c r="G3850" s="9">
        <v>176.17</v>
      </c>
      <c r="H3850" s="9" t="s">
        <v>32</v>
      </c>
      <c r="I3850" s="9">
        <v>55</v>
      </c>
      <c r="J3850" s="10">
        <v>-32.83</v>
      </c>
      <c r="K3850" s="9" t="str">
        <f>TEXT(Sales_of_Jordan[[#This Row],[Sale_Date]],"mmm")</f>
        <v>Jul</v>
      </c>
    </row>
    <row r="3851" spans="1:11" x14ac:dyDescent="0.35">
      <c r="A3851" s="7" t="s">
        <v>3881</v>
      </c>
      <c r="B3851" s="8">
        <v>45093</v>
      </c>
      <c r="C3851" s="9" t="s">
        <v>31</v>
      </c>
      <c r="D3851" s="9" t="s">
        <v>46</v>
      </c>
      <c r="E3851" s="9" t="s">
        <v>29</v>
      </c>
      <c r="F3851" s="9">
        <v>204</v>
      </c>
      <c r="G3851" s="9">
        <v>242.88</v>
      </c>
      <c r="H3851" s="9" t="s">
        <v>19</v>
      </c>
      <c r="I3851" s="9">
        <v>1</v>
      </c>
      <c r="J3851" s="10">
        <v>38.879999999999903</v>
      </c>
      <c r="K3851" s="9" t="str">
        <f>TEXT(Sales_of_Jordan[[#This Row],[Sale_Date]],"mmm")</f>
        <v>Jun</v>
      </c>
    </row>
    <row r="3852" spans="1:11" x14ac:dyDescent="0.35">
      <c r="A3852" s="7" t="s">
        <v>3882</v>
      </c>
      <c r="B3852" s="8">
        <v>45394</v>
      </c>
      <c r="C3852" s="9" t="s">
        <v>11</v>
      </c>
      <c r="D3852" s="9" t="s">
        <v>53</v>
      </c>
      <c r="E3852" s="9" t="s">
        <v>18</v>
      </c>
      <c r="F3852" s="9">
        <v>228</v>
      </c>
      <c r="G3852" s="9">
        <v>769.51</v>
      </c>
      <c r="H3852" s="9" t="s">
        <v>23</v>
      </c>
      <c r="I3852" s="9">
        <v>13</v>
      </c>
      <c r="J3852" s="10">
        <v>541.51</v>
      </c>
      <c r="K3852" s="9" t="str">
        <f>TEXT(Sales_of_Jordan[[#This Row],[Sale_Date]],"mmm")</f>
        <v>Apr</v>
      </c>
    </row>
    <row r="3853" spans="1:11" x14ac:dyDescent="0.35">
      <c r="A3853" s="7" t="s">
        <v>3883</v>
      </c>
      <c r="B3853" s="8">
        <v>45866</v>
      </c>
      <c r="C3853" s="9" t="s">
        <v>27</v>
      </c>
      <c r="D3853" s="9" t="s">
        <v>53</v>
      </c>
      <c r="E3853" s="9" t="s">
        <v>18</v>
      </c>
      <c r="F3853" s="9">
        <v>126</v>
      </c>
      <c r="G3853" s="9">
        <v>170.68</v>
      </c>
      <c r="H3853" s="9" t="s">
        <v>25</v>
      </c>
      <c r="I3853" s="9">
        <v>40</v>
      </c>
      <c r="J3853" s="10">
        <v>44.68</v>
      </c>
      <c r="K3853" s="9" t="str">
        <f>TEXT(Sales_of_Jordan[[#This Row],[Sale_Date]],"mmm")</f>
        <v>Jul</v>
      </c>
    </row>
    <row r="3854" spans="1:11" x14ac:dyDescent="0.35">
      <c r="A3854" s="7" t="s">
        <v>3884</v>
      </c>
      <c r="B3854" s="8">
        <v>45673</v>
      </c>
      <c r="C3854" s="9" t="s">
        <v>21</v>
      </c>
      <c r="D3854" s="9" t="s">
        <v>17</v>
      </c>
      <c r="E3854" s="9" t="s">
        <v>29</v>
      </c>
      <c r="F3854" s="9">
        <v>221</v>
      </c>
      <c r="G3854" s="9">
        <v>224.1</v>
      </c>
      <c r="H3854" s="9" t="s">
        <v>19</v>
      </c>
      <c r="I3854" s="9">
        <v>13</v>
      </c>
      <c r="J3854" s="10">
        <v>3.0999999999999899</v>
      </c>
      <c r="K3854" s="9" t="str">
        <f>TEXT(Sales_of_Jordan[[#This Row],[Sale_Date]],"mmm")</f>
        <v>Jan</v>
      </c>
    </row>
    <row r="3855" spans="1:11" x14ac:dyDescent="0.35">
      <c r="A3855" s="7" t="s">
        <v>3885</v>
      </c>
      <c r="B3855" s="8">
        <v>45605</v>
      </c>
      <c r="C3855" s="9" t="s">
        <v>31</v>
      </c>
      <c r="D3855" s="9" t="s">
        <v>39</v>
      </c>
      <c r="E3855" s="9" t="s">
        <v>13</v>
      </c>
      <c r="F3855" s="9">
        <v>200</v>
      </c>
      <c r="G3855" s="9">
        <v>110.78</v>
      </c>
      <c r="H3855" s="9" t="s">
        <v>19</v>
      </c>
      <c r="I3855" s="9">
        <v>13</v>
      </c>
      <c r="J3855" s="10">
        <v>-89.22</v>
      </c>
      <c r="K3855" s="9" t="str">
        <f>TEXT(Sales_of_Jordan[[#This Row],[Sale_Date]],"mmm")</f>
        <v>Nov</v>
      </c>
    </row>
    <row r="3856" spans="1:11" x14ac:dyDescent="0.35">
      <c r="A3856" s="7" t="s">
        <v>3886</v>
      </c>
      <c r="B3856" s="8">
        <v>45433</v>
      </c>
      <c r="C3856" s="9" t="s">
        <v>27</v>
      </c>
      <c r="D3856" s="9" t="s">
        <v>53</v>
      </c>
      <c r="E3856" s="9" t="s">
        <v>13</v>
      </c>
      <c r="F3856" s="9">
        <v>114</v>
      </c>
      <c r="G3856" s="9">
        <v>74.760000000000005</v>
      </c>
      <c r="H3856" s="9" t="s">
        <v>19</v>
      </c>
      <c r="I3856" s="9">
        <v>4</v>
      </c>
      <c r="J3856" s="10">
        <v>-39.239999999999903</v>
      </c>
      <c r="K3856" s="9" t="str">
        <f>TEXT(Sales_of_Jordan[[#This Row],[Sale_Date]],"mmm")</f>
        <v>May</v>
      </c>
    </row>
    <row r="3857" spans="1:11" x14ac:dyDescent="0.35">
      <c r="A3857" s="7" t="s">
        <v>3887</v>
      </c>
      <c r="B3857" s="8">
        <v>45265</v>
      </c>
      <c r="C3857" s="9" t="s">
        <v>31</v>
      </c>
      <c r="D3857" s="9" t="s">
        <v>36</v>
      </c>
      <c r="E3857" s="9" t="s">
        <v>29</v>
      </c>
      <c r="F3857" s="9">
        <v>207</v>
      </c>
      <c r="G3857" s="9">
        <v>194.71</v>
      </c>
      <c r="H3857" s="9" t="s">
        <v>19</v>
      </c>
      <c r="I3857" s="9">
        <v>10</v>
      </c>
      <c r="J3857" s="10">
        <v>-12.2899999999999</v>
      </c>
      <c r="K3857" s="9" t="str">
        <f>TEXT(Sales_of_Jordan[[#This Row],[Sale_Date]],"mmm")</f>
        <v>Dec</v>
      </c>
    </row>
    <row r="3858" spans="1:11" x14ac:dyDescent="0.35">
      <c r="A3858" s="7" t="s">
        <v>3888</v>
      </c>
      <c r="B3858" s="8">
        <v>45385</v>
      </c>
      <c r="C3858" s="9" t="s">
        <v>27</v>
      </c>
      <c r="D3858" s="9" t="s">
        <v>17</v>
      </c>
      <c r="E3858" s="9" t="s">
        <v>29</v>
      </c>
      <c r="F3858" s="9">
        <v>127</v>
      </c>
      <c r="G3858" s="9">
        <v>131.82</v>
      </c>
      <c r="H3858" s="9" t="s">
        <v>32</v>
      </c>
      <c r="I3858" s="9">
        <v>10</v>
      </c>
      <c r="J3858" s="10">
        <v>4.8199999999999896</v>
      </c>
      <c r="K3858" s="9" t="str">
        <f>TEXT(Sales_of_Jordan[[#This Row],[Sale_Date]],"mmm")</f>
        <v>Apr</v>
      </c>
    </row>
    <row r="3859" spans="1:11" x14ac:dyDescent="0.35">
      <c r="A3859" s="7" t="s">
        <v>3889</v>
      </c>
      <c r="B3859" s="8">
        <v>45418</v>
      </c>
      <c r="C3859" s="9" t="s">
        <v>31</v>
      </c>
      <c r="D3859" s="9" t="s">
        <v>55</v>
      </c>
      <c r="E3859" s="9" t="s">
        <v>29</v>
      </c>
      <c r="F3859" s="9">
        <v>204</v>
      </c>
      <c r="G3859" s="9">
        <v>216.86</v>
      </c>
      <c r="H3859" s="9" t="s">
        <v>32</v>
      </c>
      <c r="I3859" s="9">
        <v>35</v>
      </c>
      <c r="J3859" s="10">
        <v>12.86</v>
      </c>
      <c r="K3859" s="9" t="str">
        <f>TEXT(Sales_of_Jordan[[#This Row],[Sale_Date]],"mmm")</f>
        <v>May</v>
      </c>
    </row>
    <row r="3860" spans="1:11" x14ac:dyDescent="0.35">
      <c r="A3860" s="7" t="s">
        <v>3890</v>
      </c>
      <c r="B3860" s="8">
        <v>45453</v>
      </c>
      <c r="C3860" s="9" t="s">
        <v>11</v>
      </c>
      <c r="D3860" s="9" t="s">
        <v>46</v>
      </c>
      <c r="E3860" s="9" t="s">
        <v>13</v>
      </c>
      <c r="F3860" s="9">
        <v>229</v>
      </c>
      <c r="G3860" s="9">
        <v>190.14</v>
      </c>
      <c r="H3860" s="9" t="s">
        <v>23</v>
      </c>
      <c r="I3860" s="9">
        <v>33</v>
      </c>
      <c r="J3860" s="10">
        <v>-38.86</v>
      </c>
      <c r="K3860" s="9" t="str">
        <f>TEXT(Sales_of_Jordan[[#This Row],[Sale_Date]],"mmm")</f>
        <v>Jun</v>
      </c>
    </row>
    <row r="3861" spans="1:11" x14ac:dyDescent="0.35">
      <c r="A3861" s="7" t="s">
        <v>3891</v>
      </c>
      <c r="B3861" s="8">
        <v>45527</v>
      </c>
      <c r="C3861" s="9" t="s">
        <v>11</v>
      </c>
      <c r="D3861" s="9" t="s">
        <v>39</v>
      </c>
      <c r="E3861" s="9" t="s">
        <v>13</v>
      </c>
      <c r="F3861" s="9">
        <v>230</v>
      </c>
      <c r="G3861" s="9">
        <v>178.85</v>
      </c>
      <c r="H3861" s="9" t="s">
        <v>14</v>
      </c>
      <c r="I3861" s="9">
        <v>14</v>
      </c>
      <c r="J3861" s="10">
        <v>-51.15</v>
      </c>
      <c r="K3861" s="9" t="str">
        <f>TEXT(Sales_of_Jordan[[#This Row],[Sale_Date]],"mmm")</f>
        <v>Aug</v>
      </c>
    </row>
    <row r="3862" spans="1:11" x14ac:dyDescent="0.35">
      <c r="A3862" s="7" t="s">
        <v>3892</v>
      </c>
      <c r="B3862" s="8">
        <v>45069</v>
      </c>
      <c r="C3862" s="9" t="s">
        <v>21</v>
      </c>
      <c r="D3862" s="9" t="s">
        <v>39</v>
      </c>
      <c r="E3862" s="9" t="s">
        <v>18</v>
      </c>
      <c r="F3862" s="9">
        <v>215</v>
      </c>
      <c r="G3862" s="9">
        <v>280.08</v>
      </c>
      <c r="H3862" s="9" t="s">
        <v>32</v>
      </c>
      <c r="I3862" s="9">
        <v>45</v>
      </c>
      <c r="J3862" s="10">
        <v>65.079999999999899</v>
      </c>
      <c r="K3862" s="9" t="str">
        <f>TEXT(Sales_of_Jordan[[#This Row],[Sale_Date]],"mmm")</f>
        <v>May</v>
      </c>
    </row>
    <row r="3863" spans="1:11" x14ac:dyDescent="0.35">
      <c r="A3863" s="7" t="s">
        <v>3893</v>
      </c>
      <c r="B3863" s="8">
        <v>45303</v>
      </c>
      <c r="C3863" s="9" t="s">
        <v>21</v>
      </c>
      <c r="D3863" s="9" t="s">
        <v>53</v>
      </c>
      <c r="E3863" s="9" t="s">
        <v>29</v>
      </c>
      <c r="F3863" s="9">
        <v>224</v>
      </c>
      <c r="G3863" s="9">
        <v>306.27999999999997</v>
      </c>
      <c r="H3863" s="9" t="s">
        <v>14</v>
      </c>
      <c r="I3863" s="9">
        <v>14</v>
      </c>
      <c r="J3863" s="10">
        <v>82.279999999999902</v>
      </c>
      <c r="K3863" s="9" t="str">
        <f>TEXT(Sales_of_Jordan[[#This Row],[Sale_Date]],"mmm")</f>
        <v>Jan</v>
      </c>
    </row>
    <row r="3864" spans="1:11" x14ac:dyDescent="0.35">
      <c r="A3864" s="7" t="s">
        <v>3894</v>
      </c>
      <c r="B3864" s="8">
        <v>45344</v>
      </c>
      <c r="C3864" s="9" t="s">
        <v>21</v>
      </c>
      <c r="D3864" s="9" t="s">
        <v>34</v>
      </c>
      <c r="E3864" s="9" t="s">
        <v>29</v>
      </c>
      <c r="F3864" s="9">
        <v>210</v>
      </c>
      <c r="G3864" s="9">
        <v>209.62</v>
      </c>
      <c r="H3864" s="9" t="s">
        <v>19</v>
      </c>
      <c r="I3864" s="9">
        <v>3</v>
      </c>
      <c r="J3864" s="10">
        <v>-0.37999999999999501</v>
      </c>
      <c r="K3864" s="9" t="str">
        <f>TEXT(Sales_of_Jordan[[#This Row],[Sale_Date]],"mmm")</f>
        <v>Feb</v>
      </c>
    </row>
    <row r="3865" spans="1:11" x14ac:dyDescent="0.35">
      <c r="A3865" s="7" t="s">
        <v>3895</v>
      </c>
      <c r="B3865" s="8">
        <v>45623</v>
      </c>
      <c r="C3865" s="9" t="s">
        <v>11</v>
      </c>
      <c r="D3865" s="9" t="s">
        <v>17</v>
      </c>
      <c r="E3865" s="9" t="s">
        <v>29</v>
      </c>
      <c r="F3865" s="9">
        <v>226</v>
      </c>
      <c r="G3865" s="9">
        <v>313.25</v>
      </c>
      <c r="H3865" s="9" t="s">
        <v>23</v>
      </c>
      <c r="I3865" s="9">
        <v>49</v>
      </c>
      <c r="J3865" s="10">
        <v>87.25</v>
      </c>
      <c r="K3865" s="9" t="str">
        <f>TEXT(Sales_of_Jordan[[#This Row],[Sale_Date]],"mmm")</f>
        <v>Nov</v>
      </c>
    </row>
    <row r="3866" spans="1:11" x14ac:dyDescent="0.35">
      <c r="A3866" s="7" t="s">
        <v>3896</v>
      </c>
      <c r="B3866" s="8">
        <v>45667</v>
      </c>
      <c r="C3866" s="9" t="s">
        <v>21</v>
      </c>
      <c r="D3866" s="9" t="s">
        <v>17</v>
      </c>
      <c r="E3866" s="9" t="s">
        <v>18</v>
      </c>
      <c r="F3866" s="9">
        <v>223</v>
      </c>
      <c r="G3866" s="9">
        <v>447.97</v>
      </c>
      <c r="H3866" s="9" t="s">
        <v>32</v>
      </c>
      <c r="I3866" s="9">
        <v>28</v>
      </c>
      <c r="J3866" s="10">
        <v>224.97</v>
      </c>
      <c r="K3866" s="9" t="str">
        <f>TEXT(Sales_of_Jordan[[#This Row],[Sale_Date]],"mmm")</f>
        <v>Jan</v>
      </c>
    </row>
    <row r="3867" spans="1:11" x14ac:dyDescent="0.35">
      <c r="A3867" s="7" t="s">
        <v>3897</v>
      </c>
      <c r="B3867" s="8">
        <v>44934</v>
      </c>
      <c r="C3867" s="9" t="s">
        <v>16</v>
      </c>
      <c r="D3867" s="9" t="s">
        <v>39</v>
      </c>
      <c r="E3867" s="9" t="s">
        <v>18</v>
      </c>
      <c r="F3867" s="9">
        <v>180</v>
      </c>
      <c r="G3867" s="9">
        <v>480.63</v>
      </c>
      <c r="H3867" s="9" t="s">
        <v>25</v>
      </c>
      <c r="I3867" s="9">
        <v>25</v>
      </c>
      <c r="J3867" s="10">
        <v>300.63</v>
      </c>
      <c r="K3867" s="9" t="str">
        <f>TEXT(Sales_of_Jordan[[#This Row],[Sale_Date]],"mmm")</f>
        <v>Jan</v>
      </c>
    </row>
    <row r="3868" spans="1:11" x14ac:dyDescent="0.35">
      <c r="A3868" s="7" t="s">
        <v>3898</v>
      </c>
      <c r="B3868" s="8">
        <v>45837</v>
      </c>
      <c r="C3868" s="9" t="s">
        <v>16</v>
      </c>
      <c r="D3868" s="9" t="s">
        <v>34</v>
      </c>
      <c r="E3868" s="9" t="s">
        <v>29</v>
      </c>
      <c r="F3868" s="9">
        <v>171</v>
      </c>
      <c r="G3868" s="9">
        <v>203.83</v>
      </c>
      <c r="H3868" s="9" t="s">
        <v>32</v>
      </c>
      <c r="I3868" s="9">
        <v>32</v>
      </c>
      <c r="J3868" s="10">
        <v>32.83</v>
      </c>
      <c r="K3868" s="9" t="str">
        <f>TEXT(Sales_of_Jordan[[#This Row],[Sale_Date]],"mmm")</f>
        <v>Jun</v>
      </c>
    </row>
    <row r="3869" spans="1:11" x14ac:dyDescent="0.35">
      <c r="A3869" s="7" t="s">
        <v>3899</v>
      </c>
      <c r="B3869" s="8">
        <v>45153</v>
      </c>
      <c r="C3869" s="9" t="s">
        <v>16</v>
      </c>
      <c r="D3869" s="9" t="s">
        <v>46</v>
      </c>
      <c r="E3869" s="9" t="s">
        <v>13</v>
      </c>
      <c r="F3869" s="9">
        <v>175</v>
      </c>
      <c r="G3869" s="9">
        <v>132.19</v>
      </c>
      <c r="H3869" s="9" t="s">
        <v>25</v>
      </c>
      <c r="I3869" s="9">
        <v>46</v>
      </c>
      <c r="J3869" s="10">
        <v>-42.81</v>
      </c>
      <c r="K3869" s="9" t="str">
        <f>TEXT(Sales_of_Jordan[[#This Row],[Sale_Date]],"mmm")</f>
        <v>Aug</v>
      </c>
    </row>
    <row r="3870" spans="1:11" x14ac:dyDescent="0.35">
      <c r="A3870" s="7" t="s">
        <v>3900</v>
      </c>
      <c r="B3870" s="8">
        <v>45200</v>
      </c>
      <c r="C3870" s="9" t="s">
        <v>11</v>
      </c>
      <c r="D3870" s="9" t="s">
        <v>46</v>
      </c>
      <c r="E3870" s="9" t="s">
        <v>29</v>
      </c>
      <c r="F3870" s="9">
        <v>228</v>
      </c>
      <c r="G3870" s="9">
        <v>317.83</v>
      </c>
      <c r="H3870" s="9" t="s">
        <v>32</v>
      </c>
      <c r="I3870" s="9">
        <v>5</v>
      </c>
      <c r="J3870" s="10">
        <v>89.829999999999899</v>
      </c>
      <c r="K3870" s="9" t="str">
        <f>TEXT(Sales_of_Jordan[[#This Row],[Sale_Date]],"mmm")</f>
        <v>Oct</v>
      </c>
    </row>
    <row r="3871" spans="1:11" x14ac:dyDescent="0.35">
      <c r="A3871" s="7" t="s">
        <v>3901</v>
      </c>
      <c r="B3871" s="8">
        <v>45192</v>
      </c>
      <c r="C3871" s="9" t="s">
        <v>31</v>
      </c>
      <c r="D3871" s="9" t="s">
        <v>46</v>
      </c>
      <c r="E3871" s="9" t="s">
        <v>18</v>
      </c>
      <c r="F3871" s="9">
        <v>209</v>
      </c>
      <c r="G3871" s="9">
        <v>592.27</v>
      </c>
      <c r="H3871" s="9" t="s">
        <v>19</v>
      </c>
      <c r="I3871" s="9">
        <v>2</v>
      </c>
      <c r="J3871" s="10">
        <v>383.27</v>
      </c>
      <c r="K3871" s="9" t="str">
        <f>TEXT(Sales_of_Jordan[[#This Row],[Sale_Date]],"mmm")</f>
        <v>Sep</v>
      </c>
    </row>
    <row r="3872" spans="1:11" x14ac:dyDescent="0.35">
      <c r="A3872" s="7" t="s">
        <v>3902</v>
      </c>
      <c r="B3872" s="8">
        <v>45694</v>
      </c>
      <c r="C3872" s="9" t="s">
        <v>21</v>
      </c>
      <c r="D3872" s="9" t="s">
        <v>53</v>
      </c>
      <c r="E3872" s="9" t="s">
        <v>29</v>
      </c>
      <c r="F3872" s="9">
        <v>220</v>
      </c>
      <c r="G3872" s="9">
        <v>245.61</v>
      </c>
      <c r="H3872" s="9" t="s">
        <v>14</v>
      </c>
      <c r="I3872" s="9">
        <v>13</v>
      </c>
      <c r="J3872" s="10">
        <v>25.61</v>
      </c>
      <c r="K3872" s="9" t="str">
        <f>TEXT(Sales_of_Jordan[[#This Row],[Sale_Date]],"mmm")</f>
        <v>Feb</v>
      </c>
    </row>
    <row r="3873" spans="1:11" x14ac:dyDescent="0.35">
      <c r="A3873" s="7" t="s">
        <v>3903</v>
      </c>
      <c r="B3873" s="8">
        <v>45455</v>
      </c>
      <c r="C3873" s="9" t="s">
        <v>16</v>
      </c>
      <c r="D3873" s="9" t="s">
        <v>34</v>
      </c>
      <c r="E3873" s="9" t="s">
        <v>13</v>
      </c>
      <c r="F3873" s="9">
        <v>184</v>
      </c>
      <c r="G3873" s="9">
        <v>96.17</v>
      </c>
      <c r="H3873" s="9" t="s">
        <v>23</v>
      </c>
      <c r="I3873" s="9">
        <v>53</v>
      </c>
      <c r="J3873" s="10">
        <v>-87.83</v>
      </c>
      <c r="K3873" s="9" t="str">
        <f>TEXT(Sales_of_Jordan[[#This Row],[Sale_Date]],"mmm")</f>
        <v>Jun</v>
      </c>
    </row>
    <row r="3874" spans="1:11" x14ac:dyDescent="0.35">
      <c r="A3874" s="7" t="s">
        <v>3904</v>
      </c>
      <c r="B3874" s="8">
        <v>45518</v>
      </c>
      <c r="C3874" s="9" t="s">
        <v>27</v>
      </c>
      <c r="D3874" s="9" t="s">
        <v>17</v>
      </c>
      <c r="E3874" s="9" t="s">
        <v>18</v>
      </c>
      <c r="F3874" s="9">
        <v>129</v>
      </c>
      <c r="G3874" s="9">
        <v>334.75</v>
      </c>
      <c r="H3874" s="9" t="s">
        <v>25</v>
      </c>
      <c r="I3874" s="9">
        <v>57</v>
      </c>
      <c r="J3874" s="10">
        <v>205.75</v>
      </c>
      <c r="K3874" s="9" t="str">
        <f>TEXT(Sales_of_Jordan[[#This Row],[Sale_Date]],"mmm")</f>
        <v>Aug</v>
      </c>
    </row>
    <row r="3875" spans="1:11" x14ac:dyDescent="0.35">
      <c r="A3875" s="7" t="s">
        <v>3905</v>
      </c>
      <c r="B3875" s="8">
        <v>45256</v>
      </c>
      <c r="C3875" s="9" t="s">
        <v>16</v>
      </c>
      <c r="D3875" s="9" t="s">
        <v>36</v>
      </c>
      <c r="E3875" s="9" t="s">
        <v>18</v>
      </c>
      <c r="F3875" s="9">
        <v>189</v>
      </c>
      <c r="G3875" s="9">
        <v>451.01</v>
      </c>
      <c r="H3875" s="9" t="s">
        <v>25</v>
      </c>
      <c r="I3875" s="9">
        <v>25</v>
      </c>
      <c r="J3875" s="10">
        <v>262.01</v>
      </c>
      <c r="K3875" s="9" t="str">
        <f>TEXT(Sales_of_Jordan[[#This Row],[Sale_Date]],"mmm")</f>
        <v>Nov</v>
      </c>
    </row>
    <row r="3876" spans="1:11" x14ac:dyDescent="0.35">
      <c r="A3876" s="7" t="s">
        <v>3906</v>
      </c>
      <c r="B3876" s="8">
        <v>45038</v>
      </c>
      <c r="C3876" s="9" t="s">
        <v>27</v>
      </c>
      <c r="D3876" s="9" t="s">
        <v>39</v>
      </c>
      <c r="E3876" s="9" t="s">
        <v>29</v>
      </c>
      <c r="F3876" s="9">
        <v>136</v>
      </c>
      <c r="G3876" s="9">
        <v>150.56</v>
      </c>
      <c r="H3876" s="9" t="s">
        <v>14</v>
      </c>
      <c r="I3876" s="9">
        <v>1</v>
      </c>
      <c r="J3876" s="10">
        <v>14.56</v>
      </c>
      <c r="K3876" s="9" t="str">
        <f>TEXT(Sales_of_Jordan[[#This Row],[Sale_Date]],"mmm")</f>
        <v>Apr</v>
      </c>
    </row>
    <row r="3877" spans="1:11" x14ac:dyDescent="0.35">
      <c r="A3877" s="7" t="s">
        <v>3907</v>
      </c>
      <c r="B3877" s="8">
        <v>45328</v>
      </c>
      <c r="C3877" s="9" t="s">
        <v>11</v>
      </c>
      <c r="D3877" s="9" t="s">
        <v>55</v>
      </c>
      <c r="E3877" s="9" t="s">
        <v>13</v>
      </c>
      <c r="F3877" s="9">
        <v>226</v>
      </c>
      <c r="G3877" s="9">
        <v>150.68</v>
      </c>
      <c r="H3877" s="9" t="s">
        <v>32</v>
      </c>
      <c r="I3877" s="9">
        <v>59</v>
      </c>
      <c r="J3877" s="10">
        <v>-75.319999999999993</v>
      </c>
      <c r="K3877" s="9" t="str">
        <f>TEXT(Sales_of_Jordan[[#This Row],[Sale_Date]],"mmm")</f>
        <v>Feb</v>
      </c>
    </row>
    <row r="3878" spans="1:11" x14ac:dyDescent="0.35">
      <c r="A3878" s="7" t="s">
        <v>3908</v>
      </c>
      <c r="B3878" s="8">
        <v>45064</v>
      </c>
      <c r="C3878" s="9" t="s">
        <v>11</v>
      </c>
      <c r="D3878" s="9" t="s">
        <v>22</v>
      </c>
      <c r="E3878" s="9" t="s">
        <v>18</v>
      </c>
      <c r="F3878" s="9">
        <v>228</v>
      </c>
      <c r="G3878" s="9">
        <v>696.13</v>
      </c>
      <c r="H3878" s="9" t="s">
        <v>32</v>
      </c>
      <c r="I3878" s="9">
        <v>22</v>
      </c>
      <c r="J3878" s="10">
        <v>468.13</v>
      </c>
      <c r="K3878" s="9" t="str">
        <f>TEXT(Sales_of_Jordan[[#This Row],[Sale_Date]],"mmm")</f>
        <v>May</v>
      </c>
    </row>
    <row r="3879" spans="1:11" x14ac:dyDescent="0.35">
      <c r="A3879" s="7" t="s">
        <v>3909</v>
      </c>
      <c r="B3879" s="8">
        <v>45189</v>
      </c>
      <c r="C3879" s="9" t="s">
        <v>27</v>
      </c>
      <c r="D3879" s="9" t="s">
        <v>39</v>
      </c>
      <c r="E3879" s="9" t="s">
        <v>29</v>
      </c>
      <c r="F3879" s="9">
        <v>138</v>
      </c>
      <c r="G3879" s="9">
        <v>141.21</v>
      </c>
      <c r="H3879" s="9" t="s">
        <v>23</v>
      </c>
      <c r="I3879" s="9">
        <v>29</v>
      </c>
      <c r="J3879" s="10">
        <v>3.21</v>
      </c>
      <c r="K3879" s="9" t="str">
        <f>TEXT(Sales_of_Jordan[[#This Row],[Sale_Date]],"mmm")</f>
        <v>Sep</v>
      </c>
    </row>
    <row r="3880" spans="1:11" x14ac:dyDescent="0.35">
      <c r="A3880" s="7" t="s">
        <v>3910</v>
      </c>
      <c r="B3880" s="8">
        <v>45732</v>
      </c>
      <c r="C3880" s="9" t="s">
        <v>16</v>
      </c>
      <c r="D3880" s="9" t="s">
        <v>34</v>
      </c>
      <c r="E3880" s="9" t="s">
        <v>18</v>
      </c>
      <c r="F3880" s="9">
        <v>179</v>
      </c>
      <c r="G3880" s="9">
        <v>281.45999999999998</v>
      </c>
      <c r="H3880" s="9" t="s">
        <v>19</v>
      </c>
      <c r="I3880" s="9">
        <v>7</v>
      </c>
      <c r="J3880" s="10">
        <v>102.459999999999</v>
      </c>
      <c r="K3880" s="9" t="str">
        <f>TEXT(Sales_of_Jordan[[#This Row],[Sale_Date]],"mmm")</f>
        <v>Mar</v>
      </c>
    </row>
    <row r="3881" spans="1:11" x14ac:dyDescent="0.35">
      <c r="A3881" s="7" t="s">
        <v>3911</v>
      </c>
      <c r="B3881" s="8">
        <v>44979</v>
      </c>
      <c r="C3881" s="9" t="s">
        <v>31</v>
      </c>
      <c r="D3881" s="9" t="s">
        <v>55</v>
      </c>
      <c r="E3881" s="9" t="s">
        <v>18</v>
      </c>
      <c r="F3881" s="9">
        <v>203</v>
      </c>
      <c r="G3881" s="9">
        <v>522.52</v>
      </c>
      <c r="H3881" s="9" t="s">
        <v>19</v>
      </c>
      <c r="I3881" s="9">
        <v>14</v>
      </c>
      <c r="J3881" s="10">
        <v>319.52</v>
      </c>
      <c r="K3881" s="9" t="str">
        <f>TEXT(Sales_of_Jordan[[#This Row],[Sale_Date]],"mmm")</f>
        <v>Feb</v>
      </c>
    </row>
    <row r="3882" spans="1:11" x14ac:dyDescent="0.35">
      <c r="A3882" s="7" t="s">
        <v>3912</v>
      </c>
      <c r="B3882" s="8">
        <v>45673</v>
      </c>
      <c r="C3882" s="9" t="s">
        <v>31</v>
      </c>
      <c r="D3882" s="9" t="s">
        <v>12</v>
      </c>
      <c r="E3882" s="9" t="s">
        <v>13</v>
      </c>
      <c r="F3882" s="9">
        <v>205</v>
      </c>
      <c r="G3882" s="9">
        <v>127.42</v>
      </c>
      <c r="H3882" s="9" t="s">
        <v>32</v>
      </c>
      <c r="I3882" s="9">
        <v>57</v>
      </c>
      <c r="J3882" s="10">
        <v>-77.58</v>
      </c>
      <c r="K3882" s="9" t="str">
        <f>TEXT(Sales_of_Jordan[[#This Row],[Sale_Date]],"mmm")</f>
        <v>Jan</v>
      </c>
    </row>
    <row r="3883" spans="1:11" x14ac:dyDescent="0.35">
      <c r="A3883" s="7" t="s">
        <v>3913</v>
      </c>
      <c r="B3883" s="8">
        <v>44943</v>
      </c>
      <c r="C3883" s="9" t="s">
        <v>11</v>
      </c>
      <c r="D3883" s="9" t="s">
        <v>34</v>
      </c>
      <c r="E3883" s="9" t="s">
        <v>13</v>
      </c>
      <c r="F3883" s="9">
        <v>227</v>
      </c>
      <c r="G3883" s="9">
        <v>204</v>
      </c>
      <c r="H3883" s="9" t="s">
        <v>32</v>
      </c>
      <c r="I3883" s="9">
        <v>31</v>
      </c>
      <c r="J3883" s="10">
        <v>-23</v>
      </c>
      <c r="K3883" s="9" t="str">
        <f>TEXT(Sales_of_Jordan[[#This Row],[Sale_Date]],"mmm")</f>
        <v>Jan</v>
      </c>
    </row>
    <row r="3884" spans="1:11" x14ac:dyDescent="0.35">
      <c r="A3884" s="7" t="s">
        <v>3914</v>
      </c>
      <c r="B3884" s="8">
        <v>44992</v>
      </c>
      <c r="C3884" s="9" t="s">
        <v>16</v>
      </c>
      <c r="D3884" s="9" t="s">
        <v>53</v>
      </c>
      <c r="E3884" s="9" t="s">
        <v>18</v>
      </c>
      <c r="F3884" s="9">
        <v>176</v>
      </c>
      <c r="G3884" s="9">
        <v>526.58000000000004</v>
      </c>
      <c r="H3884" s="9" t="s">
        <v>32</v>
      </c>
      <c r="I3884" s="9">
        <v>45</v>
      </c>
      <c r="J3884" s="10">
        <v>350.58</v>
      </c>
      <c r="K3884" s="9" t="str">
        <f>TEXT(Sales_of_Jordan[[#This Row],[Sale_Date]],"mmm")</f>
        <v>Mar</v>
      </c>
    </row>
    <row r="3885" spans="1:11" x14ac:dyDescent="0.35">
      <c r="A3885" s="7" t="s">
        <v>3915</v>
      </c>
      <c r="B3885" s="8">
        <v>45316</v>
      </c>
      <c r="C3885" s="9" t="s">
        <v>21</v>
      </c>
      <c r="D3885" s="9" t="s">
        <v>53</v>
      </c>
      <c r="E3885" s="9" t="s">
        <v>29</v>
      </c>
      <c r="F3885" s="9">
        <v>211</v>
      </c>
      <c r="G3885" s="9">
        <v>286</v>
      </c>
      <c r="H3885" s="9" t="s">
        <v>14</v>
      </c>
      <c r="I3885" s="9">
        <v>11</v>
      </c>
      <c r="J3885" s="10">
        <v>75</v>
      </c>
      <c r="K3885" s="9" t="str">
        <f>TEXT(Sales_of_Jordan[[#This Row],[Sale_Date]],"mmm")</f>
        <v>Jan</v>
      </c>
    </row>
    <row r="3886" spans="1:11" x14ac:dyDescent="0.35">
      <c r="A3886" s="7" t="s">
        <v>3916</v>
      </c>
      <c r="B3886" s="8">
        <v>45513</v>
      </c>
      <c r="C3886" s="9" t="s">
        <v>27</v>
      </c>
      <c r="D3886" s="9" t="s">
        <v>55</v>
      </c>
      <c r="E3886" s="9" t="s">
        <v>29</v>
      </c>
      <c r="F3886" s="9">
        <v>115</v>
      </c>
      <c r="G3886" s="9">
        <v>169.64</v>
      </c>
      <c r="H3886" s="9" t="s">
        <v>14</v>
      </c>
      <c r="I3886" s="9">
        <v>10</v>
      </c>
      <c r="J3886" s="10">
        <v>54.639999999999901</v>
      </c>
      <c r="K3886" s="9" t="str">
        <f>TEXT(Sales_of_Jordan[[#This Row],[Sale_Date]],"mmm")</f>
        <v>Aug</v>
      </c>
    </row>
    <row r="3887" spans="1:11" x14ac:dyDescent="0.35">
      <c r="A3887" s="7" t="s">
        <v>3917</v>
      </c>
      <c r="B3887" s="8">
        <v>45153</v>
      </c>
      <c r="C3887" s="9" t="s">
        <v>16</v>
      </c>
      <c r="D3887" s="9" t="s">
        <v>53</v>
      </c>
      <c r="E3887" s="9" t="s">
        <v>29</v>
      </c>
      <c r="F3887" s="9">
        <v>170</v>
      </c>
      <c r="G3887" s="9">
        <v>246.25</v>
      </c>
      <c r="H3887" s="9" t="s">
        <v>25</v>
      </c>
      <c r="I3887" s="9">
        <v>50</v>
      </c>
      <c r="J3887" s="10">
        <v>76.25</v>
      </c>
      <c r="K3887" s="9" t="str">
        <f>TEXT(Sales_of_Jordan[[#This Row],[Sale_Date]],"mmm")</f>
        <v>Aug</v>
      </c>
    </row>
    <row r="3888" spans="1:11" x14ac:dyDescent="0.35">
      <c r="A3888" s="7" t="s">
        <v>3918</v>
      </c>
      <c r="B3888" s="8">
        <v>45641</v>
      </c>
      <c r="C3888" s="9" t="s">
        <v>27</v>
      </c>
      <c r="D3888" s="9" t="s">
        <v>39</v>
      </c>
      <c r="E3888" s="9" t="s">
        <v>29</v>
      </c>
      <c r="F3888" s="9">
        <v>111</v>
      </c>
      <c r="G3888" s="9">
        <v>129.99</v>
      </c>
      <c r="H3888" s="9" t="s">
        <v>14</v>
      </c>
      <c r="I3888" s="9">
        <v>2</v>
      </c>
      <c r="J3888" s="10">
        <v>18.989999999999998</v>
      </c>
      <c r="K3888" s="9" t="str">
        <f>TEXT(Sales_of_Jordan[[#This Row],[Sale_Date]],"mmm")</f>
        <v>Dec</v>
      </c>
    </row>
    <row r="3889" spans="1:11" x14ac:dyDescent="0.35">
      <c r="A3889" s="7" t="s">
        <v>3919</v>
      </c>
      <c r="B3889" s="8">
        <v>45006</v>
      </c>
      <c r="C3889" s="9" t="s">
        <v>16</v>
      </c>
      <c r="D3889" s="9" t="s">
        <v>17</v>
      </c>
      <c r="E3889" s="9" t="s">
        <v>18</v>
      </c>
      <c r="F3889" s="9">
        <v>180</v>
      </c>
      <c r="G3889" s="9">
        <v>525.87</v>
      </c>
      <c r="H3889" s="9" t="s">
        <v>32</v>
      </c>
      <c r="I3889" s="9">
        <v>48</v>
      </c>
      <c r="J3889" s="10">
        <v>345.87</v>
      </c>
      <c r="K3889" s="9" t="str">
        <f>TEXT(Sales_of_Jordan[[#This Row],[Sale_Date]],"mmm")</f>
        <v>Mar</v>
      </c>
    </row>
    <row r="3890" spans="1:11" x14ac:dyDescent="0.35">
      <c r="A3890" s="7" t="s">
        <v>3920</v>
      </c>
      <c r="B3890" s="8">
        <v>45621</v>
      </c>
      <c r="C3890" s="9" t="s">
        <v>21</v>
      </c>
      <c r="D3890" s="9" t="s">
        <v>36</v>
      </c>
      <c r="E3890" s="9" t="s">
        <v>18</v>
      </c>
      <c r="F3890" s="9">
        <v>225</v>
      </c>
      <c r="G3890" s="9">
        <v>429.8</v>
      </c>
      <c r="H3890" s="9" t="s">
        <v>19</v>
      </c>
      <c r="I3890" s="9">
        <v>13</v>
      </c>
      <c r="J3890" s="10">
        <v>204.8</v>
      </c>
      <c r="K3890" s="9" t="str">
        <f>TEXT(Sales_of_Jordan[[#This Row],[Sale_Date]],"mmm")</f>
        <v>Nov</v>
      </c>
    </row>
    <row r="3891" spans="1:11" x14ac:dyDescent="0.35">
      <c r="A3891" s="7" t="s">
        <v>3921</v>
      </c>
      <c r="B3891" s="8">
        <v>44971</v>
      </c>
      <c r="C3891" s="9" t="s">
        <v>27</v>
      </c>
      <c r="D3891" s="9" t="s">
        <v>53</v>
      </c>
      <c r="E3891" s="9" t="s">
        <v>29</v>
      </c>
      <c r="F3891" s="9">
        <v>125</v>
      </c>
      <c r="G3891" s="9">
        <v>152.5</v>
      </c>
      <c r="H3891" s="9" t="s">
        <v>25</v>
      </c>
      <c r="I3891" s="9">
        <v>34</v>
      </c>
      <c r="J3891" s="10">
        <v>27.5</v>
      </c>
      <c r="K3891" s="9" t="str">
        <f>TEXT(Sales_of_Jordan[[#This Row],[Sale_Date]],"mmm")</f>
        <v>Feb</v>
      </c>
    </row>
    <row r="3892" spans="1:11" x14ac:dyDescent="0.35">
      <c r="A3892" s="7" t="s">
        <v>3922</v>
      </c>
      <c r="B3892" s="8">
        <v>45122</v>
      </c>
      <c r="C3892" s="9" t="s">
        <v>31</v>
      </c>
      <c r="D3892" s="9" t="s">
        <v>55</v>
      </c>
      <c r="E3892" s="9" t="s">
        <v>13</v>
      </c>
      <c r="F3892" s="9">
        <v>210</v>
      </c>
      <c r="G3892" s="9">
        <v>160.84</v>
      </c>
      <c r="H3892" s="9" t="s">
        <v>32</v>
      </c>
      <c r="I3892" s="9">
        <v>52</v>
      </c>
      <c r="J3892" s="10">
        <v>-49.16</v>
      </c>
      <c r="K3892" s="9" t="str">
        <f>TEXT(Sales_of_Jordan[[#This Row],[Sale_Date]],"mmm")</f>
        <v>Jul</v>
      </c>
    </row>
    <row r="3893" spans="1:11" x14ac:dyDescent="0.35">
      <c r="A3893" s="7" t="s">
        <v>3923</v>
      </c>
      <c r="B3893" s="8">
        <v>45372</v>
      </c>
      <c r="C3893" s="9" t="s">
        <v>27</v>
      </c>
      <c r="D3893" s="9" t="s">
        <v>39</v>
      </c>
      <c r="E3893" s="9" t="s">
        <v>13</v>
      </c>
      <c r="F3893" s="9">
        <v>137</v>
      </c>
      <c r="G3893" s="9">
        <v>117.39</v>
      </c>
      <c r="H3893" s="9" t="s">
        <v>25</v>
      </c>
      <c r="I3893" s="9">
        <v>29</v>
      </c>
      <c r="J3893" s="10">
        <v>-19.61</v>
      </c>
      <c r="K3893" s="9" t="str">
        <f>TEXT(Sales_of_Jordan[[#This Row],[Sale_Date]],"mmm")</f>
        <v>Mar</v>
      </c>
    </row>
    <row r="3894" spans="1:11" x14ac:dyDescent="0.35">
      <c r="A3894" s="7" t="s">
        <v>3924</v>
      </c>
      <c r="B3894" s="8">
        <v>45643</v>
      </c>
      <c r="C3894" s="9" t="s">
        <v>27</v>
      </c>
      <c r="D3894" s="9" t="s">
        <v>34</v>
      </c>
      <c r="E3894" s="9" t="s">
        <v>18</v>
      </c>
      <c r="F3894" s="9">
        <v>133</v>
      </c>
      <c r="G3894" s="9">
        <v>166.23</v>
      </c>
      <c r="H3894" s="9" t="s">
        <v>23</v>
      </c>
      <c r="I3894" s="9">
        <v>26</v>
      </c>
      <c r="J3894" s="10">
        <v>33.229999999999897</v>
      </c>
      <c r="K3894" s="9" t="str">
        <f>TEXT(Sales_of_Jordan[[#This Row],[Sale_Date]],"mmm")</f>
        <v>Dec</v>
      </c>
    </row>
    <row r="3895" spans="1:11" x14ac:dyDescent="0.35">
      <c r="A3895" s="7" t="s">
        <v>3925</v>
      </c>
      <c r="B3895" s="8">
        <v>45677</v>
      </c>
      <c r="C3895" s="9" t="s">
        <v>27</v>
      </c>
      <c r="D3895" s="9" t="s">
        <v>55</v>
      </c>
      <c r="E3895" s="9" t="s">
        <v>13</v>
      </c>
      <c r="F3895" s="9">
        <v>122</v>
      </c>
      <c r="G3895" s="9">
        <v>63.71</v>
      </c>
      <c r="H3895" s="9" t="s">
        <v>14</v>
      </c>
      <c r="I3895" s="9">
        <v>5</v>
      </c>
      <c r="J3895" s="10">
        <v>-58.29</v>
      </c>
      <c r="K3895" s="9" t="str">
        <f>TEXT(Sales_of_Jordan[[#This Row],[Sale_Date]],"mmm")</f>
        <v>Jan</v>
      </c>
    </row>
    <row r="3896" spans="1:11" x14ac:dyDescent="0.35">
      <c r="A3896" s="7" t="s">
        <v>3926</v>
      </c>
      <c r="B3896" s="8">
        <v>45226</v>
      </c>
      <c r="C3896" s="9" t="s">
        <v>31</v>
      </c>
      <c r="D3896" s="9" t="s">
        <v>55</v>
      </c>
      <c r="E3896" s="9" t="s">
        <v>29</v>
      </c>
      <c r="F3896" s="9">
        <v>207</v>
      </c>
      <c r="G3896" s="9">
        <v>220.21</v>
      </c>
      <c r="H3896" s="9" t="s">
        <v>23</v>
      </c>
      <c r="I3896" s="9">
        <v>30</v>
      </c>
      <c r="J3896" s="10">
        <v>13.21</v>
      </c>
      <c r="K3896" s="9" t="str">
        <f>TEXT(Sales_of_Jordan[[#This Row],[Sale_Date]],"mmm")</f>
        <v>Oct</v>
      </c>
    </row>
    <row r="3897" spans="1:11" x14ac:dyDescent="0.35">
      <c r="A3897" s="7" t="s">
        <v>3927</v>
      </c>
      <c r="B3897" s="8">
        <v>45660</v>
      </c>
      <c r="C3897" s="9" t="s">
        <v>11</v>
      </c>
      <c r="D3897" s="9" t="s">
        <v>39</v>
      </c>
      <c r="E3897" s="9" t="s">
        <v>29</v>
      </c>
      <c r="F3897" s="9">
        <v>227</v>
      </c>
      <c r="G3897" s="9">
        <v>234.67</v>
      </c>
      <c r="H3897" s="9" t="s">
        <v>19</v>
      </c>
      <c r="I3897" s="9">
        <v>14</v>
      </c>
      <c r="J3897" s="10">
        <v>7.6699999999999804</v>
      </c>
      <c r="K3897" s="9" t="str">
        <f>TEXT(Sales_of_Jordan[[#This Row],[Sale_Date]],"mmm")</f>
        <v>Jan</v>
      </c>
    </row>
    <row r="3898" spans="1:11" x14ac:dyDescent="0.35">
      <c r="A3898" s="7" t="s">
        <v>3928</v>
      </c>
      <c r="B3898" s="8">
        <v>45666</v>
      </c>
      <c r="C3898" s="9" t="s">
        <v>27</v>
      </c>
      <c r="D3898" s="9" t="s">
        <v>55</v>
      </c>
      <c r="E3898" s="9" t="s">
        <v>18</v>
      </c>
      <c r="F3898" s="9">
        <v>128</v>
      </c>
      <c r="G3898" s="9">
        <v>222.39</v>
      </c>
      <c r="H3898" s="9" t="s">
        <v>19</v>
      </c>
      <c r="I3898" s="9">
        <v>2</v>
      </c>
      <c r="J3898" s="10">
        <v>94.389999999999901</v>
      </c>
      <c r="K3898" s="9" t="str">
        <f>TEXT(Sales_of_Jordan[[#This Row],[Sale_Date]],"mmm")</f>
        <v>Jan</v>
      </c>
    </row>
    <row r="3899" spans="1:11" x14ac:dyDescent="0.35">
      <c r="A3899" s="7" t="s">
        <v>3929</v>
      </c>
      <c r="B3899" s="8">
        <v>45693</v>
      </c>
      <c r="C3899" s="9" t="s">
        <v>27</v>
      </c>
      <c r="D3899" s="9" t="s">
        <v>36</v>
      </c>
      <c r="E3899" s="9" t="s">
        <v>18</v>
      </c>
      <c r="F3899" s="9">
        <v>126</v>
      </c>
      <c r="G3899" s="9">
        <v>367.72</v>
      </c>
      <c r="H3899" s="9" t="s">
        <v>19</v>
      </c>
      <c r="I3899" s="9">
        <v>9</v>
      </c>
      <c r="J3899" s="10">
        <v>241.72</v>
      </c>
      <c r="K3899" s="9" t="str">
        <f>TEXT(Sales_of_Jordan[[#This Row],[Sale_Date]],"mmm")</f>
        <v>Feb</v>
      </c>
    </row>
    <row r="3900" spans="1:11" x14ac:dyDescent="0.35">
      <c r="A3900" s="7" t="s">
        <v>3930</v>
      </c>
      <c r="B3900" s="8">
        <v>45152</v>
      </c>
      <c r="C3900" s="9" t="s">
        <v>21</v>
      </c>
      <c r="D3900" s="9" t="s">
        <v>12</v>
      </c>
      <c r="E3900" s="9" t="s">
        <v>29</v>
      </c>
      <c r="F3900" s="9">
        <v>217</v>
      </c>
      <c r="G3900" s="9">
        <v>282.08999999999997</v>
      </c>
      <c r="H3900" s="9" t="s">
        <v>32</v>
      </c>
      <c r="I3900" s="9">
        <v>20</v>
      </c>
      <c r="J3900" s="10">
        <v>65.089999999999904</v>
      </c>
      <c r="K3900" s="9" t="str">
        <f>TEXT(Sales_of_Jordan[[#This Row],[Sale_Date]],"mmm")</f>
        <v>Aug</v>
      </c>
    </row>
    <row r="3901" spans="1:11" x14ac:dyDescent="0.35">
      <c r="A3901" s="7" t="s">
        <v>3931</v>
      </c>
      <c r="B3901" s="8">
        <v>45029</v>
      </c>
      <c r="C3901" s="9" t="s">
        <v>31</v>
      </c>
      <c r="D3901" s="9" t="s">
        <v>39</v>
      </c>
      <c r="E3901" s="9" t="s">
        <v>18</v>
      </c>
      <c r="F3901" s="9">
        <v>201</v>
      </c>
      <c r="G3901" s="9">
        <v>531.6</v>
      </c>
      <c r="H3901" s="9" t="s">
        <v>23</v>
      </c>
      <c r="I3901" s="9">
        <v>13</v>
      </c>
      <c r="J3901" s="10">
        <v>330.6</v>
      </c>
      <c r="K3901" s="9" t="str">
        <f>TEXT(Sales_of_Jordan[[#This Row],[Sale_Date]],"mmm")</f>
        <v>Apr</v>
      </c>
    </row>
    <row r="3902" spans="1:11" x14ac:dyDescent="0.35">
      <c r="A3902" s="7" t="s">
        <v>3932</v>
      </c>
      <c r="B3902" s="8">
        <v>45490</v>
      </c>
      <c r="C3902" s="9" t="s">
        <v>27</v>
      </c>
      <c r="D3902" s="9" t="s">
        <v>39</v>
      </c>
      <c r="E3902" s="9" t="s">
        <v>18</v>
      </c>
      <c r="F3902" s="9">
        <v>110</v>
      </c>
      <c r="G3902" s="9">
        <v>133.75</v>
      </c>
      <c r="H3902" s="9" t="s">
        <v>32</v>
      </c>
      <c r="I3902" s="9">
        <v>29</v>
      </c>
      <c r="J3902" s="10">
        <v>23.75</v>
      </c>
      <c r="K3902" s="9" t="str">
        <f>TEXT(Sales_of_Jordan[[#This Row],[Sale_Date]],"mmm")</f>
        <v>Jul</v>
      </c>
    </row>
    <row r="3903" spans="1:11" x14ac:dyDescent="0.35">
      <c r="A3903" s="7" t="s">
        <v>3933</v>
      </c>
      <c r="B3903" s="8">
        <v>45812</v>
      </c>
      <c r="C3903" s="9" t="s">
        <v>27</v>
      </c>
      <c r="D3903" s="9" t="s">
        <v>55</v>
      </c>
      <c r="E3903" s="9" t="s">
        <v>29</v>
      </c>
      <c r="F3903" s="9">
        <v>110</v>
      </c>
      <c r="G3903" s="9">
        <v>112.42</v>
      </c>
      <c r="H3903" s="9" t="s">
        <v>23</v>
      </c>
      <c r="I3903" s="9">
        <v>9</v>
      </c>
      <c r="J3903" s="10">
        <v>2.42</v>
      </c>
      <c r="K3903" s="9" t="str">
        <f>TEXT(Sales_of_Jordan[[#This Row],[Sale_Date]],"mmm")</f>
        <v>Jun</v>
      </c>
    </row>
    <row r="3904" spans="1:11" x14ac:dyDescent="0.35">
      <c r="A3904" s="7" t="s">
        <v>3934</v>
      </c>
      <c r="B3904" s="8">
        <v>45457</v>
      </c>
      <c r="C3904" s="9" t="s">
        <v>27</v>
      </c>
      <c r="D3904" s="9" t="s">
        <v>17</v>
      </c>
      <c r="E3904" s="9" t="s">
        <v>18</v>
      </c>
      <c r="F3904" s="9">
        <v>135</v>
      </c>
      <c r="G3904" s="9">
        <v>412.64</v>
      </c>
      <c r="H3904" s="9" t="s">
        <v>14</v>
      </c>
      <c r="I3904" s="9">
        <v>5</v>
      </c>
      <c r="J3904" s="10">
        <v>277.64</v>
      </c>
      <c r="K3904" s="9" t="str">
        <f>TEXT(Sales_of_Jordan[[#This Row],[Sale_Date]],"mmm")</f>
        <v>Jun</v>
      </c>
    </row>
    <row r="3905" spans="1:11" x14ac:dyDescent="0.35">
      <c r="A3905" s="7" t="s">
        <v>3935</v>
      </c>
      <c r="B3905" s="8">
        <v>45760</v>
      </c>
      <c r="C3905" s="9" t="s">
        <v>16</v>
      </c>
      <c r="D3905" s="9" t="s">
        <v>39</v>
      </c>
      <c r="E3905" s="9" t="s">
        <v>18</v>
      </c>
      <c r="F3905" s="9">
        <v>176</v>
      </c>
      <c r="G3905" s="9">
        <v>227.75</v>
      </c>
      <c r="H3905" s="9" t="s">
        <v>23</v>
      </c>
      <c r="I3905" s="9">
        <v>20</v>
      </c>
      <c r="J3905" s="10">
        <v>51.75</v>
      </c>
      <c r="K3905" s="9" t="str">
        <f>TEXT(Sales_of_Jordan[[#This Row],[Sale_Date]],"mmm")</f>
        <v>Apr</v>
      </c>
    </row>
    <row r="3906" spans="1:11" x14ac:dyDescent="0.35">
      <c r="A3906" s="7" t="s">
        <v>3936</v>
      </c>
      <c r="B3906" s="8">
        <v>45235</v>
      </c>
      <c r="C3906" s="9" t="s">
        <v>31</v>
      </c>
      <c r="D3906" s="9" t="s">
        <v>22</v>
      </c>
      <c r="E3906" s="9" t="s">
        <v>13</v>
      </c>
      <c r="F3906" s="9">
        <v>208</v>
      </c>
      <c r="G3906" s="9">
        <v>155.78</v>
      </c>
      <c r="H3906" s="9" t="s">
        <v>25</v>
      </c>
      <c r="I3906" s="9">
        <v>23</v>
      </c>
      <c r="J3906" s="10">
        <v>-52.22</v>
      </c>
      <c r="K3906" s="9" t="str">
        <f>TEXT(Sales_of_Jordan[[#This Row],[Sale_Date]],"mmm")</f>
        <v>Nov</v>
      </c>
    </row>
    <row r="3907" spans="1:11" x14ac:dyDescent="0.35">
      <c r="A3907" s="7" t="s">
        <v>3937</v>
      </c>
      <c r="B3907" s="8">
        <v>45192</v>
      </c>
      <c r="C3907" s="9" t="s">
        <v>11</v>
      </c>
      <c r="D3907" s="9" t="s">
        <v>34</v>
      </c>
      <c r="E3907" s="9" t="s">
        <v>29</v>
      </c>
      <c r="F3907" s="9">
        <v>230</v>
      </c>
      <c r="G3907" s="9">
        <v>249.18</v>
      </c>
      <c r="H3907" s="9" t="s">
        <v>14</v>
      </c>
      <c r="I3907" s="9">
        <v>7</v>
      </c>
      <c r="J3907" s="10">
        <v>19.18</v>
      </c>
      <c r="K3907" s="9" t="str">
        <f>TEXT(Sales_of_Jordan[[#This Row],[Sale_Date]],"mmm")</f>
        <v>Sep</v>
      </c>
    </row>
    <row r="3908" spans="1:11" x14ac:dyDescent="0.35">
      <c r="A3908" s="7" t="s">
        <v>3938</v>
      </c>
      <c r="B3908" s="8">
        <v>45507</v>
      </c>
      <c r="C3908" s="9" t="s">
        <v>11</v>
      </c>
      <c r="D3908" s="9" t="s">
        <v>36</v>
      </c>
      <c r="E3908" s="9" t="s">
        <v>29</v>
      </c>
      <c r="F3908" s="9">
        <v>227</v>
      </c>
      <c r="G3908" s="9">
        <v>268.74</v>
      </c>
      <c r="H3908" s="9" t="s">
        <v>14</v>
      </c>
      <c r="I3908" s="9">
        <v>10</v>
      </c>
      <c r="J3908" s="10">
        <v>41.74</v>
      </c>
      <c r="K3908" s="9" t="str">
        <f>TEXT(Sales_of_Jordan[[#This Row],[Sale_Date]],"mmm")</f>
        <v>Aug</v>
      </c>
    </row>
    <row r="3909" spans="1:11" x14ac:dyDescent="0.35">
      <c r="A3909" s="7" t="s">
        <v>3939</v>
      </c>
      <c r="B3909" s="8">
        <v>45486</v>
      </c>
      <c r="C3909" s="9" t="s">
        <v>27</v>
      </c>
      <c r="D3909" s="9" t="s">
        <v>22</v>
      </c>
      <c r="E3909" s="9" t="s">
        <v>18</v>
      </c>
      <c r="F3909" s="9">
        <v>140</v>
      </c>
      <c r="G3909" s="9">
        <v>296.10000000000002</v>
      </c>
      <c r="H3909" s="9" t="s">
        <v>14</v>
      </c>
      <c r="I3909" s="9">
        <v>2</v>
      </c>
      <c r="J3909" s="10">
        <v>156.1</v>
      </c>
      <c r="K3909" s="9" t="str">
        <f>TEXT(Sales_of_Jordan[[#This Row],[Sale_Date]],"mmm")</f>
        <v>Jul</v>
      </c>
    </row>
    <row r="3910" spans="1:11" x14ac:dyDescent="0.35">
      <c r="A3910" s="7" t="s">
        <v>3940</v>
      </c>
      <c r="B3910" s="8">
        <v>45716</v>
      </c>
      <c r="C3910" s="9" t="s">
        <v>11</v>
      </c>
      <c r="D3910" s="9" t="s">
        <v>36</v>
      </c>
      <c r="E3910" s="9" t="s">
        <v>13</v>
      </c>
      <c r="F3910" s="9">
        <v>229</v>
      </c>
      <c r="G3910" s="9">
        <v>190.97</v>
      </c>
      <c r="H3910" s="9" t="s">
        <v>32</v>
      </c>
      <c r="I3910" s="9">
        <v>27</v>
      </c>
      <c r="J3910" s="10">
        <v>-38.03</v>
      </c>
      <c r="K3910" s="9" t="str">
        <f>TEXT(Sales_of_Jordan[[#This Row],[Sale_Date]],"mmm")</f>
        <v>Feb</v>
      </c>
    </row>
    <row r="3911" spans="1:11" x14ac:dyDescent="0.35">
      <c r="A3911" s="7" t="s">
        <v>3941</v>
      </c>
      <c r="B3911" s="8">
        <v>44974</v>
      </c>
      <c r="C3911" s="9" t="s">
        <v>16</v>
      </c>
      <c r="D3911" s="9" t="s">
        <v>22</v>
      </c>
      <c r="E3911" s="9" t="s">
        <v>18</v>
      </c>
      <c r="F3911" s="9">
        <v>176</v>
      </c>
      <c r="G3911" s="9">
        <v>372.21</v>
      </c>
      <c r="H3911" s="9" t="s">
        <v>23</v>
      </c>
      <c r="I3911" s="9">
        <v>10</v>
      </c>
      <c r="J3911" s="10">
        <v>196.20999999999901</v>
      </c>
      <c r="K3911" s="9" t="str">
        <f>TEXT(Sales_of_Jordan[[#This Row],[Sale_Date]],"mmm")</f>
        <v>Feb</v>
      </c>
    </row>
    <row r="3912" spans="1:11" x14ac:dyDescent="0.35">
      <c r="A3912" s="7" t="s">
        <v>3942</v>
      </c>
      <c r="B3912" s="8">
        <v>44976</v>
      </c>
      <c r="C3912" s="9" t="s">
        <v>21</v>
      </c>
      <c r="D3912" s="9" t="s">
        <v>34</v>
      </c>
      <c r="E3912" s="9" t="s">
        <v>18</v>
      </c>
      <c r="F3912" s="9">
        <v>214</v>
      </c>
      <c r="G3912" s="9">
        <v>676.14</v>
      </c>
      <c r="H3912" s="9" t="s">
        <v>23</v>
      </c>
      <c r="I3912" s="9">
        <v>11</v>
      </c>
      <c r="J3912" s="10">
        <v>462.14</v>
      </c>
      <c r="K3912" s="9" t="str">
        <f>TEXT(Sales_of_Jordan[[#This Row],[Sale_Date]],"mmm")</f>
        <v>Feb</v>
      </c>
    </row>
    <row r="3913" spans="1:11" x14ac:dyDescent="0.35">
      <c r="A3913" s="7" t="s">
        <v>3943</v>
      </c>
      <c r="B3913" s="8">
        <v>45664</v>
      </c>
      <c r="C3913" s="9" t="s">
        <v>16</v>
      </c>
      <c r="D3913" s="9" t="s">
        <v>46</v>
      </c>
      <c r="E3913" s="9" t="s">
        <v>13</v>
      </c>
      <c r="F3913" s="9">
        <v>190</v>
      </c>
      <c r="G3913" s="9">
        <v>160.19999999999999</v>
      </c>
      <c r="H3913" s="9" t="s">
        <v>32</v>
      </c>
      <c r="I3913" s="9">
        <v>58</v>
      </c>
      <c r="J3913" s="10">
        <v>-29.8</v>
      </c>
      <c r="K3913" s="9" t="str">
        <f>TEXT(Sales_of_Jordan[[#This Row],[Sale_Date]],"mmm")</f>
        <v>Jan</v>
      </c>
    </row>
    <row r="3914" spans="1:11" x14ac:dyDescent="0.35">
      <c r="A3914" s="7" t="s">
        <v>3944</v>
      </c>
      <c r="B3914" s="8">
        <v>45304</v>
      </c>
      <c r="C3914" s="9" t="s">
        <v>11</v>
      </c>
      <c r="D3914" s="9" t="s">
        <v>17</v>
      </c>
      <c r="E3914" s="9" t="s">
        <v>18</v>
      </c>
      <c r="F3914" s="9">
        <v>230</v>
      </c>
      <c r="G3914" s="9">
        <v>469.03</v>
      </c>
      <c r="H3914" s="9" t="s">
        <v>25</v>
      </c>
      <c r="I3914" s="9">
        <v>26</v>
      </c>
      <c r="J3914" s="10">
        <v>239.02999999999901</v>
      </c>
      <c r="K3914" s="9" t="str">
        <f>TEXT(Sales_of_Jordan[[#This Row],[Sale_Date]],"mmm")</f>
        <v>Jan</v>
      </c>
    </row>
    <row r="3915" spans="1:11" x14ac:dyDescent="0.35">
      <c r="A3915" s="7" t="s">
        <v>3945</v>
      </c>
      <c r="B3915" s="8">
        <v>45454</v>
      </c>
      <c r="C3915" s="9" t="s">
        <v>21</v>
      </c>
      <c r="D3915" s="9" t="s">
        <v>36</v>
      </c>
      <c r="E3915" s="9" t="s">
        <v>18</v>
      </c>
      <c r="F3915" s="9">
        <v>224</v>
      </c>
      <c r="G3915" s="9">
        <v>360.81</v>
      </c>
      <c r="H3915" s="9" t="s">
        <v>32</v>
      </c>
      <c r="I3915" s="9">
        <v>59</v>
      </c>
      <c r="J3915" s="10">
        <v>136.81</v>
      </c>
      <c r="K3915" s="9" t="str">
        <f>TEXT(Sales_of_Jordan[[#This Row],[Sale_Date]],"mmm")</f>
        <v>Jun</v>
      </c>
    </row>
    <row r="3916" spans="1:11" x14ac:dyDescent="0.35">
      <c r="A3916" s="7" t="s">
        <v>3946</v>
      </c>
      <c r="B3916" s="8">
        <v>45867</v>
      </c>
      <c r="C3916" s="9" t="s">
        <v>16</v>
      </c>
      <c r="D3916" s="9" t="s">
        <v>17</v>
      </c>
      <c r="E3916" s="9" t="s">
        <v>18</v>
      </c>
      <c r="F3916" s="9">
        <v>186</v>
      </c>
      <c r="G3916" s="9">
        <v>431.45</v>
      </c>
      <c r="H3916" s="9" t="s">
        <v>14</v>
      </c>
      <c r="I3916" s="9">
        <v>1</v>
      </c>
      <c r="J3916" s="10">
        <v>245.45</v>
      </c>
      <c r="K3916" s="9" t="str">
        <f>TEXT(Sales_of_Jordan[[#This Row],[Sale_Date]],"mmm")</f>
        <v>Jul</v>
      </c>
    </row>
    <row r="3917" spans="1:11" x14ac:dyDescent="0.35">
      <c r="A3917" s="7" t="s">
        <v>3947</v>
      </c>
      <c r="B3917" s="8">
        <v>45051</v>
      </c>
      <c r="C3917" s="9" t="s">
        <v>11</v>
      </c>
      <c r="D3917" s="9" t="s">
        <v>12</v>
      </c>
      <c r="E3917" s="9" t="s">
        <v>13</v>
      </c>
      <c r="F3917" s="9">
        <v>229</v>
      </c>
      <c r="G3917" s="9">
        <v>196.37</v>
      </c>
      <c r="H3917" s="9" t="s">
        <v>14</v>
      </c>
      <c r="I3917" s="9">
        <v>11</v>
      </c>
      <c r="J3917" s="10">
        <v>-32.629999999999903</v>
      </c>
      <c r="K3917" s="9" t="str">
        <f>TEXT(Sales_of_Jordan[[#This Row],[Sale_Date]],"mmm")</f>
        <v>May</v>
      </c>
    </row>
    <row r="3918" spans="1:11" x14ac:dyDescent="0.35">
      <c r="A3918" s="7" t="s">
        <v>3948</v>
      </c>
      <c r="B3918" s="8">
        <v>45403</v>
      </c>
      <c r="C3918" s="9" t="s">
        <v>21</v>
      </c>
      <c r="D3918" s="9" t="s">
        <v>22</v>
      </c>
      <c r="E3918" s="9" t="s">
        <v>13</v>
      </c>
      <c r="F3918" s="9">
        <v>220</v>
      </c>
      <c r="G3918" s="9">
        <v>166.48</v>
      </c>
      <c r="H3918" s="9" t="s">
        <v>14</v>
      </c>
      <c r="I3918" s="9">
        <v>12</v>
      </c>
      <c r="J3918" s="10">
        <v>-53.52</v>
      </c>
      <c r="K3918" s="9" t="str">
        <f>TEXT(Sales_of_Jordan[[#This Row],[Sale_Date]],"mmm")</f>
        <v>Apr</v>
      </c>
    </row>
    <row r="3919" spans="1:11" x14ac:dyDescent="0.35">
      <c r="A3919" s="7" t="s">
        <v>3949</v>
      </c>
      <c r="B3919" s="8">
        <v>45514</v>
      </c>
      <c r="C3919" s="9" t="s">
        <v>16</v>
      </c>
      <c r="D3919" s="9" t="s">
        <v>12</v>
      </c>
      <c r="E3919" s="9" t="s">
        <v>29</v>
      </c>
      <c r="F3919" s="9">
        <v>173</v>
      </c>
      <c r="G3919" s="9">
        <v>189.05</v>
      </c>
      <c r="H3919" s="9" t="s">
        <v>25</v>
      </c>
      <c r="I3919" s="9">
        <v>45</v>
      </c>
      <c r="J3919" s="10">
        <v>16.05</v>
      </c>
      <c r="K3919" s="9" t="str">
        <f>TEXT(Sales_of_Jordan[[#This Row],[Sale_Date]],"mmm")</f>
        <v>Aug</v>
      </c>
    </row>
    <row r="3920" spans="1:11" x14ac:dyDescent="0.35">
      <c r="A3920" s="7" t="s">
        <v>3950</v>
      </c>
      <c r="B3920" s="8">
        <v>45847</v>
      </c>
      <c r="C3920" s="9" t="s">
        <v>21</v>
      </c>
      <c r="D3920" s="9" t="s">
        <v>55</v>
      </c>
      <c r="E3920" s="9" t="s">
        <v>18</v>
      </c>
      <c r="F3920" s="9">
        <v>222</v>
      </c>
      <c r="G3920" s="9">
        <v>517.55999999999995</v>
      </c>
      <c r="H3920" s="9" t="s">
        <v>32</v>
      </c>
      <c r="I3920" s="9">
        <v>44</v>
      </c>
      <c r="J3920" s="10">
        <v>295.55999999999898</v>
      </c>
      <c r="K3920" s="9" t="str">
        <f>TEXT(Sales_of_Jordan[[#This Row],[Sale_Date]],"mmm")</f>
        <v>Jul</v>
      </c>
    </row>
    <row r="3921" spans="1:11" x14ac:dyDescent="0.35">
      <c r="A3921" s="7" t="s">
        <v>3951</v>
      </c>
      <c r="B3921" s="8">
        <v>45193</v>
      </c>
      <c r="C3921" s="9" t="s">
        <v>21</v>
      </c>
      <c r="D3921" s="9" t="s">
        <v>55</v>
      </c>
      <c r="E3921" s="9" t="s">
        <v>29</v>
      </c>
      <c r="F3921" s="9">
        <v>217</v>
      </c>
      <c r="G3921" s="9">
        <v>314.8</v>
      </c>
      <c r="H3921" s="9" t="s">
        <v>23</v>
      </c>
      <c r="I3921" s="9">
        <v>33</v>
      </c>
      <c r="J3921" s="10">
        <v>97.8</v>
      </c>
      <c r="K3921" s="9" t="str">
        <f>TEXT(Sales_of_Jordan[[#This Row],[Sale_Date]],"mmm")</f>
        <v>Sep</v>
      </c>
    </row>
    <row r="3922" spans="1:11" x14ac:dyDescent="0.35">
      <c r="A3922" s="7" t="s">
        <v>3952</v>
      </c>
      <c r="B3922" s="8">
        <v>45478</v>
      </c>
      <c r="C3922" s="9" t="s">
        <v>31</v>
      </c>
      <c r="D3922" s="9" t="s">
        <v>55</v>
      </c>
      <c r="E3922" s="9" t="s">
        <v>29</v>
      </c>
      <c r="F3922" s="9">
        <v>201</v>
      </c>
      <c r="G3922" s="9">
        <v>276.69</v>
      </c>
      <c r="H3922" s="9" t="s">
        <v>19</v>
      </c>
      <c r="I3922" s="9">
        <v>3</v>
      </c>
      <c r="J3922" s="10">
        <v>75.69</v>
      </c>
      <c r="K3922" s="9" t="str">
        <f>TEXT(Sales_of_Jordan[[#This Row],[Sale_Date]],"mmm")</f>
        <v>Jul</v>
      </c>
    </row>
    <row r="3923" spans="1:11" x14ac:dyDescent="0.35">
      <c r="A3923" s="7" t="s">
        <v>3953</v>
      </c>
      <c r="B3923" s="8">
        <v>45578</v>
      </c>
      <c r="C3923" s="9" t="s">
        <v>27</v>
      </c>
      <c r="D3923" s="9" t="s">
        <v>39</v>
      </c>
      <c r="E3923" s="9" t="s">
        <v>13</v>
      </c>
      <c r="F3923" s="9">
        <v>129</v>
      </c>
      <c r="G3923" s="9">
        <v>82.09</v>
      </c>
      <c r="H3923" s="9" t="s">
        <v>14</v>
      </c>
      <c r="I3923" s="9">
        <v>1</v>
      </c>
      <c r="J3923" s="10">
        <v>-46.91</v>
      </c>
      <c r="K3923" s="9" t="str">
        <f>TEXT(Sales_of_Jordan[[#This Row],[Sale_Date]],"mmm")</f>
        <v>Oct</v>
      </c>
    </row>
    <row r="3924" spans="1:11" x14ac:dyDescent="0.35">
      <c r="A3924" s="7" t="s">
        <v>3954</v>
      </c>
      <c r="B3924" s="8">
        <v>45238</v>
      </c>
      <c r="C3924" s="9" t="s">
        <v>21</v>
      </c>
      <c r="D3924" s="9" t="s">
        <v>39</v>
      </c>
      <c r="E3924" s="9" t="s">
        <v>13</v>
      </c>
      <c r="F3924" s="9">
        <v>214</v>
      </c>
      <c r="G3924" s="9">
        <v>158.74</v>
      </c>
      <c r="H3924" s="9" t="s">
        <v>32</v>
      </c>
      <c r="I3924" s="9">
        <v>56</v>
      </c>
      <c r="J3924" s="10">
        <v>-55.259999999999899</v>
      </c>
      <c r="K3924" s="9" t="str">
        <f>TEXT(Sales_of_Jordan[[#This Row],[Sale_Date]],"mmm")</f>
        <v>Nov</v>
      </c>
    </row>
    <row r="3925" spans="1:11" x14ac:dyDescent="0.35">
      <c r="A3925" s="7" t="s">
        <v>3955</v>
      </c>
      <c r="B3925" s="8">
        <v>45298</v>
      </c>
      <c r="C3925" s="9" t="s">
        <v>31</v>
      </c>
      <c r="D3925" s="9" t="s">
        <v>46</v>
      </c>
      <c r="E3925" s="9" t="s">
        <v>29</v>
      </c>
      <c r="F3925" s="9">
        <v>208</v>
      </c>
      <c r="G3925" s="9">
        <v>199.04</v>
      </c>
      <c r="H3925" s="9" t="s">
        <v>19</v>
      </c>
      <c r="I3925" s="9">
        <v>2</v>
      </c>
      <c r="J3925" s="10">
        <v>-8.9600000000000009</v>
      </c>
      <c r="K3925" s="9" t="str">
        <f>TEXT(Sales_of_Jordan[[#This Row],[Sale_Date]],"mmm")</f>
        <v>Jan</v>
      </c>
    </row>
    <row r="3926" spans="1:11" x14ac:dyDescent="0.35">
      <c r="A3926" s="7" t="s">
        <v>3956</v>
      </c>
      <c r="B3926" s="8">
        <v>45259</v>
      </c>
      <c r="C3926" s="9" t="s">
        <v>21</v>
      </c>
      <c r="D3926" s="9" t="s">
        <v>55</v>
      </c>
      <c r="E3926" s="9" t="s">
        <v>29</v>
      </c>
      <c r="F3926" s="9">
        <v>223</v>
      </c>
      <c r="G3926" s="9">
        <v>316.02999999999997</v>
      </c>
      <c r="H3926" s="9" t="s">
        <v>19</v>
      </c>
      <c r="I3926" s="9">
        <v>11</v>
      </c>
      <c r="J3926" s="10">
        <v>93.029999999999902</v>
      </c>
      <c r="K3926" s="9" t="str">
        <f>TEXT(Sales_of_Jordan[[#This Row],[Sale_Date]],"mmm")</f>
        <v>Nov</v>
      </c>
    </row>
    <row r="3927" spans="1:11" x14ac:dyDescent="0.35">
      <c r="A3927" s="7" t="s">
        <v>3957</v>
      </c>
      <c r="B3927" s="8">
        <v>45669</v>
      </c>
      <c r="C3927" s="9" t="s">
        <v>16</v>
      </c>
      <c r="D3927" s="9" t="s">
        <v>34</v>
      </c>
      <c r="E3927" s="9" t="s">
        <v>18</v>
      </c>
      <c r="F3927" s="9">
        <v>189</v>
      </c>
      <c r="G3927" s="9">
        <v>355.07</v>
      </c>
      <c r="H3927" s="9" t="s">
        <v>19</v>
      </c>
      <c r="I3927" s="9">
        <v>13</v>
      </c>
      <c r="J3927" s="10">
        <v>166.07</v>
      </c>
      <c r="K3927" s="9" t="str">
        <f>TEXT(Sales_of_Jordan[[#This Row],[Sale_Date]],"mmm")</f>
        <v>Jan</v>
      </c>
    </row>
    <row r="3928" spans="1:11" x14ac:dyDescent="0.35">
      <c r="A3928" s="7" t="s">
        <v>3958</v>
      </c>
      <c r="B3928" s="8">
        <v>44985</v>
      </c>
      <c r="C3928" s="9" t="s">
        <v>31</v>
      </c>
      <c r="D3928" s="9" t="s">
        <v>22</v>
      </c>
      <c r="E3928" s="9" t="s">
        <v>13</v>
      </c>
      <c r="F3928" s="9">
        <v>206</v>
      </c>
      <c r="G3928" s="9">
        <v>177.19</v>
      </c>
      <c r="H3928" s="9" t="s">
        <v>19</v>
      </c>
      <c r="I3928" s="9">
        <v>2</v>
      </c>
      <c r="J3928" s="10">
        <v>-28.81</v>
      </c>
      <c r="K3928" s="9" t="str">
        <f>TEXT(Sales_of_Jordan[[#This Row],[Sale_Date]],"mmm")</f>
        <v>Feb</v>
      </c>
    </row>
    <row r="3929" spans="1:11" x14ac:dyDescent="0.35">
      <c r="A3929" s="7" t="s">
        <v>3959</v>
      </c>
      <c r="B3929" s="8">
        <v>45241</v>
      </c>
      <c r="C3929" s="9" t="s">
        <v>27</v>
      </c>
      <c r="D3929" s="9" t="s">
        <v>55</v>
      </c>
      <c r="E3929" s="9" t="s">
        <v>18</v>
      </c>
      <c r="F3929" s="9">
        <v>135</v>
      </c>
      <c r="G3929" s="9">
        <v>340.03</v>
      </c>
      <c r="H3929" s="9" t="s">
        <v>25</v>
      </c>
      <c r="I3929" s="9">
        <v>49</v>
      </c>
      <c r="J3929" s="10">
        <v>205.02999999999901</v>
      </c>
      <c r="K3929" s="9" t="str">
        <f>TEXT(Sales_of_Jordan[[#This Row],[Sale_Date]],"mmm")</f>
        <v>Nov</v>
      </c>
    </row>
    <row r="3930" spans="1:11" x14ac:dyDescent="0.35">
      <c r="A3930" s="7" t="s">
        <v>3960</v>
      </c>
      <c r="B3930" s="8">
        <v>44994</v>
      </c>
      <c r="C3930" s="9" t="s">
        <v>21</v>
      </c>
      <c r="D3930" s="9" t="s">
        <v>39</v>
      </c>
      <c r="E3930" s="9" t="s">
        <v>29</v>
      </c>
      <c r="F3930" s="9">
        <v>225</v>
      </c>
      <c r="G3930" s="9">
        <v>273.77999999999997</v>
      </c>
      <c r="H3930" s="9" t="s">
        <v>23</v>
      </c>
      <c r="I3930" s="9">
        <v>40</v>
      </c>
      <c r="J3930" s="10">
        <v>48.779999999999902</v>
      </c>
      <c r="K3930" s="9" t="str">
        <f>TEXT(Sales_of_Jordan[[#This Row],[Sale_Date]],"mmm")</f>
        <v>Mar</v>
      </c>
    </row>
    <row r="3931" spans="1:11" x14ac:dyDescent="0.35">
      <c r="A3931" s="7" t="s">
        <v>3961</v>
      </c>
      <c r="B3931" s="8">
        <v>45480</v>
      </c>
      <c r="C3931" s="9" t="s">
        <v>31</v>
      </c>
      <c r="D3931" s="9" t="s">
        <v>34</v>
      </c>
      <c r="E3931" s="9" t="s">
        <v>18</v>
      </c>
      <c r="F3931" s="9">
        <v>208</v>
      </c>
      <c r="G3931" s="9">
        <v>493.37</v>
      </c>
      <c r="H3931" s="9" t="s">
        <v>19</v>
      </c>
      <c r="I3931" s="9">
        <v>12</v>
      </c>
      <c r="J3931" s="10">
        <v>285.37</v>
      </c>
      <c r="K3931" s="9" t="str">
        <f>TEXT(Sales_of_Jordan[[#This Row],[Sale_Date]],"mmm")</f>
        <v>Jul</v>
      </c>
    </row>
    <row r="3932" spans="1:11" x14ac:dyDescent="0.35">
      <c r="A3932" s="7" t="s">
        <v>3962</v>
      </c>
      <c r="B3932" s="8">
        <v>45592</v>
      </c>
      <c r="C3932" s="9" t="s">
        <v>27</v>
      </c>
      <c r="D3932" s="9" t="s">
        <v>22</v>
      </c>
      <c r="E3932" s="9" t="s">
        <v>13</v>
      </c>
      <c r="F3932" s="9">
        <v>119</v>
      </c>
      <c r="G3932" s="9">
        <v>105.18</v>
      </c>
      <c r="H3932" s="9" t="s">
        <v>25</v>
      </c>
      <c r="I3932" s="9">
        <v>34</v>
      </c>
      <c r="J3932" s="10">
        <v>-13.819999999999901</v>
      </c>
      <c r="K3932" s="9" t="str">
        <f>TEXT(Sales_of_Jordan[[#This Row],[Sale_Date]],"mmm")</f>
        <v>Oct</v>
      </c>
    </row>
    <row r="3933" spans="1:11" x14ac:dyDescent="0.35">
      <c r="A3933" s="7" t="s">
        <v>3963</v>
      </c>
      <c r="B3933" s="8">
        <v>45614</v>
      </c>
      <c r="C3933" s="9" t="s">
        <v>16</v>
      </c>
      <c r="D3933" s="9" t="s">
        <v>53</v>
      </c>
      <c r="E3933" s="9" t="s">
        <v>18</v>
      </c>
      <c r="F3933" s="9">
        <v>175</v>
      </c>
      <c r="G3933" s="9">
        <v>577.41999999999996</v>
      </c>
      <c r="H3933" s="9" t="s">
        <v>23</v>
      </c>
      <c r="I3933" s="9">
        <v>50</v>
      </c>
      <c r="J3933" s="10">
        <v>402.41999999999899</v>
      </c>
      <c r="K3933" s="9" t="str">
        <f>TEXT(Sales_of_Jordan[[#This Row],[Sale_Date]],"mmm")</f>
        <v>Nov</v>
      </c>
    </row>
    <row r="3934" spans="1:11" x14ac:dyDescent="0.35">
      <c r="A3934" s="7" t="s">
        <v>3964</v>
      </c>
      <c r="B3934" s="8">
        <v>45386</v>
      </c>
      <c r="C3934" s="9" t="s">
        <v>31</v>
      </c>
      <c r="D3934" s="9" t="s">
        <v>34</v>
      </c>
      <c r="E3934" s="9" t="s">
        <v>18</v>
      </c>
      <c r="F3934" s="9">
        <v>207</v>
      </c>
      <c r="G3934" s="9">
        <v>592.39</v>
      </c>
      <c r="H3934" s="9" t="s">
        <v>23</v>
      </c>
      <c r="I3934" s="9">
        <v>52</v>
      </c>
      <c r="J3934" s="10">
        <v>385.39</v>
      </c>
      <c r="K3934" s="9" t="str">
        <f>TEXT(Sales_of_Jordan[[#This Row],[Sale_Date]],"mmm")</f>
        <v>Apr</v>
      </c>
    </row>
    <row r="3935" spans="1:11" x14ac:dyDescent="0.35">
      <c r="A3935" s="7" t="s">
        <v>3965</v>
      </c>
      <c r="B3935" s="8">
        <v>45843</v>
      </c>
      <c r="C3935" s="9" t="s">
        <v>16</v>
      </c>
      <c r="D3935" s="9" t="s">
        <v>55</v>
      </c>
      <c r="E3935" s="9" t="s">
        <v>13</v>
      </c>
      <c r="F3935" s="9">
        <v>190</v>
      </c>
      <c r="G3935" s="9">
        <v>148.36000000000001</v>
      </c>
      <c r="H3935" s="9" t="s">
        <v>25</v>
      </c>
      <c r="I3935" s="9">
        <v>29</v>
      </c>
      <c r="J3935" s="10">
        <v>-41.639999999999901</v>
      </c>
      <c r="K3935" s="9" t="str">
        <f>TEXT(Sales_of_Jordan[[#This Row],[Sale_Date]],"mmm")</f>
        <v>Jul</v>
      </c>
    </row>
    <row r="3936" spans="1:11" x14ac:dyDescent="0.35">
      <c r="A3936" s="7" t="s">
        <v>3966</v>
      </c>
      <c r="B3936" s="8">
        <v>45039</v>
      </c>
      <c r="C3936" s="9" t="s">
        <v>27</v>
      </c>
      <c r="D3936" s="9" t="s">
        <v>36</v>
      </c>
      <c r="E3936" s="9" t="s">
        <v>29</v>
      </c>
      <c r="F3936" s="9">
        <v>138</v>
      </c>
      <c r="G3936" s="9">
        <v>147.72999999999999</v>
      </c>
      <c r="H3936" s="9" t="s">
        <v>25</v>
      </c>
      <c r="I3936" s="9">
        <v>54</v>
      </c>
      <c r="J3936" s="10">
        <v>9.7299999999999898</v>
      </c>
      <c r="K3936" s="9" t="str">
        <f>TEXT(Sales_of_Jordan[[#This Row],[Sale_Date]],"mmm")</f>
        <v>Apr</v>
      </c>
    </row>
    <row r="3937" spans="1:11" x14ac:dyDescent="0.35">
      <c r="A3937" s="7" t="s">
        <v>3967</v>
      </c>
      <c r="B3937" s="8">
        <v>45729</v>
      </c>
      <c r="C3937" s="9" t="s">
        <v>31</v>
      </c>
      <c r="D3937" s="9" t="s">
        <v>34</v>
      </c>
      <c r="E3937" s="9" t="s">
        <v>13</v>
      </c>
      <c r="F3937" s="9">
        <v>209</v>
      </c>
      <c r="G3937" s="9">
        <v>164.4</v>
      </c>
      <c r="H3937" s="9" t="s">
        <v>19</v>
      </c>
      <c r="I3937" s="9">
        <v>5</v>
      </c>
      <c r="J3937" s="10">
        <v>-44.599999999999902</v>
      </c>
      <c r="K3937" s="9" t="str">
        <f>TEXT(Sales_of_Jordan[[#This Row],[Sale_Date]],"mmm")</f>
        <v>Mar</v>
      </c>
    </row>
    <row r="3938" spans="1:11" x14ac:dyDescent="0.35">
      <c r="A3938" s="7" t="s">
        <v>3968</v>
      </c>
      <c r="B3938" s="8">
        <v>45297</v>
      </c>
      <c r="C3938" s="9" t="s">
        <v>21</v>
      </c>
      <c r="D3938" s="9" t="s">
        <v>39</v>
      </c>
      <c r="E3938" s="9" t="s">
        <v>13</v>
      </c>
      <c r="F3938" s="9">
        <v>225</v>
      </c>
      <c r="G3938" s="9">
        <v>179.4</v>
      </c>
      <c r="H3938" s="9" t="s">
        <v>25</v>
      </c>
      <c r="I3938" s="9">
        <v>58</v>
      </c>
      <c r="J3938" s="10">
        <v>-45.599999999999902</v>
      </c>
      <c r="K3938" s="9" t="str">
        <f>TEXT(Sales_of_Jordan[[#This Row],[Sale_Date]],"mmm")</f>
        <v>Jan</v>
      </c>
    </row>
    <row r="3939" spans="1:11" x14ac:dyDescent="0.35">
      <c r="A3939" s="7" t="s">
        <v>3969</v>
      </c>
      <c r="B3939" s="8">
        <v>45230</v>
      </c>
      <c r="C3939" s="9" t="s">
        <v>27</v>
      </c>
      <c r="D3939" s="9" t="s">
        <v>46</v>
      </c>
      <c r="E3939" s="9" t="s">
        <v>29</v>
      </c>
      <c r="F3939" s="9">
        <v>136</v>
      </c>
      <c r="G3939" s="9">
        <v>198.75</v>
      </c>
      <c r="H3939" s="9" t="s">
        <v>14</v>
      </c>
      <c r="I3939" s="9">
        <v>9</v>
      </c>
      <c r="J3939" s="10">
        <v>62.75</v>
      </c>
      <c r="K3939" s="9" t="str">
        <f>TEXT(Sales_of_Jordan[[#This Row],[Sale_Date]],"mmm")</f>
        <v>Oct</v>
      </c>
    </row>
    <row r="3940" spans="1:11" x14ac:dyDescent="0.35">
      <c r="A3940" s="7" t="s">
        <v>3970</v>
      </c>
      <c r="B3940" s="8">
        <v>45471</v>
      </c>
      <c r="C3940" s="9" t="s">
        <v>21</v>
      </c>
      <c r="D3940" s="9" t="s">
        <v>53</v>
      </c>
      <c r="E3940" s="9" t="s">
        <v>18</v>
      </c>
      <c r="F3940" s="9">
        <v>214</v>
      </c>
      <c r="G3940" s="9">
        <v>335.01</v>
      </c>
      <c r="H3940" s="9" t="s">
        <v>25</v>
      </c>
      <c r="I3940" s="9">
        <v>17</v>
      </c>
      <c r="J3940" s="10">
        <v>121.009999999999</v>
      </c>
      <c r="K3940" s="9" t="str">
        <f>TEXT(Sales_of_Jordan[[#This Row],[Sale_Date]],"mmm")</f>
        <v>Jun</v>
      </c>
    </row>
    <row r="3941" spans="1:11" x14ac:dyDescent="0.35">
      <c r="A3941" s="7" t="s">
        <v>3971</v>
      </c>
      <c r="B3941" s="8">
        <v>45439</v>
      </c>
      <c r="C3941" s="9" t="s">
        <v>31</v>
      </c>
      <c r="D3941" s="9" t="s">
        <v>34</v>
      </c>
      <c r="E3941" s="9" t="s">
        <v>29</v>
      </c>
      <c r="F3941" s="9">
        <v>203</v>
      </c>
      <c r="G3941" s="9">
        <v>301.77999999999997</v>
      </c>
      <c r="H3941" s="9" t="s">
        <v>14</v>
      </c>
      <c r="I3941" s="9">
        <v>5</v>
      </c>
      <c r="J3941" s="10">
        <v>98.779999999999902</v>
      </c>
      <c r="K3941" s="9" t="str">
        <f>TEXT(Sales_of_Jordan[[#This Row],[Sale_Date]],"mmm")</f>
        <v>May</v>
      </c>
    </row>
    <row r="3942" spans="1:11" x14ac:dyDescent="0.35">
      <c r="A3942" s="7" t="s">
        <v>3972</v>
      </c>
      <c r="B3942" s="8">
        <v>45462</v>
      </c>
      <c r="C3942" s="9" t="s">
        <v>16</v>
      </c>
      <c r="D3942" s="9" t="s">
        <v>34</v>
      </c>
      <c r="E3942" s="9" t="s">
        <v>13</v>
      </c>
      <c r="F3942" s="9">
        <v>171</v>
      </c>
      <c r="G3942" s="9">
        <v>151.21</v>
      </c>
      <c r="H3942" s="9" t="s">
        <v>32</v>
      </c>
      <c r="I3942" s="9">
        <v>11</v>
      </c>
      <c r="J3942" s="10">
        <v>-19.7899999999999</v>
      </c>
      <c r="K3942" s="9" t="str">
        <f>TEXT(Sales_of_Jordan[[#This Row],[Sale_Date]],"mmm")</f>
        <v>Jun</v>
      </c>
    </row>
    <row r="3943" spans="1:11" x14ac:dyDescent="0.35">
      <c r="A3943" s="7" t="s">
        <v>3973</v>
      </c>
      <c r="B3943" s="8">
        <v>45768</v>
      </c>
      <c r="C3943" s="9" t="s">
        <v>16</v>
      </c>
      <c r="D3943" s="9" t="s">
        <v>53</v>
      </c>
      <c r="E3943" s="9" t="s">
        <v>13</v>
      </c>
      <c r="F3943" s="9">
        <v>189</v>
      </c>
      <c r="G3943" s="9">
        <v>96.17</v>
      </c>
      <c r="H3943" s="9" t="s">
        <v>25</v>
      </c>
      <c r="I3943" s="9">
        <v>20</v>
      </c>
      <c r="J3943" s="10">
        <v>-92.83</v>
      </c>
      <c r="K3943" s="9" t="str">
        <f>TEXT(Sales_of_Jordan[[#This Row],[Sale_Date]],"mmm")</f>
        <v>Apr</v>
      </c>
    </row>
    <row r="3944" spans="1:11" x14ac:dyDescent="0.35">
      <c r="A3944" s="7" t="s">
        <v>3974</v>
      </c>
      <c r="B3944" s="8">
        <v>45844</v>
      </c>
      <c r="C3944" s="9" t="s">
        <v>31</v>
      </c>
      <c r="D3944" s="9" t="s">
        <v>22</v>
      </c>
      <c r="E3944" s="9" t="s">
        <v>29</v>
      </c>
      <c r="F3944" s="9">
        <v>202</v>
      </c>
      <c r="G3944" s="9">
        <v>217.37</v>
      </c>
      <c r="H3944" s="9" t="s">
        <v>14</v>
      </c>
      <c r="I3944" s="9">
        <v>4</v>
      </c>
      <c r="J3944" s="10">
        <v>15.37</v>
      </c>
      <c r="K3944" s="9" t="str">
        <f>TEXT(Sales_of_Jordan[[#This Row],[Sale_Date]],"mmm")</f>
        <v>Jul</v>
      </c>
    </row>
    <row r="3945" spans="1:11" x14ac:dyDescent="0.35">
      <c r="A3945" s="7" t="s">
        <v>3975</v>
      </c>
      <c r="B3945" s="8">
        <v>45794</v>
      </c>
      <c r="C3945" s="9" t="s">
        <v>31</v>
      </c>
      <c r="D3945" s="9" t="s">
        <v>36</v>
      </c>
      <c r="E3945" s="9" t="s">
        <v>29</v>
      </c>
      <c r="F3945" s="9">
        <v>208</v>
      </c>
      <c r="G3945" s="9">
        <v>229.58</v>
      </c>
      <c r="H3945" s="9" t="s">
        <v>25</v>
      </c>
      <c r="I3945" s="9">
        <v>18</v>
      </c>
      <c r="J3945" s="10">
        <v>21.58</v>
      </c>
      <c r="K3945" s="9" t="str">
        <f>TEXT(Sales_of_Jordan[[#This Row],[Sale_Date]],"mmm")</f>
        <v>May</v>
      </c>
    </row>
    <row r="3946" spans="1:11" x14ac:dyDescent="0.35">
      <c r="A3946" s="7" t="s">
        <v>3976</v>
      </c>
      <c r="B3946" s="8">
        <v>45614</v>
      </c>
      <c r="C3946" s="9" t="s">
        <v>27</v>
      </c>
      <c r="D3946" s="9" t="s">
        <v>17</v>
      </c>
      <c r="E3946" s="9" t="s">
        <v>13</v>
      </c>
      <c r="F3946" s="9">
        <v>118</v>
      </c>
      <c r="G3946" s="9">
        <v>102.5</v>
      </c>
      <c r="H3946" s="9" t="s">
        <v>32</v>
      </c>
      <c r="I3946" s="9">
        <v>50</v>
      </c>
      <c r="J3946" s="10">
        <v>-15.5</v>
      </c>
      <c r="K3946" s="9" t="str">
        <f>TEXT(Sales_of_Jordan[[#This Row],[Sale_Date]],"mmm")</f>
        <v>Nov</v>
      </c>
    </row>
    <row r="3947" spans="1:11" x14ac:dyDescent="0.35">
      <c r="A3947" s="7" t="s">
        <v>3977</v>
      </c>
      <c r="B3947" s="8">
        <v>44954</v>
      </c>
      <c r="C3947" s="9" t="s">
        <v>31</v>
      </c>
      <c r="D3947" s="9" t="s">
        <v>39</v>
      </c>
      <c r="E3947" s="9" t="s">
        <v>29</v>
      </c>
      <c r="F3947" s="9">
        <v>200</v>
      </c>
      <c r="G3947" s="9">
        <v>298.18</v>
      </c>
      <c r="H3947" s="9" t="s">
        <v>19</v>
      </c>
      <c r="I3947" s="9">
        <v>12</v>
      </c>
      <c r="J3947" s="10">
        <v>98.18</v>
      </c>
      <c r="K3947" s="9" t="str">
        <f>TEXT(Sales_of_Jordan[[#This Row],[Sale_Date]],"mmm")</f>
        <v>Jan</v>
      </c>
    </row>
    <row r="3948" spans="1:11" x14ac:dyDescent="0.35">
      <c r="A3948" s="7" t="s">
        <v>3978</v>
      </c>
      <c r="B3948" s="8">
        <v>45226</v>
      </c>
      <c r="C3948" s="9" t="s">
        <v>21</v>
      </c>
      <c r="D3948" s="9" t="s">
        <v>55</v>
      </c>
      <c r="E3948" s="9" t="s">
        <v>13</v>
      </c>
      <c r="F3948" s="9">
        <v>220</v>
      </c>
      <c r="G3948" s="9">
        <v>196.51</v>
      </c>
      <c r="H3948" s="9" t="s">
        <v>19</v>
      </c>
      <c r="I3948" s="9">
        <v>7</v>
      </c>
      <c r="J3948" s="10">
        <v>-23.49</v>
      </c>
      <c r="K3948" s="9" t="str">
        <f>TEXT(Sales_of_Jordan[[#This Row],[Sale_Date]],"mmm")</f>
        <v>Oct</v>
      </c>
    </row>
    <row r="3949" spans="1:11" x14ac:dyDescent="0.35">
      <c r="A3949" s="7" t="s">
        <v>3979</v>
      </c>
      <c r="B3949" s="8">
        <v>45903</v>
      </c>
      <c r="C3949" s="9" t="s">
        <v>27</v>
      </c>
      <c r="D3949" s="9" t="s">
        <v>46</v>
      </c>
      <c r="E3949" s="9" t="s">
        <v>29</v>
      </c>
      <c r="F3949" s="9">
        <v>123</v>
      </c>
      <c r="G3949" s="9">
        <v>133.06</v>
      </c>
      <c r="H3949" s="9" t="s">
        <v>23</v>
      </c>
      <c r="I3949" s="9">
        <v>50</v>
      </c>
      <c r="J3949" s="10">
        <v>10.06</v>
      </c>
      <c r="K3949" s="9" t="str">
        <f>TEXT(Sales_of_Jordan[[#This Row],[Sale_Date]],"mmm")</f>
        <v>Sep</v>
      </c>
    </row>
    <row r="3950" spans="1:11" x14ac:dyDescent="0.35">
      <c r="A3950" s="7" t="s">
        <v>3980</v>
      </c>
      <c r="B3950" s="8">
        <v>45722</v>
      </c>
      <c r="C3950" s="9" t="s">
        <v>27</v>
      </c>
      <c r="D3950" s="9" t="s">
        <v>46</v>
      </c>
      <c r="E3950" s="9" t="s">
        <v>29</v>
      </c>
      <c r="F3950" s="9">
        <v>137</v>
      </c>
      <c r="G3950" s="9">
        <v>124.7</v>
      </c>
      <c r="H3950" s="9" t="s">
        <v>19</v>
      </c>
      <c r="I3950" s="9">
        <v>1</v>
      </c>
      <c r="J3950" s="10">
        <v>-12.299999999999899</v>
      </c>
      <c r="K3950" s="9" t="str">
        <f>TEXT(Sales_of_Jordan[[#This Row],[Sale_Date]],"mmm")</f>
        <v>Mar</v>
      </c>
    </row>
    <row r="3951" spans="1:11" x14ac:dyDescent="0.35">
      <c r="A3951" s="7" t="s">
        <v>3981</v>
      </c>
      <c r="B3951" s="8">
        <v>45725</v>
      </c>
      <c r="C3951" s="9" t="s">
        <v>21</v>
      </c>
      <c r="D3951" s="9" t="s">
        <v>12</v>
      </c>
      <c r="E3951" s="9" t="s">
        <v>29</v>
      </c>
      <c r="F3951" s="9">
        <v>211</v>
      </c>
      <c r="G3951" s="9">
        <v>232.66</v>
      </c>
      <c r="H3951" s="9" t="s">
        <v>14</v>
      </c>
      <c r="I3951" s="9">
        <v>7</v>
      </c>
      <c r="J3951" s="10">
        <v>21.659999999999901</v>
      </c>
      <c r="K3951" s="9" t="str">
        <f>TEXT(Sales_of_Jordan[[#This Row],[Sale_Date]],"mmm")</f>
        <v>Mar</v>
      </c>
    </row>
    <row r="3952" spans="1:11" x14ac:dyDescent="0.35">
      <c r="A3952" s="7" t="s">
        <v>3982</v>
      </c>
      <c r="B3952" s="8">
        <v>45572</v>
      </c>
      <c r="C3952" s="9" t="s">
        <v>16</v>
      </c>
      <c r="D3952" s="9" t="s">
        <v>36</v>
      </c>
      <c r="E3952" s="9" t="s">
        <v>18</v>
      </c>
      <c r="F3952" s="9">
        <v>173</v>
      </c>
      <c r="G3952" s="9">
        <v>326.57</v>
      </c>
      <c r="H3952" s="9" t="s">
        <v>23</v>
      </c>
      <c r="I3952" s="9">
        <v>33</v>
      </c>
      <c r="J3952" s="10">
        <v>153.57</v>
      </c>
      <c r="K3952" s="9" t="str">
        <f>TEXT(Sales_of_Jordan[[#This Row],[Sale_Date]],"mmm")</f>
        <v>Oct</v>
      </c>
    </row>
    <row r="3953" spans="1:11" x14ac:dyDescent="0.35">
      <c r="A3953" s="7" t="s">
        <v>3983</v>
      </c>
      <c r="B3953" s="8">
        <v>44956</v>
      </c>
      <c r="C3953" s="9" t="s">
        <v>31</v>
      </c>
      <c r="D3953" s="9" t="s">
        <v>22</v>
      </c>
      <c r="E3953" s="9" t="s">
        <v>29</v>
      </c>
      <c r="F3953" s="9">
        <v>210</v>
      </c>
      <c r="G3953" s="9">
        <v>198</v>
      </c>
      <c r="H3953" s="9" t="s">
        <v>14</v>
      </c>
      <c r="I3953" s="9">
        <v>8</v>
      </c>
      <c r="J3953" s="10">
        <v>-12</v>
      </c>
      <c r="K3953" s="9" t="str">
        <f>TEXT(Sales_of_Jordan[[#This Row],[Sale_Date]],"mmm")</f>
        <v>Jan</v>
      </c>
    </row>
    <row r="3954" spans="1:11" x14ac:dyDescent="0.35">
      <c r="A3954" s="7" t="s">
        <v>3984</v>
      </c>
      <c r="B3954" s="8">
        <v>45739</v>
      </c>
      <c r="C3954" s="9" t="s">
        <v>27</v>
      </c>
      <c r="D3954" s="9" t="s">
        <v>46</v>
      </c>
      <c r="E3954" s="9" t="s">
        <v>18</v>
      </c>
      <c r="F3954" s="9">
        <v>110</v>
      </c>
      <c r="G3954" s="9">
        <v>280.27</v>
      </c>
      <c r="H3954" s="9" t="s">
        <v>19</v>
      </c>
      <c r="I3954" s="9">
        <v>2</v>
      </c>
      <c r="J3954" s="10">
        <v>170.26999999999899</v>
      </c>
      <c r="K3954" s="9" t="str">
        <f>TEXT(Sales_of_Jordan[[#This Row],[Sale_Date]],"mmm")</f>
        <v>Mar</v>
      </c>
    </row>
    <row r="3955" spans="1:11" x14ac:dyDescent="0.35">
      <c r="A3955" s="7" t="s">
        <v>3985</v>
      </c>
      <c r="B3955" s="8">
        <v>45486</v>
      </c>
      <c r="C3955" s="9" t="s">
        <v>27</v>
      </c>
      <c r="D3955" s="9" t="s">
        <v>46</v>
      </c>
      <c r="E3955" s="9" t="s">
        <v>13</v>
      </c>
      <c r="F3955" s="9">
        <v>133</v>
      </c>
      <c r="G3955" s="9">
        <v>75.33</v>
      </c>
      <c r="H3955" s="9" t="s">
        <v>23</v>
      </c>
      <c r="I3955" s="9">
        <v>21</v>
      </c>
      <c r="J3955" s="10">
        <v>-57.67</v>
      </c>
      <c r="K3955" s="9" t="str">
        <f>TEXT(Sales_of_Jordan[[#This Row],[Sale_Date]],"mmm")</f>
        <v>Jul</v>
      </c>
    </row>
    <row r="3956" spans="1:11" x14ac:dyDescent="0.35">
      <c r="A3956" s="7" t="s">
        <v>3986</v>
      </c>
      <c r="B3956" s="8">
        <v>45157</v>
      </c>
      <c r="C3956" s="9" t="s">
        <v>27</v>
      </c>
      <c r="D3956" s="9" t="s">
        <v>22</v>
      </c>
      <c r="E3956" s="9" t="s">
        <v>13</v>
      </c>
      <c r="F3956" s="9">
        <v>123</v>
      </c>
      <c r="G3956" s="9">
        <v>87.56</v>
      </c>
      <c r="H3956" s="9" t="s">
        <v>14</v>
      </c>
      <c r="I3956" s="9">
        <v>6</v>
      </c>
      <c r="J3956" s="10">
        <v>-35.44</v>
      </c>
      <c r="K3956" s="9" t="str">
        <f>TEXT(Sales_of_Jordan[[#This Row],[Sale_Date]],"mmm")</f>
        <v>Aug</v>
      </c>
    </row>
    <row r="3957" spans="1:11" x14ac:dyDescent="0.35">
      <c r="A3957" s="7" t="s">
        <v>3987</v>
      </c>
      <c r="B3957" s="8">
        <v>45388</v>
      </c>
      <c r="C3957" s="9" t="s">
        <v>16</v>
      </c>
      <c r="D3957" s="9" t="s">
        <v>34</v>
      </c>
      <c r="E3957" s="9" t="s">
        <v>29</v>
      </c>
      <c r="F3957" s="9">
        <v>180</v>
      </c>
      <c r="G3957" s="9">
        <v>169.3</v>
      </c>
      <c r="H3957" s="9" t="s">
        <v>19</v>
      </c>
      <c r="I3957" s="9">
        <v>4</v>
      </c>
      <c r="J3957" s="10">
        <v>-10.6999999999999</v>
      </c>
      <c r="K3957" s="9" t="str">
        <f>TEXT(Sales_of_Jordan[[#This Row],[Sale_Date]],"mmm")</f>
        <v>Apr</v>
      </c>
    </row>
    <row r="3958" spans="1:11" x14ac:dyDescent="0.35">
      <c r="A3958" s="7" t="s">
        <v>3988</v>
      </c>
      <c r="B3958" s="8">
        <v>45791</v>
      </c>
      <c r="C3958" s="9" t="s">
        <v>16</v>
      </c>
      <c r="D3958" s="9" t="s">
        <v>46</v>
      </c>
      <c r="E3958" s="9" t="s">
        <v>18</v>
      </c>
      <c r="F3958" s="9">
        <v>183</v>
      </c>
      <c r="G3958" s="9">
        <v>604.05999999999995</v>
      </c>
      <c r="H3958" s="9" t="s">
        <v>14</v>
      </c>
      <c r="I3958" s="9">
        <v>9</v>
      </c>
      <c r="J3958" s="10">
        <v>421.05999999999898</v>
      </c>
      <c r="K3958" s="9" t="str">
        <f>TEXT(Sales_of_Jordan[[#This Row],[Sale_Date]],"mmm")</f>
        <v>May</v>
      </c>
    </row>
    <row r="3959" spans="1:11" x14ac:dyDescent="0.35">
      <c r="A3959" s="7" t="s">
        <v>3989</v>
      </c>
      <c r="B3959" s="8">
        <v>45444</v>
      </c>
      <c r="C3959" s="9" t="s">
        <v>11</v>
      </c>
      <c r="D3959" s="9" t="s">
        <v>17</v>
      </c>
      <c r="E3959" s="9" t="s">
        <v>18</v>
      </c>
      <c r="F3959" s="9">
        <v>228</v>
      </c>
      <c r="G3959" s="9">
        <v>287.62</v>
      </c>
      <c r="H3959" s="9" t="s">
        <v>23</v>
      </c>
      <c r="I3959" s="9">
        <v>13</v>
      </c>
      <c r="J3959" s="10">
        <v>59.62</v>
      </c>
      <c r="K3959" s="9" t="str">
        <f>TEXT(Sales_of_Jordan[[#This Row],[Sale_Date]],"mmm")</f>
        <v>Jun</v>
      </c>
    </row>
    <row r="3960" spans="1:11" x14ac:dyDescent="0.35">
      <c r="A3960" s="7" t="s">
        <v>3990</v>
      </c>
      <c r="B3960" s="8">
        <v>44936</v>
      </c>
      <c r="C3960" s="9" t="s">
        <v>31</v>
      </c>
      <c r="D3960" s="9" t="s">
        <v>39</v>
      </c>
      <c r="E3960" s="9" t="s">
        <v>29</v>
      </c>
      <c r="F3960" s="9">
        <v>204</v>
      </c>
      <c r="G3960" s="9">
        <v>282.94</v>
      </c>
      <c r="H3960" s="9" t="s">
        <v>32</v>
      </c>
      <c r="I3960" s="9">
        <v>47</v>
      </c>
      <c r="J3960" s="10">
        <v>78.94</v>
      </c>
      <c r="K3960" s="9" t="str">
        <f>TEXT(Sales_of_Jordan[[#This Row],[Sale_Date]],"mmm")</f>
        <v>Jan</v>
      </c>
    </row>
    <row r="3961" spans="1:11" x14ac:dyDescent="0.35">
      <c r="A3961" s="7" t="s">
        <v>3991</v>
      </c>
      <c r="B3961" s="8">
        <v>45224</v>
      </c>
      <c r="C3961" s="9" t="s">
        <v>21</v>
      </c>
      <c r="D3961" s="9" t="s">
        <v>36</v>
      </c>
      <c r="E3961" s="9" t="s">
        <v>29</v>
      </c>
      <c r="F3961" s="9">
        <v>220</v>
      </c>
      <c r="G3961" s="9">
        <v>296.77999999999997</v>
      </c>
      <c r="H3961" s="9" t="s">
        <v>14</v>
      </c>
      <c r="I3961" s="9">
        <v>12</v>
      </c>
      <c r="J3961" s="10">
        <v>76.779999999999902</v>
      </c>
      <c r="K3961" s="9" t="str">
        <f>TEXT(Sales_of_Jordan[[#This Row],[Sale_Date]],"mmm")</f>
        <v>Oct</v>
      </c>
    </row>
    <row r="3962" spans="1:11" x14ac:dyDescent="0.35">
      <c r="A3962" s="7" t="s">
        <v>3992</v>
      </c>
      <c r="B3962" s="8">
        <v>45213</v>
      </c>
      <c r="C3962" s="9" t="s">
        <v>31</v>
      </c>
      <c r="D3962" s="9" t="s">
        <v>34</v>
      </c>
      <c r="E3962" s="9" t="s">
        <v>29</v>
      </c>
      <c r="F3962" s="9">
        <v>207</v>
      </c>
      <c r="G3962" s="9">
        <v>186.92</v>
      </c>
      <c r="H3962" s="9" t="s">
        <v>25</v>
      </c>
      <c r="I3962" s="9">
        <v>48</v>
      </c>
      <c r="J3962" s="10">
        <v>-20.079999999999998</v>
      </c>
      <c r="K3962" s="9" t="str">
        <f>TEXT(Sales_of_Jordan[[#This Row],[Sale_Date]],"mmm")</f>
        <v>Oct</v>
      </c>
    </row>
    <row r="3963" spans="1:11" x14ac:dyDescent="0.35">
      <c r="A3963" s="7" t="s">
        <v>3993</v>
      </c>
      <c r="B3963" s="8">
        <v>45298</v>
      </c>
      <c r="C3963" s="9" t="s">
        <v>31</v>
      </c>
      <c r="D3963" s="9" t="s">
        <v>53</v>
      </c>
      <c r="E3963" s="9" t="s">
        <v>29</v>
      </c>
      <c r="F3963" s="9">
        <v>200</v>
      </c>
      <c r="G3963" s="9">
        <v>263.54000000000002</v>
      </c>
      <c r="H3963" s="9" t="s">
        <v>25</v>
      </c>
      <c r="I3963" s="9">
        <v>58</v>
      </c>
      <c r="J3963" s="10">
        <v>63.54</v>
      </c>
      <c r="K3963" s="9" t="str">
        <f>TEXT(Sales_of_Jordan[[#This Row],[Sale_Date]],"mmm")</f>
        <v>Jan</v>
      </c>
    </row>
    <row r="3964" spans="1:11" x14ac:dyDescent="0.35">
      <c r="A3964" s="7" t="s">
        <v>3994</v>
      </c>
      <c r="B3964" s="8">
        <v>45339</v>
      </c>
      <c r="C3964" s="9" t="s">
        <v>21</v>
      </c>
      <c r="D3964" s="9" t="s">
        <v>22</v>
      </c>
      <c r="E3964" s="9" t="s">
        <v>13</v>
      </c>
      <c r="F3964" s="9">
        <v>215</v>
      </c>
      <c r="G3964" s="9">
        <v>130.35</v>
      </c>
      <c r="H3964" s="9" t="s">
        <v>14</v>
      </c>
      <c r="I3964" s="9">
        <v>13</v>
      </c>
      <c r="J3964" s="10">
        <v>-84.65</v>
      </c>
      <c r="K3964" s="9" t="str">
        <f>TEXT(Sales_of_Jordan[[#This Row],[Sale_Date]],"mmm")</f>
        <v>Feb</v>
      </c>
    </row>
    <row r="3965" spans="1:11" x14ac:dyDescent="0.35">
      <c r="A3965" s="7" t="s">
        <v>3995</v>
      </c>
      <c r="B3965" s="8">
        <v>45207</v>
      </c>
      <c r="C3965" s="9" t="s">
        <v>21</v>
      </c>
      <c r="D3965" s="9" t="s">
        <v>39</v>
      </c>
      <c r="E3965" s="9" t="s">
        <v>18</v>
      </c>
      <c r="F3965" s="9">
        <v>213</v>
      </c>
      <c r="G3965" s="9">
        <v>586.62</v>
      </c>
      <c r="H3965" s="9" t="s">
        <v>14</v>
      </c>
      <c r="I3965" s="9">
        <v>10</v>
      </c>
      <c r="J3965" s="10">
        <v>373.62</v>
      </c>
      <c r="K3965" s="9" t="str">
        <f>TEXT(Sales_of_Jordan[[#This Row],[Sale_Date]],"mmm")</f>
        <v>Oct</v>
      </c>
    </row>
    <row r="3966" spans="1:11" x14ac:dyDescent="0.35">
      <c r="A3966" s="7" t="s">
        <v>3996</v>
      </c>
      <c r="B3966" s="8">
        <v>45577</v>
      </c>
      <c r="C3966" s="9" t="s">
        <v>31</v>
      </c>
      <c r="D3966" s="9" t="s">
        <v>22</v>
      </c>
      <c r="E3966" s="9" t="s">
        <v>29</v>
      </c>
      <c r="F3966" s="9">
        <v>207</v>
      </c>
      <c r="G3966" s="9">
        <v>198.02</v>
      </c>
      <c r="H3966" s="9" t="s">
        <v>32</v>
      </c>
      <c r="I3966" s="9">
        <v>56</v>
      </c>
      <c r="J3966" s="10">
        <v>-8.9799999999999898</v>
      </c>
      <c r="K3966" s="9" t="str">
        <f>TEXT(Sales_of_Jordan[[#This Row],[Sale_Date]],"mmm")</f>
        <v>Oct</v>
      </c>
    </row>
    <row r="3967" spans="1:11" x14ac:dyDescent="0.35">
      <c r="A3967" s="7" t="s">
        <v>3997</v>
      </c>
      <c r="B3967" s="8">
        <v>45104</v>
      </c>
      <c r="C3967" s="9" t="s">
        <v>31</v>
      </c>
      <c r="D3967" s="9" t="s">
        <v>22</v>
      </c>
      <c r="E3967" s="9" t="s">
        <v>18</v>
      </c>
      <c r="F3967" s="9">
        <v>201</v>
      </c>
      <c r="G3967" s="9">
        <v>339.72</v>
      </c>
      <c r="H3967" s="9" t="s">
        <v>32</v>
      </c>
      <c r="I3967" s="9">
        <v>58</v>
      </c>
      <c r="J3967" s="10">
        <v>138.72</v>
      </c>
      <c r="K3967" s="9" t="str">
        <f>TEXT(Sales_of_Jordan[[#This Row],[Sale_Date]],"mmm")</f>
        <v>Jun</v>
      </c>
    </row>
    <row r="3968" spans="1:11" x14ac:dyDescent="0.35">
      <c r="A3968" s="7" t="s">
        <v>3998</v>
      </c>
      <c r="B3968" s="8">
        <v>45203</v>
      </c>
      <c r="C3968" s="9" t="s">
        <v>16</v>
      </c>
      <c r="D3968" s="9" t="s">
        <v>22</v>
      </c>
      <c r="E3968" s="9" t="s">
        <v>18</v>
      </c>
      <c r="F3968" s="9">
        <v>172</v>
      </c>
      <c r="G3968" s="9">
        <v>437.71</v>
      </c>
      <c r="H3968" s="9" t="s">
        <v>25</v>
      </c>
      <c r="I3968" s="9">
        <v>33</v>
      </c>
      <c r="J3968" s="10">
        <v>265.70999999999998</v>
      </c>
      <c r="K3968" s="9" t="str">
        <f>TEXT(Sales_of_Jordan[[#This Row],[Sale_Date]],"mmm")</f>
        <v>Oct</v>
      </c>
    </row>
    <row r="3969" spans="1:11" x14ac:dyDescent="0.35">
      <c r="A3969" s="7" t="s">
        <v>3999</v>
      </c>
      <c r="B3969" s="8">
        <v>45538</v>
      </c>
      <c r="C3969" s="9" t="s">
        <v>31</v>
      </c>
      <c r="D3969" s="9" t="s">
        <v>34</v>
      </c>
      <c r="E3969" s="9" t="s">
        <v>29</v>
      </c>
      <c r="F3969" s="9">
        <v>201</v>
      </c>
      <c r="G3969" s="9">
        <v>245.65</v>
      </c>
      <c r="H3969" s="9" t="s">
        <v>19</v>
      </c>
      <c r="I3969" s="9">
        <v>11</v>
      </c>
      <c r="J3969" s="10">
        <v>44.65</v>
      </c>
      <c r="K3969" s="9" t="str">
        <f>TEXT(Sales_of_Jordan[[#This Row],[Sale_Date]],"mmm")</f>
        <v>Sep</v>
      </c>
    </row>
    <row r="3970" spans="1:11" x14ac:dyDescent="0.35">
      <c r="A3970" s="7" t="s">
        <v>4000</v>
      </c>
      <c r="B3970" s="8">
        <v>45172</v>
      </c>
      <c r="C3970" s="9" t="s">
        <v>16</v>
      </c>
      <c r="D3970" s="9" t="s">
        <v>53</v>
      </c>
      <c r="E3970" s="9" t="s">
        <v>29</v>
      </c>
      <c r="F3970" s="9">
        <v>170</v>
      </c>
      <c r="G3970" s="9">
        <v>167.68</v>
      </c>
      <c r="H3970" s="9" t="s">
        <v>23</v>
      </c>
      <c r="I3970" s="9">
        <v>34</v>
      </c>
      <c r="J3970" s="10">
        <v>-2.3199999999999901</v>
      </c>
      <c r="K3970" s="9" t="str">
        <f>TEXT(Sales_of_Jordan[[#This Row],[Sale_Date]],"mmm")</f>
        <v>Sep</v>
      </c>
    </row>
    <row r="3971" spans="1:11" x14ac:dyDescent="0.35">
      <c r="A3971" s="7" t="s">
        <v>4001</v>
      </c>
      <c r="B3971" s="8">
        <v>45440</v>
      </c>
      <c r="C3971" s="9" t="s">
        <v>11</v>
      </c>
      <c r="D3971" s="9" t="s">
        <v>17</v>
      </c>
      <c r="E3971" s="9" t="s">
        <v>18</v>
      </c>
      <c r="F3971" s="9">
        <v>230</v>
      </c>
      <c r="G3971" s="9">
        <v>675.44</v>
      </c>
      <c r="H3971" s="9" t="s">
        <v>32</v>
      </c>
      <c r="I3971" s="9">
        <v>45</v>
      </c>
      <c r="J3971" s="10">
        <v>445.44</v>
      </c>
      <c r="K3971" s="9" t="str">
        <f>TEXT(Sales_of_Jordan[[#This Row],[Sale_Date]],"mmm")</f>
        <v>May</v>
      </c>
    </row>
    <row r="3972" spans="1:11" x14ac:dyDescent="0.35">
      <c r="A3972" s="7" t="s">
        <v>4002</v>
      </c>
      <c r="B3972" s="8">
        <v>45377</v>
      </c>
      <c r="C3972" s="9" t="s">
        <v>21</v>
      </c>
      <c r="D3972" s="9" t="s">
        <v>17</v>
      </c>
      <c r="E3972" s="9" t="s">
        <v>29</v>
      </c>
      <c r="F3972" s="9">
        <v>215</v>
      </c>
      <c r="G3972" s="9">
        <v>266.58</v>
      </c>
      <c r="H3972" s="9" t="s">
        <v>25</v>
      </c>
      <c r="I3972" s="9">
        <v>21</v>
      </c>
      <c r="J3972" s="10">
        <v>51.579999999999899</v>
      </c>
      <c r="K3972" s="9" t="str">
        <f>TEXT(Sales_of_Jordan[[#This Row],[Sale_Date]],"mmm")</f>
        <v>Mar</v>
      </c>
    </row>
    <row r="3973" spans="1:11" x14ac:dyDescent="0.35">
      <c r="A3973" s="7" t="s">
        <v>4003</v>
      </c>
      <c r="B3973" s="8">
        <v>45255</v>
      </c>
      <c r="C3973" s="9" t="s">
        <v>31</v>
      </c>
      <c r="D3973" s="9" t="s">
        <v>17</v>
      </c>
      <c r="E3973" s="9" t="s">
        <v>29</v>
      </c>
      <c r="F3973" s="9">
        <v>208</v>
      </c>
      <c r="G3973" s="9">
        <v>251.18</v>
      </c>
      <c r="H3973" s="9" t="s">
        <v>32</v>
      </c>
      <c r="I3973" s="9">
        <v>44</v>
      </c>
      <c r="J3973" s="10">
        <v>43.18</v>
      </c>
      <c r="K3973" s="9" t="str">
        <f>TEXT(Sales_of_Jordan[[#This Row],[Sale_Date]],"mmm")</f>
        <v>Nov</v>
      </c>
    </row>
    <row r="3974" spans="1:11" x14ac:dyDescent="0.35">
      <c r="A3974" s="7" t="s">
        <v>4004</v>
      </c>
      <c r="B3974" s="8">
        <v>45728</v>
      </c>
      <c r="C3974" s="9" t="s">
        <v>21</v>
      </c>
      <c r="D3974" s="9" t="s">
        <v>53</v>
      </c>
      <c r="E3974" s="9" t="s">
        <v>29</v>
      </c>
      <c r="F3974" s="9">
        <v>213</v>
      </c>
      <c r="G3974" s="9">
        <v>289.77999999999997</v>
      </c>
      <c r="H3974" s="9" t="s">
        <v>19</v>
      </c>
      <c r="I3974" s="9">
        <v>5</v>
      </c>
      <c r="J3974" s="10">
        <v>76.779999999999902</v>
      </c>
      <c r="K3974" s="9" t="str">
        <f>TEXT(Sales_of_Jordan[[#This Row],[Sale_Date]],"mmm")</f>
        <v>Mar</v>
      </c>
    </row>
    <row r="3975" spans="1:11" x14ac:dyDescent="0.35">
      <c r="A3975" s="7" t="s">
        <v>4005</v>
      </c>
      <c r="B3975" s="8">
        <v>45457</v>
      </c>
      <c r="C3975" s="9" t="s">
        <v>27</v>
      </c>
      <c r="D3975" s="9" t="s">
        <v>46</v>
      </c>
      <c r="E3975" s="9" t="s">
        <v>29</v>
      </c>
      <c r="F3975" s="9">
        <v>117</v>
      </c>
      <c r="G3975" s="9">
        <v>115.11</v>
      </c>
      <c r="H3975" s="9" t="s">
        <v>25</v>
      </c>
      <c r="I3975" s="9">
        <v>47</v>
      </c>
      <c r="J3975" s="10">
        <v>-1.89</v>
      </c>
      <c r="K3975" s="9" t="str">
        <f>TEXT(Sales_of_Jordan[[#This Row],[Sale_Date]],"mmm")</f>
        <v>Jun</v>
      </c>
    </row>
    <row r="3976" spans="1:11" x14ac:dyDescent="0.35">
      <c r="A3976" s="7" t="s">
        <v>4006</v>
      </c>
      <c r="B3976" s="8">
        <v>45135</v>
      </c>
      <c r="C3976" s="9" t="s">
        <v>11</v>
      </c>
      <c r="D3976" s="9" t="s">
        <v>34</v>
      </c>
      <c r="E3976" s="9" t="s">
        <v>29</v>
      </c>
      <c r="F3976" s="9">
        <v>230</v>
      </c>
      <c r="G3976" s="9">
        <v>229.47</v>
      </c>
      <c r="H3976" s="9" t="s">
        <v>19</v>
      </c>
      <c r="I3976" s="9">
        <v>13</v>
      </c>
      <c r="J3976" s="10">
        <v>-0.53000000000000103</v>
      </c>
      <c r="K3976" s="9" t="str">
        <f>TEXT(Sales_of_Jordan[[#This Row],[Sale_Date]],"mmm")</f>
        <v>Jul</v>
      </c>
    </row>
    <row r="3977" spans="1:11" x14ac:dyDescent="0.35">
      <c r="A3977" s="7" t="s">
        <v>4007</v>
      </c>
      <c r="B3977" s="8">
        <v>44967</v>
      </c>
      <c r="C3977" s="9" t="s">
        <v>31</v>
      </c>
      <c r="D3977" s="9" t="s">
        <v>55</v>
      </c>
      <c r="E3977" s="9" t="s">
        <v>18</v>
      </c>
      <c r="F3977" s="9">
        <v>206</v>
      </c>
      <c r="G3977" s="9">
        <v>649.75</v>
      </c>
      <c r="H3977" s="9" t="s">
        <v>25</v>
      </c>
      <c r="I3977" s="9">
        <v>33</v>
      </c>
      <c r="J3977" s="10">
        <v>443.75</v>
      </c>
      <c r="K3977" s="9" t="str">
        <f>TEXT(Sales_of_Jordan[[#This Row],[Sale_Date]],"mmm")</f>
        <v>Feb</v>
      </c>
    </row>
    <row r="3978" spans="1:11" x14ac:dyDescent="0.35">
      <c r="A3978" s="7" t="s">
        <v>4008</v>
      </c>
      <c r="B3978" s="8">
        <v>45371</v>
      </c>
      <c r="C3978" s="9" t="s">
        <v>27</v>
      </c>
      <c r="D3978" s="9" t="s">
        <v>53</v>
      </c>
      <c r="E3978" s="9" t="s">
        <v>13</v>
      </c>
      <c r="F3978" s="9">
        <v>121</v>
      </c>
      <c r="G3978" s="9">
        <v>91.72</v>
      </c>
      <c r="H3978" s="9" t="s">
        <v>23</v>
      </c>
      <c r="I3978" s="9">
        <v>16</v>
      </c>
      <c r="J3978" s="10">
        <v>-29.28</v>
      </c>
      <c r="K3978" s="9" t="str">
        <f>TEXT(Sales_of_Jordan[[#This Row],[Sale_Date]],"mmm")</f>
        <v>Mar</v>
      </c>
    </row>
    <row r="3979" spans="1:11" x14ac:dyDescent="0.35">
      <c r="A3979" s="7" t="s">
        <v>4009</v>
      </c>
      <c r="B3979" s="8">
        <v>45551</v>
      </c>
      <c r="C3979" s="9" t="s">
        <v>31</v>
      </c>
      <c r="D3979" s="9" t="s">
        <v>36</v>
      </c>
      <c r="E3979" s="9" t="s">
        <v>13</v>
      </c>
      <c r="F3979" s="9">
        <v>205</v>
      </c>
      <c r="G3979" s="9">
        <v>138.01</v>
      </c>
      <c r="H3979" s="9" t="s">
        <v>14</v>
      </c>
      <c r="I3979" s="9">
        <v>7</v>
      </c>
      <c r="J3979" s="10">
        <v>-66.989999999999995</v>
      </c>
      <c r="K3979" s="9" t="str">
        <f>TEXT(Sales_of_Jordan[[#This Row],[Sale_Date]],"mmm")</f>
        <v>Sep</v>
      </c>
    </row>
    <row r="3980" spans="1:11" x14ac:dyDescent="0.35">
      <c r="A3980" s="7" t="s">
        <v>4010</v>
      </c>
      <c r="B3980" s="8">
        <v>45777</v>
      </c>
      <c r="C3980" s="9" t="s">
        <v>27</v>
      </c>
      <c r="D3980" s="9" t="s">
        <v>17</v>
      </c>
      <c r="E3980" s="9" t="s">
        <v>29</v>
      </c>
      <c r="F3980" s="9">
        <v>116</v>
      </c>
      <c r="G3980" s="9">
        <v>149.4</v>
      </c>
      <c r="H3980" s="9" t="s">
        <v>14</v>
      </c>
      <c r="I3980" s="9">
        <v>9</v>
      </c>
      <c r="J3980" s="10">
        <v>33.4</v>
      </c>
      <c r="K3980" s="9" t="str">
        <f>TEXT(Sales_of_Jordan[[#This Row],[Sale_Date]],"mmm")</f>
        <v>Apr</v>
      </c>
    </row>
    <row r="3981" spans="1:11" x14ac:dyDescent="0.35">
      <c r="A3981" s="7" t="s">
        <v>4011</v>
      </c>
      <c r="B3981" s="8">
        <v>45272</v>
      </c>
      <c r="C3981" s="9" t="s">
        <v>27</v>
      </c>
      <c r="D3981" s="9" t="s">
        <v>39</v>
      </c>
      <c r="E3981" s="9" t="s">
        <v>29</v>
      </c>
      <c r="F3981" s="9">
        <v>119</v>
      </c>
      <c r="G3981" s="9">
        <v>149.06</v>
      </c>
      <c r="H3981" s="9" t="s">
        <v>25</v>
      </c>
      <c r="I3981" s="9">
        <v>33</v>
      </c>
      <c r="J3981" s="10">
        <v>30.06</v>
      </c>
      <c r="K3981" s="9" t="str">
        <f>TEXT(Sales_of_Jordan[[#This Row],[Sale_Date]],"mmm")</f>
        <v>Dec</v>
      </c>
    </row>
    <row r="3982" spans="1:11" x14ac:dyDescent="0.35">
      <c r="A3982" s="7" t="s">
        <v>4012</v>
      </c>
      <c r="B3982" s="8">
        <v>45906</v>
      </c>
      <c r="C3982" s="9" t="s">
        <v>11</v>
      </c>
      <c r="D3982" s="9" t="s">
        <v>46</v>
      </c>
      <c r="E3982" s="9" t="s">
        <v>29</v>
      </c>
      <c r="F3982" s="9">
        <v>225</v>
      </c>
      <c r="G3982" s="9">
        <v>238.84</v>
      </c>
      <c r="H3982" s="9" t="s">
        <v>19</v>
      </c>
      <c r="I3982" s="9">
        <v>8</v>
      </c>
      <c r="J3982" s="10">
        <v>13.84</v>
      </c>
      <c r="K3982" s="9" t="str">
        <f>TEXT(Sales_of_Jordan[[#This Row],[Sale_Date]],"mmm")</f>
        <v>Sep</v>
      </c>
    </row>
    <row r="3983" spans="1:11" x14ac:dyDescent="0.35">
      <c r="A3983" s="7" t="s">
        <v>4013</v>
      </c>
      <c r="B3983" s="8">
        <v>45495</v>
      </c>
      <c r="C3983" s="9" t="s">
        <v>27</v>
      </c>
      <c r="D3983" s="9" t="s">
        <v>34</v>
      </c>
      <c r="E3983" s="9" t="s">
        <v>13</v>
      </c>
      <c r="F3983" s="9">
        <v>126</v>
      </c>
      <c r="G3983" s="9">
        <v>66.55</v>
      </c>
      <c r="H3983" s="9" t="s">
        <v>32</v>
      </c>
      <c r="I3983" s="9">
        <v>35</v>
      </c>
      <c r="J3983" s="10">
        <v>-59.45</v>
      </c>
      <c r="K3983" s="9" t="str">
        <f>TEXT(Sales_of_Jordan[[#This Row],[Sale_Date]],"mmm")</f>
        <v>Jul</v>
      </c>
    </row>
    <row r="3984" spans="1:11" x14ac:dyDescent="0.35">
      <c r="A3984" s="7" t="s">
        <v>4014</v>
      </c>
      <c r="B3984" s="8">
        <v>45190</v>
      </c>
      <c r="C3984" s="9" t="s">
        <v>16</v>
      </c>
      <c r="D3984" s="9" t="s">
        <v>17</v>
      </c>
      <c r="E3984" s="9" t="s">
        <v>18</v>
      </c>
      <c r="F3984" s="9">
        <v>183</v>
      </c>
      <c r="G3984" s="9">
        <v>369.94</v>
      </c>
      <c r="H3984" s="9" t="s">
        <v>25</v>
      </c>
      <c r="I3984" s="9">
        <v>50</v>
      </c>
      <c r="J3984" s="10">
        <v>186.94</v>
      </c>
      <c r="K3984" s="9" t="str">
        <f>TEXT(Sales_of_Jordan[[#This Row],[Sale_Date]],"mmm")</f>
        <v>Sep</v>
      </c>
    </row>
    <row r="3985" spans="1:11" x14ac:dyDescent="0.35">
      <c r="A3985" s="7" t="s">
        <v>4015</v>
      </c>
      <c r="B3985" s="8">
        <v>45539</v>
      </c>
      <c r="C3985" s="9" t="s">
        <v>16</v>
      </c>
      <c r="D3985" s="9" t="s">
        <v>34</v>
      </c>
      <c r="E3985" s="9" t="s">
        <v>29</v>
      </c>
      <c r="F3985" s="9">
        <v>183</v>
      </c>
      <c r="G3985" s="9">
        <v>212.29</v>
      </c>
      <c r="H3985" s="9" t="s">
        <v>25</v>
      </c>
      <c r="I3985" s="9">
        <v>49</v>
      </c>
      <c r="J3985" s="10">
        <v>29.2899999999999</v>
      </c>
      <c r="K3985" s="9" t="str">
        <f>TEXT(Sales_of_Jordan[[#This Row],[Sale_Date]],"mmm")</f>
        <v>Sep</v>
      </c>
    </row>
    <row r="3986" spans="1:11" x14ac:dyDescent="0.35">
      <c r="A3986" s="7" t="s">
        <v>4016</v>
      </c>
      <c r="B3986" s="8">
        <v>45866</v>
      </c>
      <c r="C3986" s="9" t="s">
        <v>21</v>
      </c>
      <c r="D3986" s="9" t="s">
        <v>55</v>
      </c>
      <c r="E3986" s="9" t="s">
        <v>29</v>
      </c>
      <c r="F3986" s="9">
        <v>213</v>
      </c>
      <c r="G3986" s="9">
        <v>265.35000000000002</v>
      </c>
      <c r="H3986" s="9" t="s">
        <v>23</v>
      </c>
      <c r="I3986" s="9">
        <v>37</v>
      </c>
      <c r="J3986" s="10">
        <v>52.35</v>
      </c>
      <c r="K3986" s="9" t="str">
        <f>TEXT(Sales_of_Jordan[[#This Row],[Sale_Date]],"mmm")</f>
        <v>Jul</v>
      </c>
    </row>
    <row r="3987" spans="1:11" x14ac:dyDescent="0.35">
      <c r="A3987" s="7" t="s">
        <v>4017</v>
      </c>
      <c r="B3987" s="8">
        <v>45162</v>
      </c>
      <c r="C3987" s="9" t="s">
        <v>11</v>
      </c>
      <c r="D3987" s="9" t="s">
        <v>12</v>
      </c>
      <c r="E3987" s="9" t="s">
        <v>18</v>
      </c>
      <c r="F3987" s="9">
        <v>229</v>
      </c>
      <c r="G3987" s="9">
        <v>622.39</v>
      </c>
      <c r="H3987" s="9" t="s">
        <v>25</v>
      </c>
      <c r="I3987" s="9">
        <v>30</v>
      </c>
      <c r="J3987" s="10">
        <v>393.39</v>
      </c>
      <c r="K3987" s="9" t="str">
        <f>TEXT(Sales_of_Jordan[[#This Row],[Sale_Date]],"mmm")</f>
        <v>Aug</v>
      </c>
    </row>
    <row r="3988" spans="1:11" x14ac:dyDescent="0.35">
      <c r="A3988" s="7" t="s">
        <v>4018</v>
      </c>
      <c r="B3988" s="8">
        <v>45131</v>
      </c>
      <c r="C3988" s="9" t="s">
        <v>21</v>
      </c>
      <c r="D3988" s="9" t="s">
        <v>12</v>
      </c>
      <c r="E3988" s="9" t="s">
        <v>13</v>
      </c>
      <c r="F3988" s="9">
        <v>217</v>
      </c>
      <c r="G3988" s="9">
        <v>150.08000000000001</v>
      </c>
      <c r="H3988" s="9" t="s">
        <v>19</v>
      </c>
      <c r="I3988" s="9">
        <v>1</v>
      </c>
      <c r="J3988" s="10">
        <v>-66.919999999999902</v>
      </c>
      <c r="K3988" s="9" t="str">
        <f>TEXT(Sales_of_Jordan[[#This Row],[Sale_Date]],"mmm")</f>
        <v>Jul</v>
      </c>
    </row>
    <row r="3989" spans="1:11" x14ac:dyDescent="0.35">
      <c r="A3989" s="7" t="s">
        <v>4019</v>
      </c>
      <c r="B3989" s="8">
        <v>45774</v>
      </c>
      <c r="C3989" s="9" t="s">
        <v>31</v>
      </c>
      <c r="D3989" s="9" t="s">
        <v>46</v>
      </c>
      <c r="E3989" s="9" t="s">
        <v>18</v>
      </c>
      <c r="F3989" s="9">
        <v>206</v>
      </c>
      <c r="G3989" s="9">
        <v>429.51</v>
      </c>
      <c r="H3989" s="9" t="s">
        <v>25</v>
      </c>
      <c r="I3989" s="9">
        <v>58</v>
      </c>
      <c r="J3989" s="10">
        <v>223.51</v>
      </c>
      <c r="K3989" s="9" t="str">
        <f>TEXT(Sales_of_Jordan[[#This Row],[Sale_Date]],"mmm")</f>
        <v>Apr</v>
      </c>
    </row>
    <row r="3990" spans="1:11" x14ac:dyDescent="0.35">
      <c r="A3990" s="7" t="s">
        <v>4020</v>
      </c>
      <c r="B3990" s="8">
        <v>45167</v>
      </c>
      <c r="C3990" s="9" t="s">
        <v>11</v>
      </c>
      <c r="D3990" s="9" t="s">
        <v>36</v>
      </c>
      <c r="E3990" s="9" t="s">
        <v>29</v>
      </c>
      <c r="F3990" s="9">
        <v>226</v>
      </c>
      <c r="G3990" s="9">
        <v>222.13</v>
      </c>
      <c r="H3990" s="9" t="s">
        <v>14</v>
      </c>
      <c r="I3990" s="9">
        <v>12</v>
      </c>
      <c r="J3990" s="10">
        <v>-3.87</v>
      </c>
      <c r="K3990" s="9" t="str">
        <f>TEXT(Sales_of_Jordan[[#This Row],[Sale_Date]],"mmm")</f>
        <v>Aug</v>
      </c>
    </row>
    <row r="3991" spans="1:11" x14ac:dyDescent="0.35">
      <c r="A3991" s="7" t="s">
        <v>4021</v>
      </c>
      <c r="B3991" s="8">
        <v>45612</v>
      </c>
      <c r="C3991" s="9" t="s">
        <v>27</v>
      </c>
      <c r="D3991" s="9" t="s">
        <v>53</v>
      </c>
      <c r="E3991" s="9" t="s">
        <v>13</v>
      </c>
      <c r="F3991" s="9">
        <v>136</v>
      </c>
      <c r="G3991" s="9">
        <v>74.36</v>
      </c>
      <c r="H3991" s="9" t="s">
        <v>19</v>
      </c>
      <c r="I3991" s="9">
        <v>2</v>
      </c>
      <c r="J3991" s="10">
        <v>-61.64</v>
      </c>
      <c r="K3991" s="9" t="str">
        <f>TEXT(Sales_of_Jordan[[#This Row],[Sale_Date]],"mmm")</f>
        <v>Nov</v>
      </c>
    </row>
    <row r="3992" spans="1:11" x14ac:dyDescent="0.35">
      <c r="A3992" s="7" t="s">
        <v>4022</v>
      </c>
      <c r="B3992" s="8">
        <v>45532</v>
      </c>
      <c r="C3992" s="9" t="s">
        <v>21</v>
      </c>
      <c r="D3992" s="9" t="s">
        <v>46</v>
      </c>
      <c r="E3992" s="9" t="s">
        <v>13</v>
      </c>
      <c r="F3992" s="9">
        <v>221</v>
      </c>
      <c r="G3992" s="9">
        <v>147.04</v>
      </c>
      <c r="H3992" s="9" t="s">
        <v>32</v>
      </c>
      <c r="I3992" s="9">
        <v>9</v>
      </c>
      <c r="J3992" s="10">
        <v>-73.959999999999994</v>
      </c>
      <c r="K3992" s="9" t="str">
        <f>TEXT(Sales_of_Jordan[[#This Row],[Sale_Date]],"mmm")</f>
        <v>Aug</v>
      </c>
    </row>
    <row r="3993" spans="1:11" x14ac:dyDescent="0.35">
      <c r="A3993" s="7" t="s">
        <v>4023</v>
      </c>
      <c r="B3993" s="8">
        <v>45825</v>
      </c>
      <c r="C3993" s="9" t="s">
        <v>27</v>
      </c>
      <c r="D3993" s="9" t="s">
        <v>53</v>
      </c>
      <c r="E3993" s="9" t="s">
        <v>18</v>
      </c>
      <c r="F3993" s="9">
        <v>119</v>
      </c>
      <c r="G3993" s="9">
        <v>162.34</v>
      </c>
      <c r="H3993" s="9" t="s">
        <v>25</v>
      </c>
      <c r="I3993" s="9">
        <v>35</v>
      </c>
      <c r="J3993" s="10">
        <v>43.34</v>
      </c>
      <c r="K3993" s="9" t="str">
        <f>TEXT(Sales_of_Jordan[[#This Row],[Sale_Date]],"mmm")</f>
        <v>Jun</v>
      </c>
    </row>
    <row r="3994" spans="1:11" x14ac:dyDescent="0.35">
      <c r="A3994" s="7" t="s">
        <v>4024</v>
      </c>
      <c r="B3994" s="8">
        <v>45593</v>
      </c>
      <c r="C3994" s="9" t="s">
        <v>27</v>
      </c>
      <c r="D3994" s="9" t="s">
        <v>55</v>
      </c>
      <c r="E3994" s="9" t="s">
        <v>13</v>
      </c>
      <c r="F3994" s="9">
        <v>128</v>
      </c>
      <c r="G3994" s="9">
        <v>88.06</v>
      </c>
      <c r="H3994" s="9" t="s">
        <v>14</v>
      </c>
      <c r="I3994" s="9">
        <v>8</v>
      </c>
      <c r="J3994" s="10">
        <v>-39.94</v>
      </c>
      <c r="K3994" s="9" t="str">
        <f>TEXT(Sales_of_Jordan[[#This Row],[Sale_Date]],"mmm")</f>
        <v>Oct</v>
      </c>
    </row>
    <row r="3995" spans="1:11" x14ac:dyDescent="0.35">
      <c r="A3995" s="7" t="s">
        <v>4025</v>
      </c>
      <c r="B3995" s="8">
        <v>45875</v>
      </c>
      <c r="C3995" s="9" t="s">
        <v>16</v>
      </c>
      <c r="D3995" s="9" t="s">
        <v>22</v>
      </c>
      <c r="E3995" s="9" t="s">
        <v>29</v>
      </c>
      <c r="F3995" s="9">
        <v>173</v>
      </c>
      <c r="G3995" s="9">
        <v>183.74</v>
      </c>
      <c r="H3995" s="9" t="s">
        <v>14</v>
      </c>
      <c r="I3995" s="9">
        <v>10</v>
      </c>
      <c r="J3995" s="10">
        <v>10.74</v>
      </c>
      <c r="K3995" s="9" t="str">
        <f>TEXT(Sales_of_Jordan[[#This Row],[Sale_Date]],"mmm")</f>
        <v>Aug</v>
      </c>
    </row>
    <row r="3996" spans="1:11" x14ac:dyDescent="0.35">
      <c r="A3996" s="7" t="s">
        <v>4026</v>
      </c>
      <c r="B3996" s="8">
        <v>45239</v>
      </c>
      <c r="C3996" s="9" t="s">
        <v>27</v>
      </c>
      <c r="D3996" s="9" t="s">
        <v>22</v>
      </c>
      <c r="E3996" s="9" t="s">
        <v>29</v>
      </c>
      <c r="F3996" s="9">
        <v>131</v>
      </c>
      <c r="G3996" s="9">
        <v>171.87</v>
      </c>
      <c r="H3996" s="9" t="s">
        <v>25</v>
      </c>
      <c r="I3996" s="9">
        <v>14</v>
      </c>
      <c r="J3996" s="10">
        <v>40.869999999999997</v>
      </c>
      <c r="K3996" s="9" t="str">
        <f>TEXT(Sales_of_Jordan[[#This Row],[Sale_Date]],"mmm")</f>
        <v>Nov</v>
      </c>
    </row>
    <row r="3997" spans="1:11" x14ac:dyDescent="0.35">
      <c r="A3997" s="7" t="s">
        <v>4027</v>
      </c>
      <c r="B3997" s="8">
        <v>45791</v>
      </c>
      <c r="C3997" s="9" t="s">
        <v>21</v>
      </c>
      <c r="D3997" s="9" t="s">
        <v>34</v>
      </c>
      <c r="E3997" s="9" t="s">
        <v>18</v>
      </c>
      <c r="F3997" s="9">
        <v>215</v>
      </c>
      <c r="G3997" s="9">
        <v>667.55</v>
      </c>
      <c r="H3997" s="9" t="s">
        <v>19</v>
      </c>
      <c r="I3997" s="9">
        <v>13</v>
      </c>
      <c r="J3997" s="10">
        <v>452.54999999999899</v>
      </c>
      <c r="K3997" s="9" t="str">
        <f>TEXT(Sales_of_Jordan[[#This Row],[Sale_Date]],"mmm")</f>
        <v>May</v>
      </c>
    </row>
    <row r="3998" spans="1:11" x14ac:dyDescent="0.35">
      <c r="A3998" s="7" t="s">
        <v>4028</v>
      </c>
      <c r="B3998" s="8">
        <v>45198</v>
      </c>
      <c r="C3998" s="9" t="s">
        <v>31</v>
      </c>
      <c r="D3998" s="9" t="s">
        <v>53</v>
      </c>
      <c r="E3998" s="9" t="s">
        <v>18</v>
      </c>
      <c r="F3998" s="9">
        <v>207</v>
      </c>
      <c r="G3998" s="9">
        <v>512.91</v>
      </c>
      <c r="H3998" s="9" t="s">
        <v>25</v>
      </c>
      <c r="I3998" s="9">
        <v>23</v>
      </c>
      <c r="J3998" s="10">
        <v>305.909999999999</v>
      </c>
      <c r="K3998" s="9" t="str">
        <f>TEXT(Sales_of_Jordan[[#This Row],[Sale_Date]],"mmm")</f>
        <v>Sep</v>
      </c>
    </row>
    <row r="3999" spans="1:11" x14ac:dyDescent="0.35">
      <c r="A3999" s="7" t="s">
        <v>4029</v>
      </c>
      <c r="B3999" s="8">
        <v>45555</v>
      </c>
      <c r="C3999" s="9" t="s">
        <v>16</v>
      </c>
      <c r="D3999" s="9" t="s">
        <v>39</v>
      </c>
      <c r="E3999" s="9" t="s">
        <v>13</v>
      </c>
      <c r="F3999" s="9">
        <v>183</v>
      </c>
      <c r="G3999" s="9">
        <v>151.58000000000001</v>
      </c>
      <c r="H3999" s="9" t="s">
        <v>25</v>
      </c>
      <c r="I3999" s="9">
        <v>29</v>
      </c>
      <c r="J3999" s="10">
        <v>-31.419999999999899</v>
      </c>
      <c r="K3999" s="9" t="str">
        <f>TEXT(Sales_of_Jordan[[#This Row],[Sale_Date]],"mmm")</f>
        <v>Sep</v>
      </c>
    </row>
    <row r="4000" spans="1:11" x14ac:dyDescent="0.35">
      <c r="A4000" s="7" t="s">
        <v>4030</v>
      </c>
      <c r="B4000" s="8">
        <v>45620</v>
      </c>
      <c r="C4000" s="9" t="s">
        <v>16</v>
      </c>
      <c r="D4000" s="9" t="s">
        <v>55</v>
      </c>
      <c r="E4000" s="9" t="s">
        <v>13</v>
      </c>
      <c r="F4000" s="9">
        <v>173</v>
      </c>
      <c r="G4000" s="9">
        <v>150.96</v>
      </c>
      <c r="H4000" s="9" t="s">
        <v>19</v>
      </c>
      <c r="I4000" s="9">
        <v>12</v>
      </c>
      <c r="J4000" s="10">
        <v>-22.0399999999999</v>
      </c>
      <c r="K4000" s="9" t="str">
        <f>TEXT(Sales_of_Jordan[[#This Row],[Sale_Date]],"mmm")</f>
        <v>Nov</v>
      </c>
    </row>
    <row r="4001" spans="1:11" x14ac:dyDescent="0.35">
      <c r="A4001" s="7" t="s">
        <v>4031</v>
      </c>
      <c r="B4001" s="8">
        <v>45112</v>
      </c>
      <c r="C4001" s="9" t="s">
        <v>31</v>
      </c>
      <c r="D4001" s="9" t="s">
        <v>22</v>
      </c>
      <c r="E4001" s="9" t="s">
        <v>13</v>
      </c>
      <c r="F4001" s="9">
        <v>205</v>
      </c>
      <c r="G4001" s="9">
        <v>116.68</v>
      </c>
      <c r="H4001" s="9" t="s">
        <v>19</v>
      </c>
      <c r="I4001" s="9">
        <v>4</v>
      </c>
      <c r="J4001" s="10">
        <v>-88.32</v>
      </c>
      <c r="K4001" s="9" t="str">
        <f>TEXT(Sales_of_Jordan[[#This Row],[Sale_Date]],"mmm")</f>
        <v>Jul</v>
      </c>
    </row>
    <row r="4002" spans="1:11" x14ac:dyDescent="0.35">
      <c r="A4002" s="7" t="s">
        <v>4032</v>
      </c>
      <c r="B4002" s="8">
        <v>45240</v>
      </c>
      <c r="C4002" s="9" t="s">
        <v>31</v>
      </c>
      <c r="D4002" s="9" t="s">
        <v>55</v>
      </c>
      <c r="E4002" s="9" t="s">
        <v>13</v>
      </c>
      <c r="F4002" s="9">
        <v>204</v>
      </c>
      <c r="G4002" s="9">
        <v>169.08</v>
      </c>
      <c r="H4002" s="9" t="s">
        <v>19</v>
      </c>
      <c r="I4002" s="9">
        <v>12</v>
      </c>
      <c r="J4002" s="10">
        <v>-34.919999999999902</v>
      </c>
      <c r="K4002" s="9" t="str">
        <f>TEXT(Sales_of_Jordan[[#This Row],[Sale_Date]],"mmm")</f>
        <v>Nov</v>
      </c>
    </row>
    <row r="4003" spans="1:11" x14ac:dyDescent="0.35">
      <c r="A4003" s="7" t="s">
        <v>4033</v>
      </c>
      <c r="B4003" s="8">
        <v>45826</v>
      </c>
      <c r="C4003" s="9" t="s">
        <v>31</v>
      </c>
      <c r="D4003" s="9" t="s">
        <v>17</v>
      </c>
      <c r="E4003" s="9" t="s">
        <v>18</v>
      </c>
      <c r="F4003" s="9">
        <v>204</v>
      </c>
      <c r="G4003" s="9">
        <v>265.94</v>
      </c>
      <c r="H4003" s="9" t="s">
        <v>14</v>
      </c>
      <c r="I4003" s="9">
        <v>4</v>
      </c>
      <c r="J4003" s="10">
        <v>61.94</v>
      </c>
      <c r="K4003" s="9" t="str">
        <f>TEXT(Sales_of_Jordan[[#This Row],[Sale_Date]],"mmm")</f>
        <v>Jun</v>
      </c>
    </row>
    <row r="4004" spans="1:11" x14ac:dyDescent="0.35">
      <c r="A4004" s="7" t="s">
        <v>4034</v>
      </c>
      <c r="B4004" s="8">
        <v>45747</v>
      </c>
      <c r="C4004" s="9" t="s">
        <v>27</v>
      </c>
      <c r="D4004" s="9" t="s">
        <v>53</v>
      </c>
      <c r="E4004" s="9" t="s">
        <v>18</v>
      </c>
      <c r="F4004" s="9">
        <v>121</v>
      </c>
      <c r="G4004" s="9">
        <v>153.63</v>
      </c>
      <c r="H4004" s="9" t="s">
        <v>19</v>
      </c>
      <c r="I4004" s="9">
        <v>2</v>
      </c>
      <c r="J4004" s="10">
        <v>32.629999999999903</v>
      </c>
      <c r="K4004" s="9" t="str">
        <f>TEXT(Sales_of_Jordan[[#This Row],[Sale_Date]],"mmm")</f>
        <v>Mar</v>
      </c>
    </row>
    <row r="4005" spans="1:11" x14ac:dyDescent="0.35">
      <c r="A4005" s="7" t="s">
        <v>4035</v>
      </c>
      <c r="B4005" s="8">
        <v>45188</v>
      </c>
      <c r="C4005" s="9" t="s">
        <v>27</v>
      </c>
      <c r="D4005" s="9" t="s">
        <v>36</v>
      </c>
      <c r="E4005" s="9" t="s">
        <v>18</v>
      </c>
      <c r="F4005" s="9">
        <v>133</v>
      </c>
      <c r="G4005" s="9">
        <v>212.12</v>
      </c>
      <c r="H4005" s="9" t="s">
        <v>14</v>
      </c>
      <c r="I4005" s="9">
        <v>12</v>
      </c>
      <c r="J4005" s="10">
        <v>79.12</v>
      </c>
      <c r="K4005" s="9" t="str">
        <f>TEXT(Sales_of_Jordan[[#This Row],[Sale_Date]],"mmm")</f>
        <v>Sep</v>
      </c>
    </row>
    <row r="4006" spans="1:11" x14ac:dyDescent="0.35">
      <c r="A4006" s="7" t="s">
        <v>4036</v>
      </c>
      <c r="B4006" s="8">
        <v>45795</v>
      </c>
      <c r="C4006" s="9" t="s">
        <v>16</v>
      </c>
      <c r="D4006" s="9" t="s">
        <v>55</v>
      </c>
      <c r="E4006" s="9" t="s">
        <v>18</v>
      </c>
      <c r="F4006" s="9">
        <v>170</v>
      </c>
      <c r="G4006" s="9">
        <v>426.81</v>
      </c>
      <c r="H4006" s="9" t="s">
        <v>14</v>
      </c>
      <c r="I4006" s="9">
        <v>2</v>
      </c>
      <c r="J4006" s="10">
        <v>256.81</v>
      </c>
      <c r="K4006" s="9" t="str">
        <f>TEXT(Sales_of_Jordan[[#This Row],[Sale_Date]],"mmm")</f>
        <v>May</v>
      </c>
    </row>
    <row r="4007" spans="1:11" x14ac:dyDescent="0.35">
      <c r="A4007" s="7" t="s">
        <v>4037</v>
      </c>
      <c r="B4007" s="8">
        <v>44948</v>
      </c>
      <c r="C4007" s="9" t="s">
        <v>31</v>
      </c>
      <c r="D4007" s="9" t="s">
        <v>55</v>
      </c>
      <c r="E4007" s="9" t="s">
        <v>18</v>
      </c>
      <c r="F4007" s="9">
        <v>207</v>
      </c>
      <c r="G4007" s="9">
        <v>690.72</v>
      </c>
      <c r="H4007" s="9" t="s">
        <v>32</v>
      </c>
      <c r="I4007" s="9">
        <v>11</v>
      </c>
      <c r="J4007" s="10">
        <v>483.72</v>
      </c>
      <c r="K4007" s="9" t="str">
        <f>TEXT(Sales_of_Jordan[[#This Row],[Sale_Date]],"mmm")</f>
        <v>Jan</v>
      </c>
    </row>
    <row r="4008" spans="1:11" x14ac:dyDescent="0.35">
      <c r="A4008" s="7" t="s">
        <v>4038</v>
      </c>
      <c r="B4008" s="8">
        <v>45290</v>
      </c>
      <c r="C4008" s="9" t="s">
        <v>27</v>
      </c>
      <c r="D4008" s="9" t="s">
        <v>55</v>
      </c>
      <c r="E4008" s="9" t="s">
        <v>18</v>
      </c>
      <c r="F4008" s="9">
        <v>135</v>
      </c>
      <c r="G4008" s="9">
        <v>350.9</v>
      </c>
      <c r="H4008" s="9" t="s">
        <v>14</v>
      </c>
      <c r="I4008" s="9">
        <v>13</v>
      </c>
      <c r="J4008" s="10">
        <v>215.89999999999901</v>
      </c>
      <c r="K4008" s="9" t="str">
        <f>TEXT(Sales_of_Jordan[[#This Row],[Sale_Date]],"mmm")</f>
        <v>Dec</v>
      </c>
    </row>
    <row r="4009" spans="1:11" x14ac:dyDescent="0.35">
      <c r="A4009" s="7" t="s">
        <v>4039</v>
      </c>
      <c r="B4009" s="8">
        <v>45513</v>
      </c>
      <c r="C4009" s="9" t="s">
        <v>11</v>
      </c>
      <c r="D4009" s="9" t="s">
        <v>12</v>
      </c>
      <c r="E4009" s="9" t="s">
        <v>13</v>
      </c>
      <c r="F4009" s="9">
        <v>225</v>
      </c>
      <c r="G4009" s="9">
        <v>196.75</v>
      </c>
      <c r="H4009" s="9" t="s">
        <v>19</v>
      </c>
      <c r="I4009" s="9">
        <v>13</v>
      </c>
      <c r="J4009" s="10">
        <v>-28.25</v>
      </c>
      <c r="K4009" s="9" t="str">
        <f>TEXT(Sales_of_Jordan[[#This Row],[Sale_Date]],"mmm")</f>
        <v>Aug</v>
      </c>
    </row>
    <row r="4010" spans="1:11" x14ac:dyDescent="0.35">
      <c r="A4010" s="7" t="s">
        <v>4040</v>
      </c>
      <c r="B4010" s="8">
        <v>45130</v>
      </c>
      <c r="C4010" s="9" t="s">
        <v>11</v>
      </c>
      <c r="D4010" s="9" t="s">
        <v>34</v>
      </c>
      <c r="E4010" s="9" t="s">
        <v>13</v>
      </c>
      <c r="F4010" s="9">
        <v>226</v>
      </c>
      <c r="G4010" s="9">
        <v>175.38</v>
      </c>
      <c r="H4010" s="9" t="s">
        <v>14</v>
      </c>
      <c r="I4010" s="9">
        <v>1</v>
      </c>
      <c r="J4010" s="10">
        <v>-50.62</v>
      </c>
      <c r="K4010" s="9" t="str">
        <f>TEXT(Sales_of_Jordan[[#This Row],[Sale_Date]],"mmm")</f>
        <v>Jul</v>
      </c>
    </row>
    <row r="4011" spans="1:11" x14ac:dyDescent="0.35">
      <c r="A4011" s="7" t="s">
        <v>4041</v>
      </c>
      <c r="B4011" s="8">
        <v>45578</v>
      </c>
      <c r="C4011" s="9" t="s">
        <v>31</v>
      </c>
      <c r="D4011" s="9" t="s">
        <v>22</v>
      </c>
      <c r="E4011" s="9" t="s">
        <v>13</v>
      </c>
      <c r="F4011" s="9">
        <v>203</v>
      </c>
      <c r="G4011" s="9">
        <v>113.84</v>
      </c>
      <c r="H4011" s="9" t="s">
        <v>25</v>
      </c>
      <c r="I4011" s="9">
        <v>8</v>
      </c>
      <c r="J4011" s="10">
        <v>-89.16</v>
      </c>
      <c r="K4011" s="9" t="str">
        <f>TEXT(Sales_of_Jordan[[#This Row],[Sale_Date]],"mmm")</f>
        <v>Oct</v>
      </c>
    </row>
    <row r="4012" spans="1:11" x14ac:dyDescent="0.35">
      <c r="A4012" s="7" t="s">
        <v>4042</v>
      </c>
      <c r="B4012" s="8">
        <v>45396</v>
      </c>
      <c r="C4012" s="9" t="s">
        <v>31</v>
      </c>
      <c r="D4012" s="9" t="s">
        <v>46</v>
      </c>
      <c r="E4012" s="9" t="s">
        <v>29</v>
      </c>
      <c r="F4012" s="9">
        <v>200</v>
      </c>
      <c r="G4012" s="9">
        <v>283.83</v>
      </c>
      <c r="H4012" s="9" t="s">
        <v>23</v>
      </c>
      <c r="I4012" s="9">
        <v>39</v>
      </c>
      <c r="J4012" s="10">
        <v>83.829999999999899</v>
      </c>
      <c r="K4012" s="9" t="str">
        <f>TEXT(Sales_of_Jordan[[#This Row],[Sale_Date]],"mmm")</f>
        <v>Apr</v>
      </c>
    </row>
    <row r="4013" spans="1:11" x14ac:dyDescent="0.35">
      <c r="A4013" s="7" t="s">
        <v>4043</v>
      </c>
      <c r="B4013" s="8">
        <v>45482</v>
      </c>
      <c r="C4013" s="9" t="s">
        <v>21</v>
      </c>
      <c r="D4013" s="9" t="s">
        <v>53</v>
      </c>
      <c r="E4013" s="9" t="s">
        <v>13</v>
      </c>
      <c r="F4013" s="9">
        <v>210</v>
      </c>
      <c r="G4013" s="9">
        <v>155.35</v>
      </c>
      <c r="H4013" s="9" t="s">
        <v>19</v>
      </c>
      <c r="I4013" s="9">
        <v>8</v>
      </c>
      <c r="J4013" s="10">
        <v>-54.65</v>
      </c>
      <c r="K4013" s="9" t="str">
        <f>TEXT(Sales_of_Jordan[[#This Row],[Sale_Date]],"mmm")</f>
        <v>Jul</v>
      </c>
    </row>
    <row r="4014" spans="1:11" x14ac:dyDescent="0.35">
      <c r="A4014" s="7" t="s">
        <v>4044</v>
      </c>
      <c r="B4014" s="8">
        <v>45543</v>
      </c>
      <c r="C4014" s="9" t="s">
        <v>27</v>
      </c>
      <c r="D4014" s="9" t="s">
        <v>12</v>
      </c>
      <c r="E4014" s="9" t="s">
        <v>29</v>
      </c>
      <c r="F4014" s="9">
        <v>113</v>
      </c>
      <c r="G4014" s="9">
        <v>105.02</v>
      </c>
      <c r="H4014" s="9" t="s">
        <v>14</v>
      </c>
      <c r="I4014" s="9">
        <v>2</v>
      </c>
      <c r="J4014" s="10">
        <v>-7.98</v>
      </c>
      <c r="K4014" s="9" t="str">
        <f>TEXT(Sales_of_Jordan[[#This Row],[Sale_Date]],"mmm")</f>
        <v>Sep</v>
      </c>
    </row>
    <row r="4015" spans="1:11" x14ac:dyDescent="0.35">
      <c r="A4015" s="7" t="s">
        <v>4045</v>
      </c>
      <c r="B4015" s="8">
        <v>45167</v>
      </c>
      <c r="C4015" s="9" t="s">
        <v>21</v>
      </c>
      <c r="D4015" s="9" t="s">
        <v>34</v>
      </c>
      <c r="E4015" s="9" t="s">
        <v>13</v>
      </c>
      <c r="F4015" s="9">
        <v>218</v>
      </c>
      <c r="G4015" s="9">
        <v>156.08000000000001</v>
      </c>
      <c r="H4015" s="9" t="s">
        <v>25</v>
      </c>
      <c r="I4015" s="9">
        <v>39</v>
      </c>
      <c r="J4015" s="10">
        <v>-61.919999999999902</v>
      </c>
      <c r="K4015" s="9" t="str">
        <f>TEXT(Sales_of_Jordan[[#This Row],[Sale_Date]],"mmm")</f>
        <v>Aug</v>
      </c>
    </row>
    <row r="4016" spans="1:11" x14ac:dyDescent="0.35">
      <c r="A4016" s="7" t="s">
        <v>4046</v>
      </c>
      <c r="B4016" s="8">
        <v>45673</v>
      </c>
      <c r="C4016" s="9" t="s">
        <v>31</v>
      </c>
      <c r="D4016" s="9" t="s">
        <v>36</v>
      </c>
      <c r="E4016" s="9" t="s">
        <v>29</v>
      </c>
      <c r="F4016" s="9">
        <v>207</v>
      </c>
      <c r="G4016" s="9">
        <v>253.39</v>
      </c>
      <c r="H4016" s="9" t="s">
        <v>25</v>
      </c>
      <c r="I4016" s="9">
        <v>38</v>
      </c>
      <c r="J4016" s="10">
        <v>46.389999999999901</v>
      </c>
      <c r="K4016" s="9" t="str">
        <f>TEXT(Sales_of_Jordan[[#This Row],[Sale_Date]],"mmm")</f>
        <v>Jan</v>
      </c>
    </row>
    <row r="4017" spans="1:11" x14ac:dyDescent="0.35">
      <c r="A4017" s="7" t="s">
        <v>4047</v>
      </c>
      <c r="B4017" s="8">
        <v>45192</v>
      </c>
      <c r="C4017" s="9" t="s">
        <v>11</v>
      </c>
      <c r="D4017" s="9" t="s">
        <v>34</v>
      </c>
      <c r="E4017" s="9" t="s">
        <v>18</v>
      </c>
      <c r="F4017" s="9">
        <v>229</v>
      </c>
      <c r="G4017" s="9">
        <v>440.54</v>
      </c>
      <c r="H4017" s="9" t="s">
        <v>32</v>
      </c>
      <c r="I4017" s="9">
        <v>31</v>
      </c>
      <c r="J4017" s="10">
        <v>211.54</v>
      </c>
      <c r="K4017" s="9" t="str">
        <f>TEXT(Sales_of_Jordan[[#This Row],[Sale_Date]],"mmm")</f>
        <v>Sep</v>
      </c>
    </row>
    <row r="4018" spans="1:11" x14ac:dyDescent="0.35">
      <c r="A4018" s="7" t="s">
        <v>4048</v>
      </c>
      <c r="B4018" s="8">
        <v>45749</v>
      </c>
      <c r="C4018" s="9" t="s">
        <v>31</v>
      </c>
      <c r="D4018" s="9" t="s">
        <v>36</v>
      </c>
      <c r="E4018" s="9" t="s">
        <v>18</v>
      </c>
      <c r="F4018" s="9">
        <v>210</v>
      </c>
      <c r="G4018" s="9">
        <v>579.9</v>
      </c>
      <c r="H4018" s="9" t="s">
        <v>25</v>
      </c>
      <c r="I4018" s="9">
        <v>32</v>
      </c>
      <c r="J4018" s="10">
        <v>369.9</v>
      </c>
      <c r="K4018" s="9" t="str">
        <f>TEXT(Sales_of_Jordan[[#This Row],[Sale_Date]],"mmm")</f>
        <v>Apr</v>
      </c>
    </row>
    <row r="4019" spans="1:11" x14ac:dyDescent="0.35">
      <c r="A4019" s="7" t="s">
        <v>4049</v>
      </c>
      <c r="B4019" s="8">
        <v>45530</v>
      </c>
      <c r="C4019" s="9" t="s">
        <v>27</v>
      </c>
      <c r="D4019" s="9" t="s">
        <v>22</v>
      </c>
      <c r="E4019" s="9" t="s">
        <v>13</v>
      </c>
      <c r="F4019" s="9">
        <v>132</v>
      </c>
      <c r="G4019" s="9">
        <v>88.91</v>
      </c>
      <c r="H4019" s="9" t="s">
        <v>32</v>
      </c>
      <c r="I4019" s="9">
        <v>53</v>
      </c>
      <c r="J4019" s="10">
        <v>-43.09</v>
      </c>
      <c r="K4019" s="9" t="str">
        <f>TEXT(Sales_of_Jordan[[#This Row],[Sale_Date]],"mmm")</f>
        <v>Aug</v>
      </c>
    </row>
    <row r="4020" spans="1:11" x14ac:dyDescent="0.35">
      <c r="A4020" s="7" t="s">
        <v>4050</v>
      </c>
      <c r="B4020" s="8">
        <v>45698</v>
      </c>
      <c r="C4020" s="9" t="s">
        <v>16</v>
      </c>
      <c r="D4020" s="9" t="s">
        <v>53</v>
      </c>
      <c r="E4020" s="9" t="s">
        <v>29</v>
      </c>
      <c r="F4020" s="9">
        <v>190</v>
      </c>
      <c r="G4020" s="9">
        <v>206.95</v>
      </c>
      <c r="H4020" s="9" t="s">
        <v>23</v>
      </c>
      <c r="I4020" s="9">
        <v>43</v>
      </c>
      <c r="J4020" s="10">
        <v>16.9499999999999</v>
      </c>
      <c r="K4020" s="9" t="str">
        <f>TEXT(Sales_of_Jordan[[#This Row],[Sale_Date]],"mmm")</f>
        <v>Feb</v>
      </c>
    </row>
    <row r="4021" spans="1:11" x14ac:dyDescent="0.35">
      <c r="A4021" s="7" t="s">
        <v>4051</v>
      </c>
      <c r="B4021" s="8">
        <v>44959</v>
      </c>
      <c r="C4021" s="9" t="s">
        <v>31</v>
      </c>
      <c r="D4021" s="9" t="s">
        <v>55</v>
      </c>
      <c r="E4021" s="9" t="s">
        <v>13</v>
      </c>
      <c r="F4021" s="9">
        <v>204</v>
      </c>
      <c r="G4021" s="9">
        <v>154.16</v>
      </c>
      <c r="H4021" s="9" t="s">
        <v>32</v>
      </c>
      <c r="I4021" s="9">
        <v>47</v>
      </c>
      <c r="J4021" s="10">
        <v>-49.84</v>
      </c>
      <c r="K4021" s="9" t="str">
        <f>TEXT(Sales_of_Jordan[[#This Row],[Sale_Date]],"mmm")</f>
        <v>Feb</v>
      </c>
    </row>
    <row r="4022" spans="1:11" x14ac:dyDescent="0.35">
      <c r="A4022" s="7" t="s">
        <v>4052</v>
      </c>
      <c r="B4022" s="8">
        <v>45913</v>
      </c>
      <c r="C4022" s="9" t="s">
        <v>27</v>
      </c>
      <c r="D4022" s="9" t="s">
        <v>46</v>
      </c>
      <c r="E4022" s="9" t="s">
        <v>18</v>
      </c>
      <c r="F4022" s="9">
        <v>111</v>
      </c>
      <c r="G4022" s="9">
        <v>151.57</v>
      </c>
      <c r="H4022" s="9" t="s">
        <v>19</v>
      </c>
      <c r="I4022" s="9">
        <v>2</v>
      </c>
      <c r="J4022" s="10">
        <v>40.569999999999901</v>
      </c>
      <c r="K4022" s="9" t="str">
        <f>TEXT(Sales_of_Jordan[[#This Row],[Sale_Date]],"mmm")</f>
        <v>Sep</v>
      </c>
    </row>
    <row r="4023" spans="1:11" x14ac:dyDescent="0.35">
      <c r="A4023" s="7" t="s">
        <v>4053</v>
      </c>
      <c r="B4023" s="8">
        <v>45623</v>
      </c>
      <c r="C4023" s="9" t="s">
        <v>31</v>
      </c>
      <c r="D4023" s="9" t="s">
        <v>46</v>
      </c>
      <c r="E4023" s="9" t="s">
        <v>18</v>
      </c>
      <c r="F4023" s="9">
        <v>210</v>
      </c>
      <c r="G4023" s="9">
        <v>330.03</v>
      </c>
      <c r="H4023" s="9" t="s">
        <v>14</v>
      </c>
      <c r="I4023" s="9">
        <v>10</v>
      </c>
      <c r="J4023" s="10">
        <v>120.02999999999901</v>
      </c>
      <c r="K4023" s="9" t="str">
        <f>TEXT(Sales_of_Jordan[[#This Row],[Sale_Date]],"mmm")</f>
        <v>Nov</v>
      </c>
    </row>
    <row r="4024" spans="1:11" x14ac:dyDescent="0.35">
      <c r="A4024" s="7" t="s">
        <v>4054</v>
      </c>
      <c r="B4024" s="8">
        <v>45155</v>
      </c>
      <c r="C4024" s="9" t="s">
        <v>31</v>
      </c>
      <c r="D4024" s="9" t="s">
        <v>55</v>
      </c>
      <c r="E4024" s="9" t="s">
        <v>29</v>
      </c>
      <c r="F4024" s="9">
        <v>210</v>
      </c>
      <c r="G4024" s="9">
        <v>191.53</v>
      </c>
      <c r="H4024" s="9" t="s">
        <v>25</v>
      </c>
      <c r="I4024" s="9">
        <v>36</v>
      </c>
      <c r="J4024" s="10">
        <v>-18.47</v>
      </c>
      <c r="K4024" s="9" t="str">
        <f>TEXT(Sales_of_Jordan[[#This Row],[Sale_Date]],"mmm")</f>
        <v>Aug</v>
      </c>
    </row>
    <row r="4025" spans="1:11" x14ac:dyDescent="0.35">
      <c r="A4025" s="7" t="s">
        <v>4055</v>
      </c>
      <c r="B4025" s="8">
        <v>45813</v>
      </c>
      <c r="C4025" s="9" t="s">
        <v>21</v>
      </c>
      <c r="D4025" s="9" t="s">
        <v>46</v>
      </c>
      <c r="E4025" s="9" t="s">
        <v>18</v>
      </c>
      <c r="F4025" s="9">
        <v>218</v>
      </c>
      <c r="G4025" s="9">
        <v>655.73</v>
      </c>
      <c r="H4025" s="9" t="s">
        <v>19</v>
      </c>
      <c r="I4025" s="9">
        <v>8</v>
      </c>
      <c r="J4025" s="10">
        <v>437.73</v>
      </c>
      <c r="K4025" s="9" t="str">
        <f>TEXT(Sales_of_Jordan[[#This Row],[Sale_Date]],"mmm")</f>
        <v>Jun</v>
      </c>
    </row>
    <row r="4026" spans="1:11" x14ac:dyDescent="0.35">
      <c r="A4026" s="7" t="s">
        <v>4056</v>
      </c>
      <c r="B4026" s="8">
        <v>45444</v>
      </c>
      <c r="C4026" s="9" t="s">
        <v>11</v>
      </c>
      <c r="D4026" s="9" t="s">
        <v>34</v>
      </c>
      <c r="E4026" s="9" t="s">
        <v>18</v>
      </c>
      <c r="F4026" s="9">
        <v>227</v>
      </c>
      <c r="G4026" s="9">
        <v>522.32000000000005</v>
      </c>
      <c r="H4026" s="9" t="s">
        <v>25</v>
      </c>
      <c r="I4026" s="9">
        <v>52</v>
      </c>
      <c r="J4026" s="10">
        <v>295.32</v>
      </c>
      <c r="K4026" s="9" t="str">
        <f>TEXT(Sales_of_Jordan[[#This Row],[Sale_Date]],"mmm")</f>
        <v>Jun</v>
      </c>
    </row>
    <row r="4027" spans="1:11" x14ac:dyDescent="0.35">
      <c r="A4027" s="7" t="s">
        <v>4057</v>
      </c>
      <c r="B4027" s="8">
        <v>45088</v>
      </c>
      <c r="C4027" s="9" t="s">
        <v>27</v>
      </c>
      <c r="D4027" s="9" t="s">
        <v>39</v>
      </c>
      <c r="E4027" s="9" t="s">
        <v>18</v>
      </c>
      <c r="F4027" s="9">
        <v>114</v>
      </c>
      <c r="G4027" s="9">
        <v>309.17</v>
      </c>
      <c r="H4027" s="9" t="s">
        <v>19</v>
      </c>
      <c r="I4027" s="9">
        <v>3</v>
      </c>
      <c r="J4027" s="10">
        <v>195.17</v>
      </c>
      <c r="K4027" s="9" t="str">
        <f>TEXT(Sales_of_Jordan[[#This Row],[Sale_Date]],"mmm")</f>
        <v>Jun</v>
      </c>
    </row>
    <row r="4028" spans="1:11" x14ac:dyDescent="0.35">
      <c r="A4028" s="7" t="s">
        <v>4058</v>
      </c>
      <c r="B4028" s="8">
        <v>45374</v>
      </c>
      <c r="C4028" s="9" t="s">
        <v>21</v>
      </c>
      <c r="D4028" s="9" t="s">
        <v>17</v>
      </c>
      <c r="E4028" s="9" t="s">
        <v>18</v>
      </c>
      <c r="F4028" s="9">
        <v>217</v>
      </c>
      <c r="G4028" s="9">
        <v>455.54</v>
      </c>
      <c r="H4028" s="9" t="s">
        <v>25</v>
      </c>
      <c r="I4028" s="9">
        <v>55</v>
      </c>
      <c r="J4028" s="10">
        <v>238.54</v>
      </c>
      <c r="K4028" s="9" t="str">
        <f>TEXT(Sales_of_Jordan[[#This Row],[Sale_Date]],"mmm")</f>
        <v>Mar</v>
      </c>
    </row>
    <row r="4029" spans="1:11" x14ac:dyDescent="0.35">
      <c r="A4029" s="7" t="s">
        <v>4059</v>
      </c>
      <c r="B4029" s="8">
        <v>45067</v>
      </c>
      <c r="C4029" s="9" t="s">
        <v>11</v>
      </c>
      <c r="D4029" s="9" t="s">
        <v>55</v>
      </c>
      <c r="E4029" s="9" t="s">
        <v>18</v>
      </c>
      <c r="F4029" s="9">
        <v>229</v>
      </c>
      <c r="G4029" s="9">
        <v>479.86</v>
      </c>
      <c r="H4029" s="9" t="s">
        <v>19</v>
      </c>
      <c r="I4029" s="9">
        <v>11</v>
      </c>
      <c r="J4029" s="10">
        <v>250.86</v>
      </c>
      <c r="K4029" s="9" t="str">
        <f>TEXT(Sales_of_Jordan[[#This Row],[Sale_Date]],"mmm")</f>
        <v>May</v>
      </c>
    </row>
    <row r="4030" spans="1:11" x14ac:dyDescent="0.35">
      <c r="A4030" s="7" t="s">
        <v>4060</v>
      </c>
      <c r="B4030" s="8">
        <v>44969</v>
      </c>
      <c r="C4030" s="9" t="s">
        <v>31</v>
      </c>
      <c r="D4030" s="9" t="s">
        <v>55</v>
      </c>
      <c r="E4030" s="9" t="s">
        <v>13</v>
      </c>
      <c r="F4030" s="9">
        <v>200</v>
      </c>
      <c r="G4030" s="9">
        <v>149.66999999999999</v>
      </c>
      <c r="H4030" s="9" t="s">
        <v>23</v>
      </c>
      <c r="I4030" s="9">
        <v>42</v>
      </c>
      <c r="J4030" s="10">
        <v>-50.33</v>
      </c>
      <c r="K4030" s="9" t="str">
        <f>TEXT(Sales_of_Jordan[[#This Row],[Sale_Date]],"mmm")</f>
        <v>Feb</v>
      </c>
    </row>
    <row r="4031" spans="1:11" x14ac:dyDescent="0.35">
      <c r="A4031" s="7" t="s">
        <v>4061</v>
      </c>
      <c r="B4031" s="8">
        <v>45128</v>
      </c>
      <c r="C4031" s="9" t="s">
        <v>11</v>
      </c>
      <c r="D4031" s="9" t="s">
        <v>17</v>
      </c>
      <c r="E4031" s="9" t="s">
        <v>18</v>
      </c>
      <c r="F4031" s="9">
        <v>228</v>
      </c>
      <c r="G4031" s="9">
        <v>678.46</v>
      </c>
      <c r="H4031" s="9" t="s">
        <v>19</v>
      </c>
      <c r="I4031" s="9">
        <v>8</v>
      </c>
      <c r="J4031" s="10">
        <v>450.46</v>
      </c>
      <c r="K4031" s="9" t="str">
        <f>TEXT(Sales_of_Jordan[[#This Row],[Sale_Date]],"mmm")</f>
        <v>Jul</v>
      </c>
    </row>
    <row r="4032" spans="1:11" x14ac:dyDescent="0.35">
      <c r="A4032" s="7" t="s">
        <v>4062</v>
      </c>
      <c r="B4032" s="8">
        <v>45138</v>
      </c>
      <c r="C4032" s="9" t="s">
        <v>31</v>
      </c>
      <c r="D4032" s="9" t="s">
        <v>17</v>
      </c>
      <c r="E4032" s="9" t="s">
        <v>13</v>
      </c>
      <c r="F4032" s="9">
        <v>203</v>
      </c>
      <c r="G4032" s="9">
        <v>154.11000000000001</v>
      </c>
      <c r="H4032" s="9" t="s">
        <v>19</v>
      </c>
      <c r="I4032" s="9">
        <v>5</v>
      </c>
      <c r="J4032" s="10">
        <v>-48.889999999999901</v>
      </c>
      <c r="K4032" s="9" t="str">
        <f>TEXT(Sales_of_Jordan[[#This Row],[Sale_Date]],"mmm")</f>
        <v>Jul</v>
      </c>
    </row>
    <row r="4033" spans="1:11" x14ac:dyDescent="0.35">
      <c r="A4033" s="7" t="s">
        <v>4063</v>
      </c>
      <c r="B4033" s="8">
        <v>45608</v>
      </c>
      <c r="C4033" s="9" t="s">
        <v>31</v>
      </c>
      <c r="D4033" s="9" t="s">
        <v>34</v>
      </c>
      <c r="E4033" s="9" t="s">
        <v>13</v>
      </c>
      <c r="F4033" s="9">
        <v>202</v>
      </c>
      <c r="G4033" s="9">
        <v>139.13999999999999</v>
      </c>
      <c r="H4033" s="9" t="s">
        <v>14</v>
      </c>
      <c r="I4033" s="9">
        <v>14</v>
      </c>
      <c r="J4033" s="10">
        <v>-62.86</v>
      </c>
      <c r="K4033" s="9" t="str">
        <f>TEXT(Sales_of_Jordan[[#This Row],[Sale_Date]],"mmm")</f>
        <v>Nov</v>
      </c>
    </row>
    <row r="4034" spans="1:11" x14ac:dyDescent="0.35">
      <c r="A4034" s="7" t="s">
        <v>4064</v>
      </c>
      <c r="B4034" s="8">
        <v>44982</v>
      </c>
      <c r="C4034" s="9" t="s">
        <v>27</v>
      </c>
      <c r="D4034" s="9" t="s">
        <v>46</v>
      </c>
      <c r="E4034" s="9" t="s">
        <v>18</v>
      </c>
      <c r="F4034" s="9">
        <v>110</v>
      </c>
      <c r="G4034" s="9">
        <v>334.53</v>
      </c>
      <c r="H4034" s="9" t="s">
        <v>23</v>
      </c>
      <c r="I4034" s="9">
        <v>5</v>
      </c>
      <c r="J4034" s="10">
        <v>224.52999999999901</v>
      </c>
      <c r="K4034" s="9" t="str">
        <f>TEXT(Sales_of_Jordan[[#This Row],[Sale_Date]],"mmm")</f>
        <v>Feb</v>
      </c>
    </row>
    <row r="4035" spans="1:11" x14ac:dyDescent="0.35">
      <c r="A4035" s="7" t="s">
        <v>4065</v>
      </c>
      <c r="B4035" s="8">
        <v>45808</v>
      </c>
      <c r="C4035" s="9" t="s">
        <v>16</v>
      </c>
      <c r="D4035" s="9" t="s">
        <v>55</v>
      </c>
      <c r="E4035" s="9" t="s">
        <v>13</v>
      </c>
      <c r="F4035" s="9">
        <v>178</v>
      </c>
      <c r="G4035" s="9">
        <v>101.96</v>
      </c>
      <c r="H4035" s="9" t="s">
        <v>14</v>
      </c>
      <c r="I4035" s="9">
        <v>6</v>
      </c>
      <c r="J4035" s="10">
        <v>-76.040000000000006</v>
      </c>
      <c r="K4035" s="9" t="str">
        <f>TEXT(Sales_of_Jordan[[#This Row],[Sale_Date]],"mmm")</f>
        <v>May</v>
      </c>
    </row>
    <row r="4036" spans="1:11" x14ac:dyDescent="0.35">
      <c r="A4036" s="7" t="s">
        <v>4066</v>
      </c>
      <c r="B4036" s="8">
        <v>45023</v>
      </c>
      <c r="C4036" s="9" t="s">
        <v>11</v>
      </c>
      <c r="D4036" s="9" t="s">
        <v>39</v>
      </c>
      <c r="E4036" s="9" t="s">
        <v>18</v>
      </c>
      <c r="F4036" s="9">
        <v>225</v>
      </c>
      <c r="G4036" s="9">
        <v>504.61</v>
      </c>
      <c r="H4036" s="9" t="s">
        <v>23</v>
      </c>
      <c r="I4036" s="9">
        <v>12</v>
      </c>
      <c r="J4036" s="10">
        <v>279.61</v>
      </c>
      <c r="K4036" s="9" t="str">
        <f>TEXT(Sales_of_Jordan[[#This Row],[Sale_Date]],"mmm")</f>
        <v>Apr</v>
      </c>
    </row>
    <row r="4037" spans="1:11" x14ac:dyDescent="0.35">
      <c r="A4037" s="7" t="s">
        <v>4067</v>
      </c>
      <c r="B4037" s="8">
        <v>45868</v>
      </c>
      <c r="C4037" s="9" t="s">
        <v>11</v>
      </c>
      <c r="D4037" s="9" t="s">
        <v>34</v>
      </c>
      <c r="E4037" s="9" t="s">
        <v>13</v>
      </c>
      <c r="F4037" s="9">
        <v>225</v>
      </c>
      <c r="G4037" s="9">
        <v>141.36000000000001</v>
      </c>
      <c r="H4037" s="9" t="s">
        <v>32</v>
      </c>
      <c r="I4037" s="9">
        <v>48</v>
      </c>
      <c r="J4037" s="10">
        <v>-83.639999999999901</v>
      </c>
      <c r="K4037" s="9" t="str">
        <f>TEXT(Sales_of_Jordan[[#This Row],[Sale_Date]],"mmm")</f>
        <v>Jul</v>
      </c>
    </row>
    <row r="4038" spans="1:11" x14ac:dyDescent="0.35">
      <c r="A4038" s="7" t="s">
        <v>4068</v>
      </c>
      <c r="B4038" s="8">
        <v>45884</v>
      </c>
      <c r="C4038" s="9" t="s">
        <v>27</v>
      </c>
      <c r="D4038" s="9" t="s">
        <v>34</v>
      </c>
      <c r="E4038" s="9" t="s">
        <v>18</v>
      </c>
      <c r="F4038" s="9">
        <v>110</v>
      </c>
      <c r="G4038" s="9">
        <v>339.08</v>
      </c>
      <c r="H4038" s="9" t="s">
        <v>19</v>
      </c>
      <c r="I4038" s="9">
        <v>10</v>
      </c>
      <c r="J4038" s="10">
        <v>229.07999999999899</v>
      </c>
      <c r="K4038" s="9" t="str">
        <f>TEXT(Sales_of_Jordan[[#This Row],[Sale_Date]],"mmm")</f>
        <v>Aug</v>
      </c>
    </row>
    <row r="4039" spans="1:11" x14ac:dyDescent="0.35">
      <c r="A4039" s="7" t="s">
        <v>4069</v>
      </c>
      <c r="B4039" s="8">
        <v>44969</v>
      </c>
      <c r="C4039" s="9" t="s">
        <v>31</v>
      </c>
      <c r="D4039" s="9" t="s">
        <v>34</v>
      </c>
      <c r="E4039" s="9" t="s">
        <v>13</v>
      </c>
      <c r="F4039" s="9">
        <v>209</v>
      </c>
      <c r="G4039" s="9">
        <v>154.04</v>
      </c>
      <c r="H4039" s="9" t="s">
        <v>32</v>
      </c>
      <c r="I4039" s="9">
        <v>11</v>
      </c>
      <c r="J4039" s="10">
        <v>-54.96</v>
      </c>
      <c r="K4039" s="9" t="str">
        <f>TEXT(Sales_of_Jordan[[#This Row],[Sale_Date]],"mmm")</f>
        <v>Feb</v>
      </c>
    </row>
    <row r="4040" spans="1:11" x14ac:dyDescent="0.35">
      <c r="A4040" s="7" t="s">
        <v>4070</v>
      </c>
      <c r="B4040" s="8">
        <v>45558</v>
      </c>
      <c r="C4040" s="9" t="s">
        <v>16</v>
      </c>
      <c r="D4040" s="9" t="s">
        <v>17</v>
      </c>
      <c r="E4040" s="9" t="s">
        <v>29</v>
      </c>
      <c r="F4040" s="9">
        <v>188</v>
      </c>
      <c r="G4040" s="9">
        <v>201.19</v>
      </c>
      <c r="H4040" s="9" t="s">
        <v>32</v>
      </c>
      <c r="I4040" s="9">
        <v>55</v>
      </c>
      <c r="J4040" s="10">
        <v>13.1899999999999</v>
      </c>
      <c r="K4040" s="9" t="str">
        <f>TEXT(Sales_of_Jordan[[#This Row],[Sale_Date]],"mmm")</f>
        <v>Sep</v>
      </c>
    </row>
    <row r="4041" spans="1:11" x14ac:dyDescent="0.35">
      <c r="A4041" s="7" t="s">
        <v>4071</v>
      </c>
      <c r="B4041" s="8">
        <v>45300</v>
      </c>
      <c r="C4041" s="9" t="s">
        <v>27</v>
      </c>
      <c r="D4041" s="9" t="s">
        <v>12</v>
      </c>
      <c r="E4041" s="9" t="s">
        <v>13</v>
      </c>
      <c r="F4041" s="9">
        <v>137</v>
      </c>
      <c r="G4041" s="9">
        <v>119.64</v>
      </c>
      <c r="H4041" s="9" t="s">
        <v>32</v>
      </c>
      <c r="I4041" s="9">
        <v>56</v>
      </c>
      <c r="J4041" s="10">
        <v>-17.36</v>
      </c>
      <c r="K4041" s="9" t="str">
        <f>TEXT(Sales_of_Jordan[[#This Row],[Sale_Date]],"mmm")</f>
        <v>Jan</v>
      </c>
    </row>
    <row r="4042" spans="1:11" x14ac:dyDescent="0.35">
      <c r="A4042" s="7" t="s">
        <v>4072</v>
      </c>
      <c r="B4042" s="8">
        <v>45234</v>
      </c>
      <c r="C4042" s="9" t="s">
        <v>21</v>
      </c>
      <c r="D4042" s="9" t="s">
        <v>17</v>
      </c>
      <c r="E4042" s="9" t="s">
        <v>18</v>
      </c>
      <c r="F4042" s="9">
        <v>211</v>
      </c>
      <c r="G4042" s="9">
        <v>553.32000000000005</v>
      </c>
      <c r="H4042" s="9" t="s">
        <v>25</v>
      </c>
      <c r="I4042" s="9">
        <v>58</v>
      </c>
      <c r="J4042" s="10">
        <v>342.32</v>
      </c>
      <c r="K4042" s="9" t="str">
        <f>TEXT(Sales_of_Jordan[[#This Row],[Sale_Date]],"mmm")</f>
        <v>Nov</v>
      </c>
    </row>
    <row r="4043" spans="1:11" x14ac:dyDescent="0.35">
      <c r="A4043" s="7" t="s">
        <v>4073</v>
      </c>
      <c r="B4043" s="8">
        <v>45354</v>
      </c>
      <c r="C4043" s="9" t="s">
        <v>16</v>
      </c>
      <c r="D4043" s="9" t="s">
        <v>22</v>
      </c>
      <c r="E4043" s="9" t="s">
        <v>13</v>
      </c>
      <c r="F4043" s="9">
        <v>178</v>
      </c>
      <c r="G4043" s="9">
        <v>117.98</v>
      </c>
      <c r="H4043" s="9" t="s">
        <v>19</v>
      </c>
      <c r="I4043" s="9">
        <v>1</v>
      </c>
      <c r="J4043" s="10">
        <v>-60.019999999999897</v>
      </c>
      <c r="K4043" s="9" t="str">
        <f>TEXT(Sales_of_Jordan[[#This Row],[Sale_Date]],"mmm")</f>
        <v>Mar</v>
      </c>
    </row>
    <row r="4044" spans="1:11" x14ac:dyDescent="0.35">
      <c r="A4044" s="7" t="s">
        <v>4074</v>
      </c>
      <c r="B4044" s="8">
        <v>45251</v>
      </c>
      <c r="C4044" s="9" t="s">
        <v>21</v>
      </c>
      <c r="D4044" s="9" t="s">
        <v>53</v>
      </c>
      <c r="E4044" s="9" t="s">
        <v>29</v>
      </c>
      <c r="F4044" s="9">
        <v>218</v>
      </c>
      <c r="G4044" s="9">
        <v>297.74</v>
      </c>
      <c r="H4044" s="9" t="s">
        <v>23</v>
      </c>
      <c r="I4044" s="9">
        <v>47</v>
      </c>
      <c r="J4044" s="10">
        <v>79.739999999999995</v>
      </c>
      <c r="K4044" s="9" t="str">
        <f>TEXT(Sales_of_Jordan[[#This Row],[Sale_Date]],"mmm")</f>
        <v>Nov</v>
      </c>
    </row>
    <row r="4045" spans="1:11" x14ac:dyDescent="0.35">
      <c r="A4045" s="7" t="s">
        <v>4075</v>
      </c>
      <c r="B4045" s="8">
        <v>45492</v>
      </c>
      <c r="C4045" s="9" t="s">
        <v>21</v>
      </c>
      <c r="D4045" s="9" t="s">
        <v>22</v>
      </c>
      <c r="E4045" s="9" t="s">
        <v>13</v>
      </c>
      <c r="F4045" s="9">
        <v>220</v>
      </c>
      <c r="G4045" s="9">
        <v>129.76</v>
      </c>
      <c r="H4045" s="9" t="s">
        <v>23</v>
      </c>
      <c r="I4045" s="9">
        <v>23</v>
      </c>
      <c r="J4045" s="10">
        <v>-90.24</v>
      </c>
      <c r="K4045" s="9" t="str">
        <f>TEXT(Sales_of_Jordan[[#This Row],[Sale_Date]],"mmm")</f>
        <v>Jul</v>
      </c>
    </row>
    <row r="4046" spans="1:11" x14ac:dyDescent="0.35">
      <c r="A4046" s="7" t="s">
        <v>4076</v>
      </c>
      <c r="B4046" s="8">
        <v>45724</v>
      </c>
      <c r="C4046" s="9" t="s">
        <v>16</v>
      </c>
      <c r="D4046" s="9" t="s">
        <v>36</v>
      </c>
      <c r="E4046" s="9" t="s">
        <v>13</v>
      </c>
      <c r="F4046" s="9">
        <v>178</v>
      </c>
      <c r="G4046" s="9">
        <v>132.4</v>
      </c>
      <c r="H4046" s="9" t="s">
        <v>14</v>
      </c>
      <c r="I4046" s="9">
        <v>3</v>
      </c>
      <c r="J4046" s="10">
        <v>-45.599999999999902</v>
      </c>
      <c r="K4046" s="9" t="str">
        <f>TEXT(Sales_of_Jordan[[#This Row],[Sale_Date]],"mmm")</f>
        <v>Mar</v>
      </c>
    </row>
    <row r="4047" spans="1:11" x14ac:dyDescent="0.35">
      <c r="A4047" s="7" t="s">
        <v>4077</v>
      </c>
      <c r="B4047" s="8">
        <v>45225</v>
      </c>
      <c r="C4047" s="9" t="s">
        <v>31</v>
      </c>
      <c r="D4047" s="9" t="s">
        <v>55</v>
      </c>
      <c r="E4047" s="9" t="s">
        <v>29</v>
      </c>
      <c r="F4047" s="9">
        <v>205</v>
      </c>
      <c r="G4047" s="9">
        <v>212.62</v>
      </c>
      <c r="H4047" s="9" t="s">
        <v>25</v>
      </c>
      <c r="I4047" s="9">
        <v>31</v>
      </c>
      <c r="J4047" s="10">
        <v>7.62</v>
      </c>
      <c r="K4047" s="9" t="str">
        <f>TEXT(Sales_of_Jordan[[#This Row],[Sale_Date]],"mmm")</f>
        <v>Oct</v>
      </c>
    </row>
    <row r="4048" spans="1:11" x14ac:dyDescent="0.35">
      <c r="A4048" s="7" t="s">
        <v>4078</v>
      </c>
      <c r="B4048" s="8">
        <v>44975</v>
      </c>
      <c r="C4048" s="9" t="s">
        <v>16</v>
      </c>
      <c r="D4048" s="9" t="s">
        <v>36</v>
      </c>
      <c r="E4048" s="9" t="s">
        <v>13</v>
      </c>
      <c r="F4048" s="9">
        <v>171</v>
      </c>
      <c r="G4048" s="9">
        <v>144.82</v>
      </c>
      <c r="H4048" s="9" t="s">
        <v>25</v>
      </c>
      <c r="I4048" s="9">
        <v>29</v>
      </c>
      <c r="J4048" s="10">
        <v>-26.18</v>
      </c>
      <c r="K4048" s="9" t="str">
        <f>TEXT(Sales_of_Jordan[[#This Row],[Sale_Date]],"mmm")</f>
        <v>Feb</v>
      </c>
    </row>
    <row r="4049" spans="1:11" x14ac:dyDescent="0.35">
      <c r="A4049" s="7" t="s">
        <v>4079</v>
      </c>
      <c r="B4049" s="8">
        <v>45569</v>
      </c>
      <c r="C4049" s="9" t="s">
        <v>21</v>
      </c>
      <c r="D4049" s="9" t="s">
        <v>34</v>
      </c>
      <c r="E4049" s="9" t="s">
        <v>29</v>
      </c>
      <c r="F4049" s="9">
        <v>225</v>
      </c>
      <c r="G4049" s="9">
        <v>300.77999999999997</v>
      </c>
      <c r="H4049" s="9" t="s">
        <v>32</v>
      </c>
      <c r="I4049" s="9">
        <v>47</v>
      </c>
      <c r="J4049" s="10">
        <v>75.779999999999902</v>
      </c>
      <c r="K4049" s="9" t="str">
        <f>TEXT(Sales_of_Jordan[[#This Row],[Sale_Date]],"mmm")</f>
        <v>Oct</v>
      </c>
    </row>
    <row r="4050" spans="1:11" x14ac:dyDescent="0.35">
      <c r="A4050" s="7" t="s">
        <v>4080</v>
      </c>
      <c r="B4050" s="8">
        <v>45542</v>
      </c>
      <c r="C4050" s="9" t="s">
        <v>11</v>
      </c>
      <c r="D4050" s="9" t="s">
        <v>34</v>
      </c>
      <c r="E4050" s="9" t="s">
        <v>29</v>
      </c>
      <c r="F4050" s="9">
        <v>228</v>
      </c>
      <c r="G4050" s="9">
        <v>257.67</v>
      </c>
      <c r="H4050" s="9" t="s">
        <v>14</v>
      </c>
      <c r="I4050" s="9">
        <v>13</v>
      </c>
      <c r="J4050" s="10">
        <v>29.67</v>
      </c>
      <c r="K4050" s="9" t="str">
        <f>TEXT(Sales_of_Jordan[[#This Row],[Sale_Date]],"mmm")</f>
        <v>Sep</v>
      </c>
    </row>
    <row r="4051" spans="1:11" x14ac:dyDescent="0.35">
      <c r="A4051" s="7" t="s">
        <v>4081</v>
      </c>
      <c r="B4051" s="8">
        <v>45064</v>
      </c>
      <c r="C4051" s="9" t="s">
        <v>16</v>
      </c>
      <c r="D4051" s="9" t="s">
        <v>36</v>
      </c>
      <c r="E4051" s="9" t="s">
        <v>13</v>
      </c>
      <c r="F4051" s="9">
        <v>176</v>
      </c>
      <c r="G4051" s="9">
        <v>122.92</v>
      </c>
      <c r="H4051" s="9" t="s">
        <v>19</v>
      </c>
      <c r="I4051" s="9">
        <v>6</v>
      </c>
      <c r="J4051" s="10">
        <v>-53.08</v>
      </c>
      <c r="K4051" s="9" t="str">
        <f>TEXT(Sales_of_Jordan[[#This Row],[Sale_Date]],"mmm")</f>
        <v>May</v>
      </c>
    </row>
    <row r="4052" spans="1:11" x14ac:dyDescent="0.35">
      <c r="A4052" s="7" t="s">
        <v>4082</v>
      </c>
      <c r="B4052" s="8">
        <v>45766</v>
      </c>
      <c r="C4052" s="9" t="s">
        <v>27</v>
      </c>
      <c r="D4052" s="9" t="s">
        <v>46</v>
      </c>
      <c r="E4052" s="9" t="s">
        <v>13</v>
      </c>
      <c r="F4052" s="9">
        <v>131</v>
      </c>
      <c r="G4052" s="9">
        <v>66.47</v>
      </c>
      <c r="H4052" s="9" t="s">
        <v>25</v>
      </c>
      <c r="I4052" s="9">
        <v>20</v>
      </c>
      <c r="J4052" s="10">
        <v>-64.53</v>
      </c>
      <c r="K4052" s="9" t="str">
        <f>TEXT(Sales_of_Jordan[[#This Row],[Sale_Date]],"mmm")</f>
        <v>Apr</v>
      </c>
    </row>
    <row r="4053" spans="1:11" x14ac:dyDescent="0.35">
      <c r="A4053" s="7" t="s">
        <v>4083</v>
      </c>
      <c r="B4053" s="8">
        <v>45082</v>
      </c>
      <c r="C4053" s="9" t="s">
        <v>27</v>
      </c>
      <c r="D4053" s="9" t="s">
        <v>39</v>
      </c>
      <c r="E4053" s="9" t="s">
        <v>18</v>
      </c>
      <c r="F4053" s="9">
        <v>111</v>
      </c>
      <c r="G4053" s="9">
        <v>314.20999999999998</v>
      </c>
      <c r="H4053" s="9" t="s">
        <v>19</v>
      </c>
      <c r="I4053" s="9">
        <v>7</v>
      </c>
      <c r="J4053" s="10">
        <v>203.20999999999901</v>
      </c>
      <c r="K4053" s="9" t="str">
        <f>TEXT(Sales_of_Jordan[[#This Row],[Sale_Date]],"mmm")</f>
        <v>Jun</v>
      </c>
    </row>
    <row r="4054" spans="1:11" x14ac:dyDescent="0.35">
      <c r="A4054" s="7" t="s">
        <v>4084</v>
      </c>
      <c r="B4054" s="8">
        <v>45037</v>
      </c>
      <c r="C4054" s="9" t="s">
        <v>31</v>
      </c>
      <c r="D4054" s="9" t="s">
        <v>34</v>
      </c>
      <c r="E4054" s="9" t="s">
        <v>29</v>
      </c>
      <c r="F4054" s="9">
        <v>200</v>
      </c>
      <c r="G4054" s="9">
        <v>188.02</v>
      </c>
      <c r="H4054" s="9" t="s">
        <v>14</v>
      </c>
      <c r="I4054" s="9">
        <v>5</v>
      </c>
      <c r="J4054" s="10">
        <v>-11.979999999999899</v>
      </c>
      <c r="K4054" s="9" t="str">
        <f>TEXT(Sales_of_Jordan[[#This Row],[Sale_Date]],"mmm")</f>
        <v>Apr</v>
      </c>
    </row>
    <row r="4055" spans="1:11" x14ac:dyDescent="0.35">
      <c r="A4055" s="7" t="s">
        <v>4085</v>
      </c>
      <c r="B4055" s="8">
        <v>44993</v>
      </c>
      <c r="C4055" s="9" t="s">
        <v>16</v>
      </c>
      <c r="D4055" s="9" t="s">
        <v>36</v>
      </c>
      <c r="E4055" s="9" t="s">
        <v>18</v>
      </c>
      <c r="F4055" s="9">
        <v>182</v>
      </c>
      <c r="G4055" s="9">
        <v>442.97</v>
      </c>
      <c r="H4055" s="9" t="s">
        <v>25</v>
      </c>
      <c r="I4055" s="9">
        <v>7</v>
      </c>
      <c r="J4055" s="10">
        <v>260.97000000000003</v>
      </c>
      <c r="K4055" s="9" t="str">
        <f>TEXT(Sales_of_Jordan[[#This Row],[Sale_Date]],"mmm")</f>
        <v>Mar</v>
      </c>
    </row>
    <row r="4056" spans="1:11" x14ac:dyDescent="0.35">
      <c r="A4056" s="7" t="s">
        <v>4086</v>
      </c>
      <c r="B4056" s="8">
        <v>45028</v>
      </c>
      <c r="C4056" s="9" t="s">
        <v>21</v>
      </c>
      <c r="D4056" s="9" t="s">
        <v>17</v>
      </c>
      <c r="E4056" s="9" t="s">
        <v>13</v>
      </c>
      <c r="F4056" s="9">
        <v>214</v>
      </c>
      <c r="G4056" s="9">
        <v>145.9</v>
      </c>
      <c r="H4056" s="9" t="s">
        <v>23</v>
      </c>
      <c r="I4056" s="9">
        <v>32</v>
      </c>
      <c r="J4056" s="10">
        <v>-68.099999999999994</v>
      </c>
      <c r="K4056" s="9" t="str">
        <f>TEXT(Sales_of_Jordan[[#This Row],[Sale_Date]],"mmm")</f>
        <v>Apr</v>
      </c>
    </row>
    <row r="4057" spans="1:11" x14ac:dyDescent="0.35">
      <c r="A4057" s="7" t="s">
        <v>4087</v>
      </c>
      <c r="B4057" s="8">
        <v>45804</v>
      </c>
      <c r="C4057" s="9" t="s">
        <v>16</v>
      </c>
      <c r="D4057" s="9" t="s">
        <v>46</v>
      </c>
      <c r="E4057" s="9" t="s">
        <v>29</v>
      </c>
      <c r="F4057" s="9">
        <v>189</v>
      </c>
      <c r="G4057" s="9">
        <v>213.08</v>
      </c>
      <c r="H4057" s="9" t="s">
        <v>14</v>
      </c>
      <c r="I4057" s="9">
        <v>13</v>
      </c>
      <c r="J4057" s="10">
        <v>24.08</v>
      </c>
      <c r="K4057" s="9" t="str">
        <f>TEXT(Sales_of_Jordan[[#This Row],[Sale_Date]],"mmm")</f>
        <v>May</v>
      </c>
    </row>
    <row r="4058" spans="1:11" x14ac:dyDescent="0.35">
      <c r="A4058" s="7" t="s">
        <v>4088</v>
      </c>
      <c r="B4058" s="8">
        <v>45697</v>
      </c>
      <c r="C4058" s="9" t="s">
        <v>21</v>
      </c>
      <c r="D4058" s="9" t="s">
        <v>22</v>
      </c>
      <c r="E4058" s="9" t="s">
        <v>13</v>
      </c>
      <c r="F4058" s="9">
        <v>210</v>
      </c>
      <c r="G4058" s="9">
        <v>167.57</v>
      </c>
      <c r="H4058" s="9" t="s">
        <v>32</v>
      </c>
      <c r="I4058" s="9">
        <v>54</v>
      </c>
      <c r="J4058" s="10">
        <v>-42.43</v>
      </c>
      <c r="K4058" s="9" t="str">
        <f>TEXT(Sales_of_Jordan[[#This Row],[Sale_Date]],"mmm")</f>
        <v>Feb</v>
      </c>
    </row>
    <row r="4059" spans="1:11" x14ac:dyDescent="0.35">
      <c r="A4059" s="7" t="s">
        <v>4089</v>
      </c>
      <c r="B4059" s="8">
        <v>45431</v>
      </c>
      <c r="C4059" s="9" t="s">
        <v>31</v>
      </c>
      <c r="D4059" s="9" t="s">
        <v>46</v>
      </c>
      <c r="E4059" s="9" t="s">
        <v>29</v>
      </c>
      <c r="F4059" s="9">
        <v>207</v>
      </c>
      <c r="G4059" s="9">
        <v>294.39</v>
      </c>
      <c r="H4059" s="9" t="s">
        <v>14</v>
      </c>
      <c r="I4059" s="9">
        <v>1</v>
      </c>
      <c r="J4059" s="10">
        <v>87.389999999999901</v>
      </c>
      <c r="K4059" s="9" t="str">
        <f>TEXT(Sales_of_Jordan[[#This Row],[Sale_Date]],"mmm")</f>
        <v>May</v>
      </c>
    </row>
    <row r="4060" spans="1:11" x14ac:dyDescent="0.35">
      <c r="A4060" s="7" t="s">
        <v>4090</v>
      </c>
      <c r="B4060" s="8">
        <v>45819</v>
      </c>
      <c r="C4060" s="9" t="s">
        <v>16</v>
      </c>
      <c r="D4060" s="9" t="s">
        <v>46</v>
      </c>
      <c r="E4060" s="9" t="s">
        <v>29</v>
      </c>
      <c r="F4060" s="9">
        <v>178</v>
      </c>
      <c r="G4060" s="9">
        <v>216.39</v>
      </c>
      <c r="H4060" s="9" t="s">
        <v>14</v>
      </c>
      <c r="I4060" s="9">
        <v>5</v>
      </c>
      <c r="J4060" s="10">
        <v>38.389999999999901</v>
      </c>
      <c r="K4060" s="9" t="str">
        <f>TEXT(Sales_of_Jordan[[#This Row],[Sale_Date]],"mmm")</f>
        <v>Jun</v>
      </c>
    </row>
    <row r="4061" spans="1:11" x14ac:dyDescent="0.35">
      <c r="A4061" s="7" t="s">
        <v>4091</v>
      </c>
      <c r="B4061" s="8">
        <v>45829</v>
      </c>
      <c r="C4061" s="9" t="s">
        <v>16</v>
      </c>
      <c r="D4061" s="9" t="s">
        <v>53</v>
      </c>
      <c r="E4061" s="9" t="s">
        <v>29</v>
      </c>
      <c r="F4061" s="9">
        <v>190</v>
      </c>
      <c r="G4061" s="9">
        <v>268.56</v>
      </c>
      <c r="H4061" s="9" t="s">
        <v>14</v>
      </c>
      <c r="I4061" s="9">
        <v>1</v>
      </c>
      <c r="J4061" s="10">
        <v>78.56</v>
      </c>
      <c r="K4061" s="9" t="str">
        <f>TEXT(Sales_of_Jordan[[#This Row],[Sale_Date]],"mmm")</f>
        <v>Jun</v>
      </c>
    </row>
    <row r="4062" spans="1:11" x14ac:dyDescent="0.35">
      <c r="A4062" s="7" t="s">
        <v>4092</v>
      </c>
      <c r="B4062" s="8">
        <v>45721</v>
      </c>
      <c r="C4062" s="9" t="s">
        <v>21</v>
      </c>
      <c r="D4062" s="9" t="s">
        <v>34</v>
      </c>
      <c r="E4062" s="9" t="s">
        <v>29</v>
      </c>
      <c r="F4062" s="9">
        <v>222</v>
      </c>
      <c r="G4062" s="9">
        <v>234.07</v>
      </c>
      <c r="H4062" s="9" t="s">
        <v>14</v>
      </c>
      <c r="I4062" s="9">
        <v>14</v>
      </c>
      <c r="J4062" s="10">
        <v>12.069999999999901</v>
      </c>
      <c r="K4062" s="9" t="str">
        <f>TEXT(Sales_of_Jordan[[#This Row],[Sale_Date]],"mmm")</f>
        <v>Mar</v>
      </c>
    </row>
    <row r="4063" spans="1:11" x14ac:dyDescent="0.35">
      <c r="A4063" s="7" t="s">
        <v>4093</v>
      </c>
      <c r="B4063" s="8">
        <v>45472</v>
      </c>
      <c r="C4063" s="9" t="s">
        <v>31</v>
      </c>
      <c r="D4063" s="9" t="s">
        <v>53</v>
      </c>
      <c r="E4063" s="9" t="s">
        <v>18</v>
      </c>
      <c r="F4063" s="9">
        <v>202</v>
      </c>
      <c r="G4063" s="9">
        <v>264.08999999999997</v>
      </c>
      <c r="H4063" s="9" t="s">
        <v>23</v>
      </c>
      <c r="I4063" s="9">
        <v>36</v>
      </c>
      <c r="J4063" s="10">
        <v>62.089999999999897</v>
      </c>
      <c r="K4063" s="9" t="str">
        <f>TEXT(Sales_of_Jordan[[#This Row],[Sale_Date]],"mmm")</f>
        <v>Jun</v>
      </c>
    </row>
    <row r="4064" spans="1:11" x14ac:dyDescent="0.35">
      <c r="A4064" s="7" t="s">
        <v>4094</v>
      </c>
      <c r="B4064" s="8">
        <v>45815</v>
      </c>
      <c r="C4064" s="9" t="s">
        <v>31</v>
      </c>
      <c r="D4064" s="9" t="s">
        <v>39</v>
      </c>
      <c r="E4064" s="9" t="s">
        <v>18</v>
      </c>
      <c r="F4064" s="9">
        <v>205</v>
      </c>
      <c r="G4064" s="9">
        <v>282.95</v>
      </c>
      <c r="H4064" s="9" t="s">
        <v>19</v>
      </c>
      <c r="I4064" s="9">
        <v>5</v>
      </c>
      <c r="J4064" s="10">
        <v>77.949999999999903</v>
      </c>
      <c r="K4064" s="9" t="str">
        <f>TEXT(Sales_of_Jordan[[#This Row],[Sale_Date]],"mmm")</f>
        <v>Jun</v>
      </c>
    </row>
    <row r="4065" spans="1:11" x14ac:dyDescent="0.35">
      <c r="A4065" s="7" t="s">
        <v>4095</v>
      </c>
      <c r="B4065" s="8">
        <v>45830</v>
      </c>
      <c r="C4065" s="9" t="s">
        <v>11</v>
      </c>
      <c r="D4065" s="9" t="s">
        <v>39</v>
      </c>
      <c r="E4065" s="9" t="s">
        <v>29</v>
      </c>
      <c r="F4065" s="9">
        <v>225</v>
      </c>
      <c r="G4065" s="9">
        <v>222.42</v>
      </c>
      <c r="H4065" s="9" t="s">
        <v>23</v>
      </c>
      <c r="I4065" s="9">
        <v>18</v>
      </c>
      <c r="J4065" s="10">
        <v>-2.5800000000000098</v>
      </c>
      <c r="K4065" s="9" t="str">
        <f>TEXT(Sales_of_Jordan[[#This Row],[Sale_Date]],"mmm")</f>
        <v>Jun</v>
      </c>
    </row>
    <row r="4066" spans="1:11" x14ac:dyDescent="0.35">
      <c r="A4066" s="7" t="s">
        <v>4096</v>
      </c>
      <c r="B4066" s="8">
        <v>45392</v>
      </c>
      <c r="C4066" s="9" t="s">
        <v>27</v>
      </c>
      <c r="D4066" s="9" t="s">
        <v>36</v>
      </c>
      <c r="E4066" s="9" t="s">
        <v>29</v>
      </c>
      <c r="F4066" s="9">
        <v>118</v>
      </c>
      <c r="G4066" s="9">
        <v>149.19</v>
      </c>
      <c r="H4066" s="9" t="s">
        <v>14</v>
      </c>
      <c r="I4066" s="9">
        <v>1</v>
      </c>
      <c r="J4066" s="10">
        <v>31.189999999999898</v>
      </c>
      <c r="K4066" s="9" t="str">
        <f>TEXT(Sales_of_Jordan[[#This Row],[Sale_Date]],"mmm")</f>
        <v>Apr</v>
      </c>
    </row>
    <row r="4067" spans="1:11" x14ac:dyDescent="0.35">
      <c r="A4067" s="7" t="s">
        <v>4097</v>
      </c>
      <c r="B4067" s="8">
        <v>45418</v>
      </c>
      <c r="C4067" s="9" t="s">
        <v>16</v>
      </c>
      <c r="D4067" s="9" t="s">
        <v>53</v>
      </c>
      <c r="E4067" s="9" t="s">
        <v>13</v>
      </c>
      <c r="F4067" s="9">
        <v>187</v>
      </c>
      <c r="G4067" s="9">
        <v>154.51</v>
      </c>
      <c r="H4067" s="9" t="s">
        <v>14</v>
      </c>
      <c r="I4067" s="9">
        <v>2</v>
      </c>
      <c r="J4067" s="10">
        <v>-32.49</v>
      </c>
      <c r="K4067" s="9" t="str">
        <f>TEXT(Sales_of_Jordan[[#This Row],[Sale_Date]],"mmm")</f>
        <v>May</v>
      </c>
    </row>
    <row r="4068" spans="1:11" x14ac:dyDescent="0.35">
      <c r="A4068" s="7" t="s">
        <v>4098</v>
      </c>
      <c r="B4068" s="8">
        <v>45181</v>
      </c>
      <c r="C4068" s="9" t="s">
        <v>16</v>
      </c>
      <c r="D4068" s="9" t="s">
        <v>39</v>
      </c>
      <c r="E4068" s="9" t="s">
        <v>18</v>
      </c>
      <c r="F4068" s="9">
        <v>190</v>
      </c>
      <c r="G4068" s="9">
        <v>320.97000000000003</v>
      </c>
      <c r="H4068" s="9" t="s">
        <v>14</v>
      </c>
      <c r="I4068" s="9">
        <v>6</v>
      </c>
      <c r="J4068" s="10">
        <v>130.97</v>
      </c>
      <c r="K4068" s="9" t="str">
        <f>TEXT(Sales_of_Jordan[[#This Row],[Sale_Date]],"mmm")</f>
        <v>Sep</v>
      </c>
    </row>
    <row r="4069" spans="1:11" x14ac:dyDescent="0.35">
      <c r="A4069" s="7" t="s">
        <v>4099</v>
      </c>
      <c r="B4069" s="8">
        <v>45573</v>
      </c>
      <c r="C4069" s="9" t="s">
        <v>16</v>
      </c>
      <c r="D4069" s="9" t="s">
        <v>36</v>
      </c>
      <c r="E4069" s="9" t="s">
        <v>13</v>
      </c>
      <c r="F4069" s="9">
        <v>172</v>
      </c>
      <c r="G4069" s="9">
        <v>154.68</v>
      </c>
      <c r="H4069" s="9" t="s">
        <v>25</v>
      </c>
      <c r="I4069" s="9">
        <v>6</v>
      </c>
      <c r="J4069" s="10">
        <v>-17.319999999999901</v>
      </c>
      <c r="K4069" s="9" t="str">
        <f>TEXT(Sales_of_Jordan[[#This Row],[Sale_Date]],"mmm")</f>
        <v>Oct</v>
      </c>
    </row>
    <row r="4070" spans="1:11" x14ac:dyDescent="0.35">
      <c r="A4070" s="7" t="s">
        <v>4100</v>
      </c>
      <c r="B4070" s="8">
        <v>45222</v>
      </c>
      <c r="C4070" s="9" t="s">
        <v>27</v>
      </c>
      <c r="D4070" s="9" t="s">
        <v>36</v>
      </c>
      <c r="E4070" s="9" t="s">
        <v>18</v>
      </c>
      <c r="F4070" s="9">
        <v>118</v>
      </c>
      <c r="G4070" s="9">
        <v>265.83999999999997</v>
      </c>
      <c r="H4070" s="9" t="s">
        <v>23</v>
      </c>
      <c r="I4070" s="9">
        <v>26</v>
      </c>
      <c r="J4070" s="10">
        <v>147.83999999999901</v>
      </c>
      <c r="K4070" s="9" t="str">
        <f>TEXT(Sales_of_Jordan[[#This Row],[Sale_Date]],"mmm")</f>
        <v>Oct</v>
      </c>
    </row>
    <row r="4071" spans="1:11" x14ac:dyDescent="0.35">
      <c r="A4071" s="7" t="s">
        <v>4101</v>
      </c>
      <c r="B4071" s="8">
        <v>45149</v>
      </c>
      <c r="C4071" s="9" t="s">
        <v>21</v>
      </c>
      <c r="D4071" s="9" t="s">
        <v>36</v>
      </c>
      <c r="E4071" s="9" t="s">
        <v>18</v>
      </c>
      <c r="F4071" s="9">
        <v>215</v>
      </c>
      <c r="G4071" s="9">
        <v>347.48</v>
      </c>
      <c r="H4071" s="9" t="s">
        <v>23</v>
      </c>
      <c r="I4071" s="9">
        <v>36</v>
      </c>
      <c r="J4071" s="10">
        <v>132.47999999999999</v>
      </c>
      <c r="K4071" s="9" t="str">
        <f>TEXT(Sales_of_Jordan[[#This Row],[Sale_Date]],"mmm")</f>
        <v>Aug</v>
      </c>
    </row>
    <row r="4072" spans="1:11" x14ac:dyDescent="0.35">
      <c r="A4072" s="7" t="s">
        <v>4102</v>
      </c>
      <c r="B4072" s="8">
        <v>44959</v>
      </c>
      <c r="C4072" s="9" t="s">
        <v>16</v>
      </c>
      <c r="D4072" s="9" t="s">
        <v>55</v>
      </c>
      <c r="E4072" s="9" t="s">
        <v>29</v>
      </c>
      <c r="F4072" s="9">
        <v>175</v>
      </c>
      <c r="G4072" s="9">
        <v>248.59</v>
      </c>
      <c r="H4072" s="9" t="s">
        <v>19</v>
      </c>
      <c r="I4072" s="9">
        <v>7</v>
      </c>
      <c r="J4072" s="10">
        <v>73.59</v>
      </c>
      <c r="K4072" s="9" t="str">
        <f>TEXT(Sales_of_Jordan[[#This Row],[Sale_Date]],"mmm")</f>
        <v>Feb</v>
      </c>
    </row>
    <row r="4073" spans="1:11" x14ac:dyDescent="0.35">
      <c r="A4073" s="7" t="s">
        <v>4103</v>
      </c>
      <c r="B4073" s="8">
        <v>44927</v>
      </c>
      <c r="C4073" s="9" t="s">
        <v>11</v>
      </c>
      <c r="D4073" s="9" t="s">
        <v>55</v>
      </c>
      <c r="E4073" s="9" t="s">
        <v>18</v>
      </c>
      <c r="F4073" s="9">
        <v>226</v>
      </c>
      <c r="G4073" s="9">
        <v>405.93</v>
      </c>
      <c r="H4073" s="9" t="s">
        <v>23</v>
      </c>
      <c r="I4073" s="9">
        <v>12</v>
      </c>
      <c r="J4073" s="10">
        <v>179.93</v>
      </c>
      <c r="K4073" s="9" t="str">
        <f>TEXT(Sales_of_Jordan[[#This Row],[Sale_Date]],"mmm")</f>
        <v>Jan</v>
      </c>
    </row>
    <row r="4074" spans="1:11" x14ac:dyDescent="0.35">
      <c r="A4074" s="7" t="s">
        <v>4104</v>
      </c>
      <c r="B4074" s="8">
        <v>45204</v>
      </c>
      <c r="C4074" s="9" t="s">
        <v>21</v>
      </c>
      <c r="D4074" s="9" t="s">
        <v>12</v>
      </c>
      <c r="E4074" s="9" t="s">
        <v>29</v>
      </c>
      <c r="F4074" s="9">
        <v>225</v>
      </c>
      <c r="G4074" s="9">
        <v>326.01</v>
      </c>
      <c r="H4074" s="9" t="s">
        <v>25</v>
      </c>
      <c r="I4074" s="9">
        <v>47</v>
      </c>
      <c r="J4074" s="10">
        <v>101.009999999999</v>
      </c>
      <c r="K4074" s="9" t="str">
        <f>TEXT(Sales_of_Jordan[[#This Row],[Sale_Date]],"mmm")</f>
        <v>Oct</v>
      </c>
    </row>
    <row r="4075" spans="1:11" x14ac:dyDescent="0.35">
      <c r="A4075" s="7" t="s">
        <v>4105</v>
      </c>
      <c r="B4075" s="8">
        <v>45362</v>
      </c>
      <c r="C4075" s="9" t="s">
        <v>16</v>
      </c>
      <c r="D4075" s="9" t="s">
        <v>22</v>
      </c>
      <c r="E4075" s="9" t="s">
        <v>29</v>
      </c>
      <c r="F4075" s="9">
        <v>178</v>
      </c>
      <c r="G4075" s="9">
        <v>237.61</v>
      </c>
      <c r="H4075" s="9" t="s">
        <v>14</v>
      </c>
      <c r="I4075" s="9">
        <v>11</v>
      </c>
      <c r="J4075" s="10">
        <v>59.61</v>
      </c>
      <c r="K4075" s="9" t="str">
        <f>TEXT(Sales_of_Jordan[[#This Row],[Sale_Date]],"mmm")</f>
        <v>Mar</v>
      </c>
    </row>
    <row r="4076" spans="1:11" x14ac:dyDescent="0.35">
      <c r="A4076" s="7" t="s">
        <v>4106</v>
      </c>
      <c r="B4076" s="8">
        <v>45884</v>
      </c>
      <c r="C4076" s="9" t="s">
        <v>27</v>
      </c>
      <c r="D4076" s="9" t="s">
        <v>39</v>
      </c>
      <c r="E4076" s="9" t="s">
        <v>29</v>
      </c>
      <c r="F4076" s="9">
        <v>139</v>
      </c>
      <c r="G4076" s="9">
        <v>153.09</v>
      </c>
      <c r="H4076" s="9" t="s">
        <v>32</v>
      </c>
      <c r="I4076" s="9">
        <v>42</v>
      </c>
      <c r="J4076" s="10">
        <v>14.09</v>
      </c>
      <c r="K4076" s="9" t="str">
        <f>TEXT(Sales_of_Jordan[[#This Row],[Sale_Date]],"mmm")</f>
        <v>Aug</v>
      </c>
    </row>
    <row r="4077" spans="1:11" x14ac:dyDescent="0.35">
      <c r="A4077" s="7" t="s">
        <v>4107</v>
      </c>
      <c r="B4077" s="8">
        <v>45632</v>
      </c>
      <c r="C4077" s="9" t="s">
        <v>16</v>
      </c>
      <c r="D4077" s="9" t="s">
        <v>34</v>
      </c>
      <c r="E4077" s="9" t="s">
        <v>13</v>
      </c>
      <c r="F4077" s="9">
        <v>189</v>
      </c>
      <c r="G4077" s="9">
        <v>137.5</v>
      </c>
      <c r="H4077" s="9" t="s">
        <v>23</v>
      </c>
      <c r="I4077" s="9">
        <v>22</v>
      </c>
      <c r="J4077" s="10">
        <v>-51.5</v>
      </c>
      <c r="K4077" s="9" t="str">
        <f>TEXT(Sales_of_Jordan[[#This Row],[Sale_Date]],"mmm")</f>
        <v>Dec</v>
      </c>
    </row>
    <row r="4078" spans="1:11" x14ac:dyDescent="0.35">
      <c r="A4078" s="7" t="s">
        <v>4108</v>
      </c>
      <c r="B4078" s="8">
        <v>45850</v>
      </c>
      <c r="C4078" s="9" t="s">
        <v>11</v>
      </c>
      <c r="D4078" s="9" t="s">
        <v>55</v>
      </c>
      <c r="E4078" s="9" t="s">
        <v>13</v>
      </c>
      <c r="F4078" s="9">
        <v>226</v>
      </c>
      <c r="G4078" s="9">
        <v>180.12</v>
      </c>
      <c r="H4078" s="9" t="s">
        <v>19</v>
      </c>
      <c r="I4078" s="9">
        <v>12</v>
      </c>
      <c r="J4078" s="10">
        <v>-45.879999999999903</v>
      </c>
      <c r="K4078" s="9" t="str">
        <f>TEXT(Sales_of_Jordan[[#This Row],[Sale_Date]],"mmm")</f>
        <v>Jul</v>
      </c>
    </row>
    <row r="4079" spans="1:11" x14ac:dyDescent="0.35">
      <c r="A4079" s="7" t="s">
        <v>4109</v>
      </c>
      <c r="B4079" s="8">
        <v>45069</v>
      </c>
      <c r="C4079" s="9" t="s">
        <v>21</v>
      </c>
      <c r="D4079" s="9" t="s">
        <v>17</v>
      </c>
      <c r="E4079" s="9" t="s">
        <v>13</v>
      </c>
      <c r="F4079" s="9">
        <v>222</v>
      </c>
      <c r="G4079" s="9">
        <v>130.63999999999999</v>
      </c>
      <c r="H4079" s="9" t="s">
        <v>25</v>
      </c>
      <c r="I4079" s="9">
        <v>8</v>
      </c>
      <c r="J4079" s="10">
        <v>-91.36</v>
      </c>
      <c r="K4079" s="9" t="str">
        <f>TEXT(Sales_of_Jordan[[#This Row],[Sale_Date]],"mmm")</f>
        <v>May</v>
      </c>
    </row>
    <row r="4080" spans="1:11" x14ac:dyDescent="0.35">
      <c r="A4080" s="7" t="s">
        <v>4110</v>
      </c>
      <c r="B4080" s="8">
        <v>45293</v>
      </c>
      <c r="C4080" s="9" t="s">
        <v>21</v>
      </c>
      <c r="D4080" s="9" t="s">
        <v>34</v>
      </c>
      <c r="E4080" s="9" t="s">
        <v>18</v>
      </c>
      <c r="F4080" s="9">
        <v>217</v>
      </c>
      <c r="G4080" s="9">
        <v>318.77999999999997</v>
      </c>
      <c r="H4080" s="9" t="s">
        <v>14</v>
      </c>
      <c r="I4080" s="9">
        <v>8</v>
      </c>
      <c r="J4080" s="10">
        <v>101.77999999999901</v>
      </c>
      <c r="K4080" s="9" t="str">
        <f>TEXT(Sales_of_Jordan[[#This Row],[Sale_Date]],"mmm")</f>
        <v>Jan</v>
      </c>
    </row>
    <row r="4081" spans="1:11" x14ac:dyDescent="0.35">
      <c r="A4081" s="7" t="s">
        <v>4111</v>
      </c>
      <c r="B4081" s="8">
        <v>45193</v>
      </c>
      <c r="C4081" s="9" t="s">
        <v>27</v>
      </c>
      <c r="D4081" s="9" t="s">
        <v>39</v>
      </c>
      <c r="E4081" s="9" t="s">
        <v>18</v>
      </c>
      <c r="F4081" s="9">
        <v>124</v>
      </c>
      <c r="G4081" s="9">
        <v>355.84</v>
      </c>
      <c r="H4081" s="9" t="s">
        <v>32</v>
      </c>
      <c r="I4081" s="9">
        <v>58</v>
      </c>
      <c r="J4081" s="10">
        <v>231.83999999999901</v>
      </c>
      <c r="K4081" s="9" t="str">
        <f>TEXT(Sales_of_Jordan[[#This Row],[Sale_Date]],"mmm")</f>
        <v>Sep</v>
      </c>
    </row>
    <row r="4082" spans="1:11" x14ac:dyDescent="0.35">
      <c r="A4082" s="7" t="s">
        <v>4112</v>
      </c>
      <c r="B4082" s="8">
        <v>45288</v>
      </c>
      <c r="C4082" s="9" t="s">
        <v>31</v>
      </c>
      <c r="D4082" s="9" t="s">
        <v>55</v>
      </c>
      <c r="E4082" s="9" t="s">
        <v>18</v>
      </c>
      <c r="F4082" s="9">
        <v>206</v>
      </c>
      <c r="G4082" s="9">
        <v>364.65</v>
      </c>
      <c r="H4082" s="9" t="s">
        <v>14</v>
      </c>
      <c r="I4082" s="9">
        <v>1</v>
      </c>
      <c r="J4082" s="10">
        <v>158.64999999999901</v>
      </c>
      <c r="K4082" s="9" t="str">
        <f>TEXT(Sales_of_Jordan[[#This Row],[Sale_Date]],"mmm")</f>
        <v>Dec</v>
      </c>
    </row>
    <row r="4083" spans="1:11" x14ac:dyDescent="0.35">
      <c r="A4083" s="7" t="s">
        <v>4113</v>
      </c>
      <c r="B4083" s="8">
        <v>45616</v>
      </c>
      <c r="C4083" s="9" t="s">
        <v>27</v>
      </c>
      <c r="D4083" s="9" t="s">
        <v>53</v>
      </c>
      <c r="E4083" s="9" t="s">
        <v>13</v>
      </c>
      <c r="F4083" s="9">
        <v>132</v>
      </c>
      <c r="G4083" s="9">
        <v>75.290000000000006</v>
      </c>
      <c r="H4083" s="9" t="s">
        <v>25</v>
      </c>
      <c r="I4083" s="9">
        <v>21</v>
      </c>
      <c r="J4083" s="10">
        <v>-56.709999999999901</v>
      </c>
      <c r="K4083" s="9" t="str">
        <f>TEXT(Sales_of_Jordan[[#This Row],[Sale_Date]],"mmm")</f>
        <v>Nov</v>
      </c>
    </row>
    <row r="4084" spans="1:11" x14ac:dyDescent="0.35">
      <c r="A4084" s="7" t="s">
        <v>4114</v>
      </c>
      <c r="B4084" s="8">
        <v>45090</v>
      </c>
      <c r="C4084" s="9" t="s">
        <v>27</v>
      </c>
      <c r="D4084" s="9" t="s">
        <v>22</v>
      </c>
      <c r="E4084" s="9" t="s">
        <v>18</v>
      </c>
      <c r="F4084" s="9">
        <v>116</v>
      </c>
      <c r="G4084" s="9">
        <v>214.35</v>
      </c>
      <c r="H4084" s="9" t="s">
        <v>14</v>
      </c>
      <c r="I4084" s="9">
        <v>11</v>
      </c>
      <c r="J4084" s="10">
        <v>98.35</v>
      </c>
      <c r="K4084" s="9" t="str">
        <f>TEXT(Sales_of_Jordan[[#This Row],[Sale_Date]],"mmm")</f>
        <v>Jun</v>
      </c>
    </row>
    <row r="4085" spans="1:11" x14ac:dyDescent="0.35">
      <c r="A4085" s="7" t="s">
        <v>4115</v>
      </c>
      <c r="B4085" s="8">
        <v>45245</v>
      </c>
      <c r="C4085" s="9" t="s">
        <v>31</v>
      </c>
      <c r="D4085" s="9" t="s">
        <v>39</v>
      </c>
      <c r="E4085" s="9" t="s">
        <v>29</v>
      </c>
      <c r="F4085" s="9">
        <v>200</v>
      </c>
      <c r="G4085" s="9">
        <v>182.88</v>
      </c>
      <c r="H4085" s="9" t="s">
        <v>25</v>
      </c>
      <c r="I4085" s="9">
        <v>56</v>
      </c>
      <c r="J4085" s="10">
        <v>-17.12</v>
      </c>
      <c r="K4085" s="9" t="str">
        <f>TEXT(Sales_of_Jordan[[#This Row],[Sale_Date]],"mmm")</f>
        <v>Nov</v>
      </c>
    </row>
    <row r="4086" spans="1:11" x14ac:dyDescent="0.35">
      <c r="A4086" s="7" t="s">
        <v>4116</v>
      </c>
      <c r="B4086" s="8">
        <v>45300</v>
      </c>
      <c r="C4086" s="9" t="s">
        <v>21</v>
      </c>
      <c r="D4086" s="9" t="s">
        <v>36</v>
      </c>
      <c r="E4086" s="9" t="s">
        <v>29</v>
      </c>
      <c r="F4086" s="9">
        <v>215</v>
      </c>
      <c r="G4086" s="9">
        <v>283.55</v>
      </c>
      <c r="H4086" s="9" t="s">
        <v>25</v>
      </c>
      <c r="I4086" s="9">
        <v>52</v>
      </c>
      <c r="J4086" s="10">
        <v>68.55</v>
      </c>
      <c r="K4086" s="9" t="str">
        <f>TEXT(Sales_of_Jordan[[#This Row],[Sale_Date]],"mmm")</f>
        <v>Jan</v>
      </c>
    </row>
    <row r="4087" spans="1:11" x14ac:dyDescent="0.35">
      <c r="A4087" s="7" t="s">
        <v>4117</v>
      </c>
      <c r="B4087" s="8">
        <v>45543</v>
      </c>
      <c r="C4087" s="9" t="s">
        <v>11</v>
      </c>
      <c r="D4087" s="9" t="s">
        <v>22</v>
      </c>
      <c r="E4087" s="9" t="s">
        <v>29</v>
      </c>
      <c r="F4087" s="9">
        <v>227</v>
      </c>
      <c r="G4087" s="9">
        <v>294.85000000000002</v>
      </c>
      <c r="H4087" s="9" t="s">
        <v>32</v>
      </c>
      <c r="I4087" s="9">
        <v>35</v>
      </c>
      <c r="J4087" s="10">
        <v>67.849999999999994</v>
      </c>
      <c r="K4087" s="9" t="str">
        <f>TEXT(Sales_of_Jordan[[#This Row],[Sale_Date]],"mmm")</f>
        <v>Sep</v>
      </c>
    </row>
    <row r="4088" spans="1:11" x14ac:dyDescent="0.35">
      <c r="A4088" s="7" t="s">
        <v>4118</v>
      </c>
      <c r="B4088" s="8">
        <v>45292</v>
      </c>
      <c r="C4088" s="9" t="s">
        <v>11</v>
      </c>
      <c r="D4088" s="9" t="s">
        <v>36</v>
      </c>
      <c r="E4088" s="9" t="s">
        <v>18</v>
      </c>
      <c r="F4088" s="9">
        <v>225</v>
      </c>
      <c r="G4088" s="9">
        <v>377.47</v>
      </c>
      <c r="H4088" s="9" t="s">
        <v>23</v>
      </c>
      <c r="I4088" s="9">
        <v>20</v>
      </c>
      <c r="J4088" s="10">
        <v>152.47</v>
      </c>
      <c r="K4088" s="9" t="str">
        <f>TEXT(Sales_of_Jordan[[#This Row],[Sale_Date]],"mmm")</f>
        <v>Jan</v>
      </c>
    </row>
    <row r="4089" spans="1:11" x14ac:dyDescent="0.35">
      <c r="A4089" s="7" t="s">
        <v>4119</v>
      </c>
      <c r="B4089" s="8">
        <v>45297</v>
      </c>
      <c r="C4089" s="9" t="s">
        <v>21</v>
      </c>
      <c r="D4089" s="9" t="s">
        <v>17</v>
      </c>
      <c r="E4089" s="9" t="s">
        <v>18</v>
      </c>
      <c r="F4089" s="9">
        <v>219</v>
      </c>
      <c r="G4089" s="9">
        <v>628.01</v>
      </c>
      <c r="H4089" s="9" t="s">
        <v>23</v>
      </c>
      <c r="I4089" s="9">
        <v>28</v>
      </c>
      <c r="J4089" s="10">
        <v>409.01</v>
      </c>
      <c r="K4089" s="9" t="str">
        <f>TEXT(Sales_of_Jordan[[#This Row],[Sale_Date]],"mmm")</f>
        <v>Jan</v>
      </c>
    </row>
    <row r="4090" spans="1:11" x14ac:dyDescent="0.35">
      <c r="A4090" s="7" t="s">
        <v>4120</v>
      </c>
      <c r="B4090" s="8">
        <v>45065</v>
      </c>
      <c r="C4090" s="9" t="s">
        <v>11</v>
      </c>
      <c r="D4090" s="9" t="s">
        <v>53</v>
      </c>
      <c r="E4090" s="9" t="s">
        <v>29</v>
      </c>
      <c r="F4090" s="9">
        <v>225</v>
      </c>
      <c r="G4090" s="9">
        <v>248.92</v>
      </c>
      <c r="H4090" s="9" t="s">
        <v>19</v>
      </c>
      <c r="I4090" s="9">
        <v>9</v>
      </c>
      <c r="J4090" s="10">
        <v>23.919999999999899</v>
      </c>
      <c r="K4090" s="9" t="str">
        <f>TEXT(Sales_of_Jordan[[#This Row],[Sale_Date]],"mmm")</f>
        <v>May</v>
      </c>
    </row>
    <row r="4091" spans="1:11" x14ac:dyDescent="0.35">
      <c r="A4091" s="7" t="s">
        <v>4121</v>
      </c>
      <c r="B4091" s="8">
        <v>45740</v>
      </c>
      <c r="C4091" s="9" t="s">
        <v>11</v>
      </c>
      <c r="D4091" s="9" t="s">
        <v>22</v>
      </c>
      <c r="E4091" s="9" t="s">
        <v>13</v>
      </c>
      <c r="F4091" s="9">
        <v>227</v>
      </c>
      <c r="G4091" s="9">
        <v>150.09</v>
      </c>
      <c r="H4091" s="9" t="s">
        <v>14</v>
      </c>
      <c r="I4091" s="9">
        <v>10</v>
      </c>
      <c r="J4091" s="10">
        <v>-76.91</v>
      </c>
      <c r="K4091" s="9" t="str">
        <f>TEXT(Sales_of_Jordan[[#This Row],[Sale_Date]],"mmm")</f>
        <v>Mar</v>
      </c>
    </row>
    <row r="4092" spans="1:11" x14ac:dyDescent="0.35">
      <c r="A4092" s="7" t="s">
        <v>4122</v>
      </c>
      <c r="B4092" s="8">
        <v>45188</v>
      </c>
      <c r="C4092" s="9" t="s">
        <v>27</v>
      </c>
      <c r="D4092" s="9" t="s">
        <v>17</v>
      </c>
      <c r="E4092" s="9" t="s">
        <v>13</v>
      </c>
      <c r="F4092" s="9">
        <v>129</v>
      </c>
      <c r="G4092" s="9">
        <v>73.58</v>
      </c>
      <c r="H4092" s="9" t="s">
        <v>25</v>
      </c>
      <c r="I4092" s="9">
        <v>38</v>
      </c>
      <c r="J4092" s="10">
        <v>-55.42</v>
      </c>
      <c r="K4092" s="9" t="str">
        <f>TEXT(Sales_of_Jordan[[#This Row],[Sale_Date]],"mmm")</f>
        <v>Sep</v>
      </c>
    </row>
    <row r="4093" spans="1:11" x14ac:dyDescent="0.35">
      <c r="A4093" s="7" t="s">
        <v>4123</v>
      </c>
      <c r="B4093" s="8">
        <v>45188</v>
      </c>
      <c r="C4093" s="9" t="s">
        <v>16</v>
      </c>
      <c r="D4093" s="9" t="s">
        <v>55</v>
      </c>
      <c r="E4093" s="9" t="s">
        <v>13</v>
      </c>
      <c r="F4093" s="9">
        <v>178</v>
      </c>
      <c r="G4093" s="9">
        <v>124.44</v>
      </c>
      <c r="H4093" s="9" t="s">
        <v>19</v>
      </c>
      <c r="I4093" s="9">
        <v>12</v>
      </c>
      <c r="J4093" s="10">
        <v>-53.56</v>
      </c>
      <c r="K4093" s="9" t="str">
        <f>TEXT(Sales_of_Jordan[[#This Row],[Sale_Date]],"mmm")</f>
        <v>Sep</v>
      </c>
    </row>
    <row r="4094" spans="1:11" x14ac:dyDescent="0.35">
      <c r="A4094" s="7" t="s">
        <v>4124</v>
      </c>
      <c r="B4094" s="8">
        <v>45910</v>
      </c>
      <c r="C4094" s="9" t="s">
        <v>21</v>
      </c>
      <c r="D4094" s="9" t="s">
        <v>12</v>
      </c>
      <c r="E4094" s="9" t="s">
        <v>13</v>
      </c>
      <c r="F4094" s="9">
        <v>214</v>
      </c>
      <c r="G4094" s="9">
        <v>137.69</v>
      </c>
      <c r="H4094" s="9" t="s">
        <v>23</v>
      </c>
      <c r="I4094" s="9">
        <v>8</v>
      </c>
      <c r="J4094" s="10">
        <v>-76.31</v>
      </c>
      <c r="K4094" s="9" t="str">
        <f>TEXT(Sales_of_Jordan[[#This Row],[Sale_Date]],"mmm")</f>
        <v>Sep</v>
      </c>
    </row>
    <row r="4095" spans="1:11" x14ac:dyDescent="0.35">
      <c r="A4095" s="7" t="s">
        <v>4125</v>
      </c>
      <c r="B4095" s="8">
        <v>45450</v>
      </c>
      <c r="C4095" s="9" t="s">
        <v>31</v>
      </c>
      <c r="D4095" s="9" t="s">
        <v>12</v>
      </c>
      <c r="E4095" s="9" t="s">
        <v>29</v>
      </c>
      <c r="F4095" s="9">
        <v>205</v>
      </c>
      <c r="G4095" s="9">
        <v>237.36</v>
      </c>
      <c r="H4095" s="9" t="s">
        <v>32</v>
      </c>
      <c r="I4095" s="9">
        <v>20</v>
      </c>
      <c r="J4095" s="10">
        <v>32.36</v>
      </c>
      <c r="K4095" s="9" t="str">
        <f>TEXT(Sales_of_Jordan[[#This Row],[Sale_Date]],"mmm")</f>
        <v>Jun</v>
      </c>
    </row>
    <row r="4096" spans="1:11" x14ac:dyDescent="0.35">
      <c r="A4096" s="7" t="s">
        <v>4126</v>
      </c>
      <c r="B4096" s="8">
        <v>44928</v>
      </c>
      <c r="C4096" s="9" t="s">
        <v>27</v>
      </c>
      <c r="D4096" s="9" t="s">
        <v>17</v>
      </c>
      <c r="E4096" s="9" t="s">
        <v>18</v>
      </c>
      <c r="F4096" s="9">
        <v>124</v>
      </c>
      <c r="G4096" s="9">
        <v>248.47</v>
      </c>
      <c r="H4096" s="9" t="s">
        <v>19</v>
      </c>
      <c r="I4096" s="9">
        <v>12</v>
      </c>
      <c r="J4096" s="10">
        <v>124.47</v>
      </c>
      <c r="K4096" s="9" t="str">
        <f>TEXT(Sales_of_Jordan[[#This Row],[Sale_Date]],"mmm")</f>
        <v>Jan</v>
      </c>
    </row>
    <row r="4097" spans="1:11" x14ac:dyDescent="0.35">
      <c r="A4097" s="7" t="s">
        <v>4127</v>
      </c>
      <c r="B4097" s="8">
        <v>45188</v>
      </c>
      <c r="C4097" s="9" t="s">
        <v>31</v>
      </c>
      <c r="D4097" s="9" t="s">
        <v>34</v>
      </c>
      <c r="E4097" s="9" t="s">
        <v>13</v>
      </c>
      <c r="F4097" s="9">
        <v>209</v>
      </c>
      <c r="G4097" s="9">
        <v>138.71</v>
      </c>
      <c r="H4097" s="9" t="s">
        <v>25</v>
      </c>
      <c r="I4097" s="9">
        <v>7</v>
      </c>
      <c r="J4097" s="10">
        <v>-70.289999999999907</v>
      </c>
      <c r="K4097" s="9" t="str">
        <f>TEXT(Sales_of_Jordan[[#This Row],[Sale_Date]],"mmm")</f>
        <v>Sep</v>
      </c>
    </row>
    <row r="4098" spans="1:11" x14ac:dyDescent="0.35">
      <c r="A4098" s="7" t="s">
        <v>4128</v>
      </c>
      <c r="B4098" s="8">
        <v>45464</v>
      </c>
      <c r="C4098" s="9" t="s">
        <v>27</v>
      </c>
      <c r="D4098" s="9" t="s">
        <v>53</v>
      </c>
      <c r="E4098" s="9" t="s">
        <v>29</v>
      </c>
      <c r="F4098" s="9">
        <v>119</v>
      </c>
      <c r="G4098" s="9">
        <v>165.21</v>
      </c>
      <c r="H4098" s="9" t="s">
        <v>19</v>
      </c>
      <c r="I4098" s="9">
        <v>11</v>
      </c>
      <c r="J4098" s="10">
        <v>46.21</v>
      </c>
      <c r="K4098" s="9" t="str">
        <f>TEXT(Sales_of_Jordan[[#This Row],[Sale_Date]],"mmm")</f>
        <v>Jun</v>
      </c>
    </row>
    <row r="4099" spans="1:11" x14ac:dyDescent="0.35">
      <c r="A4099" s="7" t="s">
        <v>4129</v>
      </c>
      <c r="B4099" s="8">
        <v>45915</v>
      </c>
      <c r="C4099" s="9" t="s">
        <v>16</v>
      </c>
      <c r="D4099" s="9" t="s">
        <v>36</v>
      </c>
      <c r="E4099" s="9" t="s">
        <v>29</v>
      </c>
      <c r="F4099" s="9">
        <v>187</v>
      </c>
      <c r="G4099" s="9">
        <v>169.31</v>
      </c>
      <c r="H4099" s="9" t="s">
        <v>19</v>
      </c>
      <c r="I4099" s="9">
        <v>9</v>
      </c>
      <c r="J4099" s="10">
        <v>-17.689999999999898</v>
      </c>
      <c r="K4099" s="9" t="str">
        <f>TEXT(Sales_of_Jordan[[#This Row],[Sale_Date]],"mmm")</f>
        <v>Sep</v>
      </c>
    </row>
    <row r="4100" spans="1:11" x14ac:dyDescent="0.35">
      <c r="A4100" s="7" t="s">
        <v>4130</v>
      </c>
      <c r="B4100" s="8">
        <v>45901</v>
      </c>
      <c r="C4100" s="9" t="s">
        <v>16</v>
      </c>
      <c r="D4100" s="9" t="s">
        <v>22</v>
      </c>
      <c r="E4100" s="9" t="s">
        <v>29</v>
      </c>
      <c r="F4100" s="9">
        <v>184</v>
      </c>
      <c r="G4100" s="9">
        <v>196.01</v>
      </c>
      <c r="H4100" s="9" t="s">
        <v>14</v>
      </c>
      <c r="I4100" s="9">
        <v>7</v>
      </c>
      <c r="J4100" s="10">
        <v>12.0099999999999</v>
      </c>
      <c r="K4100" s="9" t="str">
        <f>TEXT(Sales_of_Jordan[[#This Row],[Sale_Date]],"mmm")</f>
        <v>Sep</v>
      </c>
    </row>
    <row r="4101" spans="1:11" x14ac:dyDescent="0.35">
      <c r="A4101" s="7" t="s">
        <v>4131</v>
      </c>
      <c r="B4101" s="8">
        <v>44982</v>
      </c>
      <c r="C4101" s="9" t="s">
        <v>21</v>
      </c>
      <c r="D4101" s="9" t="s">
        <v>39</v>
      </c>
      <c r="E4101" s="9" t="s">
        <v>29</v>
      </c>
      <c r="F4101" s="9">
        <v>219</v>
      </c>
      <c r="G4101" s="9">
        <v>248.55</v>
      </c>
      <c r="H4101" s="9" t="s">
        <v>32</v>
      </c>
      <c r="I4101" s="9">
        <v>39</v>
      </c>
      <c r="J4101" s="10">
        <v>29.55</v>
      </c>
      <c r="K4101" s="9" t="str">
        <f>TEXT(Sales_of_Jordan[[#This Row],[Sale_Date]],"mmm")</f>
        <v>Feb</v>
      </c>
    </row>
    <row r="4102" spans="1:11" x14ac:dyDescent="0.35">
      <c r="A4102" s="7" t="s">
        <v>4132</v>
      </c>
      <c r="B4102" s="8">
        <v>45835</v>
      </c>
      <c r="C4102" s="9" t="s">
        <v>21</v>
      </c>
      <c r="D4102" s="9" t="s">
        <v>53</v>
      </c>
      <c r="E4102" s="9" t="s">
        <v>13</v>
      </c>
      <c r="F4102" s="9">
        <v>218</v>
      </c>
      <c r="G4102" s="9">
        <v>166.45</v>
      </c>
      <c r="H4102" s="9" t="s">
        <v>32</v>
      </c>
      <c r="I4102" s="9">
        <v>54</v>
      </c>
      <c r="J4102" s="10">
        <v>-51.55</v>
      </c>
      <c r="K4102" s="9" t="str">
        <f>TEXT(Sales_of_Jordan[[#This Row],[Sale_Date]],"mmm")</f>
        <v>Jun</v>
      </c>
    </row>
    <row r="4103" spans="1:11" x14ac:dyDescent="0.35">
      <c r="A4103" s="7" t="s">
        <v>4133</v>
      </c>
      <c r="B4103" s="8">
        <v>45553</v>
      </c>
      <c r="C4103" s="9" t="s">
        <v>27</v>
      </c>
      <c r="D4103" s="9" t="s">
        <v>53</v>
      </c>
      <c r="E4103" s="9" t="s">
        <v>29</v>
      </c>
      <c r="F4103" s="9">
        <v>110</v>
      </c>
      <c r="G4103" s="9">
        <v>137.33000000000001</v>
      </c>
      <c r="H4103" s="9" t="s">
        <v>19</v>
      </c>
      <c r="I4103" s="9">
        <v>13</v>
      </c>
      <c r="J4103" s="10">
        <v>27.33</v>
      </c>
      <c r="K4103" s="9" t="str">
        <f>TEXT(Sales_of_Jordan[[#This Row],[Sale_Date]],"mmm")</f>
        <v>Sep</v>
      </c>
    </row>
    <row r="4104" spans="1:11" x14ac:dyDescent="0.35">
      <c r="A4104" s="7" t="s">
        <v>4134</v>
      </c>
      <c r="B4104" s="8">
        <v>45423</v>
      </c>
      <c r="C4104" s="9" t="s">
        <v>11</v>
      </c>
      <c r="D4104" s="9" t="s">
        <v>12</v>
      </c>
      <c r="E4104" s="9" t="s">
        <v>29</v>
      </c>
      <c r="F4104" s="9">
        <v>228</v>
      </c>
      <c r="G4104" s="9">
        <v>257.61</v>
      </c>
      <c r="H4104" s="9" t="s">
        <v>14</v>
      </c>
      <c r="I4104" s="9">
        <v>9</v>
      </c>
      <c r="J4104" s="10">
        <v>29.61</v>
      </c>
      <c r="K4104" s="9" t="str">
        <f>TEXT(Sales_of_Jordan[[#This Row],[Sale_Date]],"mmm")</f>
        <v>May</v>
      </c>
    </row>
    <row r="4105" spans="1:11" x14ac:dyDescent="0.35">
      <c r="A4105" s="7" t="s">
        <v>4135</v>
      </c>
      <c r="B4105" s="8">
        <v>44967</v>
      </c>
      <c r="C4105" s="9" t="s">
        <v>27</v>
      </c>
      <c r="D4105" s="9" t="s">
        <v>39</v>
      </c>
      <c r="E4105" s="9" t="s">
        <v>13</v>
      </c>
      <c r="F4105" s="9">
        <v>125</v>
      </c>
      <c r="G4105" s="9">
        <v>73.599999999999994</v>
      </c>
      <c r="H4105" s="9" t="s">
        <v>19</v>
      </c>
      <c r="I4105" s="9">
        <v>7</v>
      </c>
      <c r="J4105" s="10">
        <v>-51.4</v>
      </c>
      <c r="K4105" s="9" t="str">
        <f>TEXT(Sales_of_Jordan[[#This Row],[Sale_Date]],"mmm")</f>
        <v>Feb</v>
      </c>
    </row>
    <row r="4106" spans="1:11" x14ac:dyDescent="0.35">
      <c r="A4106" s="7" t="s">
        <v>4136</v>
      </c>
      <c r="B4106" s="8">
        <v>45759</v>
      </c>
      <c r="C4106" s="9" t="s">
        <v>11</v>
      </c>
      <c r="D4106" s="9" t="s">
        <v>36</v>
      </c>
      <c r="E4106" s="9" t="s">
        <v>18</v>
      </c>
      <c r="F4106" s="9">
        <v>230</v>
      </c>
      <c r="G4106" s="9">
        <v>340.48</v>
      </c>
      <c r="H4106" s="9" t="s">
        <v>19</v>
      </c>
      <c r="I4106" s="9">
        <v>1</v>
      </c>
      <c r="J4106" s="10">
        <v>110.48</v>
      </c>
      <c r="K4106" s="9" t="str">
        <f>TEXT(Sales_of_Jordan[[#This Row],[Sale_Date]],"mmm")</f>
        <v>Apr</v>
      </c>
    </row>
    <row r="4107" spans="1:11" x14ac:dyDescent="0.35">
      <c r="A4107" s="7" t="s">
        <v>4137</v>
      </c>
      <c r="B4107" s="8">
        <v>45329</v>
      </c>
      <c r="C4107" s="9" t="s">
        <v>31</v>
      </c>
      <c r="D4107" s="9" t="s">
        <v>53</v>
      </c>
      <c r="E4107" s="9" t="s">
        <v>29</v>
      </c>
      <c r="F4107" s="9">
        <v>209</v>
      </c>
      <c r="G4107" s="9">
        <v>247.81</v>
      </c>
      <c r="H4107" s="9" t="s">
        <v>14</v>
      </c>
      <c r="I4107" s="9">
        <v>4</v>
      </c>
      <c r="J4107" s="10">
        <v>38.81</v>
      </c>
      <c r="K4107" s="9" t="str">
        <f>TEXT(Sales_of_Jordan[[#This Row],[Sale_Date]],"mmm")</f>
        <v>Feb</v>
      </c>
    </row>
    <row r="4108" spans="1:11" x14ac:dyDescent="0.35">
      <c r="A4108" s="7" t="s">
        <v>4138</v>
      </c>
      <c r="B4108" s="8">
        <v>45912</v>
      </c>
      <c r="C4108" s="9" t="s">
        <v>21</v>
      </c>
      <c r="D4108" s="9" t="s">
        <v>53</v>
      </c>
      <c r="E4108" s="9" t="s">
        <v>29</v>
      </c>
      <c r="F4108" s="9">
        <v>212</v>
      </c>
      <c r="G4108" s="9">
        <v>310.27</v>
      </c>
      <c r="H4108" s="9" t="s">
        <v>23</v>
      </c>
      <c r="I4108" s="9">
        <v>22</v>
      </c>
      <c r="J4108" s="10">
        <v>98.269999999999897</v>
      </c>
      <c r="K4108" s="9" t="str">
        <f>TEXT(Sales_of_Jordan[[#This Row],[Sale_Date]],"mmm")</f>
        <v>Sep</v>
      </c>
    </row>
    <row r="4109" spans="1:11" x14ac:dyDescent="0.35">
      <c r="A4109" s="7" t="s">
        <v>4139</v>
      </c>
      <c r="B4109" s="8">
        <v>45792</v>
      </c>
      <c r="C4109" s="9" t="s">
        <v>27</v>
      </c>
      <c r="D4109" s="9" t="s">
        <v>55</v>
      </c>
      <c r="E4109" s="9" t="s">
        <v>18</v>
      </c>
      <c r="F4109" s="9">
        <v>136</v>
      </c>
      <c r="G4109" s="9">
        <v>245.53</v>
      </c>
      <c r="H4109" s="9" t="s">
        <v>19</v>
      </c>
      <c r="I4109" s="9">
        <v>12</v>
      </c>
      <c r="J4109" s="10">
        <v>109.53</v>
      </c>
      <c r="K4109" s="9" t="str">
        <f>TEXT(Sales_of_Jordan[[#This Row],[Sale_Date]],"mmm")</f>
        <v>May</v>
      </c>
    </row>
    <row r="4110" spans="1:11" x14ac:dyDescent="0.35">
      <c r="A4110" s="7" t="s">
        <v>4140</v>
      </c>
      <c r="B4110" s="8">
        <v>45257</v>
      </c>
      <c r="C4110" s="9" t="s">
        <v>21</v>
      </c>
      <c r="D4110" s="9" t="s">
        <v>34</v>
      </c>
      <c r="E4110" s="9" t="s">
        <v>29</v>
      </c>
      <c r="F4110" s="9">
        <v>217</v>
      </c>
      <c r="G4110" s="9">
        <v>206.87</v>
      </c>
      <c r="H4110" s="9" t="s">
        <v>32</v>
      </c>
      <c r="I4110" s="9">
        <v>22</v>
      </c>
      <c r="J4110" s="10">
        <v>-10.1299999999999</v>
      </c>
      <c r="K4110" s="9" t="str">
        <f>TEXT(Sales_of_Jordan[[#This Row],[Sale_Date]],"mmm")</f>
        <v>Nov</v>
      </c>
    </row>
    <row r="4111" spans="1:11" x14ac:dyDescent="0.35">
      <c r="A4111" s="7" t="s">
        <v>4141</v>
      </c>
      <c r="B4111" s="8">
        <v>45085</v>
      </c>
      <c r="C4111" s="9" t="s">
        <v>21</v>
      </c>
      <c r="D4111" s="9" t="s">
        <v>55</v>
      </c>
      <c r="E4111" s="9" t="s">
        <v>29</v>
      </c>
      <c r="F4111" s="9">
        <v>221</v>
      </c>
      <c r="G4111" s="9">
        <v>326.3</v>
      </c>
      <c r="H4111" s="9" t="s">
        <v>23</v>
      </c>
      <c r="I4111" s="9">
        <v>8</v>
      </c>
      <c r="J4111" s="10">
        <v>105.3</v>
      </c>
      <c r="K4111" s="9" t="str">
        <f>TEXT(Sales_of_Jordan[[#This Row],[Sale_Date]],"mmm")</f>
        <v>Jun</v>
      </c>
    </row>
    <row r="4112" spans="1:11" x14ac:dyDescent="0.35">
      <c r="A4112" s="7" t="s">
        <v>4142</v>
      </c>
      <c r="B4112" s="8">
        <v>45272</v>
      </c>
      <c r="C4112" s="9" t="s">
        <v>21</v>
      </c>
      <c r="D4112" s="9" t="s">
        <v>55</v>
      </c>
      <c r="E4112" s="9" t="s">
        <v>18</v>
      </c>
      <c r="F4112" s="9">
        <v>213</v>
      </c>
      <c r="G4112" s="9">
        <v>466.1</v>
      </c>
      <c r="H4112" s="9" t="s">
        <v>14</v>
      </c>
      <c r="I4112" s="9">
        <v>14</v>
      </c>
      <c r="J4112" s="10">
        <v>253.1</v>
      </c>
      <c r="K4112" s="9" t="str">
        <f>TEXT(Sales_of_Jordan[[#This Row],[Sale_Date]],"mmm")</f>
        <v>Dec</v>
      </c>
    </row>
    <row r="4113" spans="1:11" x14ac:dyDescent="0.35">
      <c r="A4113" s="7" t="s">
        <v>4143</v>
      </c>
      <c r="B4113" s="8">
        <v>45553</v>
      </c>
      <c r="C4113" s="9" t="s">
        <v>11</v>
      </c>
      <c r="D4113" s="9" t="s">
        <v>17</v>
      </c>
      <c r="E4113" s="9" t="s">
        <v>18</v>
      </c>
      <c r="F4113" s="9">
        <v>226</v>
      </c>
      <c r="G4113" s="9">
        <v>602.04</v>
      </c>
      <c r="H4113" s="9" t="s">
        <v>25</v>
      </c>
      <c r="I4113" s="9">
        <v>49</v>
      </c>
      <c r="J4113" s="10">
        <v>376.039999999999</v>
      </c>
      <c r="K4113" s="9" t="str">
        <f>TEXT(Sales_of_Jordan[[#This Row],[Sale_Date]],"mmm")</f>
        <v>Sep</v>
      </c>
    </row>
    <row r="4114" spans="1:11" x14ac:dyDescent="0.35">
      <c r="A4114" s="7" t="s">
        <v>4144</v>
      </c>
      <c r="B4114" s="8">
        <v>45376</v>
      </c>
      <c r="C4114" s="9" t="s">
        <v>16</v>
      </c>
      <c r="D4114" s="9" t="s">
        <v>34</v>
      </c>
      <c r="E4114" s="9" t="s">
        <v>13</v>
      </c>
      <c r="F4114" s="9">
        <v>184</v>
      </c>
      <c r="G4114" s="9">
        <v>128.30000000000001</v>
      </c>
      <c r="H4114" s="9" t="s">
        <v>14</v>
      </c>
      <c r="I4114" s="9">
        <v>12</v>
      </c>
      <c r="J4114" s="10">
        <v>-55.699999999999903</v>
      </c>
      <c r="K4114" s="9" t="str">
        <f>TEXT(Sales_of_Jordan[[#This Row],[Sale_Date]],"mmm")</f>
        <v>Mar</v>
      </c>
    </row>
    <row r="4115" spans="1:11" x14ac:dyDescent="0.35">
      <c r="A4115" s="7" t="s">
        <v>4145</v>
      </c>
      <c r="B4115" s="8">
        <v>45321</v>
      </c>
      <c r="C4115" s="9" t="s">
        <v>11</v>
      </c>
      <c r="D4115" s="9" t="s">
        <v>46</v>
      </c>
      <c r="E4115" s="9" t="s">
        <v>13</v>
      </c>
      <c r="F4115" s="9">
        <v>230</v>
      </c>
      <c r="G4115" s="9">
        <v>204.63</v>
      </c>
      <c r="H4115" s="9" t="s">
        <v>23</v>
      </c>
      <c r="I4115" s="9">
        <v>53</v>
      </c>
      <c r="J4115" s="10">
        <v>-25.37</v>
      </c>
      <c r="K4115" s="9" t="str">
        <f>TEXT(Sales_of_Jordan[[#This Row],[Sale_Date]],"mmm")</f>
        <v>Jan</v>
      </c>
    </row>
    <row r="4116" spans="1:11" x14ac:dyDescent="0.35">
      <c r="A4116" s="7" t="s">
        <v>4146</v>
      </c>
      <c r="B4116" s="8">
        <v>45640</v>
      </c>
      <c r="C4116" s="9" t="s">
        <v>11</v>
      </c>
      <c r="D4116" s="9" t="s">
        <v>53</v>
      </c>
      <c r="E4116" s="9" t="s">
        <v>18</v>
      </c>
      <c r="F4116" s="9">
        <v>229</v>
      </c>
      <c r="G4116" s="9">
        <v>641.12</v>
      </c>
      <c r="H4116" s="9" t="s">
        <v>14</v>
      </c>
      <c r="I4116" s="9">
        <v>14</v>
      </c>
      <c r="J4116" s="10">
        <v>412.12</v>
      </c>
      <c r="K4116" s="9" t="str">
        <f>TEXT(Sales_of_Jordan[[#This Row],[Sale_Date]],"mmm")</f>
        <v>Dec</v>
      </c>
    </row>
    <row r="4117" spans="1:11" x14ac:dyDescent="0.35">
      <c r="A4117" s="7" t="s">
        <v>4147</v>
      </c>
      <c r="B4117" s="8">
        <v>45585</v>
      </c>
      <c r="C4117" s="9" t="s">
        <v>16</v>
      </c>
      <c r="D4117" s="9" t="s">
        <v>12</v>
      </c>
      <c r="E4117" s="9" t="s">
        <v>29</v>
      </c>
      <c r="F4117" s="9">
        <v>170</v>
      </c>
      <c r="G4117" s="9">
        <v>230.66</v>
      </c>
      <c r="H4117" s="9" t="s">
        <v>32</v>
      </c>
      <c r="I4117" s="9">
        <v>52</v>
      </c>
      <c r="J4117" s="10">
        <v>60.66</v>
      </c>
      <c r="K4117" s="9" t="str">
        <f>TEXT(Sales_of_Jordan[[#This Row],[Sale_Date]],"mmm")</f>
        <v>Oct</v>
      </c>
    </row>
    <row r="4118" spans="1:11" x14ac:dyDescent="0.35">
      <c r="A4118" s="7" t="s">
        <v>4148</v>
      </c>
      <c r="B4118" s="8">
        <v>45656</v>
      </c>
      <c r="C4118" s="9" t="s">
        <v>11</v>
      </c>
      <c r="D4118" s="9" t="s">
        <v>22</v>
      </c>
      <c r="E4118" s="9" t="s">
        <v>29</v>
      </c>
      <c r="F4118" s="9">
        <v>227</v>
      </c>
      <c r="G4118" s="9">
        <v>265.68</v>
      </c>
      <c r="H4118" s="9" t="s">
        <v>14</v>
      </c>
      <c r="I4118" s="9">
        <v>12</v>
      </c>
      <c r="J4118" s="10">
        <v>38.68</v>
      </c>
      <c r="K4118" s="9" t="str">
        <f>TEXT(Sales_of_Jordan[[#This Row],[Sale_Date]],"mmm")</f>
        <v>Dec</v>
      </c>
    </row>
    <row r="4119" spans="1:11" x14ac:dyDescent="0.35">
      <c r="A4119" s="7" t="s">
        <v>4149</v>
      </c>
      <c r="B4119" s="8">
        <v>44964</v>
      </c>
      <c r="C4119" s="9" t="s">
        <v>11</v>
      </c>
      <c r="D4119" s="9" t="s">
        <v>55</v>
      </c>
      <c r="E4119" s="9" t="s">
        <v>13</v>
      </c>
      <c r="F4119" s="9">
        <v>229</v>
      </c>
      <c r="G4119" s="9">
        <v>124.93</v>
      </c>
      <c r="H4119" s="9" t="s">
        <v>25</v>
      </c>
      <c r="I4119" s="9">
        <v>31</v>
      </c>
      <c r="J4119" s="10">
        <v>-104.07</v>
      </c>
      <c r="K4119" s="9" t="str">
        <f>TEXT(Sales_of_Jordan[[#This Row],[Sale_Date]],"mmm")</f>
        <v>Feb</v>
      </c>
    </row>
    <row r="4120" spans="1:11" x14ac:dyDescent="0.35">
      <c r="A4120" s="7" t="s">
        <v>4150</v>
      </c>
      <c r="B4120" s="8">
        <v>45897</v>
      </c>
      <c r="C4120" s="9" t="s">
        <v>16</v>
      </c>
      <c r="D4120" s="9" t="s">
        <v>55</v>
      </c>
      <c r="E4120" s="9" t="s">
        <v>18</v>
      </c>
      <c r="F4120" s="9">
        <v>187</v>
      </c>
      <c r="G4120" s="9">
        <v>440.62</v>
      </c>
      <c r="H4120" s="9" t="s">
        <v>23</v>
      </c>
      <c r="I4120" s="9">
        <v>46</v>
      </c>
      <c r="J4120" s="10">
        <v>253.62</v>
      </c>
      <c r="K4120" s="9" t="str">
        <f>TEXT(Sales_of_Jordan[[#This Row],[Sale_Date]],"mmm")</f>
        <v>Aug</v>
      </c>
    </row>
    <row r="4121" spans="1:11" x14ac:dyDescent="0.35">
      <c r="A4121" s="7" t="s">
        <v>4151</v>
      </c>
      <c r="B4121" s="8">
        <v>45830</v>
      </c>
      <c r="C4121" s="9" t="s">
        <v>11</v>
      </c>
      <c r="D4121" s="9" t="s">
        <v>36</v>
      </c>
      <c r="E4121" s="9" t="s">
        <v>13</v>
      </c>
      <c r="F4121" s="9">
        <v>226</v>
      </c>
      <c r="G4121" s="9">
        <v>164.81</v>
      </c>
      <c r="H4121" s="9" t="s">
        <v>23</v>
      </c>
      <c r="I4121" s="9">
        <v>54</v>
      </c>
      <c r="J4121" s="10">
        <v>-61.19</v>
      </c>
      <c r="K4121" s="9" t="str">
        <f>TEXT(Sales_of_Jordan[[#This Row],[Sale_Date]],"mmm")</f>
        <v>Jun</v>
      </c>
    </row>
    <row r="4122" spans="1:11" x14ac:dyDescent="0.35">
      <c r="A4122" s="7" t="s">
        <v>4152</v>
      </c>
      <c r="B4122" s="8">
        <v>45512</v>
      </c>
      <c r="C4122" s="9" t="s">
        <v>31</v>
      </c>
      <c r="D4122" s="9" t="s">
        <v>53</v>
      </c>
      <c r="E4122" s="9" t="s">
        <v>18</v>
      </c>
      <c r="F4122" s="9">
        <v>204</v>
      </c>
      <c r="G4122" s="9">
        <v>497.17</v>
      </c>
      <c r="H4122" s="9" t="s">
        <v>14</v>
      </c>
      <c r="I4122" s="9">
        <v>3</v>
      </c>
      <c r="J4122" s="10">
        <v>293.17</v>
      </c>
      <c r="K4122" s="9" t="str">
        <f>TEXT(Sales_of_Jordan[[#This Row],[Sale_Date]],"mmm")</f>
        <v>Aug</v>
      </c>
    </row>
    <row r="4123" spans="1:11" x14ac:dyDescent="0.35">
      <c r="A4123" s="7" t="s">
        <v>4153</v>
      </c>
      <c r="B4123" s="8">
        <v>45602</v>
      </c>
      <c r="C4123" s="9" t="s">
        <v>27</v>
      </c>
      <c r="D4123" s="9" t="s">
        <v>36</v>
      </c>
      <c r="E4123" s="9" t="s">
        <v>18</v>
      </c>
      <c r="F4123" s="9">
        <v>110</v>
      </c>
      <c r="G4123" s="9">
        <v>291.12</v>
      </c>
      <c r="H4123" s="9" t="s">
        <v>23</v>
      </c>
      <c r="I4123" s="9">
        <v>25</v>
      </c>
      <c r="J4123" s="10">
        <v>181.12</v>
      </c>
      <c r="K4123" s="9" t="str">
        <f>TEXT(Sales_of_Jordan[[#This Row],[Sale_Date]],"mmm")</f>
        <v>Nov</v>
      </c>
    </row>
    <row r="4124" spans="1:11" x14ac:dyDescent="0.35">
      <c r="A4124" s="7" t="s">
        <v>4154</v>
      </c>
      <c r="B4124" s="8">
        <v>45120</v>
      </c>
      <c r="C4124" s="9" t="s">
        <v>11</v>
      </c>
      <c r="D4124" s="9" t="s">
        <v>12</v>
      </c>
      <c r="E4124" s="9" t="s">
        <v>18</v>
      </c>
      <c r="F4124" s="9">
        <v>227</v>
      </c>
      <c r="G4124" s="9">
        <v>446.21</v>
      </c>
      <c r="H4124" s="9" t="s">
        <v>14</v>
      </c>
      <c r="I4124" s="9">
        <v>10</v>
      </c>
      <c r="J4124" s="10">
        <v>219.20999999999901</v>
      </c>
      <c r="K4124" s="9" t="str">
        <f>TEXT(Sales_of_Jordan[[#This Row],[Sale_Date]],"mmm")</f>
        <v>Jul</v>
      </c>
    </row>
    <row r="4125" spans="1:11" x14ac:dyDescent="0.35">
      <c r="A4125" s="7" t="s">
        <v>4155</v>
      </c>
      <c r="B4125" s="8">
        <v>45453</v>
      </c>
      <c r="C4125" s="9" t="s">
        <v>16</v>
      </c>
      <c r="D4125" s="9" t="s">
        <v>55</v>
      </c>
      <c r="E4125" s="9" t="s">
        <v>13</v>
      </c>
      <c r="F4125" s="9">
        <v>177</v>
      </c>
      <c r="G4125" s="9">
        <v>151.62</v>
      </c>
      <c r="H4125" s="9" t="s">
        <v>19</v>
      </c>
      <c r="I4125" s="9">
        <v>14</v>
      </c>
      <c r="J4125" s="10">
        <v>-25.3799999999999</v>
      </c>
      <c r="K4125" s="9" t="str">
        <f>TEXT(Sales_of_Jordan[[#This Row],[Sale_Date]],"mmm")</f>
        <v>Jun</v>
      </c>
    </row>
    <row r="4126" spans="1:11" x14ac:dyDescent="0.35">
      <c r="A4126" s="7" t="s">
        <v>4156</v>
      </c>
      <c r="B4126" s="8">
        <v>45277</v>
      </c>
      <c r="C4126" s="9" t="s">
        <v>16</v>
      </c>
      <c r="D4126" s="9" t="s">
        <v>55</v>
      </c>
      <c r="E4126" s="9" t="s">
        <v>18</v>
      </c>
      <c r="F4126" s="9">
        <v>188</v>
      </c>
      <c r="G4126" s="9">
        <v>570.89</v>
      </c>
      <c r="H4126" s="9" t="s">
        <v>14</v>
      </c>
      <c r="I4126" s="9">
        <v>1</v>
      </c>
      <c r="J4126" s="10">
        <v>382.89</v>
      </c>
      <c r="K4126" s="9" t="str">
        <f>TEXT(Sales_of_Jordan[[#This Row],[Sale_Date]],"mmm")</f>
        <v>Dec</v>
      </c>
    </row>
    <row r="4127" spans="1:11" x14ac:dyDescent="0.35">
      <c r="A4127" s="7" t="s">
        <v>4157</v>
      </c>
      <c r="B4127" s="8">
        <v>45260</v>
      </c>
      <c r="C4127" s="9" t="s">
        <v>21</v>
      </c>
      <c r="D4127" s="9" t="s">
        <v>22</v>
      </c>
      <c r="E4127" s="9" t="s">
        <v>29</v>
      </c>
      <c r="F4127" s="9">
        <v>214</v>
      </c>
      <c r="G4127" s="9">
        <v>194.16</v>
      </c>
      <c r="H4127" s="9" t="s">
        <v>19</v>
      </c>
      <c r="I4127" s="9">
        <v>11</v>
      </c>
      <c r="J4127" s="10">
        <v>-19.84</v>
      </c>
      <c r="K4127" s="9" t="str">
        <f>TEXT(Sales_of_Jordan[[#This Row],[Sale_Date]],"mmm")</f>
        <v>Nov</v>
      </c>
    </row>
    <row r="4128" spans="1:11" x14ac:dyDescent="0.35">
      <c r="A4128" s="7" t="s">
        <v>4158</v>
      </c>
      <c r="B4128" s="8">
        <v>45334</v>
      </c>
      <c r="C4128" s="9" t="s">
        <v>11</v>
      </c>
      <c r="D4128" s="9" t="s">
        <v>12</v>
      </c>
      <c r="E4128" s="9" t="s">
        <v>29</v>
      </c>
      <c r="F4128" s="9">
        <v>225</v>
      </c>
      <c r="G4128" s="9">
        <v>231.73</v>
      </c>
      <c r="H4128" s="9" t="s">
        <v>19</v>
      </c>
      <c r="I4128" s="9">
        <v>10</v>
      </c>
      <c r="J4128" s="10">
        <v>6.7299999999999898</v>
      </c>
      <c r="K4128" s="9" t="str">
        <f>TEXT(Sales_of_Jordan[[#This Row],[Sale_Date]],"mmm")</f>
        <v>Feb</v>
      </c>
    </row>
    <row r="4129" spans="1:11" x14ac:dyDescent="0.35">
      <c r="A4129" s="7" t="s">
        <v>4159</v>
      </c>
      <c r="B4129" s="8">
        <v>45554</v>
      </c>
      <c r="C4129" s="9" t="s">
        <v>21</v>
      </c>
      <c r="D4129" s="9" t="s">
        <v>36</v>
      </c>
      <c r="E4129" s="9" t="s">
        <v>13</v>
      </c>
      <c r="F4129" s="9">
        <v>214</v>
      </c>
      <c r="G4129" s="9">
        <v>118.72</v>
      </c>
      <c r="H4129" s="9" t="s">
        <v>19</v>
      </c>
      <c r="I4129" s="9">
        <v>8</v>
      </c>
      <c r="J4129" s="10">
        <v>-95.28</v>
      </c>
      <c r="K4129" s="9" t="str">
        <f>TEXT(Sales_of_Jordan[[#This Row],[Sale_Date]],"mmm")</f>
        <v>Sep</v>
      </c>
    </row>
    <row r="4130" spans="1:11" x14ac:dyDescent="0.35">
      <c r="A4130" s="7" t="s">
        <v>4160</v>
      </c>
      <c r="B4130" s="8">
        <v>44993</v>
      </c>
      <c r="C4130" s="9" t="s">
        <v>16</v>
      </c>
      <c r="D4130" s="9" t="s">
        <v>39</v>
      </c>
      <c r="E4130" s="9" t="s">
        <v>29</v>
      </c>
      <c r="F4130" s="9">
        <v>179</v>
      </c>
      <c r="G4130" s="9">
        <v>194.42</v>
      </c>
      <c r="H4130" s="9" t="s">
        <v>14</v>
      </c>
      <c r="I4130" s="9">
        <v>7</v>
      </c>
      <c r="J4130" s="10">
        <v>15.4199999999999</v>
      </c>
      <c r="K4130" s="9" t="str">
        <f>TEXT(Sales_of_Jordan[[#This Row],[Sale_Date]],"mmm")</f>
        <v>Mar</v>
      </c>
    </row>
    <row r="4131" spans="1:11" x14ac:dyDescent="0.35">
      <c r="A4131" s="7" t="s">
        <v>4161</v>
      </c>
      <c r="B4131" s="8">
        <v>45087</v>
      </c>
      <c r="C4131" s="9" t="s">
        <v>27</v>
      </c>
      <c r="D4131" s="9" t="s">
        <v>34</v>
      </c>
      <c r="E4131" s="9" t="s">
        <v>13</v>
      </c>
      <c r="F4131" s="9">
        <v>112</v>
      </c>
      <c r="G4131" s="9">
        <v>79.77</v>
      </c>
      <c r="H4131" s="9" t="s">
        <v>19</v>
      </c>
      <c r="I4131" s="9">
        <v>7</v>
      </c>
      <c r="J4131" s="10">
        <v>-32.229999999999997</v>
      </c>
      <c r="K4131" s="9" t="str">
        <f>TEXT(Sales_of_Jordan[[#This Row],[Sale_Date]],"mmm")</f>
        <v>Jun</v>
      </c>
    </row>
    <row r="4132" spans="1:11" x14ac:dyDescent="0.35">
      <c r="A4132" s="7" t="s">
        <v>4162</v>
      </c>
      <c r="B4132" s="8">
        <v>45064</v>
      </c>
      <c r="C4132" s="9" t="s">
        <v>11</v>
      </c>
      <c r="D4132" s="9" t="s">
        <v>17</v>
      </c>
      <c r="E4132" s="9" t="s">
        <v>29</v>
      </c>
      <c r="F4132" s="9">
        <v>228</v>
      </c>
      <c r="G4132" s="9">
        <v>234.99</v>
      </c>
      <c r="H4132" s="9" t="s">
        <v>32</v>
      </c>
      <c r="I4132" s="9">
        <v>20</v>
      </c>
      <c r="J4132" s="10">
        <v>6.99</v>
      </c>
      <c r="K4132" s="9" t="str">
        <f>TEXT(Sales_of_Jordan[[#This Row],[Sale_Date]],"mmm")</f>
        <v>May</v>
      </c>
    </row>
    <row r="4133" spans="1:11" x14ac:dyDescent="0.35">
      <c r="A4133" s="7" t="s">
        <v>4163</v>
      </c>
      <c r="B4133" s="8">
        <v>45162</v>
      </c>
      <c r="C4133" s="9" t="s">
        <v>27</v>
      </c>
      <c r="D4133" s="9" t="s">
        <v>12</v>
      </c>
      <c r="E4133" s="9" t="s">
        <v>13</v>
      </c>
      <c r="F4133" s="9">
        <v>115</v>
      </c>
      <c r="G4133" s="9">
        <v>89.5</v>
      </c>
      <c r="H4133" s="9" t="s">
        <v>19</v>
      </c>
      <c r="I4133" s="9">
        <v>1</v>
      </c>
      <c r="J4133" s="10">
        <v>-25.5</v>
      </c>
      <c r="K4133" s="9" t="str">
        <f>TEXT(Sales_of_Jordan[[#This Row],[Sale_Date]],"mmm")</f>
        <v>Aug</v>
      </c>
    </row>
    <row r="4134" spans="1:11" x14ac:dyDescent="0.35">
      <c r="A4134" s="7" t="s">
        <v>4164</v>
      </c>
      <c r="B4134" s="8">
        <v>45238</v>
      </c>
      <c r="C4134" s="9" t="s">
        <v>21</v>
      </c>
      <c r="D4134" s="9" t="s">
        <v>55</v>
      </c>
      <c r="E4134" s="9" t="s">
        <v>13</v>
      </c>
      <c r="F4134" s="9">
        <v>225</v>
      </c>
      <c r="G4134" s="9">
        <v>134.87</v>
      </c>
      <c r="H4134" s="9" t="s">
        <v>23</v>
      </c>
      <c r="I4134" s="9">
        <v>57</v>
      </c>
      <c r="J4134" s="10">
        <v>-90.13</v>
      </c>
      <c r="K4134" s="9" t="str">
        <f>TEXT(Sales_of_Jordan[[#This Row],[Sale_Date]],"mmm")</f>
        <v>Nov</v>
      </c>
    </row>
    <row r="4135" spans="1:11" x14ac:dyDescent="0.35">
      <c r="A4135" s="7" t="s">
        <v>4165</v>
      </c>
      <c r="B4135" s="8">
        <v>45229</v>
      </c>
      <c r="C4135" s="9" t="s">
        <v>16</v>
      </c>
      <c r="D4135" s="9" t="s">
        <v>46</v>
      </c>
      <c r="E4135" s="9" t="s">
        <v>13</v>
      </c>
      <c r="F4135" s="9">
        <v>181</v>
      </c>
      <c r="G4135" s="9">
        <v>107.55</v>
      </c>
      <c r="H4135" s="9" t="s">
        <v>23</v>
      </c>
      <c r="I4135" s="9">
        <v>36</v>
      </c>
      <c r="J4135" s="10">
        <v>-73.45</v>
      </c>
      <c r="K4135" s="9" t="str">
        <f>TEXT(Sales_of_Jordan[[#This Row],[Sale_Date]],"mmm")</f>
        <v>Oct</v>
      </c>
    </row>
    <row r="4136" spans="1:11" x14ac:dyDescent="0.35">
      <c r="A4136" s="7" t="s">
        <v>4166</v>
      </c>
      <c r="B4136" s="8">
        <v>45487</v>
      </c>
      <c r="C4136" s="9" t="s">
        <v>16</v>
      </c>
      <c r="D4136" s="9" t="s">
        <v>55</v>
      </c>
      <c r="E4136" s="9" t="s">
        <v>29</v>
      </c>
      <c r="F4136" s="9">
        <v>186</v>
      </c>
      <c r="G4136" s="9">
        <v>275.01</v>
      </c>
      <c r="H4136" s="9" t="s">
        <v>25</v>
      </c>
      <c r="I4136" s="9">
        <v>53</v>
      </c>
      <c r="J4136" s="10">
        <v>89.009999999999906</v>
      </c>
      <c r="K4136" s="9" t="str">
        <f>TEXT(Sales_of_Jordan[[#This Row],[Sale_Date]],"mmm")</f>
        <v>Jul</v>
      </c>
    </row>
    <row r="4137" spans="1:11" x14ac:dyDescent="0.35">
      <c r="A4137" s="7" t="s">
        <v>4167</v>
      </c>
      <c r="B4137" s="8">
        <v>45068</v>
      </c>
      <c r="C4137" s="9" t="s">
        <v>11</v>
      </c>
      <c r="D4137" s="9" t="s">
        <v>39</v>
      </c>
      <c r="E4137" s="9" t="s">
        <v>18</v>
      </c>
      <c r="F4137" s="9">
        <v>225</v>
      </c>
      <c r="G4137" s="9">
        <v>277.16000000000003</v>
      </c>
      <c r="H4137" s="9" t="s">
        <v>25</v>
      </c>
      <c r="I4137" s="9">
        <v>19</v>
      </c>
      <c r="J4137" s="10">
        <v>52.16</v>
      </c>
      <c r="K4137" s="9" t="str">
        <f>TEXT(Sales_of_Jordan[[#This Row],[Sale_Date]],"mmm")</f>
        <v>May</v>
      </c>
    </row>
    <row r="4138" spans="1:11" x14ac:dyDescent="0.35">
      <c r="A4138" s="7" t="s">
        <v>4168</v>
      </c>
      <c r="B4138" s="8">
        <v>45798</v>
      </c>
      <c r="C4138" s="9" t="s">
        <v>16</v>
      </c>
      <c r="D4138" s="9" t="s">
        <v>53</v>
      </c>
      <c r="E4138" s="9" t="s">
        <v>13</v>
      </c>
      <c r="F4138" s="9">
        <v>183</v>
      </c>
      <c r="G4138" s="9">
        <v>132.85</v>
      </c>
      <c r="H4138" s="9" t="s">
        <v>14</v>
      </c>
      <c r="I4138" s="9">
        <v>5</v>
      </c>
      <c r="J4138" s="10">
        <v>-50.15</v>
      </c>
      <c r="K4138" s="9" t="str">
        <f>TEXT(Sales_of_Jordan[[#This Row],[Sale_Date]],"mmm")</f>
        <v>May</v>
      </c>
    </row>
    <row r="4139" spans="1:11" x14ac:dyDescent="0.35">
      <c r="A4139" s="7" t="s">
        <v>4169</v>
      </c>
      <c r="B4139" s="8">
        <v>45780</v>
      </c>
      <c r="C4139" s="9" t="s">
        <v>27</v>
      </c>
      <c r="D4139" s="9" t="s">
        <v>17</v>
      </c>
      <c r="E4139" s="9" t="s">
        <v>18</v>
      </c>
      <c r="F4139" s="9">
        <v>135</v>
      </c>
      <c r="G4139" s="9">
        <v>370.64</v>
      </c>
      <c r="H4139" s="9" t="s">
        <v>19</v>
      </c>
      <c r="I4139" s="9">
        <v>11</v>
      </c>
      <c r="J4139" s="10">
        <v>235.64</v>
      </c>
      <c r="K4139" s="9" t="str">
        <f>TEXT(Sales_of_Jordan[[#This Row],[Sale_Date]],"mmm")</f>
        <v>May</v>
      </c>
    </row>
    <row r="4140" spans="1:11" x14ac:dyDescent="0.35">
      <c r="A4140" s="7" t="s">
        <v>4170</v>
      </c>
      <c r="B4140" s="8">
        <v>45403</v>
      </c>
      <c r="C4140" s="9" t="s">
        <v>16</v>
      </c>
      <c r="D4140" s="9" t="s">
        <v>12</v>
      </c>
      <c r="E4140" s="9" t="s">
        <v>13</v>
      </c>
      <c r="F4140" s="9">
        <v>177</v>
      </c>
      <c r="G4140" s="9">
        <v>143.91999999999999</v>
      </c>
      <c r="H4140" s="9" t="s">
        <v>25</v>
      </c>
      <c r="I4140" s="9">
        <v>20</v>
      </c>
      <c r="J4140" s="10">
        <v>-33.08</v>
      </c>
      <c r="K4140" s="9" t="str">
        <f>TEXT(Sales_of_Jordan[[#This Row],[Sale_Date]],"mmm")</f>
        <v>Apr</v>
      </c>
    </row>
    <row r="4141" spans="1:11" x14ac:dyDescent="0.35">
      <c r="A4141" s="7" t="s">
        <v>4171</v>
      </c>
      <c r="B4141" s="8">
        <v>45228</v>
      </c>
      <c r="C4141" s="9" t="s">
        <v>16</v>
      </c>
      <c r="D4141" s="9" t="s">
        <v>55</v>
      </c>
      <c r="E4141" s="9" t="s">
        <v>29</v>
      </c>
      <c r="F4141" s="9">
        <v>190</v>
      </c>
      <c r="G4141" s="9">
        <v>236.43</v>
      </c>
      <c r="H4141" s="9" t="s">
        <v>32</v>
      </c>
      <c r="I4141" s="9">
        <v>11</v>
      </c>
      <c r="J4141" s="10">
        <v>46.43</v>
      </c>
      <c r="K4141" s="9" t="str">
        <f>TEXT(Sales_of_Jordan[[#This Row],[Sale_Date]],"mmm")</f>
        <v>Oct</v>
      </c>
    </row>
    <row r="4142" spans="1:11" x14ac:dyDescent="0.35">
      <c r="A4142" s="7" t="s">
        <v>4172</v>
      </c>
      <c r="B4142" s="8">
        <v>45424</v>
      </c>
      <c r="C4142" s="9" t="s">
        <v>11</v>
      </c>
      <c r="D4142" s="9" t="s">
        <v>12</v>
      </c>
      <c r="E4142" s="9" t="s">
        <v>13</v>
      </c>
      <c r="F4142" s="9">
        <v>227</v>
      </c>
      <c r="G4142" s="9">
        <v>180.92</v>
      </c>
      <c r="H4142" s="9" t="s">
        <v>23</v>
      </c>
      <c r="I4142" s="9">
        <v>5</v>
      </c>
      <c r="J4142" s="10">
        <v>-46.08</v>
      </c>
      <c r="K4142" s="9" t="str">
        <f>TEXT(Sales_of_Jordan[[#This Row],[Sale_Date]],"mmm")</f>
        <v>May</v>
      </c>
    </row>
    <row r="4143" spans="1:11" x14ac:dyDescent="0.35">
      <c r="A4143" s="7" t="s">
        <v>4173</v>
      </c>
      <c r="B4143" s="8">
        <v>45647</v>
      </c>
      <c r="C4143" s="9" t="s">
        <v>21</v>
      </c>
      <c r="D4143" s="9" t="s">
        <v>55</v>
      </c>
      <c r="E4143" s="9" t="s">
        <v>18</v>
      </c>
      <c r="F4143" s="9">
        <v>210</v>
      </c>
      <c r="G4143" s="9">
        <v>656.22</v>
      </c>
      <c r="H4143" s="9" t="s">
        <v>32</v>
      </c>
      <c r="I4143" s="9">
        <v>44</v>
      </c>
      <c r="J4143" s="10">
        <v>446.22</v>
      </c>
      <c r="K4143" s="9" t="str">
        <f>TEXT(Sales_of_Jordan[[#This Row],[Sale_Date]],"mmm")</f>
        <v>Dec</v>
      </c>
    </row>
    <row r="4144" spans="1:11" x14ac:dyDescent="0.35">
      <c r="A4144" s="7" t="s">
        <v>4174</v>
      </c>
      <c r="B4144" s="8">
        <v>45689</v>
      </c>
      <c r="C4144" s="9" t="s">
        <v>31</v>
      </c>
      <c r="D4144" s="9" t="s">
        <v>55</v>
      </c>
      <c r="E4144" s="9" t="s">
        <v>13</v>
      </c>
      <c r="F4144" s="9">
        <v>201</v>
      </c>
      <c r="G4144" s="9">
        <v>161.84</v>
      </c>
      <c r="H4144" s="9" t="s">
        <v>23</v>
      </c>
      <c r="I4144" s="9">
        <v>15</v>
      </c>
      <c r="J4144" s="10">
        <v>-39.159999999999997</v>
      </c>
      <c r="K4144" s="9" t="str">
        <f>TEXT(Sales_of_Jordan[[#This Row],[Sale_Date]],"mmm")</f>
        <v>Feb</v>
      </c>
    </row>
    <row r="4145" spans="1:11" x14ac:dyDescent="0.35">
      <c r="A4145" s="7" t="s">
        <v>4175</v>
      </c>
      <c r="B4145" s="8">
        <v>45548</v>
      </c>
      <c r="C4145" s="9" t="s">
        <v>27</v>
      </c>
      <c r="D4145" s="9" t="s">
        <v>34</v>
      </c>
      <c r="E4145" s="9" t="s">
        <v>29</v>
      </c>
      <c r="F4145" s="9">
        <v>111</v>
      </c>
      <c r="G4145" s="9">
        <v>137.44</v>
      </c>
      <c r="H4145" s="9" t="s">
        <v>14</v>
      </c>
      <c r="I4145" s="9">
        <v>6</v>
      </c>
      <c r="J4145" s="10">
        <v>26.439999999999898</v>
      </c>
      <c r="K4145" s="9" t="str">
        <f>TEXT(Sales_of_Jordan[[#This Row],[Sale_Date]],"mmm")</f>
        <v>Sep</v>
      </c>
    </row>
    <row r="4146" spans="1:11" x14ac:dyDescent="0.35">
      <c r="A4146" s="7" t="s">
        <v>4176</v>
      </c>
      <c r="B4146" s="8">
        <v>45495</v>
      </c>
      <c r="C4146" s="9" t="s">
        <v>31</v>
      </c>
      <c r="D4146" s="9" t="s">
        <v>39</v>
      </c>
      <c r="E4146" s="9" t="s">
        <v>13</v>
      </c>
      <c r="F4146" s="9">
        <v>201</v>
      </c>
      <c r="G4146" s="9">
        <v>125.69</v>
      </c>
      <c r="H4146" s="9" t="s">
        <v>23</v>
      </c>
      <c r="I4146" s="9">
        <v>34</v>
      </c>
      <c r="J4146" s="10">
        <v>-75.31</v>
      </c>
      <c r="K4146" s="9" t="str">
        <f>TEXT(Sales_of_Jordan[[#This Row],[Sale_Date]],"mmm")</f>
        <v>Jul</v>
      </c>
    </row>
    <row r="4147" spans="1:11" x14ac:dyDescent="0.35">
      <c r="A4147" s="7" t="s">
        <v>4177</v>
      </c>
      <c r="B4147" s="8">
        <v>45101</v>
      </c>
      <c r="C4147" s="9" t="s">
        <v>31</v>
      </c>
      <c r="D4147" s="9" t="s">
        <v>55</v>
      </c>
      <c r="E4147" s="9" t="s">
        <v>13</v>
      </c>
      <c r="F4147" s="9">
        <v>204</v>
      </c>
      <c r="G4147" s="9">
        <v>116.33</v>
      </c>
      <c r="H4147" s="9" t="s">
        <v>32</v>
      </c>
      <c r="I4147" s="9">
        <v>13</v>
      </c>
      <c r="J4147" s="10">
        <v>-87.67</v>
      </c>
      <c r="K4147" s="9" t="str">
        <f>TEXT(Sales_of_Jordan[[#This Row],[Sale_Date]],"mmm")</f>
        <v>Jun</v>
      </c>
    </row>
    <row r="4148" spans="1:11" x14ac:dyDescent="0.35">
      <c r="A4148" s="7" t="s">
        <v>4178</v>
      </c>
      <c r="B4148" s="8">
        <v>45468</v>
      </c>
      <c r="C4148" s="9" t="s">
        <v>11</v>
      </c>
      <c r="D4148" s="9" t="s">
        <v>22</v>
      </c>
      <c r="E4148" s="9" t="s">
        <v>13</v>
      </c>
      <c r="F4148" s="9">
        <v>230</v>
      </c>
      <c r="G4148" s="9">
        <v>119.67</v>
      </c>
      <c r="H4148" s="9" t="s">
        <v>14</v>
      </c>
      <c r="I4148" s="9">
        <v>8</v>
      </c>
      <c r="J4148" s="10">
        <v>-110.33</v>
      </c>
      <c r="K4148" s="9" t="str">
        <f>TEXT(Sales_of_Jordan[[#This Row],[Sale_Date]],"mmm")</f>
        <v>Jun</v>
      </c>
    </row>
    <row r="4149" spans="1:11" x14ac:dyDescent="0.35">
      <c r="A4149" s="7" t="s">
        <v>4179</v>
      </c>
      <c r="B4149" s="8">
        <v>45480</v>
      </c>
      <c r="C4149" s="9" t="s">
        <v>11</v>
      </c>
      <c r="D4149" s="9" t="s">
        <v>12</v>
      </c>
      <c r="E4149" s="9" t="s">
        <v>18</v>
      </c>
      <c r="F4149" s="9">
        <v>230</v>
      </c>
      <c r="G4149" s="9">
        <v>568.89</v>
      </c>
      <c r="H4149" s="9" t="s">
        <v>32</v>
      </c>
      <c r="I4149" s="9">
        <v>20</v>
      </c>
      <c r="J4149" s="10">
        <v>338.89</v>
      </c>
      <c r="K4149" s="9" t="str">
        <f>TEXT(Sales_of_Jordan[[#This Row],[Sale_Date]],"mmm")</f>
        <v>Jul</v>
      </c>
    </row>
    <row r="4150" spans="1:11" x14ac:dyDescent="0.35">
      <c r="A4150" s="7" t="s">
        <v>4180</v>
      </c>
      <c r="B4150" s="8">
        <v>45765</v>
      </c>
      <c r="C4150" s="9" t="s">
        <v>31</v>
      </c>
      <c r="D4150" s="9" t="s">
        <v>39</v>
      </c>
      <c r="E4150" s="9" t="s">
        <v>13</v>
      </c>
      <c r="F4150" s="9">
        <v>209</v>
      </c>
      <c r="G4150" s="9">
        <v>142.62</v>
      </c>
      <c r="H4150" s="9" t="s">
        <v>19</v>
      </c>
      <c r="I4150" s="9">
        <v>8</v>
      </c>
      <c r="J4150" s="10">
        <v>-66.38</v>
      </c>
      <c r="K4150" s="9" t="str">
        <f>TEXT(Sales_of_Jordan[[#This Row],[Sale_Date]],"mmm")</f>
        <v>Apr</v>
      </c>
    </row>
    <row r="4151" spans="1:11" x14ac:dyDescent="0.35">
      <c r="A4151" s="7" t="s">
        <v>4181</v>
      </c>
      <c r="B4151" s="8">
        <v>45290</v>
      </c>
      <c r="C4151" s="9" t="s">
        <v>16</v>
      </c>
      <c r="D4151" s="9" t="s">
        <v>55</v>
      </c>
      <c r="E4151" s="9" t="s">
        <v>18</v>
      </c>
      <c r="F4151" s="9">
        <v>177</v>
      </c>
      <c r="G4151" s="9">
        <v>270.02999999999997</v>
      </c>
      <c r="H4151" s="9" t="s">
        <v>14</v>
      </c>
      <c r="I4151" s="9">
        <v>10</v>
      </c>
      <c r="J4151" s="10">
        <v>93.029999999999902</v>
      </c>
      <c r="K4151" s="9" t="str">
        <f>TEXT(Sales_of_Jordan[[#This Row],[Sale_Date]],"mmm")</f>
        <v>Dec</v>
      </c>
    </row>
    <row r="4152" spans="1:11" x14ac:dyDescent="0.35">
      <c r="A4152" s="7" t="s">
        <v>4182</v>
      </c>
      <c r="B4152" s="8">
        <v>45737</v>
      </c>
      <c r="C4152" s="9" t="s">
        <v>21</v>
      </c>
      <c r="D4152" s="9" t="s">
        <v>22</v>
      </c>
      <c r="E4152" s="9" t="s">
        <v>13</v>
      </c>
      <c r="F4152" s="9">
        <v>211</v>
      </c>
      <c r="G4152" s="9">
        <v>123.36</v>
      </c>
      <c r="H4152" s="9" t="s">
        <v>14</v>
      </c>
      <c r="I4152" s="9">
        <v>6</v>
      </c>
      <c r="J4152" s="10">
        <v>-87.64</v>
      </c>
      <c r="K4152" s="9" t="str">
        <f>TEXT(Sales_of_Jordan[[#This Row],[Sale_Date]],"mmm")</f>
        <v>Mar</v>
      </c>
    </row>
    <row r="4153" spans="1:11" x14ac:dyDescent="0.35">
      <c r="A4153" s="7" t="s">
        <v>4183</v>
      </c>
      <c r="B4153" s="8">
        <v>45267</v>
      </c>
      <c r="C4153" s="9" t="s">
        <v>11</v>
      </c>
      <c r="D4153" s="9" t="s">
        <v>39</v>
      </c>
      <c r="E4153" s="9" t="s">
        <v>18</v>
      </c>
      <c r="F4153" s="9">
        <v>228</v>
      </c>
      <c r="G4153" s="9">
        <v>328.18</v>
      </c>
      <c r="H4153" s="9" t="s">
        <v>23</v>
      </c>
      <c r="I4153" s="9">
        <v>56</v>
      </c>
      <c r="J4153" s="10">
        <v>100.18</v>
      </c>
      <c r="K4153" s="9" t="str">
        <f>TEXT(Sales_of_Jordan[[#This Row],[Sale_Date]],"mmm")</f>
        <v>Dec</v>
      </c>
    </row>
    <row r="4154" spans="1:11" x14ac:dyDescent="0.35">
      <c r="A4154" s="7" t="s">
        <v>4184</v>
      </c>
      <c r="B4154" s="8">
        <v>45568</v>
      </c>
      <c r="C4154" s="9" t="s">
        <v>11</v>
      </c>
      <c r="D4154" s="9" t="s">
        <v>55</v>
      </c>
      <c r="E4154" s="9" t="s">
        <v>29</v>
      </c>
      <c r="F4154" s="9">
        <v>225</v>
      </c>
      <c r="G4154" s="9">
        <v>228.51</v>
      </c>
      <c r="H4154" s="9" t="s">
        <v>32</v>
      </c>
      <c r="I4154" s="9">
        <v>55</v>
      </c>
      <c r="J4154" s="10">
        <v>3.50999999999999</v>
      </c>
      <c r="K4154" s="9" t="str">
        <f>TEXT(Sales_of_Jordan[[#This Row],[Sale_Date]],"mmm")</f>
        <v>Oct</v>
      </c>
    </row>
    <row r="4155" spans="1:11" x14ac:dyDescent="0.35">
      <c r="A4155" s="7" t="s">
        <v>4185</v>
      </c>
      <c r="B4155" s="8">
        <v>45629</v>
      </c>
      <c r="C4155" s="9" t="s">
        <v>11</v>
      </c>
      <c r="D4155" s="9" t="s">
        <v>22</v>
      </c>
      <c r="E4155" s="9" t="s">
        <v>13</v>
      </c>
      <c r="F4155" s="9">
        <v>229</v>
      </c>
      <c r="G4155" s="9">
        <v>114.65</v>
      </c>
      <c r="H4155" s="9" t="s">
        <v>25</v>
      </c>
      <c r="I4155" s="9">
        <v>33</v>
      </c>
      <c r="J4155" s="10">
        <v>-114.35</v>
      </c>
      <c r="K4155" s="9" t="str">
        <f>TEXT(Sales_of_Jordan[[#This Row],[Sale_Date]],"mmm")</f>
        <v>Dec</v>
      </c>
    </row>
    <row r="4156" spans="1:11" x14ac:dyDescent="0.35">
      <c r="A4156" s="7" t="s">
        <v>4186</v>
      </c>
      <c r="B4156" s="8">
        <v>45658</v>
      </c>
      <c r="C4156" s="9" t="s">
        <v>27</v>
      </c>
      <c r="D4156" s="9" t="s">
        <v>55</v>
      </c>
      <c r="E4156" s="9" t="s">
        <v>13</v>
      </c>
      <c r="F4156" s="9">
        <v>114</v>
      </c>
      <c r="G4156" s="9">
        <v>97.68</v>
      </c>
      <c r="H4156" s="9" t="s">
        <v>23</v>
      </c>
      <c r="I4156" s="9">
        <v>28</v>
      </c>
      <c r="J4156" s="10">
        <v>-16.319999999999901</v>
      </c>
      <c r="K4156" s="9" t="str">
        <f>TEXT(Sales_of_Jordan[[#This Row],[Sale_Date]],"mmm")</f>
        <v>Jan</v>
      </c>
    </row>
    <row r="4157" spans="1:11" x14ac:dyDescent="0.35">
      <c r="A4157" s="7" t="s">
        <v>4187</v>
      </c>
      <c r="B4157" s="8">
        <v>44993</v>
      </c>
      <c r="C4157" s="9" t="s">
        <v>31</v>
      </c>
      <c r="D4157" s="9" t="s">
        <v>22</v>
      </c>
      <c r="E4157" s="9" t="s">
        <v>29</v>
      </c>
      <c r="F4157" s="9">
        <v>205</v>
      </c>
      <c r="G4157" s="9">
        <v>282.3</v>
      </c>
      <c r="H4157" s="9" t="s">
        <v>19</v>
      </c>
      <c r="I4157" s="9">
        <v>5</v>
      </c>
      <c r="J4157" s="10">
        <v>77.3</v>
      </c>
      <c r="K4157" s="9" t="str">
        <f>TEXT(Sales_of_Jordan[[#This Row],[Sale_Date]],"mmm")</f>
        <v>Mar</v>
      </c>
    </row>
    <row r="4158" spans="1:11" x14ac:dyDescent="0.35">
      <c r="A4158" s="7" t="s">
        <v>4188</v>
      </c>
      <c r="B4158" s="8">
        <v>45005</v>
      </c>
      <c r="C4158" s="9" t="s">
        <v>31</v>
      </c>
      <c r="D4158" s="9" t="s">
        <v>12</v>
      </c>
      <c r="E4158" s="9" t="s">
        <v>18</v>
      </c>
      <c r="F4158" s="9">
        <v>210</v>
      </c>
      <c r="G4158" s="9">
        <v>366.83</v>
      </c>
      <c r="H4158" s="9" t="s">
        <v>14</v>
      </c>
      <c r="I4158" s="9">
        <v>2</v>
      </c>
      <c r="J4158" s="10">
        <v>156.82999999999899</v>
      </c>
      <c r="K4158" s="9" t="str">
        <f>TEXT(Sales_of_Jordan[[#This Row],[Sale_Date]],"mmm")</f>
        <v>Mar</v>
      </c>
    </row>
    <row r="4159" spans="1:11" x14ac:dyDescent="0.35">
      <c r="A4159" s="7" t="s">
        <v>4189</v>
      </c>
      <c r="B4159" s="8">
        <v>45096</v>
      </c>
      <c r="C4159" s="9" t="s">
        <v>16</v>
      </c>
      <c r="D4159" s="9" t="s">
        <v>53</v>
      </c>
      <c r="E4159" s="9" t="s">
        <v>29</v>
      </c>
      <c r="F4159" s="9">
        <v>178</v>
      </c>
      <c r="G4159" s="9">
        <v>248.62</v>
      </c>
      <c r="H4159" s="9" t="s">
        <v>19</v>
      </c>
      <c r="I4159" s="9">
        <v>5</v>
      </c>
      <c r="J4159" s="10">
        <v>70.62</v>
      </c>
      <c r="K4159" s="9" t="str">
        <f>TEXT(Sales_of_Jordan[[#This Row],[Sale_Date]],"mmm")</f>
        <v>Jun</v>
      </c>
    </row>
    <row r="4160" spans="1:11" x14ac:dyDescent="0.35">
      <c r="A4160" s="7" t="s">
        <v>4190</v>
      </c>
      <c r="B4160" s="8">
        <v>45139</v>
      </c>
      <c r="C4160" s="9" t="s">
        <v>27</v>
      </c>
      <c r="D4160" s="9" t="s">
        <v>22</v>
      </c>
      <c r="E4160" s="9" t="s">
        <v>29</v>
      </c>
      <c r="F4160" s="9">
        <v>138</v>
      </c>
      <c r="G4160" s="9">
        <v>137.66999999999999</v>
      </c>
      <c r="H4160" s="9" t="s">
        <v>25</v>
      </c>
      <c r="I4160" s="9">
        <v>35</v>
      </c>
      <c r="J4160" s="10">
        <v>-0.33000000000001201</v>
      </c>
      <c r="K4160" s="9" t="str">
        <f>TEXT(Sales_of_Jordan[[#This Row],[Sale_Date]],"mmm")</f>
        <v>Aug</v>
      </c>
    </row>
    <row r="4161" spans="1:11" x14ac:dyDescent="0.35">
      <c r="A4161" s="7" t="s">
        <v>4191</v>
      </c>
      <c r="B4161" s="8">
        <v>45456</v>
      </c>
      <c r="C4161" s="9" t="s">
        <v>16</v>
      </c>
      <c r="D4161" s="9" t="s">
        <v>55</v>
      </c>
      <c r="E4161" s="9" t="s">
        <v>18</v>
      </c>
      <c r="F4161" s="9">
        <v>181</v>
      </c>
      <c r="G4161" s="9">
        <v>597.1</v>
      </c>
      <c r="H4161" s="9" t="s">
        <v>25</v>
      </c>
      <c r="I4161" s="9">
        <v>32</v>
      </c>
      <c r="J4161" s="10">
        <v>416.1</v>
      </c>
      <c r="K4161" s="9" t="str">
        <f>TEXT(Sales_of_Jordan[[#This Row],[Sale_Date]],"mmm")</f>
        <v>Jun</v>
      </c>
    </row>
    <row r="4162" spans="1:11" x14ac:dyDescent="0.35">
      <c r="A4162" s="7" t="s">
        <v>4192</v>
      </c>
      <c r="B4162" s="8">
        <v>45767</v>
      </c>
      <c r="C4162" s="9" t="s">
        <v>21</v>
      </c>
      <c r="D4162" s="9" t="s">
        <v>22</v>
      </c>
      <c r="E4162" s="9" t="s">
        <v>18</v>
      </c>
      <c r="F4162" s="9">
        <v>225</v>
      </c>
      <c r="G4162" s="9">
        <v>495.15</v>
      </c>
      <c r="H4162" s="9" t="s">
        <v>14</v>
      </c>
      <c r="I4162" s="9">
        <v>6</v>
      </c>
      <c r="J4162" s="10">
        <v>270.14999999999998</v>
      </c>
      <c r="K4162" s="9" t="str">
        <f>TEXT(Sales_of_Jordan[[#This Row],[Sale_Date]],"mmm")</f>
        <v>Apr</v>
      </c>
    </row>
    <row r="4163" spans="1:11" x14ac:dyDescent="0.35">
      <c r="A4163" s="7" t="s">
        <v>4193</v>
      </c>
      <c r="B4163" s="8">
        <v>45726</v>
      </c>
      <c r="C4163" s="9" t="s">
        <v>27</v>
      </c>
      <c r="D4163" s="9" t="s">
        <v>46</v>
      </c>
      <c r="E4163" s="9" t="s">
        <v>13</v>
      </c>
      <c r="F4163" s="9">
        <v>126</v>
      </c>
      <c r="G4163" s="9">
        <v>83.32</v>
      </c>
      <c r="H4163" s="9" t="s">
        <v>19</v>
      </c>
      <c r="I4163" s="9">
        <v>2</v>
      </c>
      <c r="J4163" s="10">
        <v>-42.68</v>
      </c>
      <c r="K4163" s="9" t="str">
        <f>TEXT(Sales_of_Jordan[[#This Row],[Sale_Date]],"mmm")</f>
        <v>Mar</v>
      </c>
    </row>
    <row r="4164" spans="1:11" x14ac:dyDescent="0.35">
      <c r="A4164" s="7" t="s">
        <v>4194</v>
      </c>
      <c r="B4164" s="8">
        <v>45178</v>
      </c>
      <c r="C4164" s="9" t="s">
        <v>21</v>
      </c>
      <c r="D4164" s="9" t="s">
        <v>39</v>
      </c>
      <c r="E4164" s="9" t="s">
        <v>29</v>
      </c>
      <c r="F4164" s="9">
        <v>214</v>
      </c>
      <c r="G4164" s="9">
        <v>259.48</v>
      </c>
      <c r="H4164" s="9" t="s">
        <v>32</v>
      </c>
      <c r="I4164" s="9">
        <v>49</v>
      </c>
      <c r="J4164" s="10">
        <v>45.48</v>
      </c>
      <c r="K4164" s="9" t="str">
        <f>TEXT(Sales_of_Jordan[[#This Row],[Sale_Date]],"mmm")</f>
        <v>Sep</v>
      </c>
    </row>
    <row r="4165" spans="1:11" x14ac:dyDescent="0.35">
      <c r="A4165" s="7" t="s">
        <v>4195</v>
      </c>
      <c r="B4165" s="8">
        <v>44995</v>
      </c>
      <c r="C4165" s="9" t="s">
        <v>27</v>
      </c>
      <c r="D4165" s="9" t="s">
        <v>17</v>
      </c>
      <c r="E4165" s="9" t="s">
        <v>29</v>
      </c>
      <c r="F4165" s="9">
        <v>135</v>
      </c>
      <c r="G4165" s="9">
        <v>193.18</v>
      </c>
      <c r="H4165" s="9" t="s">
        <v>19</v>
      </c>
      <c r="I4165" s="9">
        <v>12</v>
      </c>
      <c r="J4165" s="10">
        <v>58.18</v>
      </c>
      <c r="K4165" s="9" t="str">
        <f>TEXT(Sales_of_Jordan[[#This Row],[Sale_Date]],"mmm")</f>
        <v>Mar</v>
      </c>
    </row>
    <row r="4166" spans="1:11" x14ac:dyDescent="0.35">
      <c r="A4166" s="7" t="s">
        <v>4196</v>
      </c>
      <c r="B4166" s="8">
        <v>45143</v>
      </c>
      <c r="C4166" s="9" t="s">
        <v>21</v>
      </c>
      <c r="D4166" s="9" t="s">
        <v>34</v>
      </c>
      <c r="E4166" s="9" t="s">
        <v>29</v>
      </c>
      <c r="F4166" s="9">
        <v>222</v>
      </c>
      <c r="G4166" s="9">
        <v>250.75</v>
      </c>
      <c r="H4166" s="9" t="s">
        <v>19</v>
      </c>
      <c r="I4166" s="9">
        <v>7</v>
      </c>
      <c r="J4166" s="10">
        <v>28.75</v>
      </c>
      <c r="K4166" s="9" t="str">
        <f>TEXT(Sales_of_Jordan[[#This Row],[Sale_Date]],"mmm")</f>
        <v>Aug</v>
      </c>
    </row>
    <row r="4167" spans="1:11" x14ac:dyDescent="0.35">
      <c r="A4167" s="7" t="s">
        <v>4197</v>
      </c>
      <c r="B4167" s="8">
        <v>45233</v>
      </c>
      <c r="C4167" s="9" t="s">
        <v>21</v>
      </c>
      <c r="D4167" s="9" t="s">
        <v>46</v>
      </c>
      <c r="E4167" s="9" t="s">
        <v>13</v>
      </c>
      <c r="F4167" s="9">
        <v>223</v>
      </c>
      <c r="G4167" s="9">
        <v>162.44999999999999</v>
      </c>
      <c r="H4167" s="9" t="s">
        <v>25</v>
      </c>
      <c r="I4167" s="9">
        <v>40</v>
      </c>
      <c r="J4167" s="10">
        <v>-60.55</v>
      </c>
      <c r="K4167" s="9" t="str">
        <f>TEXT(Sales_of_Jordan[[#This Row],[Sale_Date]],"mmm")</f>
        <v>Nov</v>
      </c>
    </row>
    <row r="4168" spans="1:11" x14ac:dyDescent="0.35">
      <c r="A4168" s="7" t="s">
        <v>4198</v>
      </c>
      <c r="B4168" s="8">
        <v>45280</v>
      </c>
      <c r="C4168" s="9" t="s">
        <v>27</v>
      </c>
      <c r="D4168" s="9" t="s">
        <v>22</v>
      </c>
      <c r="E4168" s="9" t="s">
        <v>18</v>
      </c>
      <c r="F4168" s="9">
        <v>131</v>
      </c>
      <c r="G4168" s="9">
        <v>371.32</v>
      </c>
      <c r="H4168" s="9" t="s">
        <v>32</v>
      </c>
      <c r="I4168" s="9">
        <v>19</v>
      </c>
      <c r="J4168" s="10">
        <v>240.32</v>
      </c>
      <c r="K4168" s="9" t="str">
        <f>TEXT(Sales_of_Jordan[[#This Row],[Sale_Date]],"mmm")</f>
        <v>Dec</v>
      </c>
    </row>
    <row r="4169" spans="1:11" x14ac:dyDescent="0.35">
      <c r="A4169" s="7" t="s">
        <v>4199</v>
      </c>
      <c r="B4169" s="8">
        <v>45542</v>
      </c>
      <c r="C4169" s="9" t="s">
        <v>31</v>
      </c>
      <c r="D4169" s="9" t="s">
        <v>39</v>
      </c>
      <c r="E4169" s="9" t="s">
        <v>18</v>
      </c>
      <c r="F4169" s="9">
        <v>204</v>
      </c>
      <c r="G4169" s="9">
        <v>604.29999999999995</v>
      </c>
      <c r="H4169" s="9" t="s">
        <v>23</v>
      </c>
      <c r="I4169" s="9">
        <v>15</v>
      </c>
      <c r="J4169" s="10">
        <v>400.29999999999899</v>
      </c>
      <c r="K4169" s="9" t="str">
        <f>TEXT(Sales_of_Jordan[[#This Row],[Sale_Date]],"mmm")</f>
        <v>Sep</v>
      </c>
    </row>
    <row r="4170" spans="1:11" x14ac:dyDescent="0.35">
      <c r="A4170" s="7" t="s">
        <v>4200</v>
      </c>
      <c r="B4170" s="8">
        <v>45762</v>
      </c>
      <c r="C4170" s="9" t="s">
        <v>16</v>
      </c>
      <c r="D4170" s="9" t="s">
        <v>46</v>
      </c>
      <c r="E4170" s="9" t="s">
        <v>29</v>
      </c>
      <c r="F4170" s="9">
        <v>174</v>
      </c>
      <c r="G4170" s="9">
        <v>161.85</v>
      </c>
      <c r="H4170" s="9" t="s">
        <v>19</v>
      </c>
      <c r="I4170" s="9">
        <v>6</v>
      </c>
      <c r="J4170" s="10">
        <v>-12.15</v>
      </c>
      <c r="K4170" s="9" t="str">
        <f>TEXT(Sales_of_Jordan[[#This Row],[Sale_Date]],"mmm")</f>
        <v>Apr</v>
      </c>
    </row>
    <row r="4171" spans="1:11" x14ac:dyDescent="0.35">
      <c r="A4171" s="7" t="s">
        <v>4201</v>
      </c>
      <c r="B4171" s="8">
        <v>45017</v>
      </c>
      <c r="C4171" s="9" t="s">
        <v>31</v>
      </c>
      <c r="D4171" s="9" t="s">
        <v>53</v>
      </c>
      <c r="E4171" s="9" t="s">
        <v>29</v>
      </c>
      <c r="F4171" s="9">
        <v>203</v>
      </c>
      <c r="G4171" s="9">
        <v>233.3</v>
      </c>
      <c r="H4171" s="9" t="s">
        <v>19</v>
      </c>
      <c r="I4171" s="9">
        <v>5</v>
      </c>
      <c r="J4171" s="10">
        <v>30.3</v>
      </c>
      <c r="K4171" s="9" t="str">
        <f>TEXT(Sales_of_Jordan[[#This Row],[Sale_Date]],"mmm")</f>
        <v>Apr</v>
      </c>
    </row>
    <row r="4172" spans="1:11" x14ac:dyDescent="0.35">
      <c r="A4172" s="7" t="s">
        <v>4202</v>
      </c>
      <c r="B4172" s="8">
        <v>45723</v>
      </c>
      <c r="C4172" s="9" t="s">
        <v>27</v>
      </c>
      <c r="D4172" s="9" t="s">
        <v>53</v>
      </c>
      <c r="E4172" s="9" t="s">
        <v>29</v>
      </c>
      <c r="F4172" s="9">
        <v>125</v>
      </c>
      <c r="G4172" s="9">
        <v>118.27</v>
      </c>
      <c r="H4172" s="9" t="s">
        <v>19</v>
      </c>
      <c r="I4172" s="9">
        <v>9</v>
      </c>
      <c r="J4172" s="10">
        <v>-6.73</v>
      </c>
      <c r="K4172" s="9" t="str">
        <f>TEXT(Sales_of_Jordan[[#This Row],[Sale_Date]],"mmm")</f>
        <v>Mar</v>
      </c>
    </row>
    <row r="4173" spans="1:11" x14ac:dyDescent="0.35">
      <c r="A4173" s="7" t="s">
        <v>4203</v>
      </c>
      <c r="B4173" s="8">
        <v>45768</v>
      </c>
      <c r="C4173" s="9" t="s">
        <v>27</v>
      </c>
      <c r="D4173" s="9" t="s">
        <v>46</v>
      </c>
      <c r="E4173" s="9" t="s">
        <v>18</v>
      </c>
      <c r="F4173" s="9">
        <v>120</v>
      </c>
      <c r="G4173" s="9">
        <v>238.89</v>
      </c>
      <c r="H4173" s="9" t="s">
        <v>23</v>
      </c>
      <c r="I4173" s="9">
        <v>12</v>
      </c>
      <c r="J4173" s="10">
        <v>118.88999999999901</v>
      </c>
      <c r="K4173" s="9" t="str">
        <f>TEXT(Sales_of_Jordan[[#This Row],[Sale_Date]],"mmm")</f>
        <v>Apr</v>
      </c>
    </row>
    <row r="4174" spans="1:11" x14ac:dyDescent="0.35">
      <c r="A4174" s="7" t="s">
        <v>4204</v>
      </c>
      <c r="B4174" s="8">
        <v>45352</v>
      </c>
      <c r="C4174" s="9" t="s">
        <v>31</v>
      </c>
      <c r="D4174" s="9" t="s">
        <v>39</v>
      </c>
      <c r="E4174" s="9" t="s">
        <v>13</v>
      </c>
      <c r="F4174" s="9">
        <v>208</v>
      </c>
      <c r="G4174" s="9">
        <v>178.93</v>
      </c>
      <c r="H4174" s="9" t="s">
        <v>25</v>
      </c>
      <c r="I4174" s="9">
        <v>20</v>
      </c>
      <c r="J4174" s="10">
        <v>-29.069999999999901</v>
      </c>
      <c r="K4174" s="9" t="str">
        <f>TEXT(Sales_of_Jordan[[#This Row],[Sale_Date]],"mmm")</f>
        <v>Mar</v>
      </c>
    </row>
    <row r="4175" spans="1:11" x14ac:dyDescent="0.35">
      <c r="A4175" s="7" t="s">
        <v>4205</v>
      </c>
      <c r="B4175" s="8">
        <v>45590</v>
      </c>
      <c r="C4175" s="9" t="s">
        <v>31</v>
      </c>
      <c r="D4175" s="9" t="s">
        <v>12</v>
      </c>
      <c r="E4175" s="9" t="s">
        <v>29</v>
      </c>
      <c r="F4175" s="9">
        <v>200</v>
      </c>
      <c r="G4175" s="9">
        <v>268.12</v>
      </c>
      <c r="H4175" s="9" t="s">
        <v>19</v>
      </c>
      <c r="I4175" s="9">
        <v>8</v>
      </c>
      <c r="J4175" s="10">
        <v>68.12</v>
      </c>
      <c r="K4175" s="9" t="str">
        <f>TEXT(Sales_of_Jordan[[#This Row],[Sale_Date]],"mmm")</f>
        <v>Oct</v>
      </c>
    </row>
    <row r="4176" spans="1:11" x14ac:dyDescent="0.35">
      <c r="A4176" s="7" t="s">
        <v>4206</v>
      </c>
      <c r="B4176" s="8">
        <v>45079</v>
      </c>
      <c r="C4176" s="9" t="s">
        <v>11</v>
      </c>
      <c r="D4176" s="9" t="s">
        <v>46</v>
      </c>
      <c r="E4176" s="9" t="s">
        <v>29</v>
      </c>
      <c r="F4176" s="9">
        <v>228</v>
      </c>
      <c r="G4176" s="9">
        <v>256.11</v>
      </c>
      <c r="H4176" s="9" t="s">
        <v>25</v>
      </c>
      <c r="I4176" s="9">
        <v>21</v>
      </c>
      <c r="J4176" s="10">
        <v>28.11</v>
      </c>
      <c r="K4176" s="9" t="str">
        <f>TEXT(Sales_of_Jordan[[#This Row],[Sale_Date]],"mmm")</f>
        <v>Jun</v>
      </c>
    </row>
    <row r="4177" spans="1:11" x14ac:dyDescent="0.35">
      <c r="A4177" s="7" t="s">
        <v>4207</v>
      </c>
      <c r="B4177" s="8">
        <v>45280</v>
      </c>
      <c r="C4177" s="9" t="s">
        <v>31</v>
      </c>
      <c r="D4177" s="9" t="s">
        <v>17</v>
      </c>
      <c r="E4177" s="9" t="s">
        <v>13</v>
      </c>
      <c r="F4177" s="9">
        <v>208</v>
      </c>
      <c r="G4177" s="9">
        <v>180.2</v>
      </c>
      <c r="H4177" s="9" t="s">
        <v>19</v>
      </c>
      <c r="I4177" s="9">
        <v>5</v>
      </c>
      <c r="J4177" s="10">
        <v>-27.8</v>
      </c>
      <c r="K4177" s="9" t="str">
        <f>TEXT(Sales_of_Jordan[[#This Row],[Sale_Date]],"mmm")</f>
        <v>Dec</v>
      </c>
    </row>
    <row r="4178" spans="1:11" x14ac:dyDescent="0.35">
      <c r="A4178" s="7" t="s">
        <v>4208</v>
      </c>
      <c r="B4178" s="8">
        <v>45018</v>
      </c>
      <c r="C4178" s="9" t="s">
        <v>21</v>
      </c>
      <c r="D4178" s="9" t="s">
        <v>36</v>
      </c>
      <c r="E4178" s="9" t="s">
        <v>13</v>
      </c>
      <c r="F4178" s="9">
        <v>225</v>
      </c>
      <c r="G4178" s="9">
        <v>128.29</v>
      </c>
      <c r="H4178" s="9" t="s">
        <v>23</v>
      </c>
      <c r="I4178" s="9">
        <v>11</v>
      </c>
      <c r="J4178" s="10">
        <v>-96.71</v>
      </c>
      <c r="K4178" s="9" t="str">
        <f>TEXT(Sales_of_Jordan[[#This Row],[Sale_Date]],"mmm")</f>
        <v>Apr</v>
      </c>
    </row>
    <row r="4179" spans="1:11" x14ac:dyDescent="0.35">
      <c r="A4179" s="7" t="s">
        <v>4209</v>
      </c>
      <c r="B4179" s="8">
        <v>45628</v>
      </c>
      <c r="C4179" s="9" t="s">
        <v>21</v>
      </c>
      <c r="D4179" s="9" t="s">
        <v>39</v>
      </c>
      <c r="E4179" s="9" t="s">
        <v>29</v>
      </c>
      <c r="F4179" s="9">
        <v>213</v>
      </c>
      <c r="G4179" s="9">
        <v>289</v>
      </c>
      <c r="H4179" s="9" t="s">
        <v>19</v>
      </c>
      <c r="I4179" s="9">
        <v>6</v>
      </c>
      <c r="J4179" s="10">
        <v>76</v>
      </c>
      <c r="K4179" s="9" t="str">
        <f>TEXT(Sales_of_Jordan[[#This Row],[Sale_Date]],"mmm")</f>
        <v>Dec</v>
      </c>
    </row>
    <row r="4180" spans="1:11" x14ac:dyDescent="0.35">
      <c r="A4180" s="7" t="s">
        <v>4210</v>
      </c>
      <c r="B4180" s="8">
        <v>45405</v>
      </c>
      <c r="C4180" s="9" t="s">
        <v>31</v>
      </c>
      <c r="D4180" s="9" t="s">
        <v>34</v>
      </c>
      <c r="E4180" s="9" t="s">
        <v>18</v>
      </c>
      <c r="F4180" s="9">
        <v>203</v>
      </c>
      <c r="G4180" s="9">
        <v>371.7</v>
      </c>
      <c r="H4180" s="9" t="s">
        <v>14</v>
      </c>
      <c r="I4180" s="9">
        <v>10</v>
      </c>
      <c r="J4180" s="10">
        <v>168.7</v>
      </c>
      <c r="K4180" s="9" t="str">
        <f>TEXT(Sales_of_Jordan[[#This Row],[Sale_Date]],"mmm")</f>
        <v>Apr</v>
      </c>
    </row>
    <row r="4181" spans="1:11" x14ac:dyDescent="0.35">
      <c r="A4181" s="7" t="s">
        <v>4211</v>
      </c>
      <c r="B4181" s="8">
        <v>45160</v>
      </c>
      <c r="C4181" s="9" t="s">
        <v>21</v>
      </c>
      <c r="D4181" s="9" t="s">
        <v>34</v>
      </c>
      <c r="E4181" s="9" t="s">
        <v>18</v>
      </c>
      <c r="F4181" s="9">
        <v>223</v>
      </c>
      <c r="G4181" s="9">
        <v>526.13</v>
      </c>
      <c r="H4181" s="9" t="s">
        <v>19</v>
      </c>
      <c r="I4181" s="9">
        <v>10</v>
      </c>
      <c r="J4181" s="10">
        <v>303.13</v>
      </c>
      <c r="K4181" s="9" t="str">
        <f>TEXT(Sales_of_Jordan[[#This Row],[Sale_Date]],"mmm")</f>
        <v>Aug</v>
      </c>
    </row>
    <row r="4182" spans="1:11" x14ac:dyDescent="0.35">
      <c r="A4182" s="7" t="s">
        <v>4212</v>
      </c>
      <c r="B4182" s="8">
        <v>45083</v>
      </c>
      <c r="C4182" s="9" t="s">
        <v>16</v>
      </c>
      <c r="D4182" s="9" t="s">
        <v>36</v>
      </c>
      <c r="E4182" s="9" t="s">
        <v>18</v>
      </c>
      <c r="F4182" s="9">
        <v>179</v>
      </c>
      <c r="G4182" s="9">
        <v>578.78</v>
      </c>
      <c r="H4182" s="9" t="s">
        <v>23</v>
      </c>
      <c r="I4182" s="9">
        <v>54</v>
      </c>
      <c r="J4182" s="10">
        <v>399.78</v>
      </c>
      <c r="K4182" s="9" t="str">
        <f>TEXT(Sales_of_Jordan[[#This Row],[Sale_Date]],"mmm")</f>
        <v>Jun</v>
      </c>
    </row>
    <row r="4183" spans="1:11" x14ac:dyDescent="0.35">
      <c r="A4183" s="7" t="s">
        <v>4213</v>
      </c>
      <c r="B4183" s="8">
        <v>45215</v>
      </c>
      <c r="C4183" s="9" t="s">
        <v>21</v>
      </c>
      <c r="D4183" s="9" t="s">
        <v>36</v>
      </c>
      <c r="E4183" s="9" t="s">
        <v>18</v>
      </c>
      <c r="F4183" s="9">
        <v>211</v>
      </c>
      <c r="G4183" s="9">
        <v>640.26</v>
      </c>
      <c r="H4183" s="9" t="s">
        <v>25</v>
      </c>
      <c r="I4183" s="9">
        <v>57</v>
      </c>
      <c r="J4183" s="10">
        <v>429.26</v>
      </c>
      <c r="K4183" s="9" t="str">
        <f>TEXT(Sales_of_Jordan[[#This Row],[Sale_Date]],"mmm")</f>
        <v>Oct</v>
      </c>
    </row>
    <row r="4184" spans="1:11" x14ac:dyDescent="0.35">
      <c r="A4184" s="7" t="s">
        <v>4214</v>
      </c>
      <c r="B4184" s="8">
        <v>45283</v>
      </c>
      <c r="C4184" s="9" t="s">
        <v>21</v>
      </c>
      <c r="D4184" s="9" t="s">
        <v>36</v>
      </c>
      <c r="E4184" s="9" t="s">
        <v>29</v>
      </c>
      <c r="F4184" s="9">
        <v>220</v>
      </c>
      <c r="G4184" s="9">
        <v>245.52</v>
      </c>
      <c r="H4184" s="9" t="s">
        <v>14</v>
      </c>
      <c r="I4184" s="9">
        <v>8</v>
      </c>
      <c r="J4184" s="10">
        <v>25.52</v>
      </c>
      <c r="K4184" s="9" t="str">
        <f>TEXT(Sales_of_Jordan[[#This Row],[Sale_Date]],"mmm")</f>
        <v>Dec</v>
      </c>
    </row>
    <row r="4185" spans="1:11" x14ac:dyDescent="0.35">
      <c r="A4185" s="7" t="s">
        <v>4215</v>
      </c>
      <c r="B4185" s="8">
        <v>45922</v>
      </c>
      <c r="C4185" s="9" t="s">
        <v>27</v>
      </c>
      <c r="D4185" s="9" t="s">
        <v>12</v>
      </c>
      <c r="E4185" s="9" t="s">
        <v>13</v>
      </c>
      <c r="F4185" s="9">
        <v>111</v>
      </c>
      <c r="G4185" s="9">
        <v>86.05</v>
      </c>
      <c r="H4185" s="9" t="s">
        <v>14</v>
      </c>
      <c r="I4185" s="9">
        <v>12</v>
      </c>
      <c r="J4185" s="10">
        <v>-24.95</v>
      </c>
      <c r="K4185" s="9" t="str">
        <f>TEXT(Sales_of_Jordan[[#This Row],[Sale_Date]],"mmm")</f>
        <v>Sep</v>
      </c>
    </row>
    <row r="4186" spans="1:11" x14ac:dyDescent="0.35">
      <c r="A4186" s="7" t="s">
        <v>4216</v>
      </c>
      <c r="B4186" s="8">
        <v>45348</v>
      </c>
      <c r="C4186" s="9" t="s">
        <v>16</v>
      </c>
      <c r="D4186" s="9" t="s">
        <v>55</v>
      </c>
      <c r="E4186" s="9" t="s">
        <v>29</v>
      </c>
      <c r="F4186" s="9">
        <v>184</v>
      </c>
      <c r="G4186" s="9">
        <v>264.51</v>
      </c>
      <c r="H4186" s="9" t="s">
        <v>19</v>
      </c>
      <c r="I4186" s="9">
        <v>2</v>
      </c>
      <c r="J4186" s="10">
        <v>80.509999999999906</v>
      </c>
      <c r="K4186" s="9" t="str">
        <f>TEXT(Sales_of_Jordan[[#This Row],[Sale_Date]],"mmm")</f>
        <v>Feb</v>
      </c>
    </row>
    <row r="4187" spans="1:11" x14ac:dyDescent="0.35">
      <c r="A4187" s="7" t="s">
        <v>4217</v>
      </c>
      <c r="B4187" s="8">
        <v>45696</v>
      </c>
      <c r="C4187" s="9" t="s">
        <v>16</v>
      </c>
      <c r="D4187" s="9" t="s">
        <v>46</v>
      </c>
      <c r="E4187" s="9" t="s">
        <v>18</v>
      </c>
      <c r="F4187" s="9">
        <v>188</v>
      </c>
      <c r="G4187" s="9">
        <v>651.54999999999995</v>
      </c>
      <c r="H4187" s="9" t="s">
        <v>19</v>
      </c>
      <c r="I4187" s="9">
        <v>6</v>
      </c>
      <c r="J4187" s="10">
        <v>463.54999999999899</v>
      </c>
      <c r="K4187" s="9" t="str">
        <f>TEXT(Sales_of_Jordan[[#This Row],[Sale_Date]],"mmm")</f>
        <v>Feb</v>
      </c>
    </row>
    <row r="4188" spans="1:11" x14ac:dyDescent="0.35">
      <c r="A4188" s="7" t="s">
        <v>4218</v>
      </c>
      <c r="B4188" s="8">
        <v>45609</v>
      </c>
      <c r="C4188" s="9" t="s">
        <v>16</v>
      </c>
      <c r="D4188" s="9" t="s">
        <v>36</v>
      </c>
      <c r="E4188" s="9" t="s">
        <v>13</v>
      </c>
      <c r="F4188" s="9">
        <v>190</v>
      </c>
      <c r="G4188" s="9">
        <v>145.04</v>
      </c>
      <c r="H4188" s="9" t="s">
        <v>19</v>
      </c>
      <c r="I4188" s="9">
        <v>10</v>
      </c>
      <c r="J4188" s="10">
        <v>-44.96</v>
      </c>
      <c r="K4188" s="9" t="str">
        <f>TEXT(Sales_of_Jordan[[#This Row],[Sale_Date]],"mmm")</f>
        <v>Nov</v>
      </c>
    </row>
    <row r="4189" spans="1:11" x14ac:dyDescent="0.35">
      <c r="A4189" s="7" t="s">
        <v>4219</v>
      </c>
      <c r="B4189" s="8">
        <v>45873</v>
      </c>
      <c r="C4189" s="9" t="s">
        <v>31</v>
      </c>
      <c r="D4189" s="9" t="s">
        <v>39</v>
      </c>
      <c r="E4189" s="9" t="s">
        <v>13</v>
      </c>
      <c r="F4189" s="9">
        <v>201</v>
      </c>
      <c r="G4189" s="9">
        <v>134.30000000000001</v>
      </c>
      <c r="H4189" s="9" t="s">
        <v>23</v>
      </c>
      <c r="I4189" s="9">
        <v>54</v>
      </c>
      <c r="J4189" s="10">
        <v>-66.699999999999903</v>
      </c>
      <c r="K4189" s="9" t="str">
        <f>TEXT(Sales_of_Jordan[[#This Row],[Sale_Date]],"mmm")</f>
        <v>Aug</v>
      </c>
    </row>
    <row r="4190" spans="1:11" x14ac:dyDescent="0.35">
      <c r="A4190" s="7" t="s">
        <v>4220</v>
      </c>
      <c r="B4190" s="8">
        <v>45124</v>
      </c>
      <c r="C4190" s="9" t="s">
        <v>11</v>
      </c>
      <c r="D4190" s="9" t="s">
        <v>36</v>
      </c>
      <c r="E4190" s="9" t="s">
        <v>29</v>
      </c>
      <c r="F4190" s="9">
        <v>227</v>
      </c>
      <c r="G4190" s="9">
        <v>294.48</v>
      </c>
      <c r="H4190" s="9" t="s">
        <v>25</v>
      </c>
      <c r="I4190" s="9">
        <v>34</v>
      </c>
      <c r="J4190" s="10">
        <v>67.48</v>
      </c>
      <c r="K4190" s="9" t="str">
        <f>TEXT(Sales_of_Jordan[[#This Row],[Sale_Date]],"mmm")</f>
        <v>Jul</v>
      </c>
    </row>
    <row r="4191" spans="1:11" x14ac:dyDescent="0.35">
      <c r="A4191" s="7" t="s">
        <v>4221</v>
      </c>
      <c r="B4191" s="8">
        <v>45866</v>
      </c>
      <c r="C4191" s="9" t="s">
        <v>21</v>
      </c>
      <c r="D4191" s="9" t="s">
        <v>34</v>
      </c>
      <c r="E4191" s="9" t="s">
        <v>18</v>
      </c>
      <c r="F4191" s="9">
        <v>222</v>
      </c>
      <c r="G4191" s="9">
        <v>444.96</v>
      </c>
      <c r="H4191" s="9" t="s">
        <v>19</v>
      </c>
      <c r="I4191" s="9">
        <v>13</v>
      </c>
      <c r="J4191" s="10">
        <v>222.95999999999901</v>
      </c>
      <c r="K4191" s="9" t="str">
        <f>TEXT(Sales_of_Jordan[[#This Row],[Sale_Date]],"mmm")</f>
        <v>Jul</v>
      </c>
    </row>
    <row r="4192" spans="1:11" x14ac:dyDescent="0.35">
      <c r="A4192" s="7" t="s">
        <v>4222</v>
      </c>
      <c r="B4192" s="8">
        <v>45302</v>
      </c>
      <c r="C4192" s="9" t="s">
        <v>31</v>
      </c>
      <c r="D4192" s="9" t="s">
        <v>53</v>
      </c>
      <c r="E4192" s="9" t="s">
        <v>13</v>
      </c>
      <c r="F4192" s="9">
        <v>209</v>
      </c>
      <c r="G4192" s="9">
        <v>182.42</v>
      </c>
      <c r="H4192" s="9" t="s">
        <v>19</v>
      </c>
      <c r="I4192" s="9">
        <v>14</v>
      </c>
      <c r="J4192" s="10">
        <v>-26.58</v>
      </c>
      <c r="K4192" s="9" t="str">
        <f>TEXT(Sales_of_Jordan[[#This Row],[Sale_Date]],"mmm")</f>
        <v>Jan</v>
      </c>
    </row>
    <row r="4193" spans="1:11" x14ac:dyDescent="0.35">
      <c r="A4193" s="7" t="s">
        <v>4223</v>
      </c>
      <c r="B4193" s="8">
        <v>45610</v>
      </c>
      <c r="C4193" s="9" t="s">
        <v>27</v>
      </c>
      <c r="D4193" s="9" t="s">
        <v>53</v>
      </c>
      <c r="E4193" s="9" t="s">
        <v>13</v>
      </c>
      <c r="F4193" s="9">
        <v>127</v>
      </c>
      <c r="G4193" s="9">
        <v>75.61</v>
      </c>
      <c r="H4193" s="9" t="s">
        <v>32</v>
      </c>
      <c r="I4193" s="9">
        <v>27</v>
      </c>
      <c r="J4193" s="10">
        <v>-51.39</v>
      </c>
      <c r="K4193" s="9" t="str">
        <f>TEXT(Sales_of_Jordan[[#This Row],[Sale_Date]],"mmm")</f>
        <v>Nov</v>
      </c>
    </row>
    <row r="4194" spans="1:11" x14ac:dyDescent="0.35">
      <c r="A4194" s="7" t="s">
        <v>4224</v>
      </c>
      <c r="B4194" s="8">
        <v>45504</v>
      </c>
      <c r="C4194" s="9" t="s">
        <v>21</v>
      </c>
      <c r="D4194" s="9" t="s">
        <v>22</v>
      </c>
      <c r="E4194" s="9" t="s">
        <v>29</v>
      </c>
      <c r="F4194" s="9">
        <v>210</v>
      </c>
      <c r="G4194" s="9">
        <v>277.38</v>
      </c>
      <c r="H4194" s="9" t="s">
        <v>14</v>
      </c>
      <c r="I4194" s="9">
        <v>13</v>
      </c>
      <c r="J4194" s="10">
        <v>67.38</v>
      </c>
      <c r="K4194" s="9" t="str">
        <f>TEXT(Sales_of_Jordan[[#This Row],[Sale_Date]],"mmm")</f>
        <v>Jul</v>
      </c>
    </row>
    <row r="4195" spans="1:11" x14ac:dyDescent="0.35">
      <c r="A4195" s="7" t="s">
        <v>4225</v>
      </c>
      <c r="B4195" s="8">
        <v>45533</v>
      </c>
      <c r="C4195" s="9" t="s">
        <v>21</v>
      </c>
      <c r="D4195" s="9" t="s">
        <v>53</v>
      </c>
      <c r="E4195" s="9" t="s">
        <v>13</v>
      </c>
      <c r="F4195" s="9">
        <v>210</v>
      </c>
      <c r="G4195" s="9">
        <v>170.85</v>
      </c>
      <c r="H4195" s="9" t="s">
        <v>32</v>
      </c>
      <c r="I4195" s="9">
        <v>35</v>
      </c>
      <c r="J4195" s="10">
        <v>-39.15</v>
      </c>
      <c r="K4195" s="9" t="str">
        <f>TEXT(Sales_of_Jordan[[#This Row],[Sale_Date]],"mmm")</f>
        <v>Aug</v>
      </c>
    </row>
    <row r="4196" spans="1:11" x14ac:dyDescent="0.35">
      <c r="A4196" s="7" t="s">
        <v>4226</v>
      </c>
      <c r="B4196" s="8">
        <v>45060</v>
      </c>
      <c r="C4196" s="9" t="s">
        <v>16</v>
      </c>
      <c r="D4196" s="9" t="s">
        <v>46</v>
      </c>
      <c r="E4196" s="9" t="s">
        <v>29</v>
      </c>
      <c r="F4196" s="9">
        <v>189</v>
      </c>
      <c r="G4196" s="9">
        <v>197.05</v>
      </c>
      <c r="H4196" s="9" t="s">
        <v>14</v>
      </c>
      <c r="I4196" s="9">
        <v>13</v>
      </c>
      <c r="J4196" s="10">
        <v>8.0500000000000096</v>
      </c>
      <c r="K4196" s="9" t="str">
        <f>TEXT(Sales_of_Jordan[[#This Row],[Sale_Date]],"mmm")</f>
        <v>May</v>
      </c>
    </row>
    <row r="4197" spans="1:11" x14ac:dyDescent="0.35">
      <c r="A4197" s="7" t="s">
        <v>4227</v>
      </c>
      <c r="B4197" s="8">
        <v>45820</v>
      </c>
      <c r="C4197" s="9" t="s">
        <v>27</v>
      </c>
      <c r="D4197" s="9" t="s">
        <v>22</v>
      </c>
      <c r="E4197" s="9" t="s">
        <v>29</v>
      </c>
      <c r="F4197" s="9">
        <v>127</v>
      </c>
      <c r="G4197" s="9">
        <v>188.62</v>
      </c>
      <c r="H4197" s="9" t="s">
        <v>25</v>
      </c>
      <c r="I4197" s="9">
        <v>15</v>
      </c>
      <c r="J4197" s="10">
        <v>61.62</v>
      </c>
      <c r="K4197" s="9" t="str">
        <f>TEXT(Sales_of_Jordan[[#This Row],[Sale_Date]],"mmm")</f>
        <v>Jun</v>
      </c>
    </row>
    <row r="4198" spans="1:11" x14ac:dyDescent="0.35">
      <c r="A4198" s="7" t="s">
        <v>4228</v>
      </c>
      <c r="B4198" s="8">
        <v>45518</v>
      </c>
      <c r="C4198" s="9" t="s">
        <v>21</v>
      </c>
      <c r="D4198" s="9" t="s">
        <v>36</v>
      </c>
      <c r="E4198" s="9" t="s">
        <v>18</v>
      </c>
      <c r="F4198" s="9">
        <v>223</v>
      </c>
      <c r="G4198" s="9">
        <v>754.2</v>
      </c>
      <c r="H4198" s="9" t="s">
        <v>25</v>
      </c>
      <c r="I4198" s="9">
        <v>8</v>
      </c>
      <c r="J4198" s="10">
        <v>531.20000000000005</v>
      </c>
      <c r="K4198" s="9" t="str">
        <f>TEXT(Sales_of_Jordan[[#This Row],[Sale_Date]],"mmm")</f>
        <v>Aug</v>
      </c>
    </row>
    <row r="4199" spans="1:11" x14ac:dyDescent="0.35">
      <c r="A4199" s="7" t="s">
        <v>4229</v>
      </c>
      <c r="B4199" s="8">
        <v>45249</v>
      </c>
      <c r="C4199" s="9" t="s">
        <v>11</v>
      </c>
      <c r="D4199" s="9" t="s">
        <v>55</v>
      </c>
      <c r="E4199" s="9" t="s">
        <v>29</v>
      </c>
      <c r="F4199" s="9">
        <v>230</v>
      </c>
      <c r="G4199" s="9">
        <v>262.22000000000003</v>
      </c>
      <c r="H4199" s="9" t="s">
        <v>25</v>
      </c>
      <c r="I4199" s="9">
        <v>40</v>
      </c>
      <c r="J4199" s="10">
        <v>32.22</v>
      </c>
      <c r="K4199" s="9" t="str">
        <f>TEXT(Sales_of_Jordan[[#This Row],[Sale_Date]],"mmm")</f>
        <v>Nov</v>
      </c>
    </row>
    <row r="4200" spans="1:11" x14ac:dyDescent="0.35">
      <c r="A4200" s="7" t="s">
        <v>4230</v>
      </c>
      <c r="B4200" s="8">
        <v>45874</v>
      </c>
      <c r="C4200" s="9" t="s">
        <v>27</v>
      </c>
      <c r="D4200" s="9" t="s">
        <v>55</v>
      </c>
      <c r="E4200" s="9" t="s">
        <v>13</v>
      </c>
      <c r="F4200" s="9">
        <v>116</v>
      </c>
      <c r="G4200" s="9">
        <v>97.3</v>
      </c>
      <c r="H4200" s="9" t="s">
        <v>25</v>
      </c>
      <c r="I4200" s="9">
        <v>44</v>
      </c>
      <c r="J4200" s="10">
        <v>-18.7</v>
      </c>
      <c r="K4200" s="9" t="str">
        <f>TEXT(Sales_of_Jordan[[#This Row],[Sale_Date]],"mmm")</f>
        <v>Aug</v>
      </c>
    </row>
    <row r="4201" spans="1:11" x14ac:dyDescent="0.35">
      <c r="A4201" s="7" t="s">
        <v>4231</v>
      </c>
      <c r="B4201" s="8">
        <v>45916</v>
      </c>
      <c r="C4201" s="9" t="s">
        <v>21</v>
      </c>
      <c r="D4201" s="9" t="s">
        <v>55</v>
      </c>
      <c r="E4201" s="9" t="s">
        <v>18</v>
      </c>
      <c r="F4201" s="9">
        <v>211</v>
      </c>
      <c r="G4201" s="9">
        <v>332.03</v>
      </c>
      <c r="H4201" s="9" t="s">
        <v>23</v>
      </c>
      <c r="I4201" s="9">
        <v>41</v>
      </c>
      <c r="J4201" s="10">
        <v>121.02999999999901</v>
      </c>
      <c r="K4201" s="9" t="str">
        <f>TEXT(Sales_of_Jordan[[#This Row],[Sale_Date]],"mmm")</f>
        <v>Sep</v>
      </c>
    </row>
    <row r="4202" spans="1:11" x14ac:dyDescent="0.35">
      <c r="A4202" s="7" t="s">
        <v>4232</v>
      </c>
      <c r="B4202" s="8">
        <v>45901</v>
      </c>
      <c r="C4202" s="9" t="s">
        <v>11</v>
      </c>
      <c r="D4202" s="9" t="s">
        <v>39</v>
      </c>
      <c r="E4202" s="9" t="s">
        <v>13</v>
      </c>
      <c r="F4202" s="9">
        <v>226</v>
      </c>
      <c r="G4202" s="9">
        <v>186.19</v>
      </c>
      <c r="H4202" s="9" t="s">
        <v>32</v>
      </c>
      <c r="I4202" s="9">
        <v>28</v>
      </c>
      <c r="J4202" s="10">
        <v>-39.81</v>
      </c>
      <c r="K4202" s="9" t="str">
        <f>TEXT(Sales_of_Jordan[[#This Row],[Sale_Date]],"mmm")</f>
        <v>Sep</v>
      </c>
    </row>
    <row r="4203" spans="1:11" x14ac:dyDescent="0.35">
      <c r="A4203" s="7" t="s">
        <v>4233</v>
      </c>
      <c r="B4203" s="8">
        <v>45426</v>
      </c>
      <c r="C4203" s="9" t="s">
        <v>11</v>
      </c>
      <c r="D4203" s="9" t="s">
        <v>46</v>
      </c>
      <c r="E4203" s="9" t="s">
        <v>18</v>
      </c>
      <c r="F4203" s="9">
        <v>227</v>
      </c>
      <c r="G4203" s="9">
        <v>789.07</v>
      </c>
      <c r="H4203" s="9" t="s">
        <v>14</v>
      </c>
      <c r="I4203" s="9">
        <v>2</v>
      </c>
      <c r="J4203" s="10">
        <v>562.07000000000005</v>
      </c>
      <c r="K4203" s="9" t="str">
        <f>TEXT(Sales_of_Jordan[[#This Row],[Sale_Date]],"mmm")</f>
        <v>May</v>
      </c>
    </row>
    <row r="4204" spans="1:11" x14ac:dyDescent="0.35">
      <c r="A4204" s="7" t="s">
        <v>4234</v>
      </c>
      <c r="B4204" s="8">
        <v>45470</v>
      </c>
      <c r="C4204" s="9" t="s">
        <v>11</v>
      </c>
      <c r="D4204" s="9" t="s">
        <v>34</v>
      </c>
      <c r="E4204" s="9" t="s">
        <v>29</v>
      </c>
      <c r="F4204" s="9">
        <v>230</v>
      </c>
      <c r="G4204" s="9">
        <v>343.21</v>
      </c>
      <c r="H4204" s="9" t="s">
        <v>19</v>
      </c>
      <c r="I4204" s="9">
        <v>3</v>
      </c>
      <c r="J4204" s="10">
        <v>113.209999999999</v>
      </c>
      <c r="K4204" s="9" t="str">
        <f>TEXT(Sales_of_Jordan[[#This Row],[Sale_Date]],"mmm")</f>
        <v>Jun</v>
      </c>
    </row>
    <row r="4205" spans="1:11" x14ac:dyDescent="0.35">
      <c r="A4205" s="7" t="s">
        <v>4235</v>
      </c>
      <c r="B4205" s="8">
        <v>45793</v>
      </c>
      <c r="C4205" s="9" t="s">
        <v>31</v>
      </c>
      <c r="D4205" s="9" t="s">
        <v>53</v>
      </c>
      <c r="E4205" s="9" t="s">
        <v>13</v>
      </c>
      <c r="F4205" s="9">
        <v>200</v>
      </c>
      <c r="G4205" s="9">
        <v>116.09</v>
      </c>
      <c r="H4205" s="9" t="s">
        <v>25</v>
      </c>
      <c r="I4205" s="9">
        <v>20</v>
      </c>
      <c r="J4205" s="10">
        <v>-83.91</v>
      </c>
      <c r="K4205" s="9" t="str">
        <f>TEXT(Sales_of_Jordan[[#This Row],[Sale_Date]],"mmm")</f>
        <v>May</v>
      </c>
    </row>
    <row r="4206" spans="1:11" x14ac:dyDescent="0.35">
      <c r="A4206" s="7" t="s">
        <v>4236</v>
      </c>
      <c r="B4206" s="8">
        <v>45245</v>
      </c>
      <c r="C4206" s="9" t="s">
        <v>27</v>
      </c>
      <c r="D4206" s="9" t="s">
        <v>17</v>
      </c>
      <c r="E4206" s="9" t="s">
        <v>13</v>
      </c>
      <c r="F4206" s="9">
        <v>140</v>
      </c>
      <c r="G4206" s="9">
        <v>102.89</v>
      </c>
      <c r="H4206" s="9" t="s">
        <v>14</v>
      </c>
      <c r="I4206" s="9">
        <v>8</v>
      </c>
      <c r="J4206" s="10">
        <v>-37.11</v>
      </c>
      <c r="K4206" s="9" t="str">
        <f>TEXT(Sales_of_Jordan[[#This Row],[Sale_Date]],"mmm")</f>
        <v>Nov</v>
      </c>
    </row>
    <row r="4207" spans="1:11" x14ac:dyDescent="0.35">
      <c r="A4207" s="7" t="s">
        <v>4237</v>
      </c>
      <c r="B4207" s="8">
        <v>45496</v>
      </c>
      <c r="C4207" s="9" t="s">
        <v>16</v>
      </c>
      <c r="D4207" s="9" t="s">
        <v>55</v>
      </c>
      <c r="E4207" s="9" t="s">
        <v>13</v>
      </c>
      <c r="F4207" s="9">
        <v>182</v>
      </c>
      <c r="G4207" s="9">
        <v>136.68</v>
      </c>
      <c r="H4207" s="9" t="s">
        <v>14</v>
      </c>
      <c r="I4207" s="9">
        <v>4</v>
      </c>
      <c r="J4207" s="10">
        <v>-45.319999999999901</v>
      </c>
      <c r="K4207" s="9" t="str">
        <f>TEXT(Sales_of_Jordan[[#This Row],[Sale_Date]],"mmm")</f>
        <v>Jul</v>
      </c>
    </row>
    <row r="4208" spans="1:11" x14ac:dyDescent="0.35">
      <c r="A4208" s="7" t="s">
        <v>4238</v>
      </c>
      <c r="B4208" s="8">
        <v>45221</v>
      </c>
      <c r="C4208" s="9" t="s">
        <v>16</v>
      </c>
      <c r="D4208" s="9" t="s">
        <v>22</v>
      </c>
      <c r="E4208" s="9" t="s">
        <v>29</v>
      </c>
      <c r="F4208" s="9">
        <v>176</v>
      </c>
      <c r="G4208" s="9">
        <v>244.89</v>
      </c>
      <c r="H4208" s="9" t="s">
        <v>23</v>
      </c>
      <c r="I4208" s="9">
        <v>24</v>
      </c>
      <c r="J4208" s="10">
        <v>68.889999999999901</v>
      </c>
      <c r="K4208" s="9" t="str">
        <f>TEXT(Sales_of_Jordan[[#This Row],[Sale_Date]],"mmm")</f>
        <v>Oct</v>
      </c>
    </row>
    <row r="4209" spans="1:11" x14ac:dyDescent="0.35">
      <c r="A4209" s="7" t="s">
        <v>4239</v>
      </c>
      <c r="B4209" s="8">
        <v>45463</v>
      </c>
      <c r="C4209" s="9" t="s">
        <v>16</v>
      </c>
      <c r="D4209" s="9" t="s">
        <v>46</v>
      </c>
      <c r="E4209" s="9" t="s">
        <v>18</v>
      </c>
      <c r="F4209" s="9">
        <v>170</v>
      </c>
      <c r="G4209" s="9">
        <v>540.70000000000005</v>
      </c>
      <c r="H4209" s="9" t="s">
        <v>14</v>
      </c>
      <c r="I4209" s="9">
        <v>12</v>
      </c>
      <c r="J4209" s="10">
        <v>370.7</v>
      </c>
      <c r="K4209" s="9" t="str">
        <f>TEXT(Sales_of_Jordan[[#This Row],[Sale_Date]],"mmm")</f>
        <v>Jun</v>
      </c>
    </row>
    <row r="4210" spans="1:11" x14ac:dyDescent="0.35">
      <c r="A4210" s="7" t="s">
        <v>4240</v>
      </c>
      <c r="B4210" s="8">
        <v>45216</v>
      </c>
      <c r="C4210" s="9" t="s">
        <v>16</v>
      </c>
      <c r="D4210" s="9" t="s">
        <v>22</v>
      </c>
      <c r="E4210" s="9" t="s">
        <v>29</v>
      </c>
      <c r="F4210" s="9">
        <v>185</v>
      </c>
      <c r="G4210" s="9">
        <v>270.87</v>
      </c>
      <c r="H4210" s="9" t="s">
        <v>14</v>
      </c>
      <c r="I4210" s="9">
        <v>10</v>
      </c>
      <c r="J4210" s="10">
        <v>85.87</v>
      </c>
      <c r="K4210" s="9" t="str">
        <f>TEXT(Sales_of_Jordan[[#This Row],[Sale_Date]],"mmm")</f>
        <v>Oct</v>
      </c>
    </row>
    <row r="4211" spans="1:11" x14ac:dyDescent="0.35">
      <c r="A4211" s="7" t="s">
        <v>4241</v>
      </c>
      <c r="B4211" s="8">
        <v>45665</v>
      </c>
      <c r="C4211" s="9" t="s">
        <v>21</v>
      </c>
      <c r="D4211" s="9" t="s">
        <v>17</v>
      </c>
      <c r="E4211" s="9" t="s">
        <v>13</v>
      </c>
      <c r="F4211" s="9">
        <v>222</v>
      </c>
      <c r="G4211" s="9">
        <v>148.84</v>
      </c>
      <c r="H4211" s="9" t="s">
        <v>32</v>
      </c>
      <c r="I4211" s="9">
        <v>31</v>
      </c>
      <c r="J4211" s="10">
        <v>-73.16</v>
      </c>
      <c r="K4211" s="9" t="str">
        <f>TEXT(Sales_of_Jordan[[#This Row],[Sale_Date]],"mmm")</f>
        <v>Jan</v>
      </c>
    </row>
    <row r="4212" spans="1:11" x14ac:dyDescent="0.35">
      <c r="A4212" s="7" t="s">
        <v>4242</v>
      </c>
      <c r="B4212" s="8">
        <v>45862</v>
      </c>
      <c r="C4212" s="9" t="s">
        <v>16</v>
      </c>
      <c r="D4212" s="9" t="s">
        <v>55</v>
      </c>
      <c r="E4212" s="9" t="s">
        <v>29</v>
      </c>
      <c r="F4212" s="9">
        <v>179</v>
      </c>
      <c r="G4212" s="9">
        <v>170.84</v>
      </c>
      <c r="H4212" s="9" t="s">
        <v>14</v>
      </c>
      <c r="I4212" s="9">
        <v>5</v>
      </c>
      <c r="J4212" s="10">
        <v>-8.1599999999999895</v>
      </c>
      <c r="K4212" s="9" t="str">
        <f>TEXT(Sales_of_Jordan[[#This Row],[Sale_Date]],"mmm")</f>
        <v>Jul</v>
      </c>
    </row>
    <row r="4213" spans="1:11" x14ac:dyDescent="0.35">
      <c r="A4213" s="7" t="s">
        <v>4243</v>
      </c>
      <c r="B4213" s="8">
        <v>45858</v>
      </c>
      <c r="C4213" s="9" t="s">
        <v>16</v>
      </c>
      <c r="D4213" s="9" t="s">
        <v>12</v>
      </c>
      <c r="E4213" s="9" t="s">
        <v>13</v>
      </c>
      <c r="F4213" s="9">
        <v>188</v>
      </c>
      <c r="G4213" s="9">
        <v>128.97</v>
      </c>
      <c r="H4213" s="9" t="s">
        <v>23</v>
      </c>
      <c r="I4213" s="9">
        <v>23</v>
      </c>
      <c r="J4213" s="10">
        <v>-59.03</v>
      </c>
      <c r="K4213" s="9" t="str">
        <f>TEXT(Sales_of_Jordan[[#This Row],[Sale_Date]],"mmm")</f>
        <v>Jul</v>
      </c>
    </row>
    <row r="4214" spans="1:11" x14ac:dyDescent="0.35">
      <c r="A4214" s="7" t="s">
        <v>4244</v>
      </c>
      <c r="B4214" s="8">
        <v>45068</v>
      </c>
      <c r="C4214" s="9" t="s">
        <v>31</v>
      </c>
      <c r="D4214" s="9" t="s">
        <v>53</v>
      </c>
      <c r="E4214" s="9" t="s">
        <v>13</v>
      </c>
      <c r="F4214" s="9">
        <v>200</v>
      </c>
      <c r="G4214" s="9">
        <v>115.29</v>
      </c>
      <c r="H4214" s="9" t="s">
        <v>14</v>
      </c>
      <c r="I4214" s="9">
        <v>11</v>
      </c>
      <c r="J4214" s="10">
        <v>-84.71</v>
      </c>
      <c r="K4214" s="9" t="str">
        <f>TEXT(Sales_of_Jordan[[#This Row],[Sale_Date]],"mmm")</f>
        <v>May</v>
      </c>
    </row>
    <row r="4215" spans="1:11" x14ac:dyDescent="0.35">
      <c r="A4215" s="7" t="s">
        <v>4245</v>
      </c>
      <c r="B4215" s="8">
        <v>45582</v>
      </c>
      <c r="C4215" s="9" t="s">
        <v>31</v>
      </c>
      <c r="D4215" s="9" t="s">
        <v>12</v>
      </c>
      <c r="E4215" s="9" t="s">
        <v>13</v>
      </c>
      <c r="F4215" s="9">
        <v>204</v>
      </c>
      <c r="G4215" s="9">
        <v>174.99</v>
      </c>
      <c r="H4215" s="9" t="s">
        <v>25</v>
      </c>
      <c r="I4215" s="9">
        <v>23</v>
      </c>
      <c r="J4215" s="10">
        <v>-29.009999999999899</v>
      </c>
      <c r="K4215" s="9" t="str">
        <f>TEXT(Sales_of_Jordan[[#This Row],[Sale_Date]],"mmm")</f>
        <v>Oct</v>
      </c>
    </row>
    <row r="4216" spans="1:11" x14ac:dyDescent="0.35">
      <c r="A4216" s="7" t="s">
        <v>4246</v>
      </c>
      <c r="B4216" s="8">
        <v>45600</v>
      </c>
      <c r="C4216" s="9" t="s">
        <v>16</v>
      </c>
      <c r="D4216" s="9" t="s">
        <v>39</v>
      </c>
      <c r="E4216" s="9" t="s">
        <v>29</v>
      </c>
      <c r="F4216" s="9">
        <v>182</v>
      </c>
      <c r="G4216" s="9">
        <v>214.02</v>
      </c>
      <c r="H4216" s="9" t="s">
        <v>25</v>
      </c>
      <c r="I4216" s="9">
        <v>6</v>
      </c>
      <c r="J4216" s="10">
        <v>32.020000000000003</v>
      </c>
      <c r="K4216" s="9" t="str">
        <f>TEXT(Sales_of_Jordan[[#This Row],[Sale_Date]],"mmm")</f>
        <v>Nov</v>
      </c>
    </row>
    <row r="4217" spans="1:11" x14ac:dyDescent="0.35">
      <c r="A4217" s="7" t="s">
        <v>4247</v>
      </c>
      <c r="B4217" s="8">
        <v>44978</v>
      </c>
      <c r="C4217" s="9" t="s">
        <v>16</v>
      </c>
      <c r="D4217" s="9" t="s">
        <v>39</v>
      </c>
      <c r="E4217" s="9" t="s">
        <v>29</v>
      </c>
      <c r="F4217" s="9">
        <v>182</v>
      </c>
      <c r="G4217" s="9">
        <v>185.65</v>
      </c>
      <c r="H4217" s="9" t="s">
        <v>25</v>
      </c>
      <c r="I4217" s="9">
        <v>53</v>
      </c>
      <c r="J4217" s="10">
        <v>3.65</v>
      </c>
      <c r="K4217" s="9" t="str">
        <f>TEXT(Sales_of_Jordan[[#This Row],[Sale_Date]],"mmm")</f>
        <v>Feb</v>
      </c>
    </row>
    <row r="4218" spans="1:11" x14ac:dyDescent="0.35">
      <c r="A4218" s="7" t="s">
        <v>4248</v>
      </c>
      <c r="B4218" s="8">
        <v>45659</v>
      </c>
      <c r="C4218" s="9" t="s">
        <v>16</v>
      </c>
      <c r="D4218" s="9" t="s">
        <v>39</v>
      </c>
      <c r="E4218" s="9" t="s">
        <v>29</v>
      </c>
      <c r="F4218" s="9">
        <v>178</v>
      </c>
      <c r="G4218" s="9">
        <v>163.05000000000001</v>
      </c>
      <c r="H4218" s="9" t="s">
        <v>32</v>
      </c>
      <c r="I4218" s="9">
        <v>26</v>
      </c>
      <c r="J4218" s="10">
        <v>-14.9499999999999</v>
      </c>
      <c r="K4218" s="9" t="str">
        <f>TEXT(Sales_of_Jordan[[#This Row],[Sale_Date]],"mmm")</f>
        <v>Jan</v>
      </c>
    </row>
    <row r="4219" spans="1:11" x14ac:dyDescent="0.35">
      <c r="A4219" s="7" t="s">
        <v>4249</v>
      </c>
      <c r="B4219" s="8">
        <v>45263</v>
      </c>
      <c r="C4219" s="9" t="s">
        <v>21</v>
      </c>
      <c r="D4219" s="9" t="s">
        <v>34</v>
      </c>
      <c r="E4219" s="9" t="s">
        <v>29</v>
      </c>
      <c r="F4219" s="9">
        <v>219</v>
      </c>
      <c r="G4219" s="9">
        <v>302.66000000000003</v>
      </c>
      <c r="H4219" s="9" t="s">
        <v>32</v>
      </c>
      <c r="I4219" s="9">
        <v>48</v>
      </c>
      <c r="J4219" s="10">
        <v>83.66</v>
      </c>
      <c r="K4219" s="9" t="str">
        <f>TEXT(Sales_of_Jordan[[#This Row],[Sale_Date]],"mmm")</f>
        <v>Dec</v>
      </c>
    </row>
    <row r="4220" spans="1:11" x14ac:dyDescent="0.35">
      <c r="A4220" s="7" t="s">
        <v>4250</v>
      </c>
      <c r="B4220" s="8">
        <v>44966</v>
      </c>
      <c r="C4220" s="9" t="s">
        <v>27</v>
      </c>
      <c r="D4220" s="9" t="s">
        <v>34</v>
      </c>
      <c r="E4220" s="9" t="s">
        <v>29</v>
      </c>
      <c r="F4220" s="9">
        <v>132</v>
      </c>
      <c r="G4220" s="9">
        <v>144.88999999999999</v>
      </c>
      <c r="H4220" s="9" t="s">
        <v>23</v>
      </c>
      <c r="I4220" s="9">
        <v>42</v>
      </c>
      <c r="J4220" s="10">
        <v>12.889999999999899</v>
      </c>
      <c r="K4220" s="9" t="str">
        <f>TEXT(Sales_of_Jordan[[#This Row],[Sale_Date]],"mmm")</f>
        <v>Feb</v>
      </c>
    </row>
    <row r="4221" spans="1:11" x14ac:dyDescent="0.35">
      <c r="A4221" s="7" t="s">
        <v>4251</v>
      </c>
      <c r="B4221" s="8">
        <v>45228</v>
      </c>
      <c r="C4221" s="9" t="s">
        <v>16</v>
      </c>
      <c r="D4221" s="9" t="s">
        <v>46</v>
      </c>
      <c r="E4221" s="9" t="s">
        <v>29</v>
      </c>
      <c r="F4221" s="9">
        <v>189</v>
      </c>
      <c r="G4221" s="9">
        <v>261.36</v>
      </c>
      <c r="H4221" s="9" t="s">
        <v>14</v>
      </c>
      <c r="I4221" s="9">
        <v>8</v>
      </c>
      <c r="J4221" s="10">
        <v>72.36</v>
      </c>
      <c r="K4221" s="9" t="str">
        <f>TEXT(Sales_of_Jordan[[#This Row],[Sale_Date]],"mmm")</f>
        <v>Oct</v>
      </c>
    </row>
    <row r="4222" spans="1:11" x14ac:dyDescent="0.35">
      <c r="A4222" s="7" t="s">
        <v>4252</v>
      </c>
      <c r="B4222" s="8">
        <v>45152</v>
      </c>
      <c r="C4222" s="9" t="s">
        <v>21</v>
      </c>
      <c r="D4222" s="9" t="s">
        <v>17</v>
      </c>
      <c r="E4222" s="9" t="s">
        <v>18</v>
      </c>
      <c r="F4222" s="9">
        <v>210</v>
      </c>
      <c r="G4222" s="9">
        <v>277.01</v>
      </c>
      <c r="H4222" s="9" t="s">
        <v>25</v>
      </c>
      <c r="I4222" s="9">
        <v>53</v>
      </c>
      <c r="J4222" s="10">
        <v>67.009999999999906</v>
      </c>
      <c r="K4222" s="9" t="str">
        <f>TEXT(Sales_of_Jordan[[#This Row],[Sale_Date]],"mmm")</f>
        <v>Aug</v>
      </c>
    </row>
    <row r="4223" spans="1:11" x14ac:dyDescent="0.35">
      <c r="A4223" s="7" t="s">
        <v>4253</v>
      </c>
      <c r="B4223" s="8">
        <v>45243</v>
      </c>
      <c r="C4223" s="9" t="s">
        <v>27</v>
      </c>
      <c r="D4223" s="9" t="s">
        <v>39</v>
      </c>
      <c r="E4223" s="9" t="s">
        <v>29</v>
      </c>
      <c r="F4223" s="9">
        <v>124</v>
      </c>
      <c r="G4223" s="9">
        <v>181.7</v>
      </c>
      <c r="H4223" s="9" t="s">
        <v>25</v>
      </c>
      <c r="I4223" s="9">
        <v>14</v>
      </c>
      <c r="J4223" s="10">
        <v>57.699999999999903</v>
      </c>
      <c r="K4223" s="9" t="str">
        <f>TEXT(Sales_of_Jordan[[#This Row],[Sale_Date]],"mmm")</f>
        <v>Nov</v>
      </c>
    </row>
    <row r="4224" spans="1:11" x14ac:dyDescent="0.35">
      <c r="A4224" s="7" t="s">
        <v>4254</v>
      </c>
      <c r="B4224" s="8">
        <v>45470</v>
      </c>
      <c r="C4224" s="9" t="s">
        <v>21</v>
      </c>
      <c r="D4224" s="9" t="s">
        <v>12</v>
      </c>
      <c r="E4224" s="9" t="s">
        <v>18</v>
      </c>
      <c r="F4224" s="9">
        <v>212</v>
      </c>
      <c r="G4224" s="9">
        <v>354.51</v>
      </c>
      <c r="H4224" s="9" t="s">
        <v>19</v>
      </c>
      <c r="I4224" s="9">
        <v>1</v>
      </c>
      <c r="J4224" s="10">
        <v>142.51</v>
      </c>
      <c r="K4224" s="9" t="str">
        <f>TEXT(Sales_of_Jordan[[#This Row],[Sale_Date]],"mmm")</f>
        <v>Jun</v>
      </c>
    </row>
    <row r="4225" spans="1:11" x14ac:dyDescent="0.35">
      <c r="A4225" s="7" t="s">
        <v>4255</v>
      </c>
      <c r="B4225" s="8">
        <v>45338</v>
      </c>
      <c r="C4225" s="9" t="s">
        <v>21</v>
      </c>
      <c r="D4225" s="9" t="s">
        <v>17</v>
      </c>
      <c r="E4225" s="9" t="s">
        <v>13</v>
      </c>
      <c r="F4225" s="9">
        <v>213</v>
      </c>
      <c r="G4225" s="9">
        <v>170.48</v>
      </c>
      <c r="H4225" s="9" t="s">
        <v>23</v>
      </c>
      <c r="I4225" s="9">
        <v>41</v>
      </c>
      <c r="J4225" s="10">
        <v>-42.52</v>
      </c>
      <c r="K4225" s="9" t="str">
        <f>TEXT(Sales_of_Jordan[[#This Row],[Sale_Date]],"mmm")</f>
        <v>Feb</v>
      </c>
    </row>
    <row r="4226" spans="1:11" x14ac:dyDescent="0.35">
      <c r="A4226" s="7" t="s">
        <v>4256</v>
      </c>
      <c r="B4226" s="8">
        <v>45428</v>
      </c>
      <c r="C4226" s="9" t="s">
        <v>31</v>
      </c>
      <c r="D4226" s="9" t="s">
        <v>34</v>
      </c>
      <c r="E4226" s="9" t="s">
        <v>13</v>
      </c>
      <c r="F4226" s="9">
        <v>202</v>
      </c>
      <c r="G4226" s="9">
        <v>158.12</v>
      </c>
      <c r="H4226" s="9" t="s">
        <v>19</v>
      </c>
      <c r="I4226" s="9">
        <v>2</v>
      </c>
      <c r="J4226" s="10">
        <v>-43.879999999999903</v>
      </c>
      <c r="K4226" s="9" t="str">
        <f>TEXT(Sales_of_Jordan[[#This Row],[Sale_Date]],"mmm")</f>
        <v>May</v>
      </c>
    </row>
    <row r="4227" spans="1:11" x14ac:dyDescent="0.35">
      <c r="A4227" s="7" t="s">
        <v>4257</v>
      </c>
      <c r="B4227" s="8">
        <v>45401</v>
      </c>
      <c r="C4227" s="9" t="s">
        <v>16</v>
      </c>
      <c r="D4227" s="9" t="s">
        <v>39</v>
      </c>
      <c r="E4227" s="9" t="s">
        <v>18</v>
      </c>
      <c r="F4227" s="9">
        <v>173</v>
      </c>
      <c r="G4227" s="9">
        <v>559.33000000000004</v>
      </c>
      <c r="H4227" s="9" t="s">
        <v>25</v>
      </c>
      <c r="I4227" s="9">
        <v>22</v>
      </c>
      <c r="J4227" s="10">
        <v>386.33</v>
      </c>
      <c r="K4227" s="9" t="str">
        <f>TEXT(Sales_of_Jordan[[#This Row],[Sale_Date]],"mmm")</f>
        <v>Apr</v>
      </c>
    </row>
    <row r="4228" spans="1:11" x14ac:dyDescent="0.35">
      <c r="A4228" s="7" t="s">
        <v>4258</v>
      </c>
      <c r="B4228" s="8">
        <v>45261</v>
      </c>
      <c r="C4228" s="9" t="s">
        <v>11</v>
      </c>
      <c r="D4228" s="9" t="s">
        <v>12</v>
      </c>
      <c r="E4228" s="9" t="s">
        <v>29</v>
      </c>
      <c r="F4228" s="9">
        <v>229</v>
      </c>
      <c r="G4228" s="9">
        <v>302.32</v>
      </c>
      <c r="H4228" s="9" t="s">
        <v>19</v>
      </c>
      <c r="I4228" s="9">
        <v>3</v>
      </c>
      <c r="J4228" s="10">
        <v>73.319999999999993</v>
      </c>
      <c r="K4228" s="9" t="str">
        <f>TEXT(Sales_of_Jordan[[#This Row],[Sale_Date]],"mmm")</f>
        <v>Dec</v>
      </c>
    </row>
    <row r="4229" spans="1:11" x14ac:dyDescent="0.35">
      <c r="A4229" s="7" t="s">
        <v>4259</v>
      </c>
      <c r="B4229" s="8">
        <v>45519</v>
      </c>
      <c r="C4229" s="9" t="s">
        <v>21</v>
      </c>
      <c r="D4229" s="9" t="s">
        <v>36</v>
      </c>
      <c r="E4229" s="9" t="s">
        <v>29</v>
      </c>
      <c r="F4229" s="9">
        <v>214</v>
      </c>
      <c r="G4229" s="9">
        <v>255.24</v>
      </c>
      <c r="H4229" s="9" t="s">
        <v>23</v>
      </c>
      <c r="I4229" s="9">
        <v>24</v>
      </c>
      <c r="J4229" s="10">
        <v>41.24</v>
      </c>
      <c r="K4229" s="9" t="str">
        <f>TEXT(Sales_of_Jordan[[#This Row],[Sale_Date]],"mmm")</f>
        <v>Aug</v>
      </c>
    </row>
    <row r="4230" spans="1:11" x14ac:dyDescent="0.35">
      <c r="A4230" s="7" t="s">
        <v>4260</v>
      </c>
      <c r="B4230" s="8">
        <v>45799</v>
      </c>
      <c r="C4230" s="9" t="s">
        <v>27</v>
      </c>
      <c r="D4230" s="9" t="s">
        <v>12</v>
      </c>
      <c r="E4230" s="9" t="s">
        <v>18</v>
      </c>
      <c r="F4230" s="9">
        <v>114</v>
      </c>
      <c r="G4230" s="9">
        <v>287.2</v>
      </c>
      <c r="H4230" s="9" t="s">
        <v>25</v>
      </c>
      <c r="I4230" s="9">
        <v>33</v>
      </c>
      <c r="J4230" s="10">
        <v>173.2</v>
      </c>
      <c r="K4230" s="9" t="str">
        <f>TEXT(Sales_of_Jordan[[#This Row],[Sale_Date]],"mmm")</f>
        <v>May</v>
      </c>
    </row>
    <row r="4231" spans="1:11" x14ac:dyDescent="0.35">
      <c r="A4231" s="7" t="s">
        <v>4261</v>
      </c>
      <c r="B4231" s="8">
        <v>45187</v>
      </c>
      <c r="C4231" s="9" t="s">
        <v>31</v>
      </c>
      <c r="D4231" s="9" t="s">
        <v>39</v>
      </c>
      <c r="E4231" s="9" t="s">
        <v>18</v>
      </c>
      <c r="F4231" s="9">
        <v>210</v>
      </c>
      <c r="G4231" s="9">
        <v>618.47</v>
      </c>
      <c r="H4231" s="9" t="s">
        <v>25</v>
      </c>
      <c r="I4231" s="9">
        <v>35</v>
      </c>
      <c r="J4231" s="10">
        <v>408.47</v>
      </c>
      <c r="K4231" s="9" t="str">
        <f>TEXT(Sales_of_Jordan[[#This Row],[Sale_Date]],"mmm")</f>
        <v>Sep</v>
      </c>
    </row>
    <row r="4232" spans="1:11" x14ac:dyDescent="0.35">
      <c r="A4232" s="7" t="s">
        <v>4262</v>
      </c>
      <c r="B4232" s="8">
        <v>45577</v>
      </c>
      <c r="C4232" s="9" t="s">
        <v>31</v>
      </c>
      <c r="D4232" s="9" t="s">
        <v>55</v>
      </c>
      <c r="E4232" s="9" t="s">
        <v>13</v>
      </c>
      <c r="F4232" s="9">
        <v>203</v>
      </c>
      <c r="G4232" s="9">
        <v>108.54</v>
      </c>
      <c r="H4232" s="9" t="s">
        <v>32</v>
      </c>
      <c r="I4232" s="9">
        <v>26</v>
      </c>
      <c r="J4232" s="10">
        <v>-94.46</v>
      </c>
      <c r="K4232" s="9" t="str">
        <f>TEXT(Sales_of_Jordan[[#This Row],[Sale_Date]],"mmm")</f>
        <v>Oct</v>
      </c>
    </row>
    <row r="4233" spans="1:11" x14ac:dyDescent="0.35">
      <c r="A4233" s="7" t="s">
        <v>4263</v>
      </c>
      <c r="B4233" s="8">
        <v>45588</v>
      </c>
      <c r="C4233" s="9" t="s">
        <v>16</v>
      </c>
      <c r="D4233" s="9" t="s">
        <v>36</v>
      </c>
      <c r="E4233" s="9" t="s">
        <v>13</v>
      </c>
      <c r="F4233" s="9">
        <v>180</v>
      </c>
      <c r="G4233" s="9">
        <v>130.58000000000001</v>
      </c>
      <c r="H4233" s="9" t="s">
        <v>32</v>
      </c>
      <c r="I4233" s="9">
        <v>33</v>
      </c>
      <c r="J4233" s="10">
        <v>-49.419999999999902</v>
      </c>
      <c r="K4233" s="9" t="str">
        <f>TEXT(Sales_of_Jordan[[#This Row],[Sale_Date]],"mmm")</f>
        <v>Oct</v>
      </c>
    </row>
    <row r="4234" spans="1:11" x14ac:dyDescent="0.35">
      <c r="A4234" s="7" t="s">
        <v>4264</v>
      </c>
      <c r="B4234" s="8">
        <v>45487</v>
      </c>
      <c r="C4234" s="9" t="s">
        <v>11</v>
      </c>
      <c r="D4234" s="9" t="s">
        <v>39</v>
      </c>
      <c r="E4234" s="9" t="s">
        <v>18</v>
      </c>
      <c r="F4234" s="9">
        <v>229</v>
      </c>
      <c r="G4234" s="9">
        <v>722.22</v>
      </c>
      <c r="H4234" s="9" t="s">
        <v>25</v>
      </c>
      <c r="I4234" s="9">
        <v>33</v>
      </c>
      <c r="J4234" s="10">
        <v>493.22</v>
      </c>
      <c r="K4234" s="9" t="str">
        <f>TEXT(Sales_of_Jordan[[#This Row],[Sale_Date]],"mmm")</f>
        <v>Jul</v>
      </c>
    </row>
    <row r="4235" spans="1:11" x14ac:dyDescent="0.35">
      <c r="A4235" s="7" t="s">
        <v>4265</v>
      </c>
      <c r="B4235" s="8">
        <v>45424</v>
      </c>
      <c r="C4235" s="9" t="s">
        <v>11</v>
      </c>
      <c r="D4235" s="9" t="s">
        <v>17</v>
      </c>
      <c r="E4235" s="9" t="s">
        <v>13</v>
      </c>
      <c r="F4235" s="9">
        <v>225</v>
      </c>
      <c r="G4235" s="9">
        <v>137.13999999999999</v>
      </c>
      <c r="H4235" s="9" t="s">
        <v>14</v>
      </c>
      <c r="I4235" s="9">
        <v>2</v>
      </c>
      <c r="J4235" s="10">
        <v>-87.86</v>
      </c>
      <c r="K4235" s="9" t="str">
        <f>TEXT(Sales_of_Jordan[[#This Row],[Sale_Date]],"mmm")</f>
        <v>May</v>
      </c>
    </row>
    <row r="4236" spans="1:11" x14ac:dyDescent="0.35">
      <c r="A4236" s="7" t="s">
        <v>4266</v>
      </c>
      <c r="B4236" s="8">
        <v>45459</v>
      </c>
      <c r="C4236" s="9" t="s">
        <v>31</v>
      </c>
      <c r="D4236" s="9" t="s">
        <v>55</v>
      </c>
      <c r="E4236" s="9" t="s">
        <v>18</v>
      </c>
      <c r="F4236" s="9">
        <v>209</v>
      </c>
      <c r="G4236" s="9">
        <v>383.85</v>
      </c>
      <c r="H4236" s="9" t="s">
        <v>19</v>
      </c>
      <c r="I4236" s="9">
        <v>12</v>
      </c>
      <c r="J4236" s="10">
        <v>174.85</v>
      </c>
      <c r="K4236" s="9" t="str">
        <f>TEXT(Sales_of_Jordan[[#This Row],[Sale_Date]],"mmm")</f>
        <v>Jun</v>
      </c>
    </row>
    <row r="4237" spans="1:11" x14ac:dyDescent="0.35">
      <c r="A4237" s="7" t="s">
        <v>4267</v>
      </c>
      <c r="B4237" s="8">
        <v>45034</v>
      </c>
      <c r="C4237" s="9" t="s">
        <v>11</v>
      </c>
      <c r="D4237" s="9" t="s">
        <v>55</v>
      </c>
      <c r="E4237" s="9" t="s">
        <v>18</v>
      </c>
      <c r="F4237" s="9">
        <v>229</v>
      </c>
      <c r="G4237" s="9">
        <v>410.32</v>
      </c>
      <c r="H4237" s="9" t="s">
        <v>32</v>
      </c>
      <c r="I4237" s="9">
        <v>5</v>
      </c>
      <c r="J4237" s="10">
        <v>181.32</v>
      </c>
      <c r="K4237" s="9" t="str">
        <f>TEXT(Sales_of_Jordan[[#This Row],[Sale_Date]],"mmm")</f>
        <v>Apr</v>
      </c>
    </row>
    <row r="4238" spans="1:11" x14ac:dyDescent="0.35">
      <c r="A4238" s="7" t="s">
        <v>4268</v>
      </c>
      <c r="B4238" s="8">
        <v>45472</v>
      </c>
      <c r="C4238" s="9" t="s">
        <v>21</v>
      </c>
      <c r="D4238" s="9" t="s">
        <v>55</v>
      </c>
      <c r="E4238" s="9" t="s">
        <v>29</v>
      </c>
      <c r="F4238" s="9">
        <v>223</v>
      </c>
      <c r="G4238" s="9">
        <v>243.26</v>
      </c>
      <c r="H4238" s="9" t="s">
        <v>32</v>
      </c>
      <c r="I4238" s="9">
        <v>49</v>
      </c>
      <c r="J4238" s="10">
        <v>20.259999999999899</v>
      </c>
      <c r="K4238" s="9" t="str">
        <f>TEXT(Sales_of_Jordan[[#This Row],[Sale_Date]],"mmm")</f>
        <v>Jun</v>
      </c>
    </row>
    <row r="4239" spans="1:11" x14ac:dyDescent="0.35">
      <c r="A4239" s="7" t="s">
        <v>4269</v>
      </c>
      <c r="B4239" s="8">
        <v>45588</v>
      </c>
      <c r="C4239" s="9" t="s">
        <v>21</v>
      </c>
      <c r="D4239" s="9" t="s">
        <v>12</v>
      </c>
      <c r="E4239" s="9" t="s">
        <v>13</v>
      </c>
      <c r="F4239" s="9">
        <v>221</v>
      </c>
      <c r="G4239" s="9">
        <v>136.25</v>
      </c>
      <c r="H4239" s="9" t="s">
        <v>19</v>
      </c>
      <c r="I4239" s="9">
        <v>13</v>
      </c>
      <c r="J4239" s="10">
        <v>-84.75</v>
      </c>
      <c r="K4239" s="9" t="str">
        <f>TEXT(Sales_of_Jordan[[#This Row],[Sale_Date]],"mmm")</f>
        <v>Oct</v>
      </c>
    </row>
    <row r="4240" spans="1:11" x14ac:dyDescent="0.35">
      <c r="A4240" s="7" t="s">
        <v>4270</v>
      </c>
      <c r="B4240" s="8">
        <v>45463</v>
      </c>
      <c r="C4240" s="9" t="s">
        <v>27</v>
      </c>
      <c r="D4240" s="9" t="s">
        <v>55</v>
      </c>
      <c r="E4240" s="9" t="s">
        <v>18</v>
      </c>
      <c r="F4240" s="9">
        <v>129</v>
      </c>
      <c r="G4240" s="9">
        <v>294.68</v>
      </c>
      <c r="H4240" s="9" t="s">
        <v>32</v>
      </c>
      <c r="I4240" s="9">
        <v>31</v>
      </c>
      <c r="J4240" s="10">
        <v>165.68</v>
      </c>
      <c r="K4240" s="9" t="str">
        <f>TEXT(Sales_of_Jordan[[#This Row],[Sale_Date]],"mmm")</f>
        <v>Jun</v>
      </c>
    </row>
    <row r="4241" spans="1:11" x14ac:dyDescent="0.35">
      <c r="A4241" s="7" t="s">
        <v>4271</v>
      </c>
      <c r="B4241" s="8">
        <v>45745</v>
      </c>
      <c r="C4241" s="9" t="s">
        <v>27</v>
      </c>
      <c r="D4241" s="9" t="s">
        <v>39</v>
      </c>
      <c r="E4241" s="9" t="s">
        <v>13</v>
      </c>
      <c r="F4241" s="9">
        <v>131</v>
      </c>
      <c r="G4241" s="9">
        <v>106.07</v>
      </c>
      <c r="H4241" s="9" t="s">
        <v>23</v>
      </c>
      <c r="I4241" s="9">
        <v>29</v>
      </c>
      <c r="J4241" s="10">
        <v>-24.93</v>
      </c>
      <c r="K4241" s="9" t="str">
        <f>TEXT(Sales_of_Jordan[[#This Row],[Sale_Date]],"mmm")</f>
        <v>Mar</v>
      </c>
    </row>
    <row r="4242" spans="1:11" x14ac:dyDescent="0.35">
      <c r="A4242" s="7" t="s">
        <v>4272</v>
      </c>
      <c r="B4242" s="8">
        <v>45872</v>
      </c>
      <c r="C4242" s="9" t="s">
        <v>27</v>
      </c>
      <c r="D4242" s="9" t="s">
        <v>22</v>
      </c>
      <c r="E4242" s="9" t="s">
        <v>18</v>
      </c>
      <c r="F4242" s="9">
        <v>127</v>
      </c>
      <c r="G4242" s="9">
        <v>239.65</v>
      </c>
      <c r="H4242" s="9" t="s">
        <v>23</v>
      </c>
      <c r="I4242" s="9">
        <v>52</v>
      </c>
      <c r="J4242" s="10">
        <v>112.65</v>
      </c>
      <c r="K4242" s="9" t="str">
        <f>TEXT(Sales_of_Jordan[[#This Row],[Sale_Date]],"mmm")</f>
        <v>Aug</v>
      </c>
    </row>
    <row r="4243" spans="1:11" x14ac:dyDescent="0.35">
      <c r="A4243" s="7" t="s">
        <v>4273</v>
      </c>
      <c r="B4243" s="8">
        <v>45095</v>
      </c>
      <c r="C4243" s="9" t="s">
        <v>31</v>
      </c>
      <c r="D4243" s="9" t="s">
        <v>46</v>
      </c>
      <c r="E4243" s="9" t="s">
        <v>13</v>
      </c>
      <c r="F4243" s="9">
        <v>201</v>
      </c>
      <c r="G4243" s="9">
        <v>131.71</v>
      </c>
      <c r="H4243" s="9" t="s">
        <v>25</v>
      </c>
      <c r="I4243" s="9">
        <v>59</v>
      </c>
      <c r="J4243" s="10">
        <v>-69.289999999999907</v>
      </c>
      <c r="K4243" s="9" t="str">
        <f>TEXT(Sales_of_Jordan[[#This Row],[Sale_Date]],"mmm")</f>
        <v>Jun</v>
      </c>
    </row>
    <row r="4244" spans="1:11" x14ac:dyDescent="0.35">
      <c r="A4244" s="7" t="s">
        <v>4274</v>
      </c>
      <c r="B4244" s="8">
        <v>45760</v>
      </c>
      <c r="C4244" s="9" t="s">
        <v>11</v>
      </c>
      <c r="D4244" s="9" t="s">
        <v>36</v>
      </c>
      <c r="E4244" s="9" t="s">
        <v>18</v>
      </c>
      <c r="F4244" s="9">
        <v>229</v>
      </c>
      <c r="G4244" s="9">
        <v>559.61</v>
      </c>
      <c r="H4244" s="9" t="s">
        <v>23</v>
      </c>
      <c r="I4244" s="9">
        <v>23</v>
      </c>
      <c r="J4244" s="10">
        <v>330.61</v>
      </c>
      <c r="K4244" s="9" t="str">
        <f>TEXT(Sales_of_Jordan[[#This Row],[Sale_Date]],"mmm")</f>
        <v>Apr</v>
      </c>
    </row>
    <row r="4245" spans="1:11" x14ac:dyDescent="0.35">
      <c r="A4245" s="7" t="s">
        <v>4275</v>
      </c>
      <c r="B4245" s="8">
        <v>45438</v>
      </c>
      <c r="C4245" s="9" t="s">
        <v>21</v>
      </c>
      <c r="D4245" s="9" t="s">
        <v>55</v>
      </c>
      <c r="E4245" s="9" t="s">
        <v>13</v>
      </c>
      <c r="F4245" s="9">
        <v>219</v>
      </c>
      <c r="G4245" s="9">
        <v>156.27000000000001</v>
      </c>
      <c r="H4245" s="9" t="s">
        <v>14</v>
      </c>
      <c r="I4245" s="9">
        <v>7</v>
      </c>
      <c r="J4245" s="10">
        <v>-62.729999999999897</v>
      </c>
      <c r="K4245" s="9" t="str">
        <f>TEXT(Sales_of_Jordan[[#This Row],[Sale_Date]],"mmm")</f>
        <v>May</v>
      </c>
    </row>
    <row r="4246" spans="1:11" x14ac:dyDescent="0.35">
      <c r="A4246" s="7" t="s">
        <v>4276</v>
      </c>
      <c r="B4246" s="8">
        <v>44954</v>
      </c>
      <c r="C4246" s="9" t="s">
        <v>16</v>
      </c>
      <c r="D4246" s="9" t="s">
        <v>22</v>
      </c>
      <c r="E4246" s="9" t="s">
        <v>29</v>
      </c>
      <c r="F4246" s="9">
        <v>184</v>
      </c>
      <c r="G4246" s="9">
        <v>211.79</v>
      </c>
      <c r="H4246" s="9" t="s">
        <v>19</v>
      </c>
      <c r="I4246" s="9">
        <v>9</v>
      </c>
      <c r="J4246" s="10">
        <v>27.7899999999999</v>
      </c>
      <c r="K4246" s="9" t="str">
        <f>TEXT(Sales_of_Jordan[[#This Row],[Sale_Date]],"mmm")</f>
        <v>Jan</v>
      </c>
    </row>
    <row r="4247" spans="1:11" x14ac:dyDescent="0.35">
      <c r="A4247" s="7" t="s">
        <v>4277</v>
      </c>
      <c r="B4247" s="8">
        <v>45240</v>
      </c>
      <c r="C4247" s="9" t="s">
        <v>11</v>
      </c>
      <c r="D4247" s="9" t="s">
        <v>39</v>
      </c>
      <c r="E4247" s="9" t="s">
        <v>18</v>
      </c>
      <c r="F4247" s="9">
        <v>230</v>
      </c>
      <c r="G4247" s="9">
        <v>760.8</v>
      </c>
      <c r="H4247" s="9" t="s">
        <v>14</v>
      </c>
      <c r="I4247" s="9">
        <v>8</v>
      </c>
      <c r="J4247" s="10">
        <v>530.79999999999995</v>
      </c>
      <c r="K4247" s="9" t="str">
        <f>TEXT(Sales_of_Jordan[[#This Row],[Sale_Date]],"mmm")</f>
        <v>Nov</v>
      </c>
    </row>
    <row r="4248" spans="1:11" x14ac:dyDescent="0.35">
      <c r="A4248" s="7" t="s">
        <v>4278</v>
      </c>
      <c r="B4248" s="8">
        <v>44986</v>
      </c>
      <c r="C4248" s="9" t="s">
        <v>31</v>
      </c>
      <c r="D4248" s="9" t="s">
        <v>46</v>
      </c>
      <c r="E4248" s="9" t="s">
        <v>13</v>
      </c>
      <c r="F4248" s="9">
        <v>205</v>
      </c>
      <c r="G4248" s="9">
        <v>123.38</v>
      </c>
      <c r="H4248" s="9" t="s">
        <v>32</v>
      </c>
      <c r="I4248" s="9">
        <v>44</v>
      </c>
      <c r="J4248" s="10">
        <v>-81.62</v>
      </c>
      <c r="K4248" s="9" t="str">
        <f>TEXT(Sales_of_Jordan[[#This Row],[Sale_Date]],"mmm")</f>
        <v>Mar</v>
      </c>
    </row>
    <row r="4249" spans="1:11" x14ac:dyDescent="0.35">
      <c r="A4249" s="7" t="s">
        <v>4279</v>
      </c>
      <c r="B4249" s="8">
        <v>45259</v>
      </c>
      <c r="C4249" s="9" t="s">
        <v>21</v>
      </c>
      <c r="D4249" s="9" t="s">
        <v>17</v>
      </c>
      <c r="E4249" s="9" t="s">
        <v>13</v>
      </c>
      <c r="F4249" s="9">
        <v>224</v>
      </c>
      <c r="G4249" s="9">
        <v>182.19</v>
      </c>
      <c r="H4249" s="9" t="s">
        <v>23</v>
      </c>
      <c r="I4249" s="9">
        <v>12</v>
      </c>
      <c r="J4249" s="10">
        <v>-41.81</v>
      </c>
      <c r="K4249" s="9" t="str">
        <f>TEXT(Sales_of_Jordan[[#This Row],[Sale_Date]],"mmm")</f>
        <v>Nov</v>
      </c>
    </row>
    <row r="4250" spans="1:11" x14ac:dyDescent="0.35">
      <c r="A4250" s="7" t="s">
        <v>4280</v>
      </c>
      <c r="B4250" s="8">
        <v>45709</v>
      </c>
      <c r="C4250" s="9" t="s">
        <v>31</v>
      </c>
      <c r="D4250" s="9" t="s">
        <v>53</v>
      </c>
      <c r="E4250" s="9" t="s">
        <v>18</v>
      </c>
      <c r="F4250" s="9">
        <v>204</v>
      </c>
      <c r="G4250" s="9">
        <v>267.64999999999998</v>
      </c>
      <c r="H4250" s="9" t="s">
        <v>19</v>
      </c>
      <c r="I4250" s="9">
        <v>14</v>
      </c>
      <c r="J4250" s="10">
        <v>63.649999999999899</v>
      </c>
      <c r="K4250" s="9" t="str">
        <f>TEXT(Sales_of_Jordan[[#This Row],[Sale_Date]],"mmm")</f>
        <v>Feb</v>
      </c>
    </row>
    <row r="4251" spans="1:11" x14ac:dyDescent="0.35">
      <c r="A4251" s="7" t="s">
        <v>4281</v>
      </c>
      <c r="B4251" s="8">
        <v>45643</v>
      </c>
      <c r="C4251" s="9" t="s">
        <v>21</v>
      </c>
      <c r="D4251" s="9" t="s">
        <v>39</v>
      </c>
      <c r="E4251" s="9" t="s">
        <v>13</v>
      </c>
      <c r="F4251" s="9">
        <v>218</v>
      </c>
      <c r="G4251" s="9">
        <v>171.13</v>
      </c>
      <c r="H4251" s="9" t="s">
        <v>23</v>
      </c>
      <c r="I4251" s="9">
        <v>33</v>
      </c>
      <c r="J4251" s="10">
        <v>-46.87</v>
      </c>
      <c r="K4251" s="9" t="str">
        <f>TEXT(Sales_of_Jordan[[#This Row],[Sale_Date]],"mmm")</f>
        <v>Dec</v>
      </c>
    </row>
    <row r="4252" spans="1:11" x14ac:dyDescent="0.35">
      <c r="A4252" s="7" t="s">
        <v>4282</v>
      </c>
      <c r="B4252" s="8">
        <v>44936</v>
      </c>
      <c r="C4252" s="9" t="s">
        <v>16</v>
      </c>
      <c r="D4252" s="9" t="s">
        <v>36</v>
      </c>
      <c r="E4252" s="9" t="s">
        <v>29</v>
      </c>
      <c r="F4252" s="9">
        <v>186</v>
      </c>
      <c r="G4252" s="9">
        <v>167.84</v>
      </c>
      <c r="H4252" s="9" t="s">
        <v>32</v>
      </c>
      <c r="I4252" s="9">
        <v>31</v>
      </c>
      <c r="J4252" s="10">
        <v>-18.159999999999901</v>
      </c>
      <c r="K4252" s="9" t="str">
        <f>TEXT(Sales_of_Jordan[[#This Row],[Sale_Date]],"mmm")</f>
        <v>Jan</v>
      </c>
    </row>
    <row r="4253" spans="1:11" x14ac:dyDescent="0.35">
      <c r="A4253" s="7" t="s">
        <v>4283</v>
      </c>
      <c r="B4253" s="8">
        <v>45220</v>
      </c>
      <c r="C4253" s="9" t="s">
        <v>31</v>
      </c>
      <c r="D4253" s="9" t="s">
        <v>39</v>
      </c>
      <c r="E4253" s="9" t="s">
        <v>13</v>
      </c>
      <c r="F4253" s="9">
        <v>207</v>
      </c>
      <c r="G4253" s="9">
        <v>115.55</v>
      </c>
      <c r="H4253" s="9" t="s">
        <v>32</v>
      </c>
      <c r="I4253" s="9">
        <v>50</v>
      </c>
      <c r="J4253" s="10">
        <v>-91.45</v>
      </c>
      <c r="K4253" s="9" t="str">
        <f>TEXT(Sales_of_Jordan[[#This Row],[Sale_Date]],"mmm")</f>
        <v>Oct</v>
      </c>
    </row>
    <row r="4254" spans="1:11" x14ac:dyDescent="0.35">
      <c r="A4254" s="7" t="s">
        <v>4284</v>
      </c>
      <c r="B4254" s="8">
        <v>45843</v>
      </c>
      <c r="C4254" s="9" t="s">
        <v>16</v>
      </c>
      <c r="D4254" s="9" t="s">
        <v>22</v>
      </c>
      <c r="E4254" s="9" t="s">
        <v>18</v>
      </c>
      <c r="F4254" s="9">
        <v>182</v>
      </c>
      <c r="G4254" s="9">
        <v>328.68</v>
      </c>
      <c r="H4254" s="9" t="s">
        <v>25</v>
      </c>
      <c r="I4254" s="9">
        <v>43</v>
      </c>
      <c r="J4254" s="10">
        <v>146.68</v>
      </c>
      <c r="K4254" s="9" t="str">
        <f>TEXT(Sales_of_Jordan[[#This Row],[Sale_Date]],"mmm")</f>
        <v>Jul</v>
      </c>
    </row>
    <row r="4255" spans="1:11" x14ac:dyDescent="0.35">
      <c r="A4255" s="7" t="s">
        <v>4285</v>
      </c>
      <c r="B4255" s="8">
        <v>45172</v>
      </c>
      <c r="C4255" s="9" t="s">
        <v>21</v>
      </c>
      <c r="D4255" s="9" t="s">
        <v>34</v>
      </c>
      <c r="E4255" s="9" t="s">
        <v>13</v>
      </c>
      <c r="F4255" s="9">
        <v>223</v>
      </c>
      <c r="G4255" s="9">
        <v>154.15</v>
      </c>
      <c r="H4255" s="9" t="s">
        <v>23</v>
      </c>
      <c r="I4255" s="9">
        <v>18</v>
      </c>
      <c r="J4255" s="10">
        <v>-68.849999999999994</v>
      </c>
      <c r="K4255" s="9" t="str">
        <f>TEXT(Sales_of_Jordan[[#This Row],[Sale_Date]],"mmm")</f>
        <v>Sep</v>
      </c>
    </row>
    <row r="4256" spans="1:11" x14ac:dyDescent="0.35">
      <c r="A4256" s="7" t="s">
        <v>4286</v>
      </c>
      <c r="B4256" s="8">
        <v>45797</v>
      </c>
      <c r="C4256" s="9" t="s">
        <v>16</v>
      </c>
      <c r="D4256" s="9" t="s">
        <v>39</v>
      </c>
      <c r="E4256" s="9" t="s">
        <v>29</v>
      </c>
      <c r="F4256" s="9">
        <v>180</v>
      </c>
      <c r="G4256" s="9">
        <v>269.04000000000002</v>
      </c>
      <c r="H4256" s="9" t="s">
        <v>32</v>
      </c>
      <c r="I4256" s="9">
        <v>22</v>
      </c>
      <c r="J4256" s="10">
        <v>89.04</v>
      </c>
      <c r="K4256" s="9" t="str">
        <f>TEXT(Sales_of_Jordan[[#This Row],[Sale_Date]],"mmm")</f>
        <v>May</v>
      </c>
    </row>
    <row r="4257" spans="1:11" x14ac:dyDescent="0.35">
      <c r="A4257" s="7" t="s">
        <v>4287</v>
      </c>
      <c r="B4257" s="8">
        <v>45725</v>
      </c>
      <c r="C4257" s="9" t="s">
        <v>21</v>
      </c>
      <c r="D4257" s="9" t="s">
        <v>39</v>
      </c>
      <c r="E4257" s="9" t="s">
        <v>29</v>
      </c>
      <c r="F4257" s="9">
        <v>224</v>
      </c>
      <c r="G4257" s="9">
        <v>231.71</v>
      </c>
      <c r="H4257" s="9" t="s">
        <v>25</v>
      </c>
      <c r="I4257" s="9">
        <v>27</v>
      </c>
      <c r="J4257" s="10">
        <v>7.71</v>
      </c>
      <c r="K4257" s="9" t="str">
        <f>TEXT(Sales_of_Jordan[[#This Row],[Sale_Date]],"mmm")</f>
        <v>Mar</v>
      </c>
    </row>
    <row r="4258" spans="1:11" x14ac:dyDescent="0.35">
      <c r="A4258" s="7" t="s">
        <v>4288</v>
      </c>
      <c r="B4258" s="8">
        <v>45885</v>
      </c>
      <c r="C4258" s="9" t="s">
        <v>31</v>
      </c>
      <c r="D4258" s="9" t="s">
        <v>34</v>
      </c>
      <c r="E4258" s="9" t="s">
        <v>18</v>
      </c>
      <c r="F4258" s="9">
        <v>205</v>
      </c>
      <c r="G4258" s="9">
        <v>626.12</v>
      </c>
      <c r="H4258" s="9" t="s">
        <v>19</v>
      </c>
      <c r="I4258" s="9">
        <v>9</v>
      </c>
      <c r="J4258" s="10">
        <v>421.12</v>
      </c>
      <c r="K4258" s="9" t="str">
        <f>TEXT(Sales_of_Jordan[[#This Row],[Sale_Date]],"mmm")</f>
        <v>Aug</v>
      </c>
    </row>
    <row r="4259" spans="1:11" x14ac:dyDescent="0.35">
      <c r="A4259" s="7" t="s">
        <v>4289</v>
      </c>
      <c r="B4259" s="8">
        <v>45804</v>
      </c>
      <c r="C4259" s="9" t="s">
        <v>27</v>
      </c>
      <c r="D4259" s="9" t="s">
        <v>53</v>
      </c>
      <c r="E4259" s="9" t="s">
        <v>18</v>
      </c>
      <c r="F4259" s="9">
        <v>134</v>
      </c>
      <c r="G4259" s="9">
        <v>263.2</v>
      </c>
      <c r="H4259" s="9" t="s">
        <v>19</v>
      </c>
      <c r="I4259" s="9">
        <v>10</v>
      </c>
      <c r="J4259" s="10">
        <v>129.19999999999999</v>
      </c>
      <c r="K4259" s="9" t="str">
        <f>TEXT(Sales_of_Jordan[[#This Row],[Sale_Date]],"mmm")</f>
        <v>May</v>
      </c>
    </row>
    <row r="4260" spans="1:11" x14ac:dyDescent="0.35">
      <c r="A4260" s="7" t="s">
        <v>4290</v>
      </c>
      <c r="B4260" s="8">
        <v>45166</v>
      </c>
      <c r="C4260" s="9" t="s">
        <v>11</v>
      </c>
      <c r="D4260" s="9" t="s">
        <v>53</v>
      </c>
      <c r="E4260" s="9" t="s">
        <v>29</v>
      </c>
      <c r="F4260" s="9">
        <v>228</v>
      </c>
      <c r="G4260" s="9">
        <v>213.93</v>
      </c>
      <c r="H4260" s="9" t="s">
        <v>32</v>
      </c>
      <c r="I4260" s="9">
        <v>40</v>
      </c>
      <c r="J4260" s="10">
        <v>-14.069999999999901</v>
      </c>
      <c r="K4260" s="9" t="str">
        <f>TEXT(Sales_of_Jordan[[#This Row],[Sale_Date]],"mmm")</f>
        <v>Aug</v>
      </c>
    </row>
    <row r="4261" spans="1:11" x14ac:dyDescent="0.35">
      <c r="A4261" s="7" t="s">
        <v>4291</v>
      </c>
      <c r="B4261" s="8">
        <v>45158</v>
      </c>
      <c r="C4261" s="9" t="s">
        <v>27</v>
      </c>
      <c r="D4261" s="9" t="s">
        <v>36</v>
      </c>
      <c r="E4261" s="9" t="s">
        <v>18</v>
      </c>
      <c r="F4261" s="9">
        <v>135</v>
      </c>
      <c r="G4261" s="9">
        <v>406.26</v>
      </c>
      <c r="H4261" s="9" t="s">
        <v>32</v>
      </c>
      <c r="I4261" s="9">
        <v>22</v>
      </c>
      <c r="J4261" s="10">
        <v>271.26</v>
      </c>
      <c r="K4261" s="9" t="str">
        <f>TEXT(Sales_of_Jordan[[#This Row],[Sale_Date]],"mmm")</f>
        <v>Aug</v>
      </c>
    </row>
    <row r="4262" spans="1:11" x14ac:dyDescent="0.35">
      <c r="A4262" s="7" t="s">
        <v>4292</v>
      </c>
      <c r="B4262" s="8">
        <v>45432</v>
      </c>
      <c r="C4262" s="9" t="s">
        <v>31</v>
      </c>
      <c r="D4262" s="9" t="s">
        <v>22</v>
      </c>
      <c r="E4262" s="9" t="s">
        <v>18</v>
      </c>
      <c r="F4262" s="9">
        <v>207</v>
      </c>
      <c r="G4262" s="9">
        <v>493.89</v>
      </c>
      <c r="H4262" s="9" t="s">
        <v>25</v>
      </c>
      <c r="I4262" s="9">
        <v>53</v>
      </c>
      <c r="J4262" s="10">
        <v>286.89</v>
      </c>
      <c r="K4262" s="9" t="str">
        <f>TEXT(Sales_of_Jordan[[#This Row],[Sale_Date]],"mmm")</f>
        <v>May</v>
      </c>
    </row>
    <row r="4263" spans="1:11" x14ac:dyDescent="0.35">
      <c r="A4263" s="7" t="s">
        <v>4293</v>
      </c>
      <c r="B4263" s="8">
        <v>45620</v>
      </c>
      <c r="C4263" s="9" t="s">
        <v>11</v>
      </c>
      <c r="D4263" s="9" t="s">
        <v>39</v>
      </c>
      <c r="E4263" s="9" t="s">
        <v>29</v>
      </c>
      <c r="F4263" s="9">
        <v>226</v>
      </c>
      <c r="G4263" s="9">
        <v>274.93</v>
      </c>
      <c r="H4263" s="9" t="s">
        <v>25</v>
      </c>
      <c r="I4263" s="9">
        <v>19</v>
      </c>
      <c r="J4263" s="10">
        <v>48.93</v>
      </c>
      <c r="K4263" s="9" t="str">
        <f>TEXT(Sales_of_Jordan[[#This Row],[Sale_Date]],"mmm")</f>
        <v>Nov</v>
      </c>
    </row>
    <row r="4264" spans="1:11" x14ac:dyDescent="0.35">
      <c r="A4264" s="7" t="s">
        <v>4294</v>
      </c>
      <c r="B4264" s="8">
        <v>45778</v>
      </c>
      <c r="C4264" s="9" t="s">
        <v>21</v>
      </c>
      <c r="D4264" s="9" t="s">
        <v>39</v>
      </c>
      <c r="E4264" s="9" t="s">
        <v>13</v>
      </c>
      <c r="F4264" s="9">
        <v>214</v>
      </c>
      <c r="G4264" s="9">
        <v>181.83</v>
      </c>
      <c r="H4264" s="9" t="s">
        <v>25</v>
      </c>
      <c r="I4264" s="9">
        <v>12</v>
      </c>
      <c r="J4264" s="10">
        <v>-32.169999999999902</v>
      </c>
      <c r="K4264" s="9" t="str">
        <f>TEXT(Sales_of_Jordan[[#This Row],[Sale_Date]],"mmm")</f>
        <v>May</v>
      </c>
    </row>
    <row r="4265" spans="1:11" x14ac:dyDescent="0.35">
      <c r="A4265" s="7" t="s">
        <v>4295</v>
      </c>
      <c r="B4265" s="8">
        <v>45358</v>
      </c>
      <c r="C4265" s="9" t="s">
        <v>27</v>
      </c>
      <c r="D4265" s="9" t="s">
        <v>53</v>
      </c>
      <c r="E4265" s="9" t="s">
        <v>13</v>
      </c>
      <c r="F4265" s="9">
        <v>113</v>
      </c>
      <c r="G4265" s="9">
        <v>74.13</v>
      </c>
      <c r="H4265" s="9" t="s">
        <v>19</v>
      </c>
      <c r="I4265" s="9">
        <v>10</v>
      </c>
      <c r="J4265" s="10">
        <v>-38.869999999999997</v>
      </c>
      <c r="K4265" s="9" t="str">
        <f>TEXT(Sales_of_Jordan[[#This Row],[Sale_Date]],"mmm")</f>
        <v>Mar</v>
      </c>
    </row>
    <row r="4266" spans="1:11" x14ac:dyDescent="0.35">
      <c r="A4266" s="7" t="s">
        <v>4296</v>
      </c>
      <c r="B4266" s="8">
        <v>45563</v>
      </c>
      <c r="C4266" s="9" t="s">
        <v>16</v>
      </c>
      <c r="D4266" s="9" t="s">
        <v>12</v>
      </c>
      <c r="E4266" s="9" t="s">
        <v>29</v>
      </c>
      <c r="F4266" s="9">
        <v>178</v>
      </c>
      <c r="G4266" s="9">
        <v>256.2</v>
      </c>
      <c r="H4266" s="9" t="s">
        <v>19</v>
      </c>
      <c r="I4266" s="9">
        <v>14</v>
      </c>
      <c r="J4266" s="10">
        <v>78.199999999999903</v>
      </c>
      <c r="K4266" s="9" t="str">
        <f>TEXT(Sales_of_Jordan[[#This Row],[Sale_Date]],"mmm")</f>
        <v>Sep</v>
      </c>
    </row>
    <row r="4267" spans="1:11" x14ac:dyDescent="0.35">
      <c r="A4267" s="7" t="s">
        <v>4297</v>
      </c>
      <c r="B4267" s="8">
        <v>45406</v>
      </c>
      <c r="C4267" s="9" t="s">
        <v>27</v>
      </c>
      <c r="D4267" s="9" t="s">
        <v>39</v>
      </c>
      <c r="E4267" s="9" t="s">
        <v>13</v>
      </c>
      <c r="F4267" s="9">
        <v>116</v>
      </c>
      <c r="G4267" s="9">
        <v>82.92</v>
      </c>
      <c r="H4267" s="9" t="s">
        <v>23</v>
      </c>
      <c r="I4267" s="9">
        <v>32</v>
      </c>
      <c r="J4267" s="10">
        <v>-33.08</v>
      </c>
      <c r="K4267" s="9" t="str">
        <f>TEXT(Sales_of_Jordan[[#This Row],[Sale_Date]],"mmm")</f>
        <v>Apr</v>
      </c>
    </row>
    <row r="4268" spans="1:11" x14ac:dyDescent="0.35">
      <c r="A4268" s="7" t="s">
        <v>4298</v>
      </c>
      <c r="B4268" s="8">
        <v>45754</v>
      </c>
      <c r="C4268" s="9" t="s">
        <v>21</v>
      </c>
      <c r="D4268" s="9" t="s">
        <v>55</v>
      </c>
      <c r="E4268" s="9" t="s">
        <v>13</v>
      </c>
      <c r="F4268" s="9">
        <v>222</v>
      </c>
      <c r="G4268" s="9">
        <v>113.17</v>
      </c>
      <c r="H4268" s="9" t="s">
        <v>14</v>
      </c>
      <c r="I4268" s="9">
        <v>4</v>
      </c>
      <c r="J4268" s="10">
        <v>-108.83</v>
      </c>
      <c r="K4268" s="9" t="str">
        <f>TEXT(Sales_of_Jordan[[#This Row],[Sale_Date]],"mmm")</f>
        <v>Apr</v>
      </c>
    </row>
    <row r="4269" spans="1:11" x14ac:dyDescent="0.35">
      <c r="A4269" s="7" t="s">
        <v>4299</v>
      </c>
      <c r="B4269" s="8">
        <v>45297</v>
      </c>
      <c r="C4269" s="9" t="s">
        <v>31</v>
      </c>
      <c r="D4269" s="9" t="s">
        <v>22</v>
      </c>
      <c r="E4269" s="9" t="s">
        <v>13</v>
      </c>
      <c r="F4269" s="9">
        <v>210</v>
      </c>
      <c r="G4269" s="9">
        <v>148.28</v>
      </c>
      <c r="H4269" s="9" t="s">
        <v>23</v>
      </c>
      <c r="I4269" s="9">
        <v>24</v>
      </c>
      <c r="J4269" s="10">
        <v>-61.72</v>
      </c>
      <c r="K4269" s="9" t="str">
        <f>TEXT(Sales_of_Jordan[[#This Row],[Sale_Date]],"mmm")</f>
        <v>Jan</v>
      </c>
    </row>
    <row r="4270" spans="1:11" x14ac:dyDescent="0.35">
      <c r="A4270" s="7" t="s">
        <v>4300</v>
      </c>
      <c r="B4270" s="8">
        <v>45014</v>
      </c>
      <c r="C4270" s="9" t="s">
        <v>16</v>
      </c>
      <c r="D4270" s="9" t="s">
        <v>55</v>
      </c>
      <c r="E4270" s="9" t="s">
        <v>18</v>
      </c>
      <c r="F4270" s="9">
        <v>177</v>
      </c>
      <c r="G4270" s="9">
        <v>512.42999999999995</v>
      </c>
      <c r="H4270" s="9" t="s">
        <v>25</v>
      </c>
      <c r="I4270" s="9">
        <v>41</v>
      </c>
      <c r="J4270" s="10">
        <v>335.42999999999898</v>
      </c>
      <c r="K4270" s="9" t="str">
        <f>TEXT(Sales_of_Jordan[[#This Row],[Sale_Date]],"mmm")</f>
        <v>Mar</v>
      </c>
    </row>
    <row r="4271" spans="1:11" x14ac:dyDescent="0.35">
      <c r="A4271" s="7" t="s">
        <v>4301</v>
      </c>
      <c r="B4271" s="8">
        <v>45606</v>
      </c>
      <c r="C4271" s="9" t="s">
        <v>31</v>
      </c>
      <c r="D4271" s="9" t="s">
        <v>17</v>
      </c>
      <c r="E4271" s="9" t="s">
        <v>18</v>
      </c>
      <c r="F4271" s="9">
        <v>208</v>
      </c>
      <c r="G4271" s="9">
        <v>440.33</v>
      </c>
      <c r="H4271" s="9" t="s">
        <v>14</v>
      </c>
      <c r="I4271" s="9">
        <v>4</v>
      </c>
      <c r="J4271" s="10">
        <v>232.32999999999899</v>
      </c>
      <c r="K4271" s="9" t="str">
        <f>TEXT(Sales_of_Jordan[[#This Row],[Sale_Date]],"mmm")</f>
        <v>Nov</v>
      </c>
    </row>
    <row r="4272" spans="1:11" x14ac:dyDescent="0.35">
      <c r="A4272" s="7" t="s">
        <v>4302</v>
      </c>
      <c r="B4272" s="8">
        <v>45153</v>
      </c>
      <c r="C4272" s="9" t="s">
        <v>16</v>
      </c>
      <c r="D4272" s="9" t="s">
        <v>12</v>
      </c>
      <c r="E4272" s="9" t="s">
        <v>29</v>
      </c>
      <c r="F4272" s="9">
        <v>171</v>
      </c>
      <c r="G4272" s="9">
        <v>201.55</v>
      </c>
      <c r="H4272" s="9" t="s">
        <v>25</v>
      </c>
      <c r="I4272" s="9">
        <v>52</v>
      </c>
      <c r="J4272" s="10">
        <v>30.55</v>
      </c>
      <c r="K4272" s="9" t="str">
        <f>TEXT(Sales_of_Jordan[[#This Row],[Sale_Date]],"mmm")</f>
        <v>Aug</v>
      </c>
    </row>
    <row r="4273" spans="1:11" x14ac:dyDescent="0.35">
      <c r="A4273" s="7" t="s">
        <v>4303</v>
      </c>
      <c r="B4273" s="8">
        <v>45499</v>
      </c>
      <c r="C4273" s="9" t="s">
        <v>27</v>
      </c>
      <c r="D4273" s="9" t="s">
        <v>34</v>
      </c>
      <c r="E4273" s="9" t="s">
        <v>18</v>
      </c>
      <c r="F4273" s="9">
        <v>116</v>
      </c>
      <c r="G4273" s="9">
        <v>286.17</v>
      </c>
      <c r="H4273" s="9" t="s">
        <v>32</v>
      </c>
      <c r="I4273" s="9">
        <v>45</v>
      </c>
      <c r="J4273" s="10">
        <v>170.17</v>
      </c>
      <c r="K4273" s="9" t="str">
        <f>TEXT(Sales_of_Jordan[[#This Row],[Sale_Date]],"mmm")</f>
        <v>Jul</v>
      </c>
    </row>
    <row r="4274" spans="1:11" x14ac:dyDescent="0.35">
      <c r="A4274" s="7" t="s">
        <v>4304</v>
      </c>
      <c r="B4274" s="8">
        <v>45575</v>
      </c>
      <c r="C4274" s="9" t="s">
        <v>27</v>
      </c>
      <c r="D4274" s="9" t="s">
        <v>34</v>
      </c>
      <c r="E4274" s="9" t="s">
        <v>29</v>
      </c>
      <c r="F4274" s="9">
        <v>122</v>
      </c>
      <c r="G4274" s="9">
        <v>154.79</v>
      </c>
      <c r="H4274" s="9" t="s">
        <v>23</v>
      </c>
      <c r="I4274" s="9">
        <v>48</v>
      </c>
      <c r="J4274" s="10">
        <v>32.7899999999999</v>
      </c>
      <c r="K4274" s="9" t="str">
        <f>TEXT(Sales_of_Jordan[[#This Row],[Sale_Date]],"mmm")</f>
        <v>Oct</v>
      </c>
    </row>
    <row r="4275" spans="1:11" x14ac:dyDescent="0.35">
      <c r="A4275" s="7" t="s">
        <v>4305</v>
      </c>
      <c r="B4275" s="8">
        <v>45009</v>
      </c>
      <c r="C4275" s="9" t="s">
        <v>27</v>
      </c>
      <c r="D4275" s="9" t="s">
        <v>39</v>
      </c>
      <c r="E4275" s="9" t="s">
        <v>13</v>
      </c>
      <c r="F4275" s="9">
        <v>130</v>
      </c>
      <c r="G4275" s="9">
        <v>79.23</v>
      </c>
      <c r="H4275" s="9" t="s">
        <v>32</v>
      </c>
      <c r="I4275" s="9">
        <v>44</v>
      </c>
      <c r="J4275" s="10">
        <v>-50.769999999999897</v>
      </c>
      <c r="K4275" s="9" t="str">
        <f>TEXT(Sales_of_Jordan[[#This Row],[Sale_Date]],"mmm")</f>
        <v>Mar</v>
      </c>
    </row>
    <row r="4276" spans="1:11" x14ac:dyDescent="0.35">
      <c r="A4276" s="7" t="s">
        <v>4306</v>
      </c>
      <c r="B4276" s="8">
        <v>45863</v>
      </c>
      <c r="C4276" s="9" t="s">
        <v>11</v>
      </c>
      <c r="D4276" s="9" t="s">
        <v>53</v>
      </c>
      <c r="E4276" s="9" t="s">
        <v>29</v>
      </c>
      <c r="F4276" s="9">
        <v>230</v>
      </c>
      <c r="G4276" s="9">
        <v>300.35000000000002</v>
      </c>
      <c r="H4276" s="9" t="s">
        <v>14</v>
      </c>
      <c r="I4276" s="9">
        <v>5</v>
      </c>
      <c r="J4276" s="10">
        <v>70.349999999999994</v>
      </c>
      <c r="K4276" s="9" t="str">
        <f>TEXT(Sales_of_Jordan[[#This Row],[Sale_Date]],"mmm")</f>
        <v>Jul</v>
      </c>
    </row>
    <row r="4277" spans="1:11" x14ac:dyDescent="0.35">
      <c r="A4277" s="7" t="s">
        <v>4307</v>
      </c>
      <c r="B4277" s="8">
        <v>45425</v>
      </c>
      <c r="C4277" s="9" t="s">
        <v>21</v>
      </c>
      <c r="D4277" s="9" t="s">
        <v>39</v>
      </c>
      <c r="E4277" s="9" t="s">
        <v>18</v>
      </c>
      <c r="F4277" s="9">
        <v>211</v>
      </c>
      <c r="G4277" s="9">
        <v>570.70000000000005</v>
      </c>
      <c r="H4277" s="9" t="s">
        <v>14</v>
      </c>
      <c r="I4277" s="9">
        <v>2</v>
      </c>
      <c r="J4277" s="10">
        <v>359.7</v>
      </c>
      <c r="K4277" s="9" t="str">
        <f>TEXT(Sales_of_Jordan[[#This Row],[Sale_Date]],"mmm")</f>
        <v>May</v>
      </c>
    </row>
    <row r="4278" spans="1:11" x14ac:dyDescent="0.35">
      <c r="A4278" s="7" t="s">
        <v>4308</v>
      </c>
      <c r="B4278" s="8">
        <v>45763</v>
      </c>
      <c r="C4278" s="9" t="s">
        <v>21</v>
      </c>
      <c r="D4278" s="9" t="s">
        <v>53</v>
      </c>
      <c r="E4278" s="9" t="s">
        <v>18</v>
      </c>
      <c r="F4278" s="9">
        <v>217</v>
      </c>
      <c r="G4278" s="9">
        <v>714.32</v>
      </c>
      <c r="H4278" s="9" t="s">
        <v>25</v>
      </c>
      <c r="I4278" s="9">
        <v>30</v>
      </c>
      <c r="J4278" s="10">
        <v>497.32</v>
      </c>
      <c r="K4278" s="9" t="str">
        <f>TEXT(Sales_of_Jordan[[#This Row],[Sale_Date]],"mmm")</f>
        <v>Apr</v>
      </c>
    </row>
    <row r="4279" spans="1:11" x14ac:dyDescent="0.35">
      <c r="A4279" s="7" t="s">
        <v>4309</v>
      </c>
      <c r="B4279" s="8">
        <v>45484</v>
      </c>
      <c r="C4279" s="9" t="s">
        <v>21</v>
      </c>
      <c r="D4279" s="9" t="s">
        <v>53</v>
      </c>
      <c r="E4279" s="9" t="s">
        <v>29</v>
      </c>
      <c r="F4279" s="9">
        <v>224</v>
      </c>
      <c r="G4279" s="9">
        <v>267.04000000000002</v>
      </c>
      <c r="H4279" s="9" t="s">
        <v>32</v>
      </c>
      <c r="I4279" s="9">
        <v>43</v>
      </c>
      <c r="J4279" s="10">
        <v>43.04</v>
      </c>
      <c r="K4279" s="9" t="str">
        <f>TEXT(Sales_of_Jordan[[#This Row],[Sale_Date]],"mmm")</f>
        <v>Jul</v>
      </c>
    </row>
    <row r="4280" spans="1:11" x14ac:dyDescent="0.35">
      <c r="A4280" s="7" t="s">
        <v>4310</v>
      </c>
      <c r="B4280" s="8">
        <v>45088</v>
      </c>
      <c r="C4280" s="9" t="s">
        <v>11</v>
      </c>
      <c r="D4280" s="9" t="s">
        <v>53</v>
      </c>
      <c r="E4280" s="9" t="s">
        <v>18</v>
      </c>
      <c r="F4280" s="9">
        <v>226</v>
      </c>
      <c r="G4280" s="9">
        <v>634.1</v>
      </c>
      <c r="H4280" s="9" t="s">
        <v>23</v>
      </c>
      <c r="I4280" s="9">
        <v>48</v>
      </c>
      <c r="J4280" s="10">
        <v>408.1</v>
      </c>
      <c r="K4280" s="9" t="str">
        <f>TEXT(Sales_of_Jordan[[#This Row],[Sale_Date]],"mmm")</f>
        <v>Jun</v>
      </c>
    </row>
    <row r="4281" spans="1:11" x14ac:dyDescent="0.35">
      <c r="A4281" s="7" t="s">
        <v>4311</v>
      </c>
      <c r="B4281" s="8">
        <v>45452</v>
      </c>
      <c r="C4281" s="9" t="s">
        <v>16</v>
      </c>
      <c r="D4281" s="9" t="s">
        <v>12</v>
      </c>
      <c r="E4281" s="9" t="s">
        <v>13</v>
      </c>
      <c r="F4281" s="9">
        <v>179</v>
      </c>
      <c r="G4281" s="9">
        <v>128.46</v>
      </c>
      <c r="H4281" s="9" t="s">
        <v>32</v>
      </c>
      <c r="I4281" s="9">
        <v>21</v>
      </c>
      <c r="J4281" s="10">
        <v>-50.5399999999999</v>
      </c>
      <c r="K4281" s="9" t="str">
        <f>TEXT(Sales_of_Jordan[[#This Row],[Sale_Date]],"mmm")</f>
        <v>Jun</v>
      </c>
    </row>
    <row r="4282" spans="1:11" x14ac:dyDescent="0.35">
      <c r="A4282" s="7" t="s">
        <v>4312</v>
      </c>
      <c r="B4282" s="8">
        <v>45032</v>
      </c>
      <c r="C4282" s="9" t="s">
        <v>27</v>
      </c>
      <c r="D4282" s="9" t="s">
        <v>53</v>
      </c>
      <c r="E4282" s="9" t="s">
        <v>13</v>
      </c>
      <c r="F4282" s="9">
        <v>135</v>
      </c>
      <c r="G4282" s="9">
        <v>112.49</v>
      </c>
      <c r="H4282" s="9" t="s">
        <v>25</v>
      </c>
      <c r="I4282" s="9">
        <v>12</v>
      </c>
      <c r="J4282" s="10">
        <v>-22.51</v>
      </c>
      <c r="K4282" s="9" t="str">
        <f>TEXT(Sales_of_Jordan[[#This Row],[Sale_Date]],"mmm")</f>
        <v>Apr</v>
      </c>
    </row>
    <row r="4283" spans="1:11" x14ac:dyDescent="0.35">
      <c r="A4283" s="7" t="s">
        <v>4313</v>
      </c>
      <c r="B4283" s="8">
        <v>45475</v>
      </c>
      <c r="C4283" s="9" t="s">
        <v>16</v>
      </c>
      <c r="D4283" s="9" t="s">
        <v>39</v>
      </c>
      <c r="E4283" s="9" t="s">
        <v>13</v>
      </c>
      <c r="F4283" s="9">
        <v>189</v>
      </c>
      <c r="G4283" s="9">
        <v>102.2</v>
      </c>
      <c r="H4283" s="9" t="s">
        <v>25</v>
      </c>
      <c r="I4283" s="9">
        <v>17</v>
      </c>
      <c r="J4283" s="10">
        <v>-86.8</v>
      </c>
      <c r="K4283" s="9" t="str">
        <f>TEXT(Sales_of_Jordan[[#This Row],[Sale_Date]],"mmm")</f>
        <v>Jul</v>
      </c>
    </row>
    <row r="4284" spans="1:11" x14ac:dyDescent="0.35">
      <c r="A4284" s="7" t="s">
        <v>4314</v>
      </c>
      <c r="B4284" s="8">
        <v>45210</v>
      </c>
      <c r="C4284" s="9" t="s">
        <v>21</v>
      </c>
      <c r="D4284" s="9" t="s">
        <v>36</v>
      </c>
      <c r="E4284" s="9" t="s">
        <v>13</v>
      </c>
      <c r="F4284" s="9">
        <v>222</v>
      </c>
      <c r="G4284" s="9">
        <v>159.53</v>
      </c>
      <c r="H4284" s="9" t="s">
        <v>14</v>
      </c>
      <c r="I4284" s="9">
        <v>11</v>
      </c>
      <c r="J4284" s="10">
        <v>-62.47</v>
      </c>
      <c r="K4284" s="9" t="str">
        <f>TEXT(Sales_of_Jordan[[#This Row],[Sale_Date]],"mmm")</f>
        <v>Oct</v>
      </c>
    </row>
    <row r="4285" spans="1:11" x14ac:dyDescent="0.35">
      <c r="A4285" s="7" t="s">
        <v>4315</v>
      </c>
      <c r="B4285" s="8">
        <v>45810</v>
      </c>
      <c r="C4285" s="9" t="s">
        <v>11</v>
      </c>
      <c r="D4285" s="9" t="s">
        <v>55</v>
      </c>
      <c r="E4285" s="9" t="s">
        <v>13</v>
      </c>
      <c r="F4285" s="9">
        <v>227</v>
      </c>
      <c r="G4285" s="9">
        <v>144.36000000000001</v>
      </c>
      <c r="H4285" s="9" t="s">
        <v>19</v>
      </c>
      <c r="I4285" s="9">
        <v>6</v>
      </c>
      <c r="J4285" s="10">
        <v>-82.639999999999901</v>
      </c>
      <c r="K4285" s="9" t="str">
        <f>TEXT(Sales_of_Jordan[[#This Row],[Sale_Date]],"mmm")</f>
        <v>Jun</v>
      </c>
    </row>
    <row r="4286" spans="1:11" x14ac:dyDescent="0.35">
      <c r="A4286" s="7" t="s">
        <v>4316</v>
      </c>
      <c r="B4286" s="8">
        <v>45159</v>
      </c>
      <c r="C4286" s="9" t="s">
        <v>21</v>
      </c>
      <c r="D4286" s="9" t="s">
        <v>39</v>
      </c>
      <c r="E4286" s="9" t="s">
        <v>29</v>
      </c>
      <c r="F4286" s="9">
        <v>221</v>
      </c>
      <c r="G4286" s="9">
        <v>199.32</v>
      </c>
      <c r="H4286" s="9" t="s">
        <v>32</v>
      </c>
      <c r="I4286" s="9">
        <v>40</v>
      </c>
      <c r="J4286" s="10">
        <v>-21.68</v>
      </c>
      <c r="K4286" s="9" t="str">
        <f>TEXT(Sales_of_Jordan[[#This Row],[Sale_Date]],"mmm")</f>
        <v>Aug</v>
      </c>
    </row>
    <row r="4287" spans="1:11" x14ac:dyDescent="0.35">
      <c r="A4287" s="7" t="s">
        <v>4317</v>
      </c>
      <c r="B4287" s="8">
        <v>45147</v>
      </c>
      <c r="C4287" s="9" t="s">
        <v>31</v>
      </c>
      <c r="D4287" s="9" t="s">
        <v>12</v>
      </c>
      <c r="E4287" s="9" t="s">
        <v>13</v>
      </c>
      <c r="F4287" s="9">
        <v>204</v>
      </c>
      <c r="G4287" s="9">
        <v>161.19</v>
      </c>
      <c r="H4287" s="9" t="s">
        <v>23</v>
      </c>
      <c r="I4287" s="9">
        <v>48</v>
      </c>
      <c r="J4287" s="10">
        <v>-42.81</v>
      </c>
      <c r="K4287" s="9" t="str">
        <f>TEXT(Sales_of_Jordan[[#This Row],[Sale_Date]],"mmm")</f>
        <v>Aug</v>
      </c>
    </row>
    <row r="4288" spans="1:11" x14ac:dyDescent="0.35">
      <c r="A4288" s="7" t="s">
        <v>4318</v>
      </c>
      <c r="B4288" s="8">
        <v>45062</v>
      </c>
      <c r="C4288" s="9" t="s">
        <v>31</v>
      </c>
      <c r="D4288" s="9" t="s">
        <v>53</v>
      </c>
      <c r="E4288" s="9" t="s">
        <v>29</v>
      </c>
      <c r="F4288" s="9">
        <v>207</v>
      </c>
      <c r="G4288" s="9">
        <v>247.71</v>
      </c>
      <c r="H4288" s="9" t="s">
        <v>25</v>
      </c>
      <c r="I4288" s="9">
        <v>41</v>
      </c>
      <c r="J4288" s="10">
        <v>40.71</v>
      </c>
      <c r="K4288" s="9" t="str">
        <f>TEXT(Sales_of_Jordan[[#This Row],[Sale_Date]],"mmm")</f>
        <v>May</v>
      </c>
    </row>
    <row r="4289" spans="1:11" x14ac:dyDescent="0.35">
      <c r="A4289" s="7" t="s">
        <v>4319</v>
      </c>
      <c r="B4289" s="8">
        <v>45072</v>
      </c>
      <c r="C4289" s="9" t="s">
        <v>11</v>
      </c>
      <c r="D4289" s="9" t="s">
        <v>34</v>
      </c>
      <c r="E4289" s="9" t="s">
        <v>18</v>
      </c>
      <c r="F4289" s="9">
        <v>227</v>
      </c>
      <c r="G4289" s="9">
        <v>729.03</v>
      </c>
      <c r="H4289" s="9" t="s">
        <v>19</v>
      </c>
      <c r="I4289" s="9">
        <v>2</v>
      </c>
      <c r="J4289" s="10">
        <v>502.03</v>
      </c>
      <c r="K4289" s="9" t="str">
        <f>TEXT(Sales_of_Jordan[[#This Row],[Sale_Date]],"mmm")</f>
        <v>May</v>
      </c>
    </row>
    <row r="4290" spans="1:11" x14ac:dyDescent="0.35">
      <c r="A4290" s="7" t="s">
        <v>4320</v>
      </c>
      <c r="B4290" s="8">
        <v>45921</v>
      </c>
      <c r="C4290" s="9" t="s">
        <v>31</v>
      </c>
      <c r="D4290" s="9" t="s">
        <v>53</v>
      </c>
      <c r="E4290" s="9" t="s">
        <v>13</v>
      </c>
      <c r="F4290" s="9">
        <v>200</v>
      </c>
      <c r="G4290" s="9">
        <v>150.9</v>
      </c>
      <c r="H4290" s="9" t="s">
        <v>23</v>
      </c>
      <c r="I4290" s="9">
        <v>42</v>
      </c>
      <c r="J4290" s="10">
        <v>-49.099999999999902</v>
      </c>
      <c r="K4290" s="9" t="str">
        <f>TEXT(Sales_of_Jordan[[#This Row],[Sale_Date]],"mmm")</f>
        <v>Sep</v>
      </c>
    </row>
    <row r="4291" spans="1:11" x14ac:dyDescent="0.35">
      <c r="A4291" s="7" t="s">
        <v>4321</v>
      </c>
      <c r="B4291" s="8">
        <v>45110</v>
      </c>
      <c r="C4291" s="9" t="s">
        <v>27</v>
      </c>
      <c r="D4291" s="9" t="s">
        <v>55</v>
      </c>
      <c r="E4291" s="9" t="s">
        <v>29</v>
      </c>
      <c r="F4291" s="9">
        <v>123</v>
      </c>
      <c r="G4291" s="9">
        <v>140.02000000000001</v>
      </c>
      <c r="H4291" s="9" t="s">
        <v>19</v>
      </c>
      <c r="I4291" s="9">
        <v>14</v>
      </c>
      <c r="J4291" s="10">
        <v>17.02</v>
      </c>
      <c r="K4291" s="9" t="str">
        <f>TEXT(Sales_of_Jordan[[#This Row],[Sale_Date]],"mmm")</f>
        <v>Jul</v>
      </c>
    </row>
    <row r="4292" spans="1:11" x14ac:dyDescent="0.35">
      <c r="A4292" s="7" t="s">
        <v>4322</v>
      </c>
      <c r="B4292" s="8">
        <v>45158</v>
      </c>
      <c r="C4292" s="9" t="s">
        <v>31</v>
      </c>
      <c r="D4292" s="9" t="s">
        <v>22</v>
      </c>
      <c r="E4292" s="9" t="s">
        <v>18</v>
      </c>
      <c r="F4292" s="9">
        <v>202</v>
      </c>
      <c r="G4292" s="9">
        <v>637.22</v>
      </c>
      <c r="H4292" s="9" t="s">
        <v>32</v>
      </c>
      <c r="I4292" s="9">
        <v>47</v>
      </c>
      <c r="J4292" s="10">
        <v>435.22</v>
      </c>
      <c r="K4292" s="9" t="str">
        <f>TEXT(Sales_of_Jordan[[#This Row],[Sale_Date]],"mmm")</f>
        <v>Aug</v>
      </c>
    </row>
    <row r="4293" spans="1:11" x14ac:dyDescent="0.35">
      <c r="A4293" s="7" t="s">
        <v>4323</v>
      </c>
      <c r="B4293" s="8">
        <v>45151</v>
      </c>
      <c r="C4293" s="9" t="s">
        <v>11</v>
      </c>
      <c r="D4293" s="9" t="s">
        <v>46</v>
      </c>
      <c r="E4293" s="9" t="s">
        <v>29</v>
      </c>
      <c r="F4293" s="9">
        <v>230</v>
      </c>
      <c r="G4293" s="9">
        <v>329.07</v>
      </c>
      <c r="H4293" s="9" t="s">
        <v>25</v>
      </c>
      <c r="I4293" s="9">
        <v>19</v>
      </c>
      <c r="J4293" s="10">
        <v>99.07</v>
      </c>
      <c r="K4293" s="9" t="str">
        <f>TEXT(Sales_of_Jordan[[#This Row],[Sale_Date]],"mmm")</f>
        <v>Aug</v>
      </c>
    </row>
    <row r="4294" spans="1:11" x14ac:dyDescent="0.35">
      <c r="A4294" s="7" t="s">
        <v>4324</v>
      </c>
      <c r="B4294" s="8">
        <v>45199</v>
      </c>
      <c r="C4294" s="9" t="s">
        <v>21</v>
      </c>
      <c r="D4294" s="9" t="s">
        <v>17</v>
      </c>
      <c r="E4294" s="9" t="s">
        <v>18</v>
      </c>
      <c r="F4294" s="9">
        <v>222</v>
      </c>
      <c r="G4294" s="9">
        <v>357.51</v>
      </c>
      <c r="H4294" s="9" t="s">
        <v>32</v>
      </c>
      <c r="I4294" s="9">
        <v>17</v>
      </c>
      <c r="J4294" s="10">
        <v>135.51</v>
      </c>
      <c r="K4294" s="9" t="str">
        <f>TEXT(Sales_of_Jordan[[#This Row],[Sale_Date]],"mmm")</f>
        <v>Sep</v>
      </c>
    </row>
    <row r="4295" spans="1:11" x14ac:dyDescent="0.35">
      <c r="A4295" s="7" t="s">
        <v>4325</v>
      </c>
      <c r="B4295" s="8">
        <v>45733</v>
      </c>
      <c r="C4295" s="9" t="s">
        <v>11</v>
      </c>
      <c r="D4295" s="9" t="s">
        <v>17</v>
      </c>
      <c r="E4295" s="9" t="s">
        <v>29</v>
      </c>
      <c r="F4295" s="9">
        <v>228</v>
      </c>
      <c r="G4295" s="9">
        <v>255.47</v>
      </c>
      <c r="H4295" s="9" t="s">
        <v>32</v>
      </c>
      <c r="I4295" s="9">
        <v>16</v>
      </c>
      <c r="J4295" s="10">
        <v>27.47</v>
      </c>
      <c r="K4295" s="9" t="str">
        <f>TEXT(Sales_of_Jordan[[#This Row],[Sale_Date]],"mmm")</f>
        <v>Mar</v>
      </c>
    </row>
    <row r="4296" spans="1:11" x14ac:dyDescent="0.35">
      <c r="A4296" s="7" t="s">
        <v>4326</v>
      </c>
      <c r="B4296" s="8">
        <v>45167</v>
      </c>
      <c r="C4296" s="9" t="s">
        <v>31</v>
      </c>
      <c r="D4296" s="9" t="s">
        <v>39</v>
      </c>
      <c r="E4296" s="9" t="s">
        <v>18</v>
      </c>
      <c r="F4296" s="9">
        <v>204</v>
      </c>
      <c r="G4296" s="9">
        <v>613.77</v>
      </c>
      <c r="H4296" s="9" t="s">
        <v>19</v>
      </c>
      <c r="I4296" s="9">
        <v>12</v>
      </c>
      <c r="J4296" s="10">
        <v>409.77</v>
      </c>
      <c r="K4296" s="9" t="str">
        <f>TEXT(Sales_of_Jordan[[#This Row],[Sale_Date]],"mmm")</f>
        <v>Aug</v>
      </c>
    </row>
    <row r="4297" spans="1:11" x14ac:dyDescent="0.35">
      <c r="A4297" s="7" t="s">
        <v>4327</v>
      </c>
      <c r="B4297" s="8">
        <v>45247</v>
      </c>
      <c r="C4297" s="9" t="s">
        <v>21</v>
      </c>
      <c r="D4297" s="9" t="s">
        <v>39</v>
      </c>
      <c r="E4297" s="9" t="s">
        <v>29</v>
      </c>
      <c r="F4297" s="9">
        <v>214</v>
      </c>
      <c r="G4297" s="9">
        <v>274.14999999999998</v>
      </c>
      <c r="H4297" s="9" t="s">
        <v>19</v>
      </c>
      <c r="I4297" s="9">
        <v>11</v>
      </c>
      <c r="J4297" s="10">
        <v>60.149999999999899</v>
      </c>
      <c r="K4297" s="9" t="str">
        <f>TEXT(Sales_of_Jordan[[#This Row],[Sale_Date]],"mmm")</f>
        <v>Nov</v>
      </c>
    </row>
    <row r="4298" spans="1:11" x14ac:dyDescent="0.35">
      <c r="A4298" s="7" t="s">
        <v>4328</v>
      </c>
      <c r="B4298" s="8">
        <v>45092</v>
      </c>
      <c r="C4298" s="9" t="s">
        <v>21</v>
      </c>
      <c r="D4298" s="9" t="s">
        <v>17</v>
      </c>
      <c r="E4298" s="9" t="s">
        <v>29</v>
      </c>
      <c r="F4298" s="9">
        <v>210</v>
      </c>
      <c r="G4298" s="9">
        <v>218.8</v>
      </c>
      <c r="H4298" s="9" t="s">
        <v>14</v>
      </c>
      <c r="I4298" s="9">
        <v>11</v>
      </c>
      <c r="J4298" s="10">
        <v>8.8000000000000096</v>
      </c>
      <c r="K4298" s="9" t="str">
        <f>TEXT(Sales_of_Jordan[[#This Row],[Sale_Date]],"mmm")</f>
        <v>Jun</v>
      </c>
    </row>
    <row r="4299" spans="1:11" x14ac:dyDescent="0.35">
      <c r="A4299" s="7" t="s">
        <v>4329</v>
      </c>
      <c r="B4299" s="8">
        <v>45183</v>
      </c>
      <c r="C4299" s="9" t="s">
        <v>27</v>
      </c>
      <c r="D4299" s="9" t="s">
        <v>55</v>
      </c>
      <c r="E4299" s="9" t="s">
        <v>18</v>
      </c>
      <c r="F4299" s="9">
        <v>124</v>
      </c>
      <c r="G4299" s="9">
        <v>170.83</v>
      </c>
      <c r="H4299" s="9" t="s">
        <v>14</v>
      </c>
      <c r="I4299" s="9">
        <v>6</v>
      </c>
      <c r="J4299" s="10">
        <v>46.83</v>
      </c>
      <c r="K4299" s="9" t="str">
        <f>TEXT(Sales_of_Jordan[[#This Row],[Sale_Date]],"mmm")</f>
        <v>Sep</v>
      </c>
    </row>
    <row r="4300" spans="1:11" x14ac:dyDescent="0.35">
      <c r="A4300" s="7" t="s">
        <v>4330</v>
      </c>
      <c r="B4300" s="8">
        <v>45747</v>
      </c>
      <c r="C4300" s="9" t="s">
        <v>16</v>
      </c>
      <c r="D4300" s="9" t="s">
        <v>22</v>
      </c>
      <c r="E4300" s="9" t="s">
        <v>29</v>
      </c>
      <c r="F4300" s="9">
        <v>179</v>
      </c>
      <c r="G4300" s="9">
        <v>257.38</v>
      </c>
      <c r="H4300" s="9" t="s">
        <v>25</v>
      </c>
      <c r="I4300" s="9">
        <v>5</v>
      </c>
      <c r="J4300" s="10">
        <v>78.38</v>
      </c>
      <c r="K4300" s="9" t="str">
        <f>TEXT(Sales_of_Jordan[[#This Row],[Sale_Date]],"mmm")</f>
        <v>Mar</v>
      </c>
    </row>
    <row r="4301" spans="1:11" x14ac:dyDescent="0.35">
      <c r="A4301" s="7" t="s">
        <v>4331</v>
      </c>
      <c r="B4301" s="8">
        <v>45203</v>
      </c>
      <c r="C4301" s="9" t="s">
        <v>27</v>
      </c>
      <c r="D4301" s="9" t="s">
        <v>12</v>
      </c>
      <c r="E4301" s="9" t="s">
        <v>29</v>
      </c>
      <c r="F4301" s="9">
        <v>115</v>
      </c>
      <c r="G4301" s="9">
        <v>127.37</v>
      </c>
      <c r="H4301" s="9" t="s">
        <v>23</v>
      </c>
      <c r="I4301" s="9">
        <v>43</v>
      </c>
      <c r="J4301" s="10">
        <v>12.37</v>
      </c>
      <c r="K4301" s="9" t="str">
        <f>TEXT(Sales_of_Jordan[[#This Row],[Sale_Date]],"mmm")</f>
        <v>Oct</v>
      </c>
    </row>
    <row r="4302" spans="1:11" x14ac:dyDescent="0.35">
      <c r="A4302" s="7" t="s">
        <v>4332</v>
      </c>
      <c r="B4302" s="8">
        <v>45196</v>
      </c>
      <c r="C4302" s="9" t="s">
        <v>27</v>
      </c>
      <c r="D4302" s="9" t="s">
        <v>17</v>
      </c>
      <c r="E4302" s="9" t="s">
        <v>29</v>
      </c>
      <c r="F4302" s="9">
        <v>131</v>
      </c>
      <c r="G4302" s="9">
        <v>180.16</v>
      </c>
      <c r="H4302" s="9" t="s">
        <v>14</v>
      </c>
      <c r="I4302" s="9">
        <v>8</v>
      </c>
      <c r="J4302" s="10">
        <v>49.16</v>
      </c>
      <c r="K4302" s="9" t="str">
        <f>TEXT(Sales_of_Jordan[[#This Row],[Sale_Date]],"mmm")</f>
        <v>Sep</v>
      </c>
    </row>
    <row r="4303" spans="1:11" x14ac:dyDescent="0.35">
      <c r="A4303" s="7" t="s">
        <v>4333</v>
      </c>
      <c r="B4303" s="8">
        <v>45869</v>
      </c>
      <c r="C4303" s="9" t="s">
        <v>11</v>
      </c>
      <c r="D4303" s="9" t="s">
        <v>34</v>
      </c>
      <c r="E4303" s="9" t="s">
        <v>29</v>
      </c>
      <c r="F4303" s="9">
        <v>230</v>
      </c>
      <c r="G4303" s="9">
        <v>337.91</v>
      </c>
      <c r="H4303" s="9" t="s">
        <v>32</v>
      </c>
      <c r="I4303" s="9">
        <v>18</v>
      </c>
      <c r="J4303" s="10">
        <v>107.91</v>
      </c>
      <c r="K4303" s="9" t="str">
        <f>TEXT(Sales_of_Jordan[[#This Row],[Sale_Date]],"mmm")</f>
        <v>Jul</v>
      </c>
    </row>
    <row r="4304" spans="1:11" x14ac:dyDescent="0.35">
      <c r="A4304" s="7" t="s">
        <v>4334</v>
      </c>
      <c r="B4304" s="8">
        <v>45354</v>
      </c>
      <c r="C4304" s="9" t="s">
        <v>27</v>
      </c>
      <c r="D4304" s="9" t="s">
        <v>36</v>
      </c>
      <c r="E4304" s="9" t="s">
        <v>13</v>
      </c>
      <c r="F4304" s="9">
        <v>136</v>
      </c>
      <c r="G4304" s="9">
        <v>89</v>
      </c>
      <c r="H4304" s="9" t="s">
        <v>19</v>
      </c>
      <c r="I4304" s="9">
        <v>9</v>
      </c>
      <c r="J4304" s="10">
        <v>-47</v>
      </c>
      <c r="K4304" s="9" t="str">
        <f>TEXT(Sales_of_Jordan[[#This Row],[Sale_Date]],"mmm")</f>
        <v>Mar</v>
      </c>
    </row>
    <row r="4305" spans="1:11" x14ac:dyDescent="0.35">
      <c r="A4305" s="7" t="s">
        <v>4335</v>
      </c>
      <c r="B4305" s="8">
        <v>45028</v>
      </c>
      <c r="C4305" s="9" t="s">
        <v>21</v>
      </c>
      <c r="D4305" s="9" t="s">
        <v>22</v>
      </c>
      <c r="E4305" s="9" t="s">
        <v>13</v>
      </c>
      <c r="F4305" s="9">
        <v>213</v>
      </c>
      <c r="G4305" s="9">
        <v>113.23</v>
      </c>
      <c r="H4305" s="9" t="s">
        <v>25</v>
      </c>
      <c r="I4305" s="9">
        <v>53</v>
      </c>
      <c r="J4305" s="10">
        <v>-99.77</v>
      </c>
      <c r="K4305" s="9" t="str">
        <f>TEXT(Sales_of_Jordan[[#This Row],[Sale_Date]],"mmm")</f>
        <v>Apr</v>
      </c>
    </row>
    <row r="4306" spans="1:11" x14ac:dyDescent="0.35">
      <c r="A4306" s="7" t="s">
        <v>4336</v>
      </c>
      <c r="B4306" s="8">
        <v>45366</v>
      </c>
      <c r="C4306" s="9" t="s">
        <v>21</v>
      </c>
      <c r="D4306" s="9" t="s">
        <v>34</v>
      </c>
      <c r="E4306" s="9" t="s">
        <v>13</v>
      </c>
      <c r="F4306" s="9">
        <v>216</v>
      </c>
      <c r="G4306" s="9">
        <v>113.65</v>
      </c>
      <c r="H4306" s="9" t="s">
        <v>14</v>
      </c>
      <c r="I4306" s="9">
        <v>9</v>
      </c>
      <c r="J4306" s="10">
        <v>-102.35</v>
      </c>
      <c r="K4306" s="9" t="str">
        <f>TEXT(Sales_of_Jordan[[#This Row],[Sale_Date]],"mmm")</f>
        <v>Mar</v>
      </c>
    </row>
    <row r="4307" spans="1:11" x14ac:dyDescent="0.35">
      <c r="A4307" s="7" t="s">
        <v>4337</v>
      </c>
      <c r="B4307" s="8">
        <v>45192</v>
      </c>
      <c r="C4307" s="9" t="s">
        <v>31</v>
      </c>
      <c r="D4307" s="9" t="s">
        <v>39</v>
      </c>
      <c r="E4307" s="9" t="s">
        <v>13</v>
      </c>
      <c r="F4307" s="9">
        <v>209</v>
      </c>
      <c r="G4307" s="9">
        <v>135.1</v>
      </c>
      <c r="H4307" s="9" t="s">
        <v>25</v>
      </c>
      <c r="I4307" s="9">
        <v>22</v>
      </c>
      <c r="J4307" s="10">
        <v>-73.900000000000006</v>
      </c>
      <c r="K4307" s="9" t="str">
        <f>TEXT(Sales_of_Jordan[[#This Row],[Sale_Date]],"mmm")</f>
        <v>Sep</v>
      </c>
    </row>
    <row r="4308" spans="1:11" x14ac:dyDescent="0.35">
      <c r="A4308" s="7" t="s">
        <v>4338</v>
      </c>
      <c r="B4308" s="8">
        <v>45530</v>
      </c>
      <c r="C4308" s="9" t="s">
        <v>31</v>
      </c>
      <c r="D4308" s="9" t="s">
        <v>36</v>
      </c>
      <c r="E4308" s="9" t="s">
        <v>13</v>
      </c>
      <c r="F4308" s="9">
        <v>202</v>
      </c>
      <c r="G4308" s="9">
        <v>134.76</v>
      </c>
      <c r="H4308" s="9" t="s">
        <v>19</v>
      </c>
      <c r="I4308" s="9">
        <v>11</v>
      </c>
      <c r="J4308" s="10">
        <v>-67.239999999999995</v>
      </c>
      <c r="K4308" s="9" t="str">
        <f>TEXT(Sales_of_Jordan[[#This Row],[Sale_Date]],"mmm")</f>
        <v>Aug</v>
      </c>
    </row>
    <row r="4309" spans="1:11" x14ac:dyDescent="0.35">
      <c r="A4309" s="7" t="s">
        <v>4339</v>
      </c>
      <c r="B4309" s="8">
        <v>45172</v>
      </c>
      <c r="C4309" s="9" t="s">
        <v>11</v>
      </c>
      <c r="D4309" s="9" t="s">
        <v>12</v>
      </c>
      <c r="E4309" s="9" t="s">
        <v>18</v>
      </c>
      <c r="F4309" s="9">
        <v>225</v>
      </c>
      <c r="G4309" s="9">
        <v>615.9</v>
      </c>
      <c r="H4309" s="9" t="s">
        <v>25</v>
      </c>
      <c r="I4309" s="9">
        <v>40</v>
      </c>
      <c r="J4309" s="10">
        <v>390.9</v>
      </c>
      <c r="K4309" s="9" t="str">
        <f>TEXT(Sales_of_Jordan[[#This Row],[Sale_Date]],"mmm")</f>
        <v>Sep</v>
      </c>
    </row>
    <row r="4310" spans="1:11" x14ac:dyDescent="0.35">
      <c r="A4310" s="7" t="s">
        <v>4340</v>
      </c>
      <c r="B4310" s="8">
        <v>44944</v>
      </c>
      <c r="C4310" s="9" t="s">
        <v>16</v>
      </c>
      <c r="D4310" s="9" t="s">
        <v>34</v>
      </c>
      <c r="E4310" s="9" t="s">
        <v>29</v>
      </c>
      <c r="F4310" s="9">
        <v>189</v>
      </c>
      <c r="G4310" s="9">
        <v>222.14</v>
      </c>
      <c r="H4310" s="9" t="s">
        <v>32</v>
      </c>
      <c r="I4310" s="9">
        <v>47</v>
      </c>
      <c r="J4310" s="10">
        <v>33.139999999999901</v>
      </c>
      <c r="K4310" s="9" t="str">
        <f>TEXT(Sales_of_Jordan[[#This Row],[Sale_Date]],"mmm")</f>
        <v>Jan</v>
      </c>
    </row>
    <row r="4311" spans="1:11" x14ac:dyDescent="0.35">
      <c r="A4311" s="7" t="s">
        <v>4341</v>
      </c>
      <c r="B4311" s="8">
        <v>45864</v>
      </c>
      <c r="C4311" s="9" t="s">
        <v>21</v>
      </c>
      <c r="D4311" s="9" t="s">
        <v>12</v>
      </c>
      <c r="E4311" s="9" t="s">
        <v>13</v>
      </c>
      <c r="F4311" s="9">
        <v>218</v>
      </c>
      <c r="G4311" s="9">
        <v>176.34</v>
      </c>
      <c r="H4311" s="9" t="s">
        <v>14</v>
      </c>
      <c r="I4311" s="9">
        <v>10</v>
      </c>
      <c r="J4311" s="10">
        <v>-41.66</v>
      </c>
      <c r="K4311" s="9" t="str">
        <f>TEXT(Sales_of_Jordan[[#This Row],[Sale_Date]],"mmm")</f>
        <v>Jul</v>
      </c>
    </row>
    <row r="4312" spans="1:11" x14ac:dyDescent="0.35">
      <c r="A4312" s="7" t="s">
        <v>4342</v>
      </c>
      <c r="B4312" s="8">
        <v>45887</v>
      </c>
      <c r="C4312" s="9" t="s">
        <v>11</v>
      </c>
      <c r="D4312" s="9" t="s">
        <v>36</v>
      </c>
      <c r="E4312" s="9" t="s">
        <v>29</v>
      </c>
      <c r="F4312" s="9">
        <v>227</v>
      </c>
      <c r="G4312" s="9">
        <v>264.89999999999998</v>
      </c>
      <c r="H4312" s="9" t="s">
        <v>19</v>
      </c>
      <c r="I4312" s="9">
        <v>8</v>
      </c>
      <c r="J4312" s="10">
        <v>37.899999999999899</v>
      </c>
      <c r="K4312" s="9" t="str">
        <f>TEXT(Sales_of_Jordan[[#This Row],[Sale_Date]],"mmm")</f>
        <v>Aug</v>
      </c>
    </row>
    <row r="4313" spans="1:11" x14ac:dyDescent="0.35">
      <c r="A4313" s="7" t="s">
        <v>4343</v>
      </c>
      <c r="B4313" s="8">
        <v>45005</v>
      </c>
      <c r="C4313" s="9" t="s">
        <v>27</v>
      </c>
      <c r="D4313" s="9" t="s">
        <v>55</v>
      </c>
      <c r="E4313" s="9" t="s">
        <v>29</v>
      </c>
      <c r="F4313" s="9">
        <v>111</v>
      </c>
      <c r="G4313" s="9">
        <v>119.81</v>
      </c>
      <c r="H4313" s="9" t="s">
        <v>23</v>
      </c>
      <c r="I4313" s="9">
        <v>24</v>
      </c>
      <c r="J4313" s="10">
        <v>8.81</v>
      </c>
      <c r="K4313" s="9" t="str">
        <f>TEXT(Sales_of_Jordan[[#This Row],[Sale_Date]],"mmm")</f>
        <v>Mar</v>
      </c>
    </row>
    <row r="4314" spans="1:11" x14ac:dyDescent="0.35">
      <c r="A4314" s="7" t="s">
        <v>4344</v>
      </c>
      <c r="B4314" s="8">
        <v>45402</v>
      </c>
      <c r="C4314" s="9" t="s">
        <v>31</v>
      </c>
      <c r="D4314" s="9" t="s">
        <v>22</v>
      </c>
      <c r="E4314" s="9" t="s">
        <v>13</v>
      </c>
      <c r="F4314" s="9">
        <v>208</v>
      </c>
      <c r="G4314" s="9">
        <v>178.22</v>
      </c>
      <c r="H4314" s="9" t="s">
        <v>23</v>
      </c>
      <c r="I4314" s="9">
        <v>11</v>
      </c>
      <c r="J4314" s="10">
        <v>-29.78</v>
      </c>
      <c r="K4314" s="9" t="str">
        <f>TEXT(Sales_of_Jordan[[#This Row],[Sale_Date]],"mmm")</f>
        <v>Apr</v>
      </c>
    </row>
    <row r="4315" spans="1:11" x14ac:dyDescent="0.35">
      <c r="A4315" s="7" t="s">
        <v>4345</v>
      </c>
      <c r="B4315" s="8">
        <v>45568</v>
      </c>
      <c r="C4315" s="9" t="s">
        <v>31</v>
      </c>
      <c r="D4315" s="9" t="s">
        <v>55</v>
      </c>
      <c r="E4315" s="9" t="s">
        <v>29</v>
      </c>
      <c r="F4315" s="9">
        <v>204</v>
      </c>
      <c r="G4315" s="9">
        <v>214.63</v>
      </c>
      <c r="H4315" s="9" t="s">
        <v>14</v>
      </c>
      <c r="I4315" s="9">
        <v>2</v>
      </c>
      <c r="J4315" s="10">
        <v>10.6299999999999</v>
      </c>
      <c r="K4315" s="9" t="str">
        <f>TEXT(Sales_of_Jordan[[#This Row],[Sale_Date]],"mmm")</f>
        <v>Oct</v>
      </c>
    </row>
    <row r="4316" spans="1:11" x14ac:dyDescent="0.35">
      <c r="A4316" s="7" t="s">
        <v>4346</v>
      </c>
      <c r="B4316" s="8">
        <v>45042</v>
      </c>
      <c r="C4316" s="9" t="s">
        <v>11</v>
      </c>
      <c r="D4316" s="9" t="s">
        <v>22</v>
      </c>
      <c r="E4316" s="9" t="s">
        <v>18</v>
      </c>
      <c r="F4316" s="9">
        <v>228</v>
      </c>
      <c r="G4316" s="9">
        <v>310.67</v>
      </c>
      <c r="H4316" s="9" t="s">
        <v>32</v>
      </c>
      <c r="I4316" s="9">
        <v>19</v>
      </c>
      <c r="J4316" s="10">
        <v>82.67</v>
      </c>
      <c r="K4316" s="9" t="str">
        <f>TEXT(Sales_of_Jordan[[#This Row],[Sale_Date]],"mmm")</f>
        <v>Apr</v>
      </c>
    </row>
    <row r="4317" spans="1:11" x14ac:dyDescent="0.35">
      <c r="A4317" s="7" t="s">
        <v>4347</v>
      </c>
      <c r="B4317" s="8">
        <v>45636</v>
      </c>
      <c r="C4317" s="9" t="s">
        <v>16</v>
      </c>
      <c r="D4317" s="9" t="s">
        <v>53</v>
      </c>
      <c r="E4317" s="9" t="s">
        <v>13</v>
      </c>
      <c r="F4317" s="9">
        <v>185</v>
      </c>
      <c r="G4317" s="9">
        <v>163.61000000000001</v>
      </c>
      <c r="H4317" s="9" t="s">
        <v>19</v>
      </c>
      <c r="I4317" s="9">
        <v>6</v>
      </c>
      <c r="J4317" s="10">
        <v>-21.389999999999901</v>
      </c>
      <c r="K4317" s="9" t="str">
        <f>TEXT(Sales_of_Jordan[[#This Row],[Sale_Date]],"mmm")</f>
        <v>Dec</v>
      </c>
    </row>
    <row r="4318" spans="1:11" x14ac:dyDescent="0.35">
      <c r="A4318" s="7" t="s">
        <v>4348</v>
      </c>
      <c r="B4318" s="8">
        <v>45209</v>
      </c>
      <c r="C4318" s="9" t="s">
        <v>27</v>
      </c>
      <c r="D4318" s="9" t="s">
        <v>53</v>
      </c>
      <c r="E4318" s="9" t="s">
        <v>18</v>
      </c>
      <c r="F4318" s="9">
        <v>139</v>
      </c>
      <c r="G4318" s="9">
        <v>482.84</v>
      </c>
      <c r="H4318" s="9" t="s">
        <v>25</v>
      </c>
      <c r="I4318" s="9">
        <v>40</v>
      </c>
      <c r="J4318" s="10">
        <v>343.84</v>
      </c>
      <c r="K4318" s="9" t="str">
        <f>TEXT(Sales_of_Jordan[[#This Row],[Sale_Date]],"mmm")</f>
        <v>Oct</v>
      </c>
    </row>
    <row r="4319" spans="1:11" x14ac:dyDescent="0.35">
      <c r="A4319" s="7" t="s">
        <v>4349</v>
      </c>
      <c r="B4319" s="8">
        <v>44965</v>
      </c>
      <c r="C4319" s="9" t="s">
        <v>21</v>
      </c>
      <c r="D4319" s="9" t="s">
        <v>39</v>
      </c>
      <c r="E4319" s="9" t="s">
        <v>29</v>
      </c>
      <c r="F4319" s="9">
        <v>218</v>
      </c>
      <c r="G4319" s="9">
        <v>236.17</v>
      </c>
      <c r="H4319" s="9" t="s">
        <v>32</v>
      </c>
      <c r="I4319" s="9">
        <v>22</v>
      </c>
      <c r="J4319" s="10">
        <v>18.169999999999899</v>
      </c>
      <c r="K4319" s="9" t="str">
        <f>TEXT(Sales_of_Jordan[[#This Row],[Sale_Date]],"mmm")</f>
        <v>Feb</v>
      </c>
    </row>
    <row r="4320" spans="1:11" x14ac:dyDescent="0.35">
      <c r="A4320" s="7" t="s">
        <v>4350</v>
      </c>
      <c r="B4320" s="8">
        <v>45013</v>
      </c>
      <c r="C4320" s="9" t="s">
        <v>21</v>
      </c>
      <c r="D4320" s="9" t="s">
        <v>12</v>
      </c>
      <c r="E4320" s="9" t="s">
        <v>18</v>
      </c>
      <c r="F4320" s="9">
        <v>217</v>
      </c>
      <c r="G4320" s="9">
        <v>503.56</v>
      </c>
      <c r="H4320" s="9" t="s">
        <v>14</v>
      </c>
      <c r="I4320" s="9">
        <v>5</v>
      </c>
      <c r="J4320" s="10">
        <v>286.56</v>
      </c>
      <c r="K4320" s="9" t="str">
        <f>TEXT(Sales_of_Jordan[[#This Row],[Sale_Date]],"mmm")</f>
        <v>Mar</v>
      </c>
    </row>
    <row r="4321" spans="1:11" x14ac:dyDescent="0.35">
      <c r="A4321" s="7" t="s">
        <v>4351</v>
      </c>
      <c r="B4321" s="8">
        <v>45751</v>
      </c>
      <c r="C4321" s="9" t="s">
        <v>16</v>
      </c>
      <c r="D4321" s="9" t="s">
        <v>36</v>
      </c>
      <c r="E4321" s="9" t="s">
        <v>18</v>
      </c>
      <c r="F4321" s="9">
        <v>190</v>
      </c>
      <c r="G4321" s="9">
        <v>318.42</v>
      </c>
      <c r="H4321" s="9" t="s">
        <v>19</v>
      </c>
      <c r="I4321" s="9">
        <v>2</v>
      </c>
      <c r="J4321" s="10">
        <v>128.41999999999999</v>
      </c>
      <c r="K4321" s="9" t="str">
        <f>TEXT(Sales_of_Jordan[[#This Row],[Sale_Date]],"mmm")</f>
        <v>Apr</v>
      </c>
    </row>
    <row r="4322" spans="1:11" x14ac:dyDescent="0.35">
      <c r="A4322" s="7" t="s">
        <v>4352</v>
      </c>
      <c r="B4322" s="8">
        <v>45785</v>
      </c>
      <c r="C4322" s="9" t="s">
        <v>27</v>
      </c>
      <c r="D4322" s="9" t="s">
        <v>34</v>
      </c>
      <c r="E4322" s="9" t="s">
        <v>18</v>
      </c>
      <c r="F4322" s="9">
        <v>133</v>
      </c>
      <c r="G4322" s="9">
        <v>209.74</v>
      </c>
      <c r="H4322" s="9" t="s">
        <v>19</v>
      </c>
      <c r="I4322" s="9">
        <v>10</v>
      </c>
      <c r="J4322" s="10">
        <v>76.739999999999995</v>
      </c>
      <c r="K4322" s="9" t="str">
        <f>TEXT(Sales_of_Jordan[[#This Row],[Sale_Date]],"mmm")</f>
        <v>May</v>
      </c>
    </row>
    <row r="4323" spans="1:11" x14ac:dyDescent="0.35">
      <c r="A4323" s="7" t="s">
        <v>4353</v>
      </c>
      <c r="B4323" s="8">
        <v>45858</v>
      </c>
      <c r="C4323" s="9" t="s">
        <v>16</v>
      </c>
      <c r="D4323" s="9" t="s">
        <v>34</v>
      </c>
      <c r="E4323" s="9" t="s">
        <v>18</v>
      </c>
      <c r="F4323" s="9">
        <v>171</v>
      </c>
      <c r="G4323" s="9">
        <v>413.64</v>
      </c>
      <c r="H4323" s="9" t="s">
        <v>19</v>
      </c>
      <c r="I4323" s="9">
        <v>3</v>
      </c>
      <c r="J4323" s="10">
        <v>242.64</v>
      </c>
      <c r="K4323" s="9" t="str">
        <f>TEXT(Sales_of_Jordan[[#This Row],[Sale_Date]],"mmm")</f>
        <v>Jul</v>
      </c>
    </row>
    <row r="4324" spans="1:11" x14ac:dyDescent="0.35">
      <c r="A4324" s="7" t="s">
        <v>4354</v>
      </c>
      <c r="B4324" s="8">
        <v>45848</v>
      </c>
      <c r="C4324" s="9" t="s">
        <v>11</v>
      </c>
      <c r="D4324" s="9" t="s">
        <v>17</v>
      </c>
      <c r="E4324" s="9" t="s">
        <v>18</v>
      </c>
      <c r="F4324" s="9">
        <v>227</v>
      </c>
      <c r="G4324" s="9">
        <v>664.99</v>
      </c>
      <c r="H4324" s="9" t="s">
        <v>23</v>
      </c>
      <c r="I4324" s="9">
        <v>40</v>
      </c>
      <c r="J4324" s="10">
        <v>437.99</v>
      </c>
      <c r="K4324" s="9" t="str">
        <f>TEXT(Sales_of_Jordan[[#This Row],[Sale_Date]],"mmm")</f>
        <v>Jul</v>
      </c>
    </row>
    <row r="4325" spans="1:11" x14ac:dyDescent="0.35">
      <c r="A4325" s="7" t="s">
        <v>4355</v>
      </c>
      <c r="B4325" s="8">
        <v>45114</v>
      </c>
      <c r="C4325" s="9" t="s">
        <v>11</v>
      </c>
      <c r="D4325" s="9" t="s">
        <v>39</v>
      </c>
      <c r="E4325" s="9" t="s">
        <v>13</v>
      </c>
      <c r="F4325" s="9">
        <v>227</v>
      </c>
      <c r="G4325" s="9">
        <v>168.46</v>
      </c>
      <c r="H4325" s="9" t="s">
        <v>25</v>
      </c>
      <c r="I4325" s="9">
        <v>41</v>
      </c>
      <c r="J4325" s="10">
        <v>-58.5399999999999</v>
      </c>
      <c r="K4325" s="9" t="str">
        <f>TEXT(Sales_of_Jordan[[#This Row],[Sale_Date]],"mmm")</f>
        <v>Jul</v>
      </c>
    </row>
    <row r="4326" spans="1:11" x14ac:dyDescent="0.35">
      <c r="A4326" s="7" t="s">
        <v>4356</v>
      </c>
      <c r="B4326" s="8">
        <v>45204</v>
      </c>
      <c r="C4326" s="9" t="s">
        <v>16</v>
      </c>
      <c r="D4326" s="9" t="s">
        <v>17</v>
      </c>
      <c r="E4326" s="9" t="s">
        <v>29</v>
      </c>
      <c r="F4326" s="9">
        <v>182</v>
      </c>
      <c r="G4326" s="9">
        <v>221.66</v>
      </c>
      <c r="H4326" s="9" t="s">
        <v>23</v>
      </c>
      <c r="I4326" s="9">
        <v>20</v>
      </c>
      <c r="J4326" s="10">
        <v>39.659999999999997</v>
      </c>
      <c r="K4326" s="9" t="str">
        <f>TEXT(Sales_of_Jordan[[#This Row],[Sale_Date]],"mmm")</f>
        <v>Oct</v>
      </c>
    </row>
    <row r="4327" spans="1:11" x14ac:dyDescent="0.35">
      <c r="A4327" s="7" t="s">
        <v>4357</v>
      </c>
      <c r="B4327" s="8">
        <v>44979</v>
      </c>
      <c r="C4327" s="9" t="s">
        <v>11</v>
      </c>
      <c r="D4327" s="9" t="s">
        <v>53</v>
      </c>
      <c r="E4327" s="9" t="s">
        <v>29</v>
      </c>
      <c r="F4327" s="9">
        <v>230</v>
      </c>
      <c r="G4327" s="9">
        <v>303.12</v>
      </c>
      <c r="H4327" s="9" t="s">
        <v>25</v>
      </c>
      <c r="I4327" s="9">
        <v>26</v>
      </c>
      <c r="J4327" s="10">
        <v>73.12</v>
      </c>
      <c r="K4327" s="9" t="str">
        <f>TEXT(Sales_of_Jordan[[#This Row],[Sale_Date]],"mmm")</f>
        <v>Feb</v>
      </c>
    </row>
    <row r="4328" spans="1:11" x14ac:dyDescent="0.35">
      <c r="A4328" s="7" t="s">
        <v>4358</v>
      </c>
      <c r="B4328" s="8">
        <v>45231</v>
      </c>
      <c r="C4328" s="9" t="s">
        <v>21</v>
      </c>
      <c r="D4328" s="9" t="s">
        <v>12</v>
      </c>
      <c r="E4328" s="9" t="s">
        <v>18</v>
      </c>
      <c r="F4328" s="9">
        <v>220</v>
      </c>
      <c r="G4328" s="9">
        <v>364.86</v>
      </c>
      <c r="H4328" s="9" t="s">
        <v>25</v>
      </c>
      <c r="I4328" s="9">
        <v>33</v>
      </c>
      <c r="J4328" s="10">
        <v>144.86000000000001</v>
      </c>
      <c r="K4328" s="9" t="str">
        <f>TEXT(Sales_of_Jordan[[#This Row],[Sale_Date]],"mmm")</f>
        <v>Nov</v>
      </c>
    </row>
    <row r="4329" spans="1:11" x14ac:dyDescent="0.35">
      <c r="A4329" s="7" t="s">
        <v>4359</v>
      </c>
      <c r="B4329" s="8">
        <v>45837</v>
      </c>
      <c r="C4329" s="9" t="s">
        <v>21</v>
      </c>
      <c r="D4329" s="9" t="s">
        <v>12</v>
      </c>
      <c r="E4329" s="9" t="s">
        <v>29</v>
      </c>
      <c r="F4329" s="9">
        <v>213</v>
      </c>
      <c r="G4329" s="9">
        <v>318.87</v>
      </c>
      <c r="H4329" s="9" t="s">
        <v>32</v>
      </c>
      <c r="I4329" s="9">
        <v>10</v>
      </c>
      <c r="J4329" s="10">
        <v>105.87</v>
      </c>
      <c r="K4329" s="9" t="str">
        <f>TEXT(Sales_of_Jordan[[#This Row],[Sale_Date]],"mmm")</f>
        <v>Jun</v>
      </c>
    </row>
    <row r="4330" spans="1:11" x14ac:dyDescent="0.35">
      <c r="A4330" s="7" t="s">
        <v>4360</v>
      </c>
      <c r="B4330" s="8">
        <v>45498</v>
      </c>
      <c r="C4330" s="9" t="s">
        <v>21</v>
      </c>
      <c r="D4330" s="9" t="s">
        <v>39</v>
      </c>
      <c r="E4330" s="9" t="s">
        <v>18</v>
      </c>
      <c r="F4330" s="9">
        <v>219</v>
      </c>
      <c r="G4330" s="9">
        <v>464.54</v>
      </c>
      <c r="H4330" s="9" t="s">
        <v>25</v>
      </c>
      <c r="I4330" s="9">
        <v>26</v>
      </c>
      <c r="J4330" s="10">
        <v>245.54</v>
      </c>
      <c r="K4330" s="9" t="str">
        <f>TEXT(Sales_of_Jordan[[#This Row],[Sale_Date]],"mmm")</f>
        <v>Jul</v>
      </c>
    </row>
    <row r="4331" spans="1:11" x14ac:dyDescent="0.35">
      <c r="A4331" s="7" t="s">
        <v>4361</v>
      </c>
      <c r="B4331" s="8">
        <v>45313</v>
      </c>
      <c r="C4331" s="9" t="s">
        <v>16</v>
      </c>
      <c r="D4331" s="9" t="s">
        <v>34</v>
      </c>
      <c r="E4331" s="9" t="s">
        <v>29</v>
      </c>
      <c r="F4331" s="9">
        <v>177</v>
      </c>
      <c r="G4331" s="9">
        <v>171.21</v>
      </c>
      <c r="H4331" s="9" t="s">
        <v>19</v>
      </c>
      <c r="I4331" s="9">
        <v>6</v>
      </c>
      <c r="J4331" s="10">
        <v>-5.7899999999999903</v>
      </c>
      <c r="K4331" s="9" t="str">
        <f>TEXT(Sales_of_Jordan[[#This Row],[Sale_Date]],"mmm")</f>
        <v>Jan</v>
      </c>
    </row>
    <row r="4332" spans="1:11" x14ac:dyDescent="0.35">
      <c r="A4332" s="7" t="s">
        <v>4362</v>
      </c>
      <c r="B4332" s="8">
        <v>45374</v>
      </c>
      <c r="C4332" s="9" t="s">
        <v>11</v>
      </c>
      <c r="D4332" s="9" t="s">
        <v>53</v>
      </c>
      <c r="E4332" s="9" t="s">
        <v>13</v>
      </c>
      <c r="F4332" s="9">
        <v>228</v>
      </c>
      <c r="G4332" s="9">
        <v>175.66</v>
      </c>
      <c r="H4332" s="9" t="s">
        <v>25</v>
      </c>
      <c r="I4332" s="9">
        <v>7</v>
      </c>
      <c r="J4332" s="10">
        <v>-52.34</v>
      </c>
      <c r="K4332" s="9" t="str">
        <f>TEXT(Sales_of_Jordan[[#This Row],[Sale_Date]],"mmm")</f>
        <v>Mar</v>
      </c>
    </row>
    <row r="4333" spans="1:11" x14ac:dyDescent="0.35">
      <c r="A4333" s="7" t="s">
        <v>4363</v>
      </c>
      <c r="B4333" s="8">
        <v>45585</v>
      </c>
      <c r="C4333" s="9" t="s">
        <v>21</v>
      </c>
      <c r="D4333" s="9" t="s">
        <v>53</v>
      </c>
      <c r="E4333" s="9" t="s">
        <v>29</v>
      </c>
      <c r="F4333" s="9">
        <v>213</v>
      </c>
      <c r="G4333" s="9">
        <v>289.70999999999998</v>
      </c>
      <c r="H4333" s="9" t="s">
        <v>23</v>
      </c>
      <c r="I4333" s="9">
        <v>48</v>
      </c>
      <c r="J4333" s="10">
        <v>76.709999999999894</v>
      </c>
      <c r="K4333" s="9" t="str">
        <f>TEXT(Sales_of_Jordan[[#This Row],[Sale_Date]],"mmm")</f>
        <v>Oct</v>
      </c>
    </row>
    <row r="4334" spans="1:11" x14ac:dyDescent="0.35">
      <c r="A4334" s="7" t="s">
        <v>4364</v>
      </c>
      <c r="B4334" s="8">
        <v>45246</v>
      </c>
      <c r="C4334" s="9" t="s">
        <v>11</v>
      </c>
      <c r="D4334" s="9" t="s">
        <v>17</v>
      </c>
      <c r="E4334" s="9" t="s">
        <v>13</v>
      </c>
      <c r="F4334" s="9">
        <v>228</v>
      </c>
      <c r="G4334" s="9">
        <v>117.67</v>
      </c>
      <c r="H4334" s="9" t="s">
        <v>32</v>
      </c>
      <c r="I4334" s="9">
        <v>5</v>
      </c>
      <c r="J4334" s="10">
        <v>-110.33</v>
      </c>
      <c r="K4334" s="9" t="str">
        <f>TEXT(Sales_of_Jordan[[#This Row],[Sale_Date]],"mmm")</f>
        <v>Nov</v>
      </c>
    </row>
    <row r="4335" spans="1:11" x14ac:dyDescent="0.35">
      <c r="A4335" s="7" t="s">
        <v>4365</v>
      </c>
      <c r="B4335" s="8">
        <v>45082</v>
      </c>
      <c r="C4335" s="9" t="s">
        <v>31</v>
      </c>
      <c r="D4335" s="9" t="s">
        <v>39</v>
      </c>
      <c r="E4335" s="9" t="s">
        <v>18</v>
      </c>
      <c r="F4335" s="9">
        <v>210</v>
      </c>
      <c r="G4335" s="9">
        <v>610.54999999999995</v>
      </c>
      <c r="H4335" s="9" t="s">
        <v>19</v>
      </c>
      <c r="I4335" s="9">
        <v>4</v>
      </c>
      <c r="J4335" s="10">
        <v>400.54999999999899</v>
      </c>
      <c r="K4335" s="9" t="str">
        <f>TEXT(Sales_of_Jordan[[#This Row],[Sale_Date]],"mmm")</f>
        <v>Jun</v>
      </c>
    </row>
    <row r="4336" spans="1:11" x14ac:dyDescent="0.35">
      <c r="A4336" s="7" t="s">
        <v>4366</v>
      </c>
      <c r="B4336" s="8">
        <v>45377</v>
      </c>
      <c r="C4336" s="9" t="s">
        <v>11</v>
      </c>
      <c r="D4336" s="9" t="s">
        <v>36</v>
      </c>
      <c r="E4336" s="9" t="s">
        <v>29</v>
      </c>
      <c r="F4336" s="9">
        <v>226</v>
      </c>
      <c r="G4336" s="9">
        <v>249.59</v>
      </c>
      <c r="H4336" s="9" t="s">
        <v>14</v>
      </c>
      <c r="I4336" s="9">
        <v>8</v>
      </c>
      <c r="J4336" s="10">
        <v>23.59</v>
      </c>
      <c r="K4336" s="9" t="str">
        <f>TEXT(Sales_of_Jordan[[#This Row],[Sale_Date]],"mmm")</f>
        <v>Mar</v>
      </c>
    </row>
    <row r="4337" spans="1:11" x14ac:dyDescent="0.35">
      <c r="A4337" s="7" t="s">
        <v>4367</v>
      </c>
      <c r="B4337" s="8">
        <v>45855</v>
      </c>
      <c r="C4337" s="9" t="s">
        <v>16</v>
      </c>
      <c r="D4337" s="9" t="s">
        <v>46</v>
      </c>
      <c r="E4337" s="9" t="s">
        <v>13</v>
      </c>
      <c r="F4337" s="9">
        <v>177</v>
      </c>
      <c r="G4337" s="9">
        <v>97.82</v>
      </c>
      <c r="H4337" s="9" t="s">
        <v>32</v>
      </c>
      <c r="I4337" s="9">
        <v>6</v>
      </c>
      <c r="J4337" s="10">
        <v>-79.180000000000007</v>
      </c>
      <c r="K4337" s="9" t="str">
        <f>TEXT(Sales_of_Jordan[[#This Row],[Sale_Date]],"mmm")</f>
        <v>Jul</v>
      </c>
    </row>
    <row r="4338" spans="1:11" x14ac:dyDescent="0.35">
      <c r="A4338" s="7" t="s">
        <v>4368</v>
      </c>
      <c r="B4338" s="8">
        <v>45325</v>
      </c>
      <c r="C4338" s="9" t="s">
        <v>31</v>
      </c>
      <c r="D4338" s="9" t="s">
        <v>39</v>
      </c>
      <c r="E4338" s="9" t="s">
        <v>29</v>
      </c>
      <c r="F4338" s="9">
        <v>202</v>
      </c>
      <c r="G4338" s="9">
        <v>254.23</v>
      </c>
      <c r="H4338" s="9" t="s">
        <v>14</v>
      </c>
      <c r="I4338" s="9">
        <v>10</v>
      </c>
      <c r="J4338" s="10">
        <v>52.229999999999897</v>
      </c>
      <c r="K4338" s="9" t="str">
        <f>TEXT(Sales_of_Jordan[[#This Row],[Sale_Date]],"mmm")</f>
        <v>Feb</v>
      </c>
    </row>
    <row r="4339" spans="1:11" x14ac:dyDescent="0.35">
      <c r="A4339" s="7" t="s">
        <v>4369</v>
      </c>
      <c r="B4339" s="8">
        <v>45428</v>
      </c>
      <c r="C4339" s="9" t="s">
        <v>27</v>
      </c>
      <c r="D4339" s="9" t="s">
        <v>39</v>
      </c>
      <c r="E4339" s="9" t="s">
        <v>13</v>
      </c>
      <c r="F4339" s="9">
        <v>120</v>
      </c>
      <c r="G4339" s="9">
        <v>71.63</v>
      </c>
      <c r="H4339" s="9" t="s">
        <v>23</v>
      </c>
      <c r="I4339" s="9">
        <v>59</v>
      </c>
      <c r="J4339" s="10">
        <v>-48.37</v>
      </c>
      <c r="K4339" s="9" t="str">
        <f>TEXT(Sales_of_Jordan[[#This Row],[Sale_Date]],"mmm")</f>
        <v>May</v>
      </c>
    </row>
    <row r="4340" spans="1:11" x14ac:dyDescent="0.35">
      <c r="A4340" s="7" t="s">
        <v>4370</v>
      </c>
      <c r="B4340" s="8">
        <v>45491</v>
      </c>
      <c r="C4340" s="9" t="s">
        <v>21</v>
      </c>
      <c r="D4340" s="9" t="s">
        <v>34</v>
      </c>
      <c r="E4340" s="9" t="s">
        <v>13</v>
      </c>
      <c r="F4340" s="9">
        <v>214</v>
      </c>
      <c r="G4340" s="9">
        <v>121.61</v>
      </c>
      <c r="H4340" s="9" t="s">
        <v>19</v>
      </c>
      <c r="I4340" s="9">
        <v>13</v>
      </c>
      <c r="J4340" s="10">
        <v>-92.39</v>
      </c>
      <c r="K4340" s="9" t="str">
        <f>TEXT(Sales_of_Jordan[[#This Row],[Sale_Date]],"mmm")</f>
        <v>Jul</v>
      </c>
    </row>
    <row r="4341" spans="1:11" x14ac:dyDescent="0.35">
      <c r="A4341" s="7" t="s">
        <v>4371</v>
      </c>
      <c r="B4341" s="8">
        <v>45092</v>
      </c>
      <c r="C4341" s="9" t="s">
        <v>31</v>
      </c>
      <c r="D4341" s="9" t="s">
        <v>46</v>
      </c>
      <c r="E4341" s="9" t="s">
        <v>29</v>
      </c>
      <c r="F4341" s="9">
        <v>209</v>
      </c>
      <c r="G4341" s="9">
        <v>245.06</v>
      </c>
      <c r="H4341" s="9" t="s">
        <v>14</v>
      </c>
      <c r="I4341" s="9">
        <v>9</v>
      </c>
      <c r="J4341" s="10">
        <v>36.06</v>
      </c>
      <c r="K4341" s="9" t="str">
        <f>TEXT(Sales_of_Jordan[[#This Row],[Sale_Date]],"mmm")</f>
        <v>Jun</v>
      </c>
    </row>
    <row r="4342" spans="1:11" x14ac:dyDescent="0.35">
      <c r="A4342" s="7" t="s">
        <v>4372</v>
      </c>
      <c r="B4342" s="8">
        <v>44960</v>
      </c>
      <c r="C4342" s="9" t="s">
        <v>21</v>
      </c>
      <c r="D4342" s="9" t="s">
        <v>17</v>
      </c>
      <c r="E4342" s="9" t="s">
        <v>13</v>
      </c>
      <c r="F4342" s="9">
        <v>212</v>
      </c>
      <c r="G4342" s="9">
        <v>189.2</v>
      </c>
      <c r="H4342" s="9" t="s">
        <v>14</v>
      </c>
      <c r="I4342" s="9">
        <v>12</v>
      </c>
      <c r="J4342" s="10">
        <v>-22.8</v>
      </c>
      <c r="K4342" s="9" t="str">
        <f>TEXT(Sales_of_Jordan[[#This Row],[Sale_Date]],"mmm")</f>
        <v>Feb</v>
      </c>
    </row>
    <row r="4343" spans="1:11" x14ac:dyDescent="0.35">
      <c r="A4343" s="7" t="s">
        <v>4373</v>
      </c>
      <c r="B4343" s="8">
        <v>45863</v>
      </c>
      <c r="C4343" s="9" t="s">
        <v>11</v>
      </c>
      <c r="D4343" s="9" t="s">
        <v>39</v>
      </c>
      <c r="E4343" s="9" t="s">
        <v>29</v>
      </c>
      <c r="F4343" s="9">
        <v>225</v>
      </c>
      <c r="G4343" s="9">
        <v>315.08</v>
      </c>
      <c r="H4343" s="9" t="s">
        <v>14</v>
      </c>
      <c r="I4343" s="9">
        <v>14</v>
      </c>
      <c r="J4343" s="10">
        <v>90.079999999999899</v>
      </c>
      <c r="K4343" s="9" t="str">
        <f>TEXT(Sales_of_Jordan[[#This Row],[Sale_Date]],"mmm")</f>
        <v>Jul</v>
      </c>
    </row>
    <row r="4344" spans="1:11" x14ac:dyDescent="0.35">
      <c r="A4344" s="7" t="s">
        <v>4374</v>
      </c>
      <c r="B4344" s="8">
        <v>45360</v>
      </c>
      <c r="C4344" s="9" t="s">
        <v>31</v>
      </c>
      <c r="D4344" s="9" t="s">
        <v>55</v>
      </c>
      <c r="E4344" s="9" t="s">
        <v>29</v>
      </c>
      <c r="F4344" s="9">
        <v>205</v>
      </c>
      <c r="G4344" s="9">
        <v>218.51</v>
      </c>
      <c r="H4344" s="9" t="s">
        <v>14</v>
      </c>
      <c r="I4344" s="9">
        <v>9</v>
      </c>
      <c r="J4344" s="10">
        <v>13.5099999999999</v>
      </c>
      <c r="K4344" s="9" t="str">
        <f>TEXT(Sales_of_Jordan[[#This Row],[Sale_Date]],"mmm")</f>
        <v>Mar</v>
      </c>
    </row>
    <row r="4345" spans="1:11" x14ac:dyDescent="0.35">
      <c r="A4345" s="7" t="s">
        <v>4375</v>
      </c>
      <c r="B4345" s="8">
        <v>45739</v>
      </c>
      <c r="C4345" s="9" t="s">
        <v>21</v>
      </c>
      <c r="D4345" s="9" t="s">
        <v>39</v>
      </c>
      <c r="E4345" s="9" t="s">
        <v>18</v>
      </c>
      <c r="F4345" s="9">
        <v>216</v>
      </c>
      <c r="G4345" s="9">
        <v>741.96</v>
      </c>
      <c r="H4345" s="9" t="s">
        <v>14</v>
      </c>
      <c r="I4345" s="9">
        <v>3</v>
      </c>
      <c r="J4345" s="10">
        <v>525.96</v>
      </c>
      <c r="K4345" s="9" t="str">
        <f>TEXT(Sales_of_Jordan[[#This Row],[Sale_Date]],"mmm")</f>
        <v>Mar</v>
      </c>
    </row>
    <row r="4346" spans="1:11" x14ac:dyDescent="0.35">
      <c r="A4346" s="7" t="s">
        <v>4376</v>
      </c>
      <c r="B4346" s="8">
        <v>44985</v>
      </c>
      <c r="C4346" s="9" t="s">
        <v>27</v>
      </c>
      <c r="D4346" s="9" t="s">
        <v>12</v>
      </c>
      <c r="E4346" s="9" t="s">
        <v>29</v>
      </c>
      <c r="F4346" s="9">
        <v>138</v>
      </c>
      <c r="G4346" s="9">
        <v>192.75</v>
      </c>
      <c r="H4346" s="9" t="s">
        <v>19</v>
      </c>
      <c r="I4346" s="9">
        <v>14</v>
      </c>
      <c r="J4346" s="10">
        <v>54.75</v>
      </c>
      <c r="K4346" s="9" t="str">
        <f>TEXT(Sales_of_Jordan[[#This Row],[Sale_Date]],"mmm")</f>
        <v>Feb</v>
      </c>
    </row>
    <row r="4347" spans="1:11" x14ac:dyDescent="0.35">
      <c r="A4347" s="7" t="s">
        <v>4377</v>
      </c>
      <c r="B4347" s="8">
        <v>45925</v>
      </c>
      <c r="C4347" s="9" t="s">
        <v>21</v>
      </c>
      <c r="D4347" s="9" t="s">
        <v>55</v>
      </c>
      <c r="E4347" s="9" t="s">
        <v>18</v>
      </c>
      <c r="F4347" s="9">
        <v>225</v>
      </c>
      <c r="G4347" s="9">
        <v>498.21</v>
      </c>
      <c r="H4347" s="9" t="s">
        <v>14</v>
      </c>
      <c r="I4347" s="9">
        <v>8</v>
      </c>
      <c r="J4347" s="10">
        <v>273.20999999999998</v>
      </c>
      <c r="K4347" s="9" t="str">
        <f>TEXT(Sales_of_Jordan[[#This Row],[Sale_Date]],"mmm")</f>
        <v>Sep</v>
      </c>
    </row>
    <row r="4348" spans="1:11" x14ac:dyDescent="0.35">
      <c r="A4348" s="7" t="s">
        <v>4378</v>
      </c>
      <c r="B4348" s="8">
        <v>44975</v>
      </c>
      <c r="C4348" s="9" t="s">
        <v>21</v>
      </c>
      <c r="D4348" s="9" t="s">
        <v>34</v>
      </c>
      <c r="E4348" s="9" t="s">
        <v>29</v>
      </c>
      <c r="F4348" s="9">
        <v>222</v>
      </c>
      <c r="G4348" s="9">
        <v>295.58</v>
      </c>
      <c r="H4348" s="9" t="s">
        <v>25</v>
      </c>
      <c r="I4348" s="9">
        <v>46</v>
      </c>
      <c r="J4348" s="10">
        <v>73.579999999999899</v>
      </c>
      <c r="K4348" s="9" t="str">
        <f>TEXT(Sales_of_Jordan[[#This Row],[Sale_Date]],"mmm")</f>
        <v>Feb</v>
      </c>
    </row>
    <row r="4349" spans="1:11" x14ac:dyDescent="0.35">
      <c r="A4349" s="7" t="s">
        <v>4379</v>
      </c>
      <c r="B4349" s="8">
        <v>45791</v>
      </c>
      <c r="C4349" s="9" t="s">
        <v>27</v>
      </c>
      <c r="D4349" s="9" t="s">
        <v>53</v>
      </c>
      <c r="E4349" s="9" t="s">
        <v>29</v>
      </c>
      <c r="F4349" s="9">
        <v>137</v>
      </c>
      <c r="G4349" s="9">
        <v>197.14</v>
      </c>
      <c r="H4349" s="9" t="s">
        <v>14</v>
      </c>
      <c r="I4349" s="9">
        <v>3</v>
      </c>
      <c r="J4349" s="10">
        <v>60.139999999999901</v>
      </c>
      <c r="K4349" s="9" t="str">
        <f>TEXT(Sales_of_Jordan[[#This Row],[Sale_Date]],"mmm")</f>
        <v>May</v>
      </c>
    </row>
    <row r="4350" spans="1:11" x14ac:dyDescent="0.35">
      <c r="A4350" s="7" t="s">
        <v>4380</v>
      </c>
      <c r="B4350" s="8">
        <v>45030</v>
      </c>
      <c r="C4350" s="9" t="s">
        <v>31</v>
      </c>
      <c r="D4350" s="9" t="s">
        <v>53</v>
      </c>
      <c r="E4350" s="9" t="s">
        <v>18</v>
      </c>
      <c r="F4350" s="9">
        <v>200</v>
      </c>
      <c r="G4350" s="9">
        <v>497.82</v>
      </c>
      <c r="H4350" s="9" t="s">
        <v>32</v>
      </c>
      <c r="I4350" s="9">
        <v>29</v>
      </c>
      <c r="J4350" s="10">
        <v>297.82</v>
      </c>
      <c r="K4350" s="9" t="str">
        <f>TEXT(Sales_of_Jordan[[#This Row],[Sale_Date]],"mmm")</f>
        <v>Apr</v>
      </c>
    </row>
    <row r="4351" spans="1:11" x14ac:dyDescent="0.35">
      <c r="A4351" s="7" t="s">
        <v>4381</v>
      </c>
      <c r="B4351" s="8">
        <v>45046</v>
      </c>
      <c r="C4351" s="9" t="s">
        <v>27</v>
      </c>
      <c r="D4351" s="9" t="s">
        <v>36</v>
      </c>
      <c r="E4351" s="9" t="s">
        <v>18</v>
      </c>
      <c r="F4351" s="9">
        <v>124</v>
      </c>
      <c r="G4351" s="9">
        <v>408.62</v>
      </c>
      <c r="H4351" s="9" t="s">
        <v>25</v>
      </c>
      <c r="I4351" s="9">
        <v>39</v>
      </c>
      <c r="J4351" s="10">
        <v>284.62</v>
      </c>
      <c r="K4351" s="9" t="str">
        <f>TEXT(Sales_of_Jordan[[#This Row],[Sale_Date]],"mmm")</f>
        <v>Apr</v>
      </c>
    </row>
    <row r="4352" spans="1:11" x14ac:dyDescent="0.35">
      <c r="A4352" s="7" t="s">
        <v>4382</v>
      </c>
      <c r="B4352" s="8">
        <v>45700</v>
      </c>
      <c r="C4352" s="9" t="s">
        <v>21</v>
      </c>
      <c r="D4352" s="9" t="s">
        <v>36</v>
      </c>
      <c r="E4352" s="9" t="s">
        <v>18</v>
      </c>
      <c r="F4352" s="9">
        <v>222</v>
      </c>
      <c r="G4352" s="9">
        <v>661</v>
      </c>
      <c r="H4352" s="9" t="s">
        <v>14</v>
      </c>
      <c r="I4352" s="9">
        <v>5</v>
      </c>
      <c r="J4352" s="10">
        <v>439</v>
      </c>
      <c r="K4352" s="9" t="str">
        <f>TEXT(Sales_of_Jordan[[#This Row],[Sale_Date]],"mmm")</f>
        <v>Feb</v>
      </c>
    </row>
    <row r="4353" spans="1:11" x14ac:dyDescent="0.35">
      <c r="A4353" s="7" t="s">
        <v>4383</v>
      </c>
      <c r="B4353" s="8">
        <v>45229</v>
      </c>
      <c r="C4353" s="9" t="s">
        <v>21</v>
      </c>
      <c r="D4353" s="9" t="s">
        <v>12</v>
      </c>
      <c r="E4353" s="9" t="s">
        <v>13</v>
      </c>
      <c r="F4353" s="9">
        <v>221</v>
      </c>
      <c r="G4353" s="9">
        <v>113.72</v>
      </c>
      <c r="H4353" s="9" t="s">
        <v>14</v>
      </c>
      <c r="I4353" s="9">
        <v>13</v>
      </c>
      <c r="J4353" s="10">
        <v>-107.28</v>
      </c>
      <c r="K4353" s="9" t="str">
        <f>TEXT(Sales_of_Jordan[[#This Row],[Sale_Date]],"mmm")</f>
        <v>Oct</v>
      </c>
    </row>
    <row r="4354" spans="1:11" x14ac:dyDescent="0.35">
      <c r="A4354" s="7" t="s">
        <v>4384</v>
      </c>
      <c r="B4354" s="8">
        <v>45332</v>
      </c>
      <c r="C4354" s="9" t="s">
        <v>21</v>
      </c>
      <c r="D4354" s="9" t="s">
        <v>39</v>
      </c>
      <c r="E4354" s="9" t="s">
        <v>13</v>
      </c>
      <c r="F4354" s="9">
        <v>216</v>
      </c>
      <c r="G4354" s="9">
        <v>179.09</v>
      </c>
      <c r="H4354" s="9" t="s">
        <v>14</v>
      </c>
      <c r="I4354" s="9">
        <v>14</v>
      </c>
      <c r="J4354" s="10">
        <v>-36.909999999999997</v>
      </c>
      <c r="K4354" s="9" t="str">
        <f>TEXT(Sales_of_Jordan[[#This Row],[Sale_Date]],"mmm")</f>
        <v>Feb</v>
      </c>
    </row>
    <row r="4355" spans="1:11" x14ac:dyDescent="0.35">
      <c r="A4355" s="7" t="s">
        <v>4385</v>
      </c>
      <c r="B4355" s="8">
        <v>45899</v>
      </c>
      <c r="C4355" s="9" t="s">
        <v>27</v>
      </c>
      <c r="D4355" s="9" t="s">
        <v>55</v>
      </c>
      <c r="E4355" s="9" t="s">
        <v>18</v>
      </c>
      <c r="F4355" s="9">
        <v>129</v>
      </c>
      <c r="G4355" s="9">
        <v>346.18</v>
      </c>
      <c r="H4355" s="9" t="s">
        <v>32</v>
      </c>
      <c r="I4355" s="9">
        <v>39</v>
      </c>
      <c r="J4355" s="10">
        <v>217.18</v>
      </c>
      <c r="K4355" s="9" t="str">
        <f>TEXT(Sales_of_Jordan[[#This Row],[Sale_Date]],"mmm")</f>
        <v>Aug</v>
      </c>
    </row>
    <row r="4356" spans="1:11" x14ac:dyDescent="0.35">
      <c r="A4356" s="7" t="s">
        <v>4386</v>
      </c>
      <c r="B4356" s="8">
        <v>45708</v>
      </c>
      <c r="C4356" s="9" t="s">
        <v>31</v>
      </c>
      <c r="D4356" s="9" t="s">
        <v>12</v>
      </c>
      <c r="E4356" s="9" t="s">
        <v>29</v>
      </c>
      <c r="F4356" s="9">
        <v>204</v>
      </c>
      <c r="G4356" s="9">
        <v>231.42</v>
      </c>
      <c r="H4356" s="9" t="s">
        <v>32</v>
      </c>
      <c r="I4356" s="9">
        <v>23</v>
      </c>
      <c r="J4356" s="10">
        <v>27.419999999999899</v>
      </c>
      <c r="K4356" s="9" t="str">
        <f>TEXT(Sales_of_Jordan[[#This Row],[Sale_Date]],"mmm")</f>
        <v>Feb</v>
      </c>
    </row>
    <row r="4357" spans="1:11" x14ac:dyDescent="0.35">
      <c r="A4357" s="7" t="s">
        <v>4387</v>
      </c>
      <c r="B4357" s="8">
        <v>45663</v>
      </c>
      <c r="C4357" s="9" t="s">
        <v>27</v>
      </c>
      <c r="D4357" s="9" t="s">
        <v>36</v>
      </c>
      <c r="E4357" s="9" t="s">
        <v>13</v>
      </c>
      <c r="F4357" s="9">
        <v>125</v>
      </c>
      <c r="G4357" s="9">
        <v>82.98</v>
      </c>
      <c r="H4357" s="9" t="s">
        <v>14</v>
      </c>
      <c r="I4357" s="9">
        <v>7</v>
      </c>
      <c r="J4357" s="10">
        <v>-42.019999999999897</v>
      </c>
      <c r="K4357" s="9" t="str">
        <f>TEXT(Sales_of_Jordan[[#This Row],[Sale_Date]],"mmm")</f>
        <v>Jan</v>
      </c>
    </row>
    <row r="4358" spans="1:11" x14ac:dyDescent="0.35">
      <c r="A4358" s="7" t="s">
        <v>4388</v>
      </c>
      <c r="B4358" s="8">
        <v>45097</v>
      </c>
      <c r="C4358" s="9" t="s">
        <v>21</v>
      </c>
      <c r="D4358" s="9" t="s">
        <v>34</v>
      </c>
      <c r="E4358" s="9" t="s">
        <v>29</v>
      </c>
      <c r="F4358" s="9">
        <v>210</v>
      </c>
      <c r="G4358" s="9">
        <v>253.6</v>
      </c>
      <c r="H4358" s="9" t="s">
        <v>25</v>
      </c>
      <c r="I4358" s="9">
        <v>9</v>
      </c>
      <c r="J4358" s="10">
        <v>43.599999999999902</v>
      </c>
      <c r="K4358" s="9" t="str">
        <f>TEXT(Sales_of_Jordan[[#This Row],[Sale_Date]],"mmm")</f>
        <v>Jun</v>
      </c>
    </row>
    <row r="4359" spans="1:11" x14ac:dyDescent="0.35">
      <c r="A4359" s="7" t="s">
        <v>4389</v>
      </c>
      <c r="B4359" s="8">
        <v>45499</v>
      </c>
      <c r="C4359" s="9" t="s">
        <v>21</v>
      </c>
      <c r="D4359" s="9" t="s">
        <v>39</v>
      </c>
      <c r="E4359" s="9" t="s">
        <v>18</v>
      </c>
      <c r="F4359" s="9">
        <v>225</v>
      </c>
      <c r="G4359" s="9">
        <v>736.31</v>
      </c>
      <c r="H4359" s="9" t="s">
        <v>14</v>
      </c>
      <c r="I4359" s="9">
        <v>11</v>
      </c>
      <c r="J4359" s="10">
        <v>511.30999999999898</v>
      </c>
      <c r="K4359" s="9" t="str">
        <f>TEXT(Sales_of_Jordan[[#This Row],[Sale_Date]],"mmm")</f>
        <v>Jul</v>
      </c>
    </row>
    <row r="4360" spans="1:11" x14ac:dyDescent="0.35">
      <c r="A4360" s="7" t="s">
        <v>4390</v>
      </c>
      <c r="B4360" s="8">
        <v>45773</v>
      </c>
      <c r="C4360" s="9" t="s">
        <v>11</v>
      </c>
      <c r="D4360" s="9" t="s">
        <v>12</v>
      </c>
      <c r="E4360" s="9" t="s">
        <v>13</v>
      </c>
      <c r="F4360" s="9">
        <v>225</v>
      </c>
      <c r="G4360" s="9">
        <v>177.28</v>
      </c>
      <c r="H4360" s="9" t="s">
        <v>32</v>
      </c>
      <c r="I4360" s="9">
        <v>24</v>
      </c>
      <c r="J4360" s="10">
        <v>-47.72</v>
      </c>
      <c r="K4360" s="9" t="str">
        <f>TEXT(Sales_of_Jordan[[#This Row],[Sale_Date]],"mmm")</f>
        <v>Apr</v>
      </c>
    </row>
    <row r="4361" spans="1:11" x14ac:dyDescent="0.35">
      <c r="A4361" s="7" t="s">
        <v>4391</v>
      </c>
      <c r="B4361" s="8">
        <v>45224</v>
      </c>
      <c r="C4361" s="9" t="s">
        <v>27</v>
      </c>
      <c r="D4361" s="9" t="s">
        <v>36</v>
      </c>
      <c r="E4361" s="9" t="s">
        <v>29</v>
      </c>
      <c r="F4361" s="9">
        <v>135</v>
      </c>
      <c r="G4361" s="9">
        <v>164.67</v>
      </c>
      <c r="H4361" s="9" t="s">
        <v>25</v>
      </c>
      <c r="I4361" s="9">
        <v>42</v>
      </c>
      <c r="J4361" s="10">
        <v>29.669999999999899</v>
      </c>
      <c r="K4361" s="9" t="str">
        <f>TEXT(Sales_of_Jordan[[#This Row],[Sale_Date]],"mmm")</f>
        <v>Oct</v>
      </c>
    </row>
    <row r="4362" spans="1:11" x14ac:dyDescent="0.35">
      <c r="A4362" s="7" t="s">
        <v>4392</v>
      </c>
      <c r="B4362" s="8">
        <v>45440</v>
      </c>
      <c r="C4362" s="9" t="s">
        <v>16</v>
      </c>
      <c r="D4362" s="9" t="s">
        <v>12</v>
      </c>
      <c r="E4362" s="9" t="s">
        <v>29</v>
      </c>
      <c r="F4362" s="9">
        <v>174</v>
      </c>
      <c r="G4362" s="9">
        <v>209.22</v>
      </c>
      <c r="H4362" s="9" t="s">
        <v>32</v>
      </c>
      <c r="I4362" s="9">
        <v>12</v>
      </c>
      <c r="J4362" s="10">
        <v>35.22</v>
      </c>
      <c r="K4362" s="9" t="str">
        <f>TEXT(Sales_of_Jordan[[#This Row],[Sale_Date]],"mmm")</f>
        <v>May</v>
      </c>
    </row>
    <row r="4363" spans="1:11" x14ac:dyDescent="0.35">
      <c r="A4363" s="7" t="s">
        <v>4393</v>
      </c>
      <c r="B4363" s="8">
        <v>45879</v>
      </c>
      <c r="C4363" s="9" t="s">
        <v>27</v>
      </c>
      <c r="D4363" s="9" t="s">
        <v>39</v>
      </c>
      <c r="E4363" s="9" t="s">
        <v>29</v>
      </c>
      <c r="F4363" s="9">
        <v>117</v>
      </c>
      <c r="G4363" s="9">
        <v>153.6</v>
      </c>
      <c r="H4363" s="9" t="s">
        <v>25</v>
      </c>
      <c r="I4363" s="9">
        <v>17</v>
      </c>
      <c r="J4363" s="10">
        <v>36.599999999999902</v>
      </c>
      <c r="K4363" s="9" t="str">
        <f>TEXT(Sales_of_Jordan[[#This Row],[Sale_Date]],"mmm")</f>
        <v>Aug</v>
      </c>
    </row>
    <row r="4364" spans="1:11" x14ac:dyDescent="0.35">
      <c r="A4364" s="7" t="s">
        <v>4394</v>
      </c>
      <c r="B4364" s="8">
        <v>45178</v>
      </c>
      <c r="C4364" s="9" t="s">
        <v>31</v>
      </c>
      <c r="D4364" s="9" t="s">
        <v>55</v>
      </c>
      <c r="E4364" s="9" t="s">
        <v>13</v>
      </c>
      <c r="F4364" s="9">
        <v>205</v>
      </c>
      <c r="G4364" s="9">
        <v>137.26</v>
      </c>
      <c r="H4364" s="9" t="s">
        <v>19</v>
      </c>
      <c r="I4364" s="9">
        <v>12</v>
      </c>
      <c r="J4364" s="10">
        <v>-67.739999999999995</v>
      </c>
      <c r="K4364" s="9" t="str">
        <f>TEXT(Sales_of_Jordan[[#This Row],[Sale_Date]],"mmm")</f>
        <v>Sep</v>
      </c>
    </row>
    <row r="4365" spans="1:11" x14ac:dyDescent="0.35">
      <c r="A4365" s="7" t="s">
        <v>4395</v>
      </c>
      <c r="B4365" s="8">
        <v>44995</v>
      </c>
      <c r="C4365" s="9" t="s">
        <v>11</v>
      </c>
      <c r="D4365" s="9" t="s">
        <v>12</v>
      </c>
      <c r="E4365" s="9" t="s">
        <v>18</v>
      </c>
      <c r="F4365" s="9">
        <v>225</v>
      </c>
      <c r="G4365" s="9">
        <v>568.91999999999996</v>
      </c>
      <c r="H4365" s="9" t="s">
        <v>14</v>
      </c>
      <c r="I4365" s="9">
        <v>10</v>
      </c>
      <c r="J4365" s="10">
        <v>343.91999999999899</v>
      </c>
      <c r="K4365" s="9" t="str">
        <f>TEXT(Sales_of_Jordan[[#This Row],[Sale_Date]],"mmm")</f>
        <v>Mar</v>
      </c>
    </row>
    <row r="4366" spans="1:11" x14ac:dyDescent="0.35">
      <c r="A4366" s="7" t="s">
        <v>4396</v>
      </c>
      <c r="B4366" s="8">
        <v>45586</v>
      </c>
      <c r="C4366" s="9" t="s">
        <v>11</v>
      </c>
      <c r="D4366" s="9" t="s">
        <v>39</v>
      </c>
      <c r="E4366" s="9" t="s">
        <v>29</v>
      </c>
      <c r="F4366" s="9">
        <v>228</v>
      </c>
      <c r="G4366" s="9">
        <v>244.33</v>
      </c>
      <c r="H4366" s="9" t="s">
        <v>23</v>
      </c>
      <c r="I4366" s="9">
        <v>46</v>
      </c>
      <c r="J4366" s="10">
        <v>16.329999999999998</v>
      </c>
      <c r="K4366" s="9" t="str">
        <f>TEXT(Sales_of_Jordan[[#This Row],[Sale_Date]],"mmm")</f>
        <v>Oct</v>
      </c>
    </row>
    <row r="4367" spans="1:11" x14ac:dyDescent="0.35">
      <c r="A4367" s="7" t="s">
        <v>4397</v>
      </c>
      <c r="B4367" s="8">
        <v>45734</v>
      </c>
      <c r="C4367" s="9" t="s">
        <v>21</v>
      </c>
      <c r="D4367" s="9" t="s">
        <v>17</v>
      </c>
      <c r="E4367" s="9" t="s">
        <v>18</v>
      </c>
      <c r="F4367" s="9">
        <v>220</v>
      </c>
      <c r="G4367" s="9">
        <v>284.52999999999997</v>
      </c>
      <c r="H4367" s="9" t="s">
        <v>25</v>
      </c>
      <c r="I4367" s="9">
        <v>5</v>
      </c>
      <c r="J4367" s="10">
        <v>64.529999999999902</v>
      </c>
      <c r="K4367" s="9" t="str">
        <f>TEXT(Sales_of_Jordan[[#This Row],[Sale_Date]],"mmm")</f>
        <v>Mar</v>
      </c>
    </row>
    <row r="4368" spans="1:11" x14ac:dyDescent="0.35">
      <c r="A4368" s="7" t="s">
        <v>4398</v>
      </c>
      <c r="B4368" s="8">
        <v>45616</v>
      </c>
      <c r="C4368" s="9" t="s">
        <v>11</v>
      </c>
      <c r="D4368" s="9" t="s">
        <v>39</v>
      </c>
      <c r="E4368" s="9" t="s">
        <v>29</v>
      </c>
      <c r="F4368" s="9">
        <v>225</v>
      </c>
      <c r="G4368" s="9">
        <v>210.33</v>
      </c>
      <c r="H4368" s="9" t="s">
        <v>23</v>
      </c>
      <c r="I4368" s="9">
        <v>56</v>
      </c>
      <c r="J4368" s="10">
        <v>-14.6699999999999</v>
      </c>
      <c r="K4368" s="9" t="str">
        <f>TEXT(Sales_of_Jordan[[#This Row],[Sale_Date]],"mmm")</f>
        <v>Nov</v>
      </c>
    </row>
    <row r="4369" spans="1:11" x14ac:dyDescent="0.35">
      <c r="A4369" s="7" t="s">
        <v>4399</v>
      </c>
      <c r="B4369" s="8">
        <v>45706</v>
      </c>
      <c r="C4369" s="9" t="s">
        <v>21</v>
      </c>
      <c r="D4369" s="9" t="s">
        <v>36</v>
      </c>
      <c r="E4369" s="9" t="s">
        <v>18</v>
      </c>
      <c r="F4369" s="9">
        <v>212</v>
      </c>
      <c r="G4369" s="9">
        <v>417.15</v>
      </c>
      <c r="H4369" s="9" t="s">
        <v>14</v>
      </c>
      <c r="I4369" s="9">
        <v>10</v>
      </c>
      <c r="J4369" s="10">
        <v>205.14999999999901</v>
      </c>
      <c r="K4369" s="9" t="str">
        <f>TEXT(Sales_of_Jordan[[#This Row],[Sale_Date]],"mmm")</f>
        <v>Feb</v>
      </c>
    </row>
    <row r="4370" spans="1:11" x14ac:dyDescent="0.35">
      <c r="A4370" s="7" t="s">
        <v>4400</v>
      </c>
      <c r="B4370" s="8">
        <v>45800</v>
      </c>
      <c r="C4370" s="9" t="s">
        <v>31</v>
      </c>
      <c r="D4370" s="9" t="s">
        <v>53</v>
      </c>
      <c r="E4370" s="9" t="s">
        <v>29</v>
      </c>
      <c r="F4370" s="9">
        <v>203</v>
      </c>
      <c r="G4370" s="9">
        <v>269.64999999999998</v>
      </c>
      <c r="H4370" s="9" t="s">
        <v>32</v>
      </c>
      <c r="I4370" s="9">
        <v>49</v>
      </c>
      <c r="J4370" s="10">
        <v>66.649999999999906</v>
      </c>
      <c r="K4370" s="9" t="str">
        <f>TEXT(Sales_of_Jordan[[#This Row],[Sale_Date]],"mmm")</f>
        <v>May</v>
      </c>
    </row>
    <row r="4371" spans="1:11" x14ac:dyDescent="0.35">
      <c r="A4371" s="7" t="s">
        <v>4401</v>
      </c>
      <c r="B4371" s="8">
        <v>45796</v>
      </c>
      <c r="C4371" s="9" t="s">
        <v>31</v>
      </c>
      <c r="D4371" s="9" t="s">
        <v>46</v>
      </c>
      <c r="E4371" s="9" t="s">
        <v>13</v>
      </c>
      <c r="F4371" s="9">
        <v>203</v>
      </c>
      <c r="G4371" s="9">
        <v>176.53</v>
      </c>
      <c r="H4371" s="9" t="s">
        <v>25</v>
      </c>
      <c r="I4371" s="9">
        <v>6</v>
      </c>
      <c r="J4371" s="10">
        <v>-26.47</v>
      </c>
      <c r="K4371" s="9" t="str">
        <f>TEXT(Sales_of_Jordan[[#This Row],[Sale_Date]],"mmm")</f>
        <v>May</v>
      </c>
    </row>
    <row r="4372" spans="1:11" x14ac:dyDescent="0.35">
      <c r="A4372" s="7" t="s">
        <v>4402</v>
      </c>
      <c r="B4372" s="8">
        <v>45035</v>
      </c>
      <c r="C4372" s="9" t="s">
        <v>27</v>
      </c>
      <c r="D4372" s="9" t="s">
        <v>12</v>
      </c>
      <c r="E4372" s="9" t="s">
        <v>18</v>
      </c>
      <c r="F4372" s="9">
        <v>122</v>
      </c>
      <c r="G4372" s="9">
        <v>333.85</v>
      </c>
      <c r="H4372" s="9" t="s">
        <v>32</v>
      </c>
      <c r="I4372" s="9">
        <v>5</v>
      </c>
      <c r="J4372" s="10">
        <v>211.85</v>
      </c>
      <c r="K4372" s="9" t="str">
        <f>TEXT(Sales_of_Jordan[[#This Row],[Sale_Date]],"mmm")</f>
        <v>Apr</v>
      </c>
    </row>
    <row r="4373" spans="1:11" x14ac:dyDescent="0.35">
      <c r="A4373" s="7" t="s">
        <v>4403</v>
      </c>
      <c r="B4373" s="8">
        <v>45603</v>
      </c>
      <c r="C4373" s="9" t="s">
        <v>31</v>
      </c>
      <c r="D4373" s="9" t="s">
        <v>17</v>
      </c>
      <c r="E4373" s="9" t="s">
        <v>13</v>
      </c>
      <c r="F4373" s="9">
        <v>206</v>
      </c>
      <c r="G4373" s="9">
        <v>106.69</v>
      </c>
      <c r="H4373" s="9" t="s">
        <v>14</v>
      </c>
      <c r="I4373" s="9">
        <v>1</v>
      </c>
      <c r="J4373" s="10">
        <v>-99.31</v>
      </c>
      <c r="K4373" s="9" t="str">
        <f>TEXT(Sales_of_Jordan[[#This Row],[Sale_Date]],"mmm")</f>
        <v>Nov</v>
      </c>
    </row>
    <row r="4374" spans="1:11" x14ac:dyDescent="0.35">
      <c r="A4374" s="7" t="s">
        <v>4404</v>
      </c>
      <c r="B4374" s="8">
        <v>45282</v>
      </c>
      <c r="C4374" s="9" t="s">
        <v>16</v>
      </c>
      <c r="D4374" s="9" t="s">
        <v>53</v>
      </c>
      <c r="E4374" s="9" t="s">
        <v>29</v>
      </c>
      <c r="F4374" s="9">
        <v>190</v>
      </c>
      <c r="G4374" s="9">
        <v>227.19</v>
      </c>
      <c r="H4374" s="9" t="s">
        <v>19</v>
      </c>
      <c r="I4374" s="9">
        <v>13</v>
      </c>
      <c r="J4374" s="10">
        <v>37.19</v>
      </c>
      <c r="K4374" s="9" t="str">
        <f>TEXT(Sales_of_Jordan[[#This Row],[Sale_Date]],"mmm")</f>
        <v>Dec</v>
      </c>
    </row>
    <row r="4375" spans="1:11" x14ac:dyDescent="0.35">
      <c r="A4375" s="7" t="s">
        <v>4405</v>
      </c>
      <c r="B4375" s="8">
        <v>45641</v>
      </c>
      <c r="C4375" s="9" t="s">
        <v>27</v>
      </c>
      <c r="D4375" s="9" t="s">
        <v>39</v>
      </c>
      <c r="E4375" s="9" t="s">
        <v>18</v>
      </c>
      <c r="F4375" s="9">
        <v>138</v>
      </c>
      <c r="G4375" s="9">
        <v>468.1</v>
      </c>
      <c r="H4375" s="9" t="s">
        <v>23</v>
      </c>
      <c r="I4375" s="9">
        <v>45</v>
      </c>
      <c r="J4375" s="10">
        <v>330.1</v>
      </c>
      <c r="K4375" s="9" t="str">
        <f>TEXT(Sales_of_Jordan[[#This Row],[Sale_Date]],"mmm")</f>
        <v>Dec</v>
      </c>
    </row>
    <row r="4376" spans="1:11" x14ac:dyDescent="0.35">
      <c r="A4376" s="7" t="s">
        <v>4406</v>
      </c>
      <c r="B4376" s="8">
        <v>45166</v>
      </c>
      <c r="C4376" s="9" t="s">
        <v>21</v>
      </c>
      <c r="D4376" s="9" t="s">
        <v>55</v>
      </c>
      <c r="E4376" s="9" t="s">
        <v>18</v>
      </c>
      <c r="F4376" s="9">
        <v>225</v>
      </c>
      <c r="G4376" s="9">
        <v>433.72</v>
      </c>
      <c r="H4376" s="9" t="s">
        <v>14</v>
      </c>
      <c r="I4376" s="9">
        <v>5</v>
      </c>
      <c r="J4376" s="10">
        <v>208.72</v>
      </c>
      <c r="K4376" s="9" t="str">
        <f>TEXT(Sales_of_Jordan[[#This Row],[Sale_Date]],"mmm")</f>
        <v>Aug</v>
      </c>
    </row>
    <row r="4377" spans="1:11" x14ac:dyDescent="0.35">
      <c r="A4377" s="7" t="s">
        <v>4407</v>
      </c>
      <c r="B4377" s="8">
        <v>45040</v>
      </c>
      <c r="C4377" s="9" t="s">
        <v>21</v>
      </c>
      <c r="D4377" s="9" t="s">
        <v>12</v>
      </c>
      <c r="E4377" s="9" t="s">
        <v>29</v>
      </c>
      <c r="F4377" s="9">
        <v>214</v>
      </c>
      <c r="G4377" s="9">
        <v>286.49</v>
      </c>
      <c r="H4377" s="9" t="s">
        <v>32</v>
      </c>
      <c r="I4377" s="9">
        <v>16</v>
      </c>
      <c r="J4377" s="10">
        <v>72.489999999999995</v>
      </c>
      <c r="K4377" s="9" t="str">
        <f>TEXT(Sales_of_Jordan[[#This Row],[Sale_Date]],"mmm")</f>
        <v>Apr</v>
      </c>
    </row>
    <row r="4378" spans="1:11" x14ac:dyDescent="0.35">
      <c r="A4378" s="7" t="s">
        <v>4408</v>
      </c>
      <c r="B4378" s="8">
        <v>45297</v>
      </c>
      <c r="C4378" s="9" t="s">
        <v>21</v>
      </c>
      <c r="D4378" s="9" t="s">
        <v>12</v>
      </c>
      <c r="E4378" s="9" t="s">
        <v>29</v>
      </c>
      <c r="F4378" s="9">
        <v>215</v>
      </c>
      <c r="G4378" s="9">
        <v>232.42</v>
      </c>
      <c r="H4378" s="9" t="s">
        <v>25</v>
      </c>
      <c r="I4378" s="9">
        <v>60</v>
      </c>
      <c r="J4378" s="10">
        <v>17.419999999999899</v>
      </c>
      <c r="K4378" s="9" t="str">
        <f>TEXT(Sales_of_Jordan[[#This Row],[Sale_Date]],"mmm")</f>
        <v>Jan</v>
      </c>
    </row>
    <row r="4379" spans="1:11" x14ac:dyDescent="0.35">
      <c r="A4379" s="7" t="s">
        <v>4409</v>
      </c>
      <c r="B4379" s="8">
        <v>45832</v>
      </c>
      <c r="C4379" s="9" t="s">
        <v>27</v>
      </c>
      <c r="D4379" s="9" t="s">
        <v>17</v>
      </c>
      <c r="E4379" s="9" t="s">
        <v>18</v>
      </c>
      <c r="F4379" s="9">
        <v>127</v>
      </c>
      <c r="G4379" s="9">
        <v>410.1</v>
      </c>
      <c r="H4379" s="9" t="s">
        <v>19</v>
      </c>
      <c r="I4379" s="9">
        <v>11</v>
      </c>
      <c r="J4379" s="10">
        <v>283.10000000000002</v>
      </c>
      <c r="K4379" s="9" t="str">
        <f>TEXT(Sales_of_Jordan[[#This Row],[Sale_Date]],"mmm")</f>
        <v>Jun</v>
      </c>
    </row>
    <row r="4380" spans="1:11" x14ac:dyDescent="0.35">
      <c r="A4380" s="7" t="s">
        <v>4410</v>
      </c>
      <c r="B4380" s="8">
        <v>45757</v>
      </c>
      <c r="C4380" s="9" t="s">
        <v>11</v>
      </c>
      <c r="D4380" s="9" t="s">
        <v>39</v>
      </c>
      <c r="E4380" s="9" t="s">
        <v>29</v>
      </c>
      <c r="F4380" s="9">
        <v>228</v>
      </c>
      <c r="G4380" s="9">
        <v>251.81</v>
      </c>
      <c r="H4380" s="9" t="s">
        <v>23</v>
      </c>
      <c r="I4380" s="9">
        <v>5</v>
      </c>
      <c r="J4380" s="10">
        <v>23.81</v>
      </c>
      <c r="K4380" s="9" t="str">
        <f>TEXT(Sales_of_Jordan[[#This Row],[Sale_Date]],"mmm")</f>
        <v>Apr</v>
      </c>
    </row>
    <row r="4381" spans="1:11" x14ac:dyDescent="0.35">
      <c r="A4381" s="7" t="s">
        <v>4411</v>
      </c>
      <c r="B4381" s="8">
        <v>45048</v>
      </c>
      <c r="C4381" s="9" t="s">
        <v>27</v>
      </c>
      <c r="D4381" s="9" t="s">
        <v>17</v>
      </c>
      <c r="E4381" s="9" t="s">
        <v>29</v>
      </c>
      <c r="F4381" s="9">
        <v>124</v>
      </c>
      <c r="G4381" s="9">
        <v>141.04</v>
      </c>
      <c r="H4381" s="9" t="s">
        <v>23</v>
      </c>
      <c r="I4381" s="9">
        <v>17</v>
      </c>
      <c r="J4381" s="10">
        <v>17.0399999999999</v>
      </c>
      <c r="K4381" s="9" t="str">
        <f>TEXT(Sales_of_Jordan[[#This Row],[Sale_Date]],"mmm")</f>
        <v>May</v>
      </c>
    </row>
    <row r="4382" spans="1:11" x14ac:dyDescent="0.35">
      <c r="A4382" s="7" t="s">
        <v>4412</v>
      </c>
      <c r="B4382" s="8">
        <v>45794</v>
      </c>
      <c r="C4382" s="9" t="s">
        <v>31</v>
      </c>
      <c r="D4382" s="9" t="s">
        <v>53</v>
      </c>
      <c r="E4382" s="9" t="s">
        <v>29</v>
      </c>
      <c r="F4382" s="9">
        <v>206</v>
      </c>
      <c r="G4382" s="9">
        <v>233.7</v>
      </c>
      <c r="H4382" s="9" t="s">
        <v>19</v>
      </c>
      <c r="I4382" s="9">
        <v>3</v>
      </c>
      <c r="J4382" s="10">
        <v>27.6999999999999</v>
      </c>
      <c r="K4382" s="9" t="str">
        <f>TEXT(Sales_of_Jordan[[#This Row],[Sale_Date]],"mmm")</f>
        <v>May</v>
      </c>
    </row>
    <row r="4383" spans="1:11" x14ac:dyDescent="0.35">
      <c r="A4383" s="7" t="s">
        <v>4413</v>
      </c>
      <c r="B4383" s="8">
        <v>45854</v>
      </c>
      <c r="C4383" s="9" t="s">
        <v>31</v>
      </c>
      <c r="D4383" s="9" t="s">
        <v>34</v>
      </c>
      <c r="E4383" s="9" t="s">
        <v>18</v>
      </c>
      <c r="F4383" s="9">
        <v>208</v>
      </c>
      <c r="G4383" s="9">
        <v>279.88</v>
      </c>
      <c r="H4383" s="9" t="s">
        <v>32</v>
      </c>
      <c r="I4383" s="9">
        <v>31</v>
      </c>
      <c r="J4383" s="10">
        <v>71.88</v>
      </c>
      <c r="K4383" s="9" t="str">
        <f>TEXT(Sales_of_Jordan[[#This Row],[Sale_Date]],"mmm")</f>
        <v>Jul</v>
      </c>
    </row>
    <row r="4384" spans="1:11" x14ac:dyDescent="0.35">
      <c r="A4384" s="7" t="s">
        <v>4414</v>
      </c>
      <c r="B4384" s="8">
        <v>45187</v>
      </c>
      <c r="C4384" s="9" t="s">
        <v>11</v>
      </c>
      <c r="D4384" s="9" t="s">
        <v>53</v>
      </c>
      <c r="E4384" s="9" t="s">
        <v>29</v>
      </c>
      <c r="F4384" s="9">
        <v>225</v>
      </c>
      <c r="G4384" s="9">
        <v>333.88</v>
      </c>
      <c r="H4384" s="9" t="s">
        <v>25</v>
      </c>
      <c r="I4384" s="9">
        <v>32</v>
      </c>
      <c r="J4384" s="10">
        <v>108.88</v>
      </c>
      <c r="K4384" s="9" t="str">
        <f>TEXT(Sales_of_Jordan[[#This Row],[Sale_Date]],"mmm")</f>
        <v>Sep</v>
      </c>
    </row>
    <row r="4385" spans="1:11" x14ac:dyDescent="0.35">
      <c r="A4385" s="7" t="s">
        <v>4415</v>
      </c>
      <c r="B4385" s="8">
        <v>45388</v>
      </c>
      <c r="C4385" s="9" t="s">
        <v>16</v>
      </c>
      <c r="D4385" s="9" t="s">
        <v>17</v>
      </c>
      <c r="E4385" s="9" t="s">
        <v>18</v>
      </c>
      <c r="F4385" s="9">
        <v>183</v>
      </c>
      <c r="G4385" s="9">
        <v>275.75</v>
      </c>
      <c r="H4385" s="9" t="s">
        <v>25</v>
      </c>
      <c r="I4385" s="9">
        <v>37</v>
      </c>
      <c r="J4385" s="10">
        <v>92.75</v>
      </c>
      <c r="K4385" s="9" t="str">
        <f>TEXT(Sales_of_Jordan[[#This Row],[Sale_Date]],"mmm")</f>
        <v>Apr</v>
      </c>
    </row>
    <row r="4386" spans="1:11" x14ac:dyDescent="0.35">
      <c r="A4386" s="7" t="s">
        <v>4416</v>
      </c>
      <c r="B4386" s="8">
        <v>45474</v>
      </c>
      <c r="C4386" s="9" t="s">
        <v>21</v>
      </c>
      <c r="D4386" s="9" t="s">
        <v>53</v>
      </c>
      <c r="E4386" s="9" t="s">
        <v>13</v>
      </c>
      <c r="F4386" s="9">
        <v>217</v>
      </c>
      <c r="G4386" s="9">
        <v>172.85</v>
      </c>
      <c r="H4386" s="9" t="s">
        <v>25</v>
      </c>
      <c r="I4386" s="9">
        <v>44</v>
      </c>
      <c r="J4386" s="10">
        <v>-44.15</v>
      </c>
      <c r="K4386" s="9" t="str">
        <f>TEXT(Sales_of_Jordan[[#This Row],[Sale_Date]],"mmm")</f>
        <v>Jul</v>
      </c>
    </row>
    <row r="4387" spans="1:11" x14ac:dyDescent="0.35">
      <c r="A4387" s="7" t="s">
        <v>4417</v>
      </c>
      <c r="B4387" s="8">
        <v>45210</v>
      </c>
      <c r="C4387" s="9" t="s">
        <v>31</v>
      </c>
      <c r="D4387" s="9" t="s">
        <v>17</v>
      </c>
      <c r="E4387" s="9" t="s">
        <v>29</v>
      </c>
      <c r="F4387" s="9">
        <v>210</v>
      </c>
      <c r="G4387" s="9">
        <v>251.48</v>
      </c>
      <c r="H4387" s="9" t="s">
        <v>32</v>
      </c>
      <c r="I4387" s="9">
        <v>21</v>
      </c>
      <c r="J4387" s="10">
        <v>41.479999999999897</v>
      </c>
      <c r="K4387" s="9" t="str">
        <f>TEXT(Sales_of_Jordan[[#This Row],[Sale_Date]],"mmm")</f>
        <v>Oct</v>
      </c>
    </row>
    <row r="4388" spans="1:11" x14ac:dyDescent="0.35">
      <c r="A4388" s="7" t="s">
        <v>4418</v>
      </c>
      <c r="B4388" s="8">
        <v>45057</v>
      </c>
      <c r="C4388" s="9" t="s">
        <v>11</v>
      </c>
      <c r="D4388" s="9" t="s">
        <v>55</v>
      </c>
      <c r="E4388" s="9" t="s">
        <v>13</v>
      </c>
      <c r="F4388" s="9">
        <v>229</v>
      </c>
      <c r="G4388" s="9">
        <v>184.68</v>
      </c>
      <c r="H4388" s="9" t="s">
        <v>25</v>
      </c>
      <c r="I4388" s="9">
        <v>38</v>
      </c>
      <c r="J4388" s="10">
        <v>-44.319999999999901</v>
      </c>
      <c r="K4388" s="9" t="str">
        <f>TEXT(Sales_of_Jordan[[#This Row],[Sale_Date]],"mmm")</f>
        <v>May</v>
      </c>
    </row>
    <row r="4389" spans="1:11" x14ac:dyDescent="0.35">
      <c r="A4389" s="7" t="s">
        <v>4419</v>
      </c>
      <c r="B4389" s="8">
        <v>45801</v>
      </c>
      <c r="C4389" s="9" t="s">
        <v>27</v>
      </c>
      <c r="D4389" s="9" t="s">
        <v>22</v>
      </c>
      <c r="E4389" s="9" t="s">
        <v>29</v>
      </c>
      <c r="F4389" s="9">
        <v>129</v>
      </c>
      <c r="G4389" s="9">
        <v>188.02</v>
      </c>
      <c r="H4389" s="9" t="s">
        <v>14</v>
      </c>
      <c r="I4389" s="9">
        <v>1</v>
      </c>
      <c r="J4389" s="10">
        <v>59.02</v>
      </c>
      <c r="K4389" s="9" t="str">
        <f>TEXT(Sales_of_Jordan[[#This Row],[Sale_Date]],"mmm")</f>
        <v>May</v>
      </c>
    </row>
    <row r="4390" spans="1:11" x14ac:dyDescent="0.35">
      <c r="A4390" s="7" t="s">
        <v>4420</v>
      </c>
      <c r="B4390" s="8">
        <v>45760</v>
      </c>
      <c r="C4390" s="9" t="s">
        <v>31</v>
      </c>
      <c r="D4390" s="9" t="s">
        <v>46</v>
      </c>
      <c r="E4390" s="9" t="s">
        <v>18</v>
      </c>
      <c r="F4390" s="9">
        <v>207</v>
      </c>
      <c r="G4390" s="9">
        <v>584.96</v>
      </c>
      <c r="H4390" s="9" t="s">
        <v>25</v>
      </c>
      <c r="I4390" s="9">
        <v>52</v>
      </c>
      <c r="J4390" s="10">
        <v>377.96</v>
      </c>
      <c r="K4390" s="9" t="str">
        <f>TEXT(Sales_of_Jordan[[#This Row],[Sale_Date]],"mmm")</f>
        <v>Apr</v>
      </c>
    </row>
    <row r="4391" spans="1:11" x14ac:dyDescent="0.35">
      <c r="A4391" s="7" t="s">
        <v>4421</v>
      </c>
      <c r="B4391" s="8">
        <v>45295</v>
      </c>
      <c r="C4391" s="9" t="s">
        <v>21</v>
      </c>
      <c r="D4391" s="9" t="s">
        <v>36</v>
      </c>
      <c r="E4391" s="9" t="s">
        <v>13</v>
      </c>
      <c r="F4391" s="9">
        <v>210</v>
      </c>
      <c r="G4391" s="9">
        <v>184.02</v>
      </c>
      <c r="H4391" s="9" t="s">
        <v>25</v>
      </c>
      <c r="I4391" s="9">
        <v>51</v>
      </c>
      <c r="J4391" s="10">
        <v>-25.979999999999901</v>
      </c>
      <c r="K4391" s="9" t="str">
        <f>TEXT(Sales_of_Jordan[[#This Row],[Sale_Date]],"mmm")</f>
        <v>Jan</v>
      </c>
    </row>
    <row r="4392" spans="1:11" x14ac:dyDescent="0.35">
      <c r="A4392" s="7" t="s">
        <v>4422</v>
      </c>
      <c r="B4392" s="8">
        <v>45620</v>
      </c>
      <c r="C4392" s="9" t="s">
        <v>21</v>
      </c>
      <c r="D4392" s="9" t="s">
        <v>22</v>
      </c>
      <c r="E4392" s="9" t="s">
        <v>13</v>
      </c>
      <c r="F4392" s="9">
        <v>215</v>
      </c>
      <c r="G4392" s="9">
        <v>190.5</v>
      </c>
      <c r="H4392" s="9" t="s">
        <v>32</v>
      </c>
      <c r="I4392" s="9">
        <v>33</v>
      </c>
      <c r="J4392" s="10">
        <v>-24.5</v>
      </c>
      <c r="K4392" s="9" t="str">
        <f>TEXT(Sales_of_Jordan[[#This Row],[Sale_Date]],"mmm")</f>
        <v>Nov</v>
      </c>
    </row>
    <row r="4393" spans="1:11" x14ac:dyDescent="0.35">
      <c r="A4393" s="7" t="s">
        <v>4423</v>
      </c>
      <c r="B4393" s="8">
        <v>45538</v>
      </c>
      <c r="C4393" s="9" t="s">
        <v>31</v>
      </c>
      <c r="D4393" s="9" t="s">
        <v>53</v>
      </c>
      <c r="E4393" s="9" t="s">
        <v>18</v>
      </c>
      <c r="F4393" s="9">
        <v>204</v>
      </c>
      <c r="G4393" s="9">
        <v>499.57</v>
      </c>
      <c r="H4393" s="9" t="s">
        <v>14</v>
      </c>
      <c r="I4393" s="9">
        <v>4</v>
      </c>
      <c r="J4393" s="10">
        <v>295.57</v>
      </c>
      <c r="K4393" s="9" t="str">
        <f>TEXT(Sales_of_Jordan[[#This Row],[Sale_Date]],"mmm")</f>
        <v>Sep</v>
      </c>
    </row>
    <row r="4394" spans="1:11" x14ac:dyDescent="0.35">
      <c r="A4394" s="7" t="s">
        <v>4424</v>
      </c>
      <c r="B4394" s="8">
        <v>44978</v>
      </c>
      <c r="C4394" s="9" t="s">
        <v>11</v>
      </c>
      <c r="D4394" s="9" t="s">
        <v>36</v>
      </c>
      <c r="E4394" s="9" t="s">
        <v>29</v>
      </c>
      <c r="F4394" s="9">
        <v>226</v>
      </c>
      <c r="G4394" s="9">
        <v>250.05</v>
      </c>
      <c r="H4394" s="9" t="s">
        <v>14</v>
      </c>
      <c r="I4394" s="9">
        <v>12</v>
      </c>
      <c r="J4394" s="10">
        <v>24.05</v>
      </c>
      <c r="K4394" s="9" t="str">
        <f>TEXT(Sales_of_Jordan[[#This Row],[Sale_Date]],"mmm")</f>
        <v>Feb</v>
      </c>
    </row>
    <row r="4395" spans="1:11" x14ac:dyDescent="0.35">
      <c r="A4395" s="7" t="s">
        <v>4425</v>
      </c>
      <c r="B4395" s="8">
        <v>45765</v>
      </c>
      <c r="C4395" s="9" t="s">
        <v>31</v>
      </c>
      <c r="D4395" s="9" t="s">
        <v>34</v>
      </c>
      <c r="E4395" s="9" t="s">
        <v>18</v>
      </c>
      <c r="F4395" s="9">
        <v>203</v>
      </c>
      <c r="G4395" s="9">
        <v>691.4</v>
      </c>
      <c r="H4395" s="9" t="s">
        <v>32</v>
      </c>
      <c r="I4395" s="9">
        <v>8</v>
      </c>
      <c r="J4395" s="10">
        <v>488.4</v>
      </c>
      <c r="K4395" s="9" t="str">
        <f>TEXT(Sales_of_Jordan[[#This Row],[Sale_Date]],"mmm")</f>
        <v>Apr</v>
      </c>
    </row>
    <row r="4396" spans="1:11" x14ac:dyDescent="0.35">
      <c r="A4396" s="7" t="s">
        <v>4426</v>
      </c>
      <c r="B4396" s="8">
        <v>45806</v>
      </c>
      <c r="C4396" s="9" t="s">
        <v>11</v>
      </c>
      <c r="D4396" s="9" t="s">
        <v>39</v>
      </c>
      <c r="E4396" s="9" t="s">
        <v>18</v>
      </c>
      <c r="F4396" s="9">
        <v>225</v>
      </c>
      <c r="G4396" s="9">
        <v>274.87</v>
      </c>
      <c r="H4396" s="9" t="s">
        <v>14</v>
      </c>
      <c r="I4396" s="9">
        <v>13</v>
      </c>
      <c r="J4396" s="10">
        <v>49.87</v>
      </c>
      <c r="K4396" s="9" t="str">
        <f>TEXT(Sales_of_Jordan[[#This Row],[Sale_Date]],"mmm")</f>
        <v>May</v>
      </c>
    </row>
    <row r="4397" spans="1:11" x14ac:dyDescent="0.35">
      <c r="A4397" s="7" t="s">
        <v>4427</v>
      </c>
      <c r="B4397" s="8">
        <v>45799</v>
      </c>
      <c r="C4397" s="9" t="s">
        <v>27</v>
      </c>
      <c r="D4397" s="9" t="s">
        <v>39</v>
      </c>
      <c r="E4397" s="9" t="s">
        <v>13</v>
      </c>
      <c r="F4397" s="9">
        <v>136</v>
      </c>
      <c r="G4397" s="9">
        <v>79.540000000000006</v>
      </c>
      <c r="H4397" s="9" t="s">
        <v>25</v>
      </c>
      <c r="I4397" s="9">
        <v>33</v>
      </c>
      <c r="J4397" s="10">
        <v>-56.459999999999901</v>
      </c>
      <c r="K4397" s="9" t="str">
        <f>TEXT(Sales_of_Jordan[[#This Row],[Sale_Date]],"mmm")</f>
        <v>May</v>
      </c>
    </row>
    <row r="4398" spans="1:11" x14ac:dyDescent="0.35">
      <c r="A4398" s="7" t="s">
        <v>4428</v>
      </c>
      <c r="B4398" s="8">
        <v>45237</v>
      </c>
      <c r="C4398" s="9" t="s">
        <v>16</v>
      </c>
      <c r="D4398" s="9" t="s">
        <v>36</v>
      </c>
      <c r="E4398" s="9" t="s">
        <v>29</v>
      </c>
      <c r="F4398" s="9">
        <v>177</v>
      </c>
      <c r="G4398" s="9">
        <v>177.89</v>
      </c>
      <c r="H4398" s="9" t="s">
        <v>14</v>
      </c>
      <c r="I4398" s="9">
        <v>7</v>
      </c>
      <c r="J4398" s="10">
        <v>0.88999999999998602</v>
      </c>
      <c r="K4398" s="9" t="str">
        <f>TEXT(Sales_of_Jordan[[#This Row],[Sale_Date]],"mmm")</f>
        <v>Nov</v>
      </c>
    </row>
    <row r="4399" spans="1:11" x14ac:dyDescent="0.35">
      <c r="A4399" s="7" t="s">
        <v>4429</v>
      </c>
      <c r="B4399" s="8">
        <v>45458</v>
      </c>
      <c r="C4399" s="9" t="s">
        <v>27</v>
      </c>
      <c r="D4399" s="9" t="s">
        <v>12</v>
      </c>
      <c r="E4399" s="9" t="s">
        <v>18</v>
      </c>
      <c r="F4399" s="9">
        <v>126</v>
      </c>
      <c r="G4399" s="9">
        <v>287.89</v>
      </c>
      <c r="H4399" s="9" t="s">
        <v>14</v>
      </c>
      <c r="I4399" s="9">
        <v>4</v>
      </c>
      <c r="J4399" s="10">
        <v>161.88999999999999</v>
      </c>
      <c r="K4399" s="9" t="str">
        <f>TEXT(Sales_of_Jordan[[#This Row],[Sale_Date]],"mmm")</f>
        <v>Jun</v>
      </c>
    </row>
    <row r="4400" spans="1:11" x14ac:dyDescent="0.35">
      <c r="A4400" s="7" t="s">
        <v>4430</v>
      </c>
      <c r="B4400" s="8">
        <v>45608</v>
      </c>
      <c r="C4400" s="9" t="s">
        <v>27</v>
      </c>
      <c r="D4400" s="9" t="s">
        <v>17</v>
      </c>
      <c r="E4400" s="9" t="s">
        <v>29</v>
      </c>
      <c r="F4400" s="9">
        <v>120</v>
      </c>
      <c r="G4400" s="9">
        <v>127.23</v>
      </c>
      <c r="H4400" s="9" t="s">
        <v>23</v>
      </c>
      <c r="I4400" s="9">
        <v>41</v>
      </c>
      <c r="J4400" s="10">
        <v>7.23</v>
      </c>
      <c r="K4400" s="9" t="str">
        <f>TEXT(Sales_of_Jordan[[#This Row],[Sale_Date]],"mmm")</f>
        <v>Nov</v>
      </c>
    </row>
    <row r="4401" spans="1:11" x14ac:dyDescent="0.35">
      <c r="A4401" s="7" t="s">
        <v>4431</v>
      </c>
      <c r="B4401" s="8">
        <v>45423</v>
      </c>
      <c r="C4401" s="9" t="s">
        <v>16</v>
      </c>
      <c r="D4401" s="9" t="s">
        <v>55</v>
      </c>
      <c r="E4401" s="9" t="s">
        <v>18</v>
      </c>
      <c r="F4401" s="9">
        <v>171</v>
      </c>
      <c r="G4401" s="9">
        <v>345.46</v>
      </c>
      <c r="H4401" s="9" t="s">
        <v>25</v>
      </c>
      <c r="I4401" s="9">
        <v>19</v>
      </c>
      <c r="J4401" s="10">
        <v>174.45999999999901</v>
      </c>
      <c r="K4401" s="9" t="str">
        <f>TEXT(Sales_of_Jordan[[#This Row],[Sale_Date]],"mmm")</f>
        <v>May</v>
      </c>
    </row>
    <row r="4402" spans="1:11" x14ac:dyDescent="0.35">
      <c r="A4402" s="7" t="s">
        <v>4432</v>
      </c>
      <c r="B4402" s="8">
        <v>45583</v>
      </c>
      <c r="C4402" s="9" t="s">
        <v>16</v>
      </c>
      <c r="D4402" s="9" t="s">
        <v>34</v>
      </c>
      <c r="E4402" s="9" t="s">
        <v>13</v>
      </c>
      <c r="F4402" s="9">
        <v>171</v>
      </c>
      <c r="G4402" s="9">
        <v>109.29</v>
      </c>
      <c r="H4402" s="9" t="s">
        <v>14</v>
      </c>
      <c r="I4402" s="9">
        <v>10</v>
      </c>
      <c r="J4402" s="10">
        <v>-61.709999999999901</v>
      </c>
      <c r="K4402" s="9" t="str">
        <f>TEXT(Sales_of_Jordan[[#This Row],[Sale_Date]],"mmm")</f>
        <v>Oct</v>
      </c>
    </row>
    <row r="4403" spans="1:11" x14ac:dyDescent="0.35">
      <c r="A4403" s="7" t="s">
        <v>4433</v>
      </c>
      <c r="B4403" s="8">
        <v>45224</v>
      </c>
      <c r="C4403" s="9" t="s">
        <v>27</v>
      </c>
      <c r="D4403" s="9" t="s">
        <v>22</v>
      </c>
      <c r="E4403" s="9" t="s">
        <v>18</v>
      </c>
      <c r="F4403" s="9">
        <v>126</v>
      </c>
      <c r="G4403" s="9">
        <v>313.86</v>
      </c>
      <c r="H4403" s="9" t="s">
        <v>32</v>
      </c>
      <c r="I4403" s="9">
        <v>19</v>
      </c>
      <c r="J4403" s="10">
        <v>187.86</v>
      </c>
      <c r="K4403" s="9" t="str">
        <f>TEXT(Sales_of_Jordan[[#This Row],[Sale_Date]],"mmm")</f>
        <v>Oct</v>
      </c>
    </row>
    <row r="4404" spans="1:11" x14ac:dyDescent="0.35">
      <c r="A4404" s="7" t="s">
        <v>4434</v>
      </c>
      <c r="B4404" s="8">
        <v>44966</v>
      </c>
      <c r="C4404" s="9" t="s">
        <v>31</v>
      </c>
      <c r="D4404" s="9" t="s">
        <v>34</v>
      </c>
      <c r="E4404" s="9" t="s">
        <v>29</v>
      </c>
      <c r="F4404" s="9">
        <v>202</v>
      </c>
      <c r="G4404" s="9">
        <v>296.20999999999998</v>
      </c>
      <c r="H4404" s="9" t="s">
        <v>23</v>
      </c>
      <c r="I4404" s="9">
        <v>25</v>
      </c>
      <c r="J4404" s="10">
        <v>94.209999999999894</v>
      </c>
      <c r="K4404" s="9" t="str">
        <f>TEXT(Sales_of_Jordan[[#This Row],[Sale_Date]],"mmm")</f>
        <v>Feb</v>
      </c>
    </row>
    <row r="4405" spans="1:11" x14ac:dyDescent="0.35">
      <c r="A4405" s="7" t="s">
        <v>4435</v>
      </c>
      <c r="B4405" s="8">
        <v>45727</v>
      </c>
      <c r="C4405" s="9" t="s">
        <v>27</v>
      </c>
      <c r="D4405" s="9" t="s">
        <v>55</v>
      </c>
      <c r="E4405" s="9" t="s">
        <v>13</v>
      </c>
      <c r="F4405" s="9">
        <v>117</v>
      </c>
      <c r="G4405" s="9">
        <v>102.61</v>
      </c>
      <c r="H4405" s="9" t="s">
        <v>19</v>
      </c>
      <c r="I4405" s="9">
        <v>10</v>
      </c>
      <c r="J4405" s="10">
        <v>-14.39</v>
      </c>
      <c r="K4405" s="9" t="str">
        <f>TEXT(Sales_of_Jordan[[#This Row],[Sale_Date]],"mmm")</f>
        <v>Mar</v>
      </c>
    </row>
    <row r="4406" spans="1:11" x14ac:dyDescent="0.35">
      <c r="A4406" s="7" t="s">
        <v>4436</v>
      </c>
      <c r="B4406" s="8">
        <v>45467</v>
      </c>
      <c r="C4406" s="9" t="s">
        <v>27</v>
      </c>
      <c r="D4406" s="9" t="s">
        <v>55</v>
      </c>
      <c r="E4406" s="9" t="s">
        <v>18</v>
      </c>
      <c r="F4406" s="9">
        <v>139</v>
      </c>
      <c r="G4406" s="9">
        <v>450.78</v>
      </c>
      <c r="H4406" s="9" t="s">
        <v>23</v>
      </c>
      <c r="I4406" s="9">
        <v>29</v>
      </c>
      <c r="J4406" s="10">
        <v>311.77999999999997</v>
      </c>
      <c r="K4406" s="9" t="str">
        <f>TEXT(Sales_of_Jordan[[#This Row],[Sale_Date]],"mmm")</f>
        <v>Jun</v>
      </c>
    </row>
    <row r="4407" spans="1:11" x14ac:dyDescent="0.35">
      <c r="A4407" s="7" t="s">
        <v>4437</v>
      </c>
      <c r="B4407" s="8">
        <v>45131</v>
      </c>
      <c r="C4407" s="9" t="s">
        <v>11</v>
      </c>
      <c r="D4407" s="9" t="s">
        <v>36</v>
      </c>
      <c r="E4407" s="9" t="s">
        <v>18</v>
      </c>
      <c r="F4407" s="9">
        <v>227</v>
      </c>
      <c r="G4407" s="9">
        <v>778.31</v>
      </c>
      <c r="H4407" s="9" t="s">
        <v>19</v>
      </c>
      <c r="I4407" s="9">
        <v>12</v>
      </c>
      <c r="J4407" s="10">
        <v>551.30999999999995</v>
      </c>
      <c r="K4407" s="9" t="str">
        <f>TEXT(Sales_of_Jordan[[#This Row],[Sale_Date]],"mmm")</f>
        <v>Jul</v>
      </c>
    </row>
    <row r="4408" spans="1:11" x14ac:dyDescent="0.35">
      <c r="A4408" s="7" t="s">
        <v>4438</v>
      </c>
      <c r="B4408" s="8">
        <v>44978</v>
      </c>
      <c r="C4408" s="9" t="s">
        <v>11</v>
      </c>
      <c r="D4408" s="9" t="s">
        <v>34</v>
      </c>
      <c r="E4408" s="9" t="s">
        <v>13</v>
      </c>
      <c r="F4408" s="9">
        <v>229</v>
      </c>
      <c r="G4408" s="9">
        <v>143.35</v>
      </c>
      <c r="H4408" s="9" t="s">
        <v>32</v>
      </c>
      <c r="I4408" s="9">
        <v>53</v>
      </c>
      <c r="J4408" s="10">
        <v>-85.65</v>
      </c>
      <c r="K4408" s="9" t="str">
        <f>TEXT(Sales_of_Jordan[[#This Row],[Sale_Date]],"mmm")</f>
        <v>Feb</v>
      </c>
    </row>
    <row r="4409" spans="1:11" x14ac:dyDescent="0.35">
      <c r="A4409" s="7" t="s">
        <v>4439</v>
      </c>
      <c r="B4409" s="8">
        <v>45848</v>
      </c>
      <c r="C4409" s="9" t="s">
        <v>27</v>
      </c>
      <c r="D4409" s="9" t="s">
        <v>46</v>
      </c>
      <c r="E4409" s="9" t="s">
        <v>18</v>
      </c>
      <c r="F4409" s="9">
        <v>126</v>
      </c>
      <c r="G4409" s="9">
        <v>213.36</v>
      </c>
      <c r="H4409" s="9" t="s">
        <v>32</v>
      </c>
      <c r="I4409" s="9">
        <v>12</v>
      </c>
      <c r="J4409" s="10">
        <v>87.36</v>
      </c>
      <c r="K4409" s="9" t="str">
        <f>TEXT(Sales_of_Jordan[[#This Row],[Sale_Date]],"mmm")</f>
        <v>Jul</v>
      </c>
    </row>
    <row r="4410" spans="1:11" x14ac:dyDescent="0.35">
      <c r="A4410" s="7" t="s">
        <v>4440</v>
      </c>
      <c r="B4410" s="8">
        <v>45286</v>
      </c>
      <c r="C4410" s="9" t="s">
        <v>31</v>
      </c>
      <c r="D4410" s="9" t="s">
        <v>36</v>
      </c>
      <c r="E4410" s="9" t="s">
        <v>13</v>
      </c>
      <c r="F4410" s="9">
        <v>207</v>
      </c>
      <c r="G4410" s="9">
        <v>138.35</v>
      </c>
      <c r="H4410" s="9" t="s">
        <v>19</v>
      </c>
      <c r="I4410" s="9">
        <v>6</v>
      </c>
      <c r="J4410" s="10">
        <v>-68.650000000000006</v>
      </c>
      <c r="K4410" s="9" t="str">
        <f>TEXT(Sales_of_Jordan[[#This Row],[Sale_Date]],"mmm")</f>
        <v>Dec</v>
      </c>
    </row>
    <row r="4411" spans="1:11" x14ac:dyDescent="0.35">
      <c r="A4411" s="7" t="s">
        <v>4441</v>
      </c>
      <c r="B4411" s="8">
        <v>45097</v>
      </c>
      <c r="C4411" s="9" t="s">
        <v>21</v>
      </c>
      <c r="D4411" s="9" t="s">
        <v>17</v>
      </c>
      <c r="E4411" s="9" t="s">
        <v>13</v>
      </c>
      <c r="F4411" s="9">
        <v>213</v>
      </c>
      <c r="G4411" s="9">
        <v>111.03</v>
      </c>
      <c r="H4411" s="9" t="s">
        <v>19</v>
      </c>
      <c r="I4411" s="9">
        <v>4</v>
      </c>
      <c r="J4411" s="10">
        <v>-101.97</v>
      </c>
      <c r="K4411" s="9" t="str">
        <f>TEXT(Sales_of_Jordan[[#This Row],[Sale_Date]],"mmm")</f>
        <v>Jun</v>
      </c>
    </row>
    <row r="4412" spans="1:11" x14ac:dyDescent="0.35">
      <c r="A4412" s="7" t="s">
        <v>4442</v>
      </c>
      <c r="B4412" s="8">
        <v>45094</v>
      </c>
      <c r="C4412" s="9" t="s">
        <v>16</v>
      </c>
      <c r="D4412" s="9" t="s">
        <v>53</v>
      </c>
      <c r="E4412" s="9" t="s">
        <v>18</v>
      </c>
      <c r="F4412" s="9">
        <v>170</v>
      </c>
      <c r="G4412" s="9">
        <v>239.45</v>
      </c>
      <c r="H4412" s="9" t="s">
        <v>32</v>
      </c>
      <c r="I4412" s="9">
        <v>56</v>
      </c>
      <c r="J4412" s="10">
        <v>69.449999999999903</v>
      </c>
      <c r="K4412" s="9" t="str">
        <f>TEXT(Sales_of_Jordan[[#This Row],[Sale_Date]],"mmm")</f>
        <v>Jun</v>
      </c>
    </row>
    <row r="4413" spans="1:11" x14ac:dyDescent="0.35">
      <c r="A4413" s="7" t="s">
        <v>4443</v>
      </c>
      <c r="B4413" s="8">
        <v>45283</v>
      </c>
      <c r="C4413" s="9" t="s">
        <v>31</v>
      </c>
      <c r="D4413" s="9" t="s">
        <v>55</v>
      </c>
      <c r="E4413" s="9" t="s">
        <v>29</v>
      </c>
      <c r="F4413" s="9">
        <v>207</v>
      </c>
      <c r="G4413" s="9">
        <v>277.8</v>
      </c>
      <c r="H4413" s="9" t="s">
        <v>14</v>
      </c>
      <c r="I4413" s="9">
        <v>4</v>
      </c>
      <c r="J4413" s="10">
        <v>70.8</v>
      </c>
      <c r="K4413" s="9" t="str">
        <f>TEXT(Sales_of_Jordan[[#This Row],[Sale_Date]],"mmm")</f>
        <v>Dec</v>
      </c>
    </row>
    <row r="4414" spans="1:11" x14ac:dyDescent="0.35">
      <c r="A4414" s="7" t="s">
        <v>4444</v>
      </c>
      <c r="B4414" s="8">
        <v>45277</v>
      </c>
      <c r="C4414" s="9" t="s">
        <v>31</v>
      </c>
      <c r="D4414" s="9" t="s">
        <v>12</v>
      </c>
      <c r="E4414" s="9" t="s">
        <v>13</v>
      </c>
      <c r="F4414" s="9">
        <v>210</v>
      </c>
      <c r="G4414" s="9">
        <v>181.8</v>
      </c>
      <c r="H4414" s="9" t="s">
        <v>14</v>
      </c>
      <c r="I4414" s="9">
        <v>9</v>
      </c>
      <c r="J4414" s="10">
        <v>-28.1999999999999</v>
      </c>
      <c r="K4414" s="9" t="str">
        <f>TEXT(Sales_of_Jordan[[#This Row],[Sale_Date]],"mmm")</f>
        <v>Dec</v>
      </c>
    </row>
    <row r="4415" spans="1:11" x14ac:dyDescent="0.35">
      <c r="A4415" s="7" t="s">
        <v>4445</v>
      </c>
      <c r="B4415" s="8">
        <v>45443</v>
      </c>
      <c r="C4415" s="9" t="s">
        <v>31</v>
      </c>
      <c r="D4415" s="9" t="s">
        <v>22</v>
      </c>
      <c r="E4415" s="9" t="s">
        <v>18</v>
      </c>
      <c r="F4415" s="9">
        <v>201</v>
      </c>
      <c r="G4415" s="9">
        <v>268.82</v>
      </c>
      <c r="H4415" s="9" t="s">
        <v>25</v>
      </c>
      <c r="I4415" s="9">
        <v>37</v>
      </c>
      <c r="J4415" s="10">
        <v>67.819999999999993</v>
      </c>
      <c r="K4415" s="9" t="str">
        <f>TEXT(Sales_of_Jordan[[#This Row],[Sale_Date]],"mmm")</f>
        <v>May</v>
      </c>
    </row>
    <row r="4416" spans="1:11" x14ac:dyDescent="0.35">
      <c r="A4416" s="7" t="s">
        <v>4446</v>
      </c>
      <c r="B4416" s="8">
        <v>45796</v>
      </c>
      <c r="C4416" s="9" t="s">
        <v>21</v>
      </c>
      <c r="D4416" s="9" t="s">
        <v>17</v>
      </c>
      <c r="E4416" s="9" t="s">
        <v>13</v>
      </c>
      <c r="F4416" s="9">
        <v>225</v>
      </c>
      <c r="G4416" s="9">
        <v>194.37</v>
      </c>
      <c r="H4416" s="9" t="s">
        <v>19</v>
      </c>
      <c r="I4416" s="9">
        <v>1</v>
      </c>
      <c r="J4416" s="10">
        <v>-30.6299999999999</v>
      </c>
      <c r="K4416" s="9" t="str">
        <f>TEXT(Sales_of_Jordan[[#This Row],[Sale_Date]],"mmm")</f>
        <v>May</v>
      </c>
    </row>
    <row r="4417" spans="1:11" x14ac:dyDescent="0.35">
      <c r="A4417" s="7" t="s">
        <v>4447</v>
      </c>
      <c r="B4417" s="8">
        <v>45120</v>
      </c>
      <c r="C4417" s="9" t="s">
        <v>16</v>
      </c>
      <c r="D4417" s="9" t="s">
        <v>39</v>
      </c>
      <c r="E4417" s="9" t="s">
        <v>18</v>
      </c>
      <c r="F4417" s="9">
        <v>186</v>
      </c>
      <c r="G4417" s="9">
        <v>407.17</v>
      </c>
      <c r="H4417" s="9" t="s">
        <v>32</v>
      </c>
      <c r="I4417" s="9">
        <v>56</v>
      </c>
      <c r="J4417" s="10">
        <v>221.17</v>
      </c>
      <c r="K4417" s="9" t="str">
        <f>TEXT(Sales_of_Jordan[[#This Row],[Sale_Date]],"mmm")</f>
        <v>Jul</v>
      </c>
    </row>
    <row r="4418" spans="1:11" x14ac:dyDescent="0.35">
      <c r="A4418" s="7" t="s">
        <v>4448</v>
      </c>
      <c r="B4418" s="8">
        <v>45499</v>
      </c>
      <c r="C4418" s="9" t="s">
        <v>16</v>
      </c>
      <c r="D4418" s="9" t="s">
        <v>46</v>
      </c>
      <c r="E4418" s="9" t="s">
        <v>29</v>
      </c>
      <c r="F4418" s="9">
        <v>179</v>
      </c>
      <c r="G4418" s="9">
        <v>211.53</v>
      </c>
      <c r="H4418" s="9" t="s">
        <v>25</v>
      </c>
      <c r="I4418" s="9">
        <v>40</v>
      </c>
      <c r="J4418" s="10">
        <v>32.53</v>
      </c>
      <c r="K4418" s="9" t="str">
        <f>TEXT(Sales_of_Jordan[[#This Row],[Sale_Date]],"mmm")</f>
        <v>Jul</v>
      </c>
    </row>
    <row r="4419" spans="1:11" x14ac:dyDescent="0.35">
      <c r="A4419" s="7" t="s">
        <v>4449</v>
      </c>
      <c r="B4419" s="8">
        <v>45636</v>
      </c>
      <c r="C4419" s="9" t="s">
        <v>16</v>
      </c>
      <c r="D4419" s="9" t="s">
        <v>46</v>
      </c>
      <c r="E4419" s="9" t="s">
        <v>18</v>
      </c>
      <c r="F4419" s="9">
        <v>176</v>
      </c>
      <c r="G4419" s="9">
        <v>297.27</v>
      </c>
      <c r="H4419" s="9" t="s">
        <v>19</v>
      </c>
      <c r="I4419" s="9">
        <v>6</v>
      </c>
      <c r="J4419" s="10">
        <v>121.269999999999</v>
      </c>
      <c r="K4419" s="9" t="str">
        <f>TEXT(Sales_of_Jordan[[#This Row],[Sale_Date]],"mmm")</f>
        <v>Dec</v>
      </c>
    </row>
    <row r="4420" spans="1:11" x14ac:dyDescent="0.35">
      <c r="A4420" s="7" t="s">
        <v>4450</v>
      </c>
      <c r="B4420" s="8">
        <v>45906</v>
      </c>
      <c r="C4420" s="9" t="s">
        <v>31</v>
      </c>
      <c r="D4420" s="9" t="s">
        <v>53</v>
      </c>
      <c r="E4420" s="9" t="s">
        <v>18</v>
      </c>
      <c r="F4420" s="9">
        <v>209</v>
      </c>
      <c r="G4420" s="9">
        <v>275.51</v>
      </c>
      <c r="H4420" s="9" t="s">
        <v>19</v>
      </c>
      <c r="I4420" s="9">
        <v>12</v>
      </c>
      <c r="J4420" s="10">
        <v>66.509999999999906</v>
      </c>
      <c r="K4420" s="9" t="str">
        <f>TEXT(Sales_of_Jordan[[#This Row],[Sale_Date]],"mmm")</f>
        <v>Sep</v>
      </c>
    </row>
    <row r="4421" spans="1:11" x14ac:dyDescent="0.35">
      <c r="A4421" s="7" t="s">
        <v>4451</v>
      </c>
      <c r="B4421" s="8">
        <v>45467</v>
      </c>
      <c r="C4421" s="9" t="s">
        <v>21</v>
      </c>
      <c r="D4421" s="9" t="s">
        <v>46</v>
      </c>
      <c r="E4421" s="9" t="s">
        <v>29</v>
      </c>
      <c r="F4421" s="9">
        <v>214</v>
      </c>
      <c r="G4421" s="9">
        <v>229.27</v>
      </c>
      <c r="H4421" s="9" t="s">
        <v>23</v>
      </c>
      <c r="I4421" s="9">
        <v>30</v>
      </c>
      <c r="J4421" s="10">
        <v>15.27</v>
      </c>
      <c r="K4421" s="9" t="str">
        <f>TEXT(Sales_of_Jordan[[#This Row],[Sale_Date]],"mmm")</f>
        <v>Jun</v>
      </c>
    </row>
    <row r="4422" spans="1:11" x14ac:dyDescent="0.35">
      <c r="A4422" s="7" t="s">
        <v>4452</v>
      </c>
      <c r="B4422" s="8">
        <v>44959</v>
      </c>
      <c r="C4422" s="9" t="s">
        <v>11</v>
      </c>
      <c r="D4422" s="9" t="s">
        <v>46</v>
      </c>
      <c r="E4422" s="9" t="s">
        <v>18</v>
      </c>
      <c r="F4422" s="9">
        <v>225</v>
      </c>
      <c r="G4422" s="9">
        <v>553.96</v>
      </c>
      <c r="H4422" s="9" t="s">
        <v>19</v>
      </c>
      <c r="I4422" s="9">
        <v>2</v>
      </c>
      <c r="J4422" s="10">
        <v>328.96</v>
      </c>
      <c r="K4422" s="9" t="str">
        <f>TEXT(Sales_of_Jordan[[#This Row],[Sale_Date]],"mmm")</f>
        <v>Feb</v>
      </c>
    </row>
    <row r="4423" spans="1:11" x14ac:dyDescent="0.35">
      <c r="A4423" s="7" t="s">
        <v>4453</v>
      </c>
      <c r="B4423" s="8">
        <v>45599</v>
      </c>
      <c r="C4423" s="9" t="s">
        <v>27</v>
      </c>
      <c r="D4423" s="9" t="s">
        <v>17</v>
      </c>
      <c r="E4423" s="9" t="s">
        <v>29</v>
      </c>
      <c r="F4423" s="9">
        <v>122</v>
      </c>
      <c r="G4423" s="9">
        <v>131.47999999999999</v>
      </c>
      <c r="H4423" s="9" t="s">
        <v>23</v>
      </c>
      <c r="I4423" s="9">
        <v>10</v>
      </c>
      <c r="J4423" s="10">
        <v>9.4799999999999898</v>
      </c>
      <c r="K4423" s="9" t="str">
        <f>TEXT(Sales_of_Jordan[[#This Row],[Sale_Date]],"mmm")</f>
        <v>Nov</v>
      </c>
    </row>
    <row r="4424" spans="1:11" x14ac:dyDescent="0.35">
      <c r="A4424" s="7" t="s">
        <v>4454</v>
      </c>
      <c r="B4424" s="8">
        <v>45821</v>
      </c>
      <c r="C4424" s="9" t="s">
        <v>27</v>
      </c>
      <c r="D4424" s="9" t="s">
        <v>53</v>
      </c>
      <c r="E4424" s="9" t="s">
        <v>13</v>
      </c>
      <c r="F4424" s="9">
        <v>117</v>
      </c>
      <c r="G4424" s="9">
        <v>63.91</v>
      </c>
      <c r="H4424" s="9" t="s">
        <v>23</v>
      </c>
      <c r="I4424" s="9">
        <v>56</v>
      </c>
      <c r="J4424" s="10">
        <v>-53.09</v>
      </c>
      <c r="K4424" s="9" t="str">
        <f>TEXT(Sales_of_Jordan[[#This Row],[Sale_Date]],"mmm")</f>
        <v>Jun</v>
      </c>
    </row>
    <row r="4425" spans="1:11" x14ac:dyDescent="0.35">
      <c r="A4425" s="7" t="s">
        <v>4455</v>
      </c>
      <c r="B4425" s="8">
        <v>45710</v>
      </c>
      <c r="C4425" s="9" t="s">
        <v>27</v>
      </c>
      <c r="D4425" s="9" t="s">
        <v>12</v>
      </c>
      <c r="E4425" s="9" t="s">
        <v>18</v>
      </c>
      <c r="F4425" s="9">
        <v>137</v>
      </c>
      <c r="G4425" s="9">
        <v>334.33</v>
      </c>
      <c r="H4425" s="9" t="s">
        <v>19</v>
      </c>
      <c r="I4425" s="9">
        <v>10</v>
      </c>
      <c r="J4425" s="10">
        <v>197.32999999999899</v>
      </c>
      <c r="K4425" s="9" t="str">
        <f>TEXT(Sales_of_Jordan[[#This Row],[Sale_Date]],"mmm")</f>
        <v>Feb</v>
      </c>
    </row>
    <row r="4426" spans="1:11" x14ac:dyDescent="0.35">
      <c r="A4426" s="7" t="s">
        <v>4456</v>
      </c>
      <c r="B4426" s="8">
        <v>45509</v>
      </c>
      <c r="C4426" s="9" t="s">
        <v>21</v>
      </c>
      <c r="D4426" s="9" t="s">
        <v>22</v>
      </c>
      <c r="E4426" s="9" t="s">
        <v>29</v>
      </c>
      <c r="F4426" s="9">
        <v>213</v>
      </c>
      <c r="G4426" s="9">
        <v>249.46</v>
      </c>
      <c r="H4426" s="9" t="s">
        <v>19</v>
      </c>
      <c r="I4426" s="9">
        <v>1</v>
      </c>
      <c r="J4426" s="10">
        <v>36.46</v>
      </c>
      <c r="K4426" s="9" t="str">
        <f>TEXT(Sales_of_Jordan[[#This Row],[Sale_Date]],"mmm")</f>
        <v>Aug</v>
      </c>
    </row>
    <row r="4427" spans="1:11" x14ac:dyDescent="0.35">
      <c r="A4427" s="7" t="s">
        <v>4457</v>
      </c>
      <c r="B4427" s="8">
        <v>45307</v>
      </c>
      <c r="C4427" s="9" t="s">
        <v>16</v>
      </c>
      <c r="D4427" s="9" t="s">
        <v>55</v>
      </c>
      <c r="E4427" s="9" t="s">
        <v>13</v>
      </c>
      <c r="F4427" s="9">
        <v>173</v>
      </c>
      <c r="G4427" s="9">
        <v>148.21</v>
      </c>
      <c r="H4427" s="9" t="s">
        <v>23</v>
      </c>
      <c r="I4427" s="9">
        <v>48</v>
      </c>
      <c r="J4427" s="10">
        <v>-24.7899999999999</v>
      </c>
      <c r="K4427" s="9" t="str">
        <f>TEXT(Sales_of_Jordan[[#This Row],[Sale_Date]],"mmm")</f>
        <v>Jan</v>
      </c>
    </row>
    <row r="4428" spans="1:11" x14ac:dyDescent="0.35">
      <c r="A4428" s="7" t="s">
        <v>4458</v>
      </c>
      <c r="B4428" s="8">
        <v>45724</v>
      </c>
      <c r="C4428" s="9" t="s">
        <v>21</v>
      </c>
      <c r="D4428" s="9" t="s">
        <v>12</v>
      </c>
      <c r="E4428" s="9" t="s">
        <v>29</v>
      </c>
      <c r="F4428" s="9">
        <v>211</v>
      </c>
      <c r="G4428" s="9">
        <v>305.25</v>
      </c>
      <c r="H4428" s="9" t="s">
        <v>25</v>
      </c>
      <c r="I4428" s="9">
        <v>46</v>
      </c>
      <c r="J4428" s="10">
        <v>94.25</v>
      </c>
      <c r="K4428" s="9" t="str">
        <f>TEXT(Sales_of_Jordan[[#This Row],[Sale_Date]],"mmm")</f>
        <v>Mar</v>
      </c>
    </row>
    <row r="4429" spans="1:11" x14ac:dyDescent="0.35">
      <c r="A4429" s="7" t="s">
        <v>4459</v>
      </c>
      <c r="B4429" s="8">
        <v>45141</v>
      </c>
      <c r="C4429" s="9" t="s">
        <v>11</v>
      </c>
      <c r="D4429" s="9" t="s">
        <v>53</v>
      </c>
      <c r="E4429" s="9" t="s">
        <v>13</v>
      </c>
      <c r="F4429" s="9">
        <v>230</v>
      </c>
      <c r="G4429" s="9">
        <v>181.52</v>
      </c>
      <c r="H4429" s="9" t="s">
        <v>19</v>
      </c>
      <c r="I4429" s="9">
        <v>10</v>
      </c>
      <c r="J4429" s="10">
        <v>-48.479999999999897</v>
      </c>
      <c r="K4429" s="9" t="str">
        <f>TEXT(Sales_of_Jordan[[#This Row],[Sale_Date]],"mmm")</f>
        <v>Aug</v>
      </c>
    </row>
    <row r="4430" spans="1:11" x14ac:dyDescent="0.35">
      <c r="A4430" s="7" t="s">
        <v>4460</v>
      </c>
      <c r="B4430" s="8">
        <v>45411</v>
      </c>
      <c r="C4430" s="9" t="s">
        <v>16</v>
      </c>
      <c r="D4430" s="9" t="s">
        <v>17</v>
      </c>
      <c r="E4430" s="9" t="s">
        <v>29</v>
      </c>
      <c r="F4430" s="9">
        <v>188</v>
      </c>
      <c r="G4430" s="9">
        <v>211.48</v>
      </c>
      <c r="H4430" s="9" t="s">
        <v>19</v>
      </c>
      <c r="I4430" s="9">
        <v>13</v>
      </c>
      <c r="J4430" s="10">
        <v>23.479999999999901</v>
      </c>
      <c r="K4430" s="9" t="str">
        <f>TEXT(Sales_of_Jordan[[#This Row],[Sale_Date]],"mmm")</f>
        <v>Apr</v>
      </c>
    </row>
    <row r="4431" spans="1:11" x14ac:dyDescent="0.35">
      <c r="A4431" s="7" t="s">
        <v>4461</v>
      </c>
      <c r="B4431" s="8">
        <v>45416</v>
      </c>
      <c r="C4431" s="9" t="s">
        <v>21</v>
      </c>
      <c r="D4431" s="9" t="s">
        <v>53</v>
      </c>
      <c r="E4431" s="9" t="s">
        <v>29</v>
      </c>
      <c r="F4431" s="9">
        <v>225</v>
      </c>
      <c r="G4431" s="9">
        <v>203.77</v>
      </c>
      <c r="H4431" s="9" t="s">
        <v>19</v>
      </c>
      <c r="I4431" s="9">
        <v>14</v>
      </c>
      <c r="J4431" s="10">
        <v>-21.229999999999901</v>
      </c>
      <c r="K4431" s="9" t="str">
        <f>TEXT(Sales_of_Jordan[[#This Row],[Sale_Date]],"mmm")</f>
        <v>May</v>
      </c>
    </row>
    <row r="4432" spans="1:11" x14ac:dyDescent="0.35">
      <c r="A4432" s="7" t="s">
        <v>4462</v>
      </c>
      <c r="B4432" s="8">
        <v>44932</v>
      </c>
      <c r="C4432" s="9" t="s">
        <v>21</v>
      </c>
      <c r="D4432" s="9" t="s">
        <v>36</v>
      </c>
      <c r="E4432" s="9" t="s">
        <v>29</v>
      </c>
      <c r="F4432" s="9">
        <v>219</v>
      </c>
      <c r="G4432" s="9">
        <v>318.24</v>
      </c>
      <c r="H4432" s="9" t="s">
        <v>32</v>
      </c>
      <c r="I4432" s="9">
        <v>46</v>
      </c>
      <c r="J4432" s="10">
        <v>99.24</v>
      </c>
      <c r="K4432" s="9" t="str">
        <f>TEXT(Sales_of_Jordan[[#This Row],[Sale_Date]],"mmm")</f>
        <v>Jan</v>
      </c>
    </row>
    <row r="4433" spans="1:11" x14ac:dyDescent="0.35">
      <c r="A4433" s="7" t="s">
        <v>4463</v>
      </c>
      <c r="B4433" s="8">
        <v>45072</v>
      </c>
      <c r="C4433" s="9" t="s">
        <v>31</v>
      </c>
      <c r="D4433" s="9" t="s">
        <v>39</v>
      </c>
      <c r="E4433" s="9" t="s">
        <v>29</v>
      </c>
      <c r="F4433" s="9">
        <v>203</v>
      </c>
      <c r="G4433" s="9">
        <v>286.44</v>
      </c>
      <c r="H4433" s="9" t="s">
        <v>32</v>
      </c>
      <c r="I4433" s="9">
        <v>42</v>
      </c>
      <c r="J4433" s="10">
        <v>83.44</v>
      </c>
      <c r="K4433" s="9" t="str">
        <f>TEXT(Sales_of_Jordan[[#This Row],[Sale_Date]],"mmm")</f>
        <v>May</v>
      </c>
    </row>
    <row r="4434" spans="1:11" x14ac:dyDescent="0.35">
      <c r="A4434" s="7" t="s">
        <v>4464</v>
      </c>
      <c r="B4434" s="8">
        <v>45236</v>
      </c>
      <c r="C4434" s="9" t="s">
        <v>27</v>
      </c>
      <c r="D4434" s="9" t="s">
        <v>39</v>
      </c>
      <c r="E4434" s="9" t="s">
        <v>29</v>
      </c>
      <c r="F4434" s="9">
        <v>118</v>
      </c>
      <c r="G4434" s="9">
        <v>145.63999999999999</v>
      </c>
      <c r="H4434" s="9" t="s">
        <v>19</v>
      </c>
      <c r="I4434" s="9">
        <v>4</v>
      </c>
      <c r="J4434" s="10">
        <v>27.639999999999901</v>
      </c>
      <c r="K4434" s="9" t="str">
        <f>TEXT(Sales_of_Jordan[[#This Row],[Sale_Date]],"mmm")</f>
        <v>Nov</v>
      </c>
    </row>
    <row r="4435" spans="1:11" x14ac:dyDescent="0.35">
      <c r="A4435" s="7" t="s">
        <v>4465</v>
      </c>
      <c r="B4435" s="8">
        <v>45877</v>
      </c>
      <c r="C4435" s="9" t="s">
        <v>31</v>
      </c>
      <c r="D4435" s="9" t="s">
        <v>55</v>
      </c>
      <c r="E4435" s="9" t="s">
        <v>13</v>
      </c>
      <c r="F4435" s="9">
        <v>206</v>
      </c>
      <c r="G4435" s="9">
        <v>153.97</v>
      </c>
      <c r="H4435" s="9" t="s">
        <v>32</v>
      </c>
      <c r="I4435" s="9">
        <v>55</v>
      </c>
      <c r="J4435" s="10">
        <v>-52.03</v>
      </c>
      <c r="K4435" s="9" t="str">
        <f>TEXT(Sales_of_Jordan[[#This Row],[Sale_Date]],"mmm")</f>
        <v>Aug</v>
      </c>
    </row>
    <row r="4436" spans="1:11" x14ac:dyDescent="0.35">
      <c r="A4436" s="7" t="s">
        <v>4466</v>
      </c>
      <c r="B4436" s="8">
        <v>45731</v>
      </c>
      <c r="C4436" s="9" t="s">
        <v>31</v>
      </c>
      <c r="D4436" s="9" t="s">
        <v>34</v>
      </c>
      <c r="E4436" s="9" t="s">
        <v>13</v>
      </c>
      <c r="F4436" s="9">
        <v>203</v>
      </c>
      <c r="G4436" s="9">
        <v>131.30000000000001</v>
      </c>
      <c r="H4436" s="9" t="s">
        <v>14</v>
      </c>
      <c r="I4436" s="9">
        <v>14</v>
      </c>
      <c r="J4436" s="10">
        <v>-71.699999999999903</v>
      </c>
      <c r="K4436" s="9" t="str">
        <f>TEXT(Sales_of_Jordan[[#This Row],[Sale_Date]],"mmm")</f>
        <v>Mar</v>
      </c>
    </row>
    <row r="4437" spans="1:11" x14ac:dyDescent="0.35">
      <c r="A4437" s="7" t="s">
        <v>4467</v>
      </c>
      <c r="B4437" s="8">
        <v>45669</v>
      </c>
      <c r="C4437" s="9" t="s">
        <v>27</v>
      </c>
      <c r="D4437" s="9" t="s">
        <v>55</v>
      </c>
      <c r="E4437" s="9" t="s">
        <v>29</v>
      </c>
      <c r="F4437" s="9">
        <v>121</v>
      </c>
      <c r="G4437" s="9">
        <v>172.74</v>
      </c>
      <c r="H4437" s="9" t="s">
        <v>19</v>
      </c>
      <c r="I4437" s="9">
        <v>8</v>
      </c>
      <c r="J4437" s="10">
        <v>51.74</v>
      </c>
      <c r="K4437" s="9" t="str">
        <f>TEXT(Sales_of_Jordan[[#This Row],[Sale_Date]],"mmm")</f>
        <v>Jan</v>
      </c>
    </row>
    <row r="4438" spans="1:11" x14ac:dyDescent="0.35">
      <c r="A4438" s="7" t="s">
        <v>4468</v>
      </c>
      <c r="B4438" s="8">
        <v>45050</v>
      </c>
      <c r="C4438" s="9" t="s">
        <v>11</v>
      </c>
      <c r="D4438" s="9" t="s">
        <v>36</v>
      </c>
      <c r="E4438" s="9" t="s">
        <v>13</v>
      </c>
      <c r="F4438" s="9">
        <v>225</v>
      </c>
      <c r="G4438" s="9">
        <v>140.08000000000001</v>
      </c>
      <c r="H4438" s="9" t="s">
        <v>14</v>
      </c>
      <c r="I4438" s="9">
        <v>1</v>
      </c>
      <c r="J4438" s="10">
        <v>-84.919999999999902</v>
      </c>
      <c r="K4438" s="9" t="str">
        <f>TEXT(Sales_of_Jordan[[#This Row],[Sale_Date]],"mmm")</f>
        <v>May</v>
      </c>
    </row>
    <row r="4439" spans="1:11" x14ac:dyDescent="0.35">
      <c r="A4439" s="7" t="s">
        <v>4469</v>
      </c>
      <c r="B4439" s="8">
        <v>45614</v>
      </c>
      <c r="C4439" s="9" t="s">
        <v>31</v>
      </c>
      <c r="D4439" s="9" t="s">
        <v>55</v>
      </c>
      <c r="E4439" s="9" t="s">
        <v>29</v>
      </c>
      <c r="F4439" s="9">
        <v>207</v>
      </c>
      <c r="G4439" s="9">
        <v>267.7</v>
      </c>
      <c r="H4439" s="9" t="s">
        <v>25</v>
      </c>
      <c r="I4439" s="9">
        <v>50</v>
      </c>
      <c r="J4439" s="10">
        <v>60.699999999999903</v>
      </c>
      <c r="K4439" s="9" t="str">
        <f>TEXT(Sales_of_Jordan[[#This Row],[Sale_Date]],"mmm")</f>
        <v>Nov</v>
      </c>
    </row>
    <row r="4440" spans="1:11" x14ac:dyDescent="0.35">
      <c r="A4440" s="7" t="s">
        <v>4470</v>
      </c>
      <c r="B4440" s="8">
        <v>45393</v>
      </c>
      <c r="C4440" s="9" t="s">
        <v>21</v>
      </c>
      <c r="D4440" s="9" t="s">
        <v>55</v>
      </c>
      <c r="E4440" s="9" t="s">
        <v>18</v>
      </c>
      <c r="F4440" s="9">
        <v>220</v>
      </c>
      <c r="G4440" s="9">
        <v>631.41</v>
      </c>
      <c r="H4440" s="9" t="s">
        <v>19</v>
      </c>
      <c r="I4440" s="9">
        <v>4</v>
      </c>
      <c r="J4440" s="10">
        <v>411.409999999999</v>
      </c>
      <c r="K4440" s="9" t="str">
        <f>TEXT(Sales_of_Jordan[[#This Row],[Sale_Date]],"mmm")</f>
        <v>Apr</v>
      </c>
    </row>
    <row r="4441" spans="1:11" x14ac:dyDescent="0.35">
      <c r="A4441" s="7" t="s">
        <v>4471</v>
      </c>
      <c r="B4441" s="8">
        <v>45026</v>
      </c>
      <c r="C4441" s="9" t="s">
        <v>27</v>
      </c>
      <c r="D4441" s="9" t="s">
        <v>22</v>
      </c>
      <c r="E4441" s="9" t="s">
        <v>18</v>
      </c>
      <c r="F4441" s="9">
        <v>140</v>
      </c>
      <c r="G4441" s="9">
        <v>275.33999999999997</v>
      </c>
      <c r="H4441" s="9" t="s">
        <v>23</v>
      </c>
      <c r="I4441" s="9">
        <v>52</v>
      </c>
      <c r="J4441" s="10">
        <v>135.33999999999901</v>
      </c>
      <c r="K4441" s="9" t="str">
        <f>TEXT(Sales_of_Jordan[[#This Row],[Sale_Date]],"mmm")</f>
        <v>Apr</v>
      </c>
    </row>
    <row r="4442" spans="1:11" x14ac:dyDescent="0.35">
      <c r="A4442" s="7" t="s">
        <v>4472</v>
      </c>
      <c r="B4442" s="8">
        <v>45558</v>
      </c>
      <c r="C4442" s="9" t="s">
        <v>16</v>
      </c>
      <c r="D4442" s="9" t="s">
        <v>53</v>
      </c>
      <c r="E4442" s="9" t="s">
        <v>29</v>
      </c>
      <c r="F4442" s="9">
        <v>170</v>
      </c>
      <c r="G4442" s="9">
        <v>241.59</v>
      </c>
      <c r="H4442" s="9" t="s">
        <v>14</v>
      </c>
      <c r="I4442" s="9">
        <v>8</v>
      </c>
      <c r="J4442" s="10">
        <v>71.59</v>
      </c>
      <c r="K4442" s="9" t="str">
        <f>TEXT(Sales_of_Jordan[[#This Row],[Sale_Date]],"mmm")</f>
        <v>Sep</v>
      </c>
    </row>
    <row r="4443" spans="1:11" x14ac:dyDescent="0.35">
      <c r="A4443" s="7" t="s">
        <v>4473</v>
      </c>
      <c r="B4443" s="8">
        <v>45744</v>
      </c>
      <c r="C4443" s="9" t="s">
        <v>27</v>
      </c>
      <c r="D4443" s="9" t="s">
        <v>46</v>
      </c>
      <c r="E4443" s="9" t="s">
        <v>29</v>
      </c>
      <c r="F4443" s="9">
        <v>118</v>
      </c>
      <c r="G4443" s="9">
        <v>134.26</v>
      </c>
      <c r="H4443" s="9" t="s">
        <v>23</v>
      </c>
      <c r="I4443" s="9">
        <v>29</v>
      </c>
      <c r="J4443" s="10">
        <v>16.259999999999899</v>
      </c>
      <c r="K4443" s="9" t="str">
        <f>TEXT(Sales_of_Jordan[[#This Row],[Sale_Date]],"mmm")</f>
        <v>Mar</v>
      </c>
    </row>
    <row r="4444" spans="1:11" x14ac:dyDescent="0.35">
      <c r="A4444" s="7" t="s">
        <v>4474</v>
      </c>
      <c r="B4444" s="8">
        <v>45275</v>
      </c>
      <c r="C4444" s="9" t="s">
        <v>31</v>
      </c>
      <c r="D4444" s="9" t="s">
        <v>17</v>
      </c>
      <c r="E4444" s="9" t="s">
        <v>13</v>
      </c>
      <c r="F4444" s="9">
        <v>200</v>
      </c>
      <c r="G4444" s="9">
        <v>157.59</v>
      </c>
      <c r="H4444" s="9" t="s">
        <v>23</v>
      </c>
      <c r="I4444" s="9">
        <v>11</v>
      </c>
      <c r="J4444" s="10">
        <v>-42.41</v>
      </c>
      <c r="K4444" s="9" t="str">
        <f>TEXT(Sales_of_Jordan[[#This Row],[Sale_Date]],"mmm")</f>
        <v>Dec</v>
      </c>
    </row>
    <row r="4445" spans="1:11" x14ac:dyDescent="0.35">
      <c r="A4445" s="7" t="s">
        <v>4475</v>
      </c>
      <c r="B4445" s="8">
        <v>45601</v>
      </c>
      <c r="C4445" s="9" t="s">
        <v>11</v>
      </c>
      <c r="D4445" s="9" t="s">
        <v>55</v>
      </c>
      <c r="E4445" s="9" t="s">
        <v>29</v>
      </c>
      <c r="F4445" s="9">
        <v>228</v>
      </c>
      <c r="G4445" s="9">
        <v>260.36</v>
      </c>
      <c r="H4445" s="9" t="s">
        <v>32</v>
      </c>
      <c r="I4445" s="9">
        <v>58</v>
      </c>
      <c r="J4445" s="10">
        <v>32.36</v>
      </c>
      <c r="K4445" s="9" t="str">
        <f>TEXT(Sales_of_Jordan[[#This Row],[Sale_Date]],"mmm")</f>
        <v>Nov</v>
      </c>
    </row>
    <row r="4446" spans="1:11" x14ac:dyDescent="0.35">
      <c r="A4446" s="7" t="s">
        <v>4476</v>
      </c>
      <c r="B4446" s="8">
        <v>45471</v>
      </c>
      <c r="C4446" s="9" t="s">
        <v>21</v>
      </c>
      <c r="D4446" s="9" t="s">
        <v>46</v>
      </c>
      <c r="E4446" s="9" t="s">
        <v>18</v>
      </c>
      <c r="F4446" s="9">
        <v>219</v>
      </c>
      <c r="G4446" s="9">
        <v>424.57</v>
      </c>
      <c r="H4446" s="9" t="s">
        <v>23</v>
      </c>
      <c r="I4446" s="9">
        <v>44</v>
      </c>
      <c r="J4446" s="10">
        <v>205.57</v>
      </c>
      <c r="K4446" s="9" t="str">
        <f>TEXT(Sales_of_Jordan[[#This Row],[Sale_Date]],"mmm")</f>
        <v>Jun</v>
      </c>
    </row>
    <row r="4447" spans="1:11" x14ac:dyDescent="0.35">
      <c r="A4447" s="7" t="s">
        <v>4477</v>
      </c>
      <c r="B4447" s="8">
        <v>45719</v>
      </c>
      <c r="C4447" s="9" t="s">
        <v>21</v>
      </c>
      <c r="D4447" s="9" t="s">
        <v>22</v>
      </c>
      <c r="E4447" s="9" t="s">
        <v>18</v>
      </c>
      <c r="F4447" s="9">
        <v>220</v>
      </c>
      <c r="G4447" s="9">
        <v>638.6</v>
      </c>
      <c r="H4447" s="9" t="s">
        <v>32</v>
      </c>
      <c r="I4447" s="9">
        <v>58</v>
      </c>
      <c r="J4447" s="10">
        <v>418.6</v>
      </c>
      <c r="K4447" s="9" t="str">
        <f>TEXT(Sales_of_Jordan[[#This Row],[Sale_Date]],"mmm")</f>
        <v>Mar</v>
      </c>
    </row>
    <row r="4448" spans="1:11" x14ac:dyDescent="0.35">
      <c r="A4448" s="7" t="s">
        <v>4478</v>
      </c>
      <c r="B4448" s="8">
        <v>45908</v>
      </c>
      <c r="C4448" s="9" t="s">
        <v>27</v>
      </c>
      <c r="D4448" s="9" t="s">
        <v>39</v>
      </c>
      <c r="E4448" s="9" t="s">
        <v>29</v>
      </c>
      <c r="F4448" s="9">
        <v>124</v>
      </c>
      <c r="G4448" s="9">
        <v>158.43</v>
      </c>
      <c r="H4448" s="9" t="s">
        <v>19</v>
      </c>
      <c r="I4448" s="9">
        <v>8</v>
      </c>
      <c r="J4448" s="10">
        <v>34.43</v>
      </c>
      <c r="K4448" s="9" t="str">
        <f>TEXT(Sales_of_Jordan[[#This Row],[Sale_Date]],"mmm")</f>
        <v>Sep</v>
      </c>
    </row>
    <row r="4449" spans="1:11" x14ac:dyDescent="0.35">
      <c r="A4449" s="7" t="s">
        <v>4479</v>
      </c>
      <c r="B4449" s="8">
        <v>45488</v>
      </c>
      <c r="C4449" s="9" t="s">
        <v>27</v>
      </c>
      <c r="D4449" s="9" t="s">
        <v>17</v>
      </c>
      <c r="E4449" s="9" t="s">
        <v>18</v>
      </c>
      <c r="F4449" s="9">
        <v>138</v>
      </c>
      <c r="G4449" s="9">
        <v>331.03</v>
      </c>
      <c r="H4449" s="9" t="s">
        <v>32</v>
      </c>
      <c r="I4449" s="9">
        <v>9</v>
      </c>
      <c r="J4449" s="10">
        <v>193.02999999999901</v>
      </c>
      <c r="K4449" s="9" t="str">
        <f>TEXT(Sales_of_Jordan[[#This Row],[Sale_Date]],"mmm")</f>
        <v>Jul</v>
      </c>
    </row>
    <row r="4450" spans="1:11" x14ac:dyDescent="0.35">
      <c r="A4450" s="7" t="s">
        <v>4480</v>
      </c>
      <c r="B4450" s="8">
        <v>45313</v>
      </c>
      <c r="C4450" s="9" t="s">
        <v>11</v>
      </c>
      <c r="D4450" s="9" t="s">
        <v>12</v>
      </c>
      <c r="E4450" s="9" t="s">
        <v>29</v>
      </c>
      <c r="F4450" s="9">
        <v>225</v>
      </c>
      <c r="G4450" s="9">
        <v>275.92</v>
      </c>
      <c r="H4450" s="9" t="s">
        <v>19</v>
      </c>
      <c r="I4450" s="9">
        <v>5</v>
      </c>
      <c r="J4450" s="10">
        <v>50.92</v>
      </c>
      <c r="K4450" s="9" t="str">
        <f>TEXT(Sales_of_Jordan[[#This Row],[Sale_Date]],"mmm")</f>
        <v>Jan</v>
      </c>
    </row>
    <row r="4451" spans="1:11" x14ac:dyDescent="0.35">
      <c r="A4451" s="7" t="s">
        <v>4481</v>
      </c>
      <c r="B4451" s="8">
        <v>45201</v>
      </c>
      <c r="C4451" s="9" t="s">
        <v>27</v>
      </c>
      <c r="D4451" s="9" t="s">
        <v>12</v>
      </c>
      <c r="E4451" s="9" t="s">
        <v>29</v>
      </c>
      <c r="F4451" s="9">
        <v>112</v>
      </c>
      <c r="G4451" s="9">
        <v>161.31</v>
      </c>
      <c r="H4451" s="9" t="s">
        <v>23</v>
      </c>
      <c r="I4451" s="9">
        <v>6</v>
      </c>
      <c r="J4451" s="10">
        <v>49.31</v>
      </c>
      <c r="K4451" s="9" t="str">
        <f>TEXT(Sales_of_Jordan[[#This Row],[Sale_Date]],"mmm")</f>
        <v>Oct</v>
      </c>
    </row>
    <row r="4452" spans="1:11" x14ac:dyDescent="0.35">
      <c r="A4452" s="7" t="s">
        <v>4482</v>
      </c>
      <c r="B4452" s="8">
        <v>45347</v>
      </c>
      <c r="C4452" s="9" t="s">
        <v>21</v>
      </c>
      <c r="D4452" s="9" t="s">
        <v>46</v>
      </c>
      <c r="E4452" s="9" t="s">
        <v>18</v>
      </c>
      <c r="F4452" s="9">
        <v>225</v>
      </c>
      <c r="G4452" s="9">
        <v>568.51</v>
      </c>
      <c r="H4452" s="9" t="s">
        <v>25</v>
      </c>
      <c r="I4452" s="9">
        <v>32</v>
      </c>
      <c r="J4452" s="10">
        <v>343.51</v>
      </c>
      <c r="K4452" s="9" t="str">
        <f>TEXT(Sales_of_Jordan[[#This Row],[Sale_Date]],"mmm")</f>
        <v>Feb</v>
      </c>
    </row>
    <row r="4453" spans="1:11" x14ac:dyDescent="0.35">
      <c r="A4453" s="7" t="s">
        <v>4483</v>
      </c>
      <c r="B4453" s="8">
        <v>45237</v>
      </c>
      <c r="C4453" s="9" t="s">
        <v>27</v>
      </c>
      <c r="D4453" s="9" t="s">
        <v>46</v>
      </c>
      <c r="E4453" s="9" t="s">
        <v>29</v>
      </c>
      <c r="F4453" s="9">
        <v>129</v>
      </c>
      <c r="G4453" s="9">
        <v>187.34</v>
      </c>
      <c r="H4453" s="9" t="s">
        <v>25</v>
      </c>
      <c r="I4453" s="9">
        <v>35</v>
      </c>
      <c r="J4453" s="10">
        <v>58.34</v>
      </c>
      <c r="K4453" s="9" t="str">
        <f>TEXT(Sales_of_Jordan[[#This Row],[Sale_Date]],"mmm")</f>
        <v>Nov</v>
      </c>
    </row>
    <row r="4454" spans="1:11" x14ac:dyDescent="0.35">
      <c r="A4454" s="7" t="s">
        <v>4484</v>
      </c>
      <c r="B4454" s="8">
        <v>45631</v>
      </c>
      <c r="C4454" s="9" t="s">
        <v>21</v>
      </c>
      <c r="D4454" s="9" t="s">
        <v>22</v>
      </c>
      <c r="E4454" s="9" t="s">
        <v>13</v>
      </c>
      <c r="F4454" s="9">
        <v>219</v>
      </c>
      <c r="G4454" s="9">
        <v>143.02000000000001</v>
      </c>
      <c r="H4454" s="9" t="s">
        <v>14</v>
      </c>
      <c r="I4454" s="9">
        <v>6</v>
      </c>
      <c r="J4454" s="10">
        <v>-75.979999999999905</v>
      </c>
      <c r="K4454" s="9" t="str">
        <f>TEXT(Sales_of_Jordan[[#This Row],[Sale_Date]],"mmm")</f>
        <v>Dec</v>
      </c>
    </row>
    <row r="4455" spans="1:11" x14ac:dyDescent="0.35">
      <c r="A4455" s="7" t="s">
        <v>4485</v>
      </c>
      <c r="B4455" s="8">
        <v>45399</v>
      </c>
      <c r="C4455" s="9" t="s">
        <v>31</v>
      </c>
      <c r="D4455" s="9" t="s">
        <v>12</v>
      </c>
      <c r="E4455" s="9" t="s">
        <v>13</v>
      </c>
      <c r="F4455" s="9">
        <v>205</v>
      </c>
      <c r="G4455" s="9">
        <v>111.68</v>
      </c>
      <c r="H4455" s="9" t="s">
        <v>25</v>
      </c>
      <c r="I4455" s="9">
        <v>25</v>
      </c>
      <c r="J4455" s="10">
        <v>-93.32</v>
      </c>
      <c r="K4455" s="9" t="str">
        <f>TEXT(Sales_of_Jordan[[#This Row],[Sale_Date]],"mmm")</f>
        <v>Apr</v>
      </c>
    </row>
    <row r="4456" spans="1:11" x14ac:dyDescent="0.35">
      <c r="A4456" s="7" t="s">
        <v>4486</v>
      </c>
      <c r="B4456" s="8">
        <v>45475</v>
      </c>
      <c r="C4456" s="9" t="s">
        <v>16</v>
      </c>
      <c r="D4456" s="9" t="s">
        <v>46</v>
      </c>
      <c r="E4456" s="9" t="s">
        <v>13</v>
      </c>
      <c r="F4456" s="9">
        <v>181</v>
      </c>
      <c r="G4456" s="9">
        <v>132.96</v>
      </c>
      <c r="H4456" s="9" t="s">
        <v>23</v>
      </c>
      <c r="I4456" s="9">
        <v>45</v>
      </c>
      <c r="J4456" s="10">
        <v>-48.0399999999999</v>
      </c>
      <c r="K4456" s="9" t="str">
        <f>TEXT(Sales_of_Jordan[[#This Row],[Sale_Date]],"mmm")</f>
        <v>Jul</v>
      </c>
    </row>
    <row r="4457" spans="1:11" x14ac:dyDescent="0.35">
      <c r="A4457" s="7" t="s">
        <v>4487</v>
      </c>
      <c r="B4457" s="8">
        <v>45018</v>
      </c>
      <c r="C4457" s="9" t="s">
        <v>31</v>
      </c>
      <c r="D4457" s="9" t="s">
        <v>46</v>
      </c>
      <c r="E4457" s="9" t="s">
        <v>18</v>
      </c>
      <c r="F4457" s="9">
        <v>205</v>
      </c>
      <c r="G4457" s="9">
        <v>429.82</v>
      </c>
      <c r="H4457" s="9" t="s">
        <v>23</v>
      </c>
      <c r="I4457" s="9">
        <v>13</v>
      </c>
      <c r="J4457" s="10">
        <v>224.82</v>
      </c>
      <c r="K4457" s="9" t="str">
        <f>TEXT(Sales_of_Jordan[[#This Row],[Sale_Date]],"mmm")</f>
        <v>Apr</v>
      </c>
    </row>
    <row r="4458" spans="1:11" x14ac:dyDescent="0.35">
      <c r="A4458" s="7" t="s">
        <v>4488</v>
      </c>
      <c r="B4458" s="8">
        <v>45128</v>
      </c>
      <c r="C4458" s="9" t="s">
        <v>27</v>
      </c>
      <c r="D4458" s="9" t="s">
        <v>46</v>
      </c>
      <c r="E4458" s="9" t="s">
        <v>13</v>
      </c>
      <c r="F4458" s="9">
        <v>112</v>
      </c>
      <c r="G4458" s="9">
        <v>80.489999999999995</v>
      </c>
      <c r="H4458" s="9" t="s">
        <v>32</v>
      </c>
      <c r="I4458" s="9">
        <v>23</v>
      </c>
      <c r="J4458" s="10">
        <v>-31.51</v>
      </c>
      <c r="K4458" s="9" t="str">
        <f>TEXT(Sales_of_Jordan[[#This Row],[Sale_Date]],"mmm")</f>
        <v>Jul</v>
      </c>
    </row>
    <row r="4459" spans="1:11" x14ac:dyDescent="0.35">
      <c r="A4459" s="7" t="s">
        <v>4489</v>
      </c>
      <c r="B4459" s="8">
        <v>45619</v>
      </c>
      <c r="C4459" s="9" t="s">
        <v>16</v>
      </c>
      <c r="D4459" s="9" t="s">
        <v>12</v>
      </c>
      <c r="E4459" s="9" t="s">
        <v>13</v>
      </c>
      <c r="F4459" s="9">
        <v>172</v>
      </c>
      <c r="G4459" s="9">
        <v>149.49</v>
      </c>
      <c r="H4459" s="9" t="s">
        <v>19</v>
      </c>
      <c r="I4459" s="9">
        <v>2</v>
      </c>
      <c r="J4459" s="10">
        <v>-22.509999999999899</v>
      </c>
      <c r="K4459" s="9" t="str">
        <f>TEXT(Sales_of_Jordan[[#This Row],[Sale_Date]],"mmm")</f>
        <v>Nov</v>
      </c>
    </row>
    <row r="4460" spans="1:11" x14ac:dyDescent="0.35">
      <c r="A4460" s="7" t="s">
        <v>4490</v>
      </c>
      <c r="B4460" s="8">
        <v>45225</v>
      </c>
      <c r="C4460" s="9" t="s">
        <v>11</v>
      </c>
      <c r="D4460" s="9" t="s">
        <v>46</v>
      </c>
      <c r="E4460" s="9" t="s">
        <v>29</v>
      </c>
      <c r="F4460" s="9">
        <v>225</v>
      </c>
      <c r="G4460" s="9">
        <v>243.01</v>
      </c>
      <c r="H4460" s="9" t="s">
        <v>14</v>
      </c>
      <c r="I4460" s="9">
        <v>11</v>
      </c>
      <c r="J4460" s="10">
        <v>18.009999999999899</v>
      </c>
      <c r="K4460" s="9" t="str">
        <f>TEXT(Sales_of_Jordan[[#This Row],[Sale_Date]],"mmm")</f>
        <v>Oct</v>
      </c>
    </row>
    <row r="4461" spans="1:11" x14ac:dyDescent="0.35">
      <c r="A4461" s="7" t="s">
        <v>4491</v>
      </c>
      <c r="B4461" s="8">
        <v>45463</v>
      </c>
      <c r="C4461" s="9" t="s">
        <v>21</v>
      </c>
      <c r="D4461" s="9" t="s">
        <v>22</v>
      </c>
      <c r="E4461" s="9" t="s">
        <v>18</v>
      </c>
      <c r="F4461" s="9">
        <v>221</v>
      </c>
      <c r="G4461" s="9">
        <v>761.38</v>
      </c>
      <c r="H4461" s="9" t="s">
        <v>32</v>
      </c>
      <c r="I4461" s="9">
        <v>17</v>
      </c>
      <c r="J4461" s="10">
        <v>540.38</v>
      </c>
      <c r="K4461" s="9" t="str">
        <f>TEXT(Sales_of_Jordan[[#This Row],[Sale_Date]],"mmm")</f>
        <v>Jun</v>
      </c>
    </row>
    <row r="4462" spans="1:11" x14ac:dyDescent="0.35">
      <c r="A4462" s="7" t="s">
        <v>4492</v>
      </c>
      <c r="B4462" s="8">
        <v>45898</v>
      </c>
      <c r="C4462" s="9" t="s">
        <v>27</v>
      </c>
      <c r="D4462" s="9" t="s">
        <v>12</v>
      </c>
      <c r="E4462" s="9" t="s">
        <v>18</v>
      </c>
      <c r="F4462" s="9">
        <v>111</v>
      </c>
      <c r="G4462" s="9">
        <v>274.87</v>
      </c>
      <c r="H4462" s="9" t="s">
        <v>23</v>
      </c>
      <c r="I4462" s="9">
        <v>13</v>
      </c>
      <c r="J4462" s="10">
        <v>163.87</v>
      </c>
      <c r="K4462" s="9" t="str">
        <f>TEXT(Sales_of_Jordan[[#This Row],[Sale_Date]],"mmm")</f>
        <v>Aug</v>
      </c>
    </row>
    <row r="4463" spans="1:11" x14ac:dyDescent="0.35">
      <c r="A4463" s="7" t="s">
        <v>4493</v>
      </c>
      <c r="B4463" s="8">
        <v>45586</v>
      </c>
      <c r="C4463" s="9" t="s">
        <v>31</v>
      </c>
      <c r="D4463" s="9" t="s">
        <v>12</v>
      </c>
      <c r="E4463" s="9" t="s">
        <v>18</v>
      </c>
      <c r="F4463" s="9">
        <v>200</v>
      </c>
      <c r="G4463" s="9">
        <v>462.13</v>
      </c>
      <c r="H4463" s="9" t="s">
        <v>19</v>
      </c>
      <c r="I4463" s="9">
        <v>14</v>
      </c>
      <c r="J4463" s="10">
        <v>262.13</v>
      </c>
      <c r="K4463" s="9" t="str">
        <f>TEXT(Sales_of_Jordan[[#This Row],[Sale_Date]],"mmm")</f>
        <v>Oct</v>
      </c>
    </row>
    <row r="4464" spans="1:11" x14ac:dyDescent="0.35">
      <c r="A4464" s="7" t="s">
        <v>4494</v>
      </c>
      <c r="B4464" s="8">
        <v>44971</v>
      </c>
      <c r="C4464" s="9" t="s">
        <v>27</v>
      </c>
      <c r="D4464" s="9" t="s">
        <v>17</v>
      </c>
      <c r="E4464" s="9" t="s">
        <v>29</v>
      </c>
      <c r="F4464" s="9">
        <v>121</v>
      </c>
      <c r="G4464" s="9">
        <v>143.24</v>
      </c>
      <c r="H4464" s="9" t="s">
        <v>19</v>
      </c>
      <c r="I4464" s="9">
        <v>8</v>
      </c>
      <c r="J4464" s="10">
        <v>22.24</v>
      </c>
      <c r="K4464" s="9" t="str">
        <f>TEXT(Sales_of_Jordan[[#This Row],[Sale_Date]],"mmm")</f>
        <v>Feb</v>
      </c>
    </row>
    <row r="4465" spans="1:11" x14ac:dyDescent="0.35">
      <c r="A4465" s="7" t="s">
        <v>4495</v>
      </c>
      <c r="B4465" s="8">
        <v>45317</v>
      </c>
      <c r="C4465" s="9" t="s">
        <v>27</v>
      </c>
      <c r="D4465" s="9" t="s">
        <v>39</v>
      </c>
      <c r="E4465" s="9" t="s">
        <v>29</v>
      </c>
      <c r="F4465" s="9">
        <v>130</v>
      </c>
      <c r="G4465" s="9">
        <v>184.03</v>
      </c>
      <c r="H4465" s="9" t="s">
        <v>23</v>
      </c>
      <c r="I4465" s="9">
        <v>42</v>
      </c>
      <c r="J4465" s="10">
        <v>54.03</v>
      </c>
      <c r="K4465" s="9" t="str">
        <f>TEXT(Sales_of_Jordan[[#This Row],[Sale_Date]],"mmm")</f>
        <v>Jan</v>
      </c>
    </row>
    <row r="4466" spans="1:11" x14ac:dyDescent="0.35">
      <c r="A4466" s="7" t="s">
        <v>4496</v>
      </c>
      <c r="B4466" s="8">
        <v>45161</v>
      </c>
      <c r="C4466" s="9" t="s">
        <v>27</v>
      </c>
      <c r="D4466" s="9" t="s">
        <v>39</v>
      </c>
      <c r="E4466" s="9" t="s">
        <v>18</v>
      </c>
      <c r="F4466" s="9">
        <v>126</v>
      </c>
      <c r="G4466" s="9">
        <v>381.29</v>
      </c>
      <c r="H4466" s="9" t="s">
        <v>25</v>
      </c>
      <c r="I4466" s="9">
        <v>18</v>
      </c>
      <c r="J4466" s="10">
        <v>255.29</v>
      </c>
      <c r="K4466" s="9" t="str">
        <f>TEXT(Sales_of_Jordan[[#This Row],[Sale_Date]],"mmm")</f>
        <v>Aug</v>
      </c>
    </row>
    <row r="4467" spans="1:11" x14ac:dyDescent="0.35">
      <c r="A4467" s="7" t="s">
        <v>4497</v>
      </c>
      <c r="B4467" s="8">
        <v>45451</v>
      </c>
      <c r="C4467" s="9" t="s">
        <v>11</v>
      </c>
      <c r="D4467" s="9" t="s">
        <v>36</v>
      </c>
      <c r="E4467" s="9" t="s">
        <v>13</v>
      </c>
      <c r="F4467" s="9">
        <v>227</v>
      </c>
      <c r="G4467" s="9">
        <v>165.96</v>
      </c>
      <c r="H4467" s="9" t="s">
        <v>32</v>
      </c>
      <c r="I4467" s="9">
        <v>56</v>
      </c>
      <c r="J4467" s="10">
        <v>-61.0399999999999</v>
      </c>
      <c r="K4467" s="9" t="str">
        <f>TEXT(Sales_of_Jordan[[#This Row],[Sale_Date]],"mmm")</f>
        <v>Jun</v>
      </c>
    </row>
    <row r="4468" spans="1:11" x14ac:dyDescent="0.35">
      <c r="A4468" s="7" t="s">
        <v>4498</v>
      </c>
      <c r="B4468" s="8">
        <v>45227</v>
      </c>
      <c r="C4468" s="9" t="s">
        <v>27</v>
      </c>
      <c r="D4468" s="9" t="s">
        <v>36</v>
      </c>
      <c r="E4468" s="9" t="s">
        <v>29</v>
      </c>
      <c r="F4468" s="9">
        <v>112</v>
      </c>
      <c r="G4468" s="9">
        <v>167.71</v>
      </c>
      <c r="H4468" s="9" t="s">
        <v>25</v>
      </c>
      <c r="I4468" s="9">
        <v>58</v>
      </c>
      <c r="J4468" s="10">
        <v>55.71</v>
      </c>
      <c r="K4468" s="9" t="str">
        <f>TEXT(Sales_of_Jordan[[#This Row],[Sale_Date]],"mmm")</f>
        <v>Oct</v>
      </c>
    </row>
    <row r="4469" spans="1:11" x14ac:dyDescent="0.35">
      <c r="A4469" s="7" t="s">
        <v>4499</v>
      </c>
      <c r="B4469" s="8">
        <v>45085</v>
      </c>
      <c r="C4469" s="9" t="s">
        <v>11</v>
      </c>
      <c r="D4469" s="9" t="s">
        <v>17</v>
      </c>
      <c r="E4469" s="9" t="s">
        <v>18</v>
      </c>
      <c r="F4469" s="9">
        <v>229</v>
      </c>
      <c r="G4469" s="9">
        <v>642.48</v>
      </c>
      <c r="H4469" s="9" t="s">
        <v>14</v>
      </c>
      <c r="I4469" s="9">
        <v>6</v>
      </c>
      <c r="J4469" s="10">
        <v>413.48</v>
      </c>
      <c r="K4469" s="9" t="str">
        <f>TEXT(Sales_of_Jordan[[#This Row],[Sale_Date]],"mmm")</f>
        <v>Jun</v>
      </c>
    </row>
    <row r="4470" spans="1:11" x14ac:dyDescent="0.35">
      <c r="A4470" s="7" t="s">
        <v>4500</v>
      </c>
      <c r="B4470" s="8">
        <v>45548</v>
      </c>
      <c r="C4470" s="9" t="s">
        <v>31</v>
      </c>
      <c r="D4470" s="9" t="s">
        <v>34</v>
      </c>
      <c r="E4470" s="9" t="s">
        <v>13</v>
      </c>
      <c r="F4470" s="9">
        <v>205</v>
      </c>
      <c r="G4470" s="9">
        <v>128.16999999999999</v>
      </c>
      <c r="H4470" s="9" t="s">
        <v>19</v>
      </c>
      <c r="I4470" s="9">
        <v>4</v>
      </c>
      <c r="J4470" s="10">
        <v>-76.83</v>
      </c>
      <c r="K4470" s="9" t="str">
        <f>TEXT(Sales_of_Jordan[[#This Row],[Sale_Date]],"mmm")</f>
        <v>Sep</v>
      </c>
    </row>
    <row r="4471" spans="1:11" x14ac:dyDescent="0.35">
      <c r="A4471" s="7" t="s">
        <v>4501</v>
      </c>
      <c r="B4471" s="8">
        <v>45276</v>
      </c>
      <c r="C4471" s="9" t="s">
        <v>21</v>
      </c>
      <c r="D4471" s="9" t="s">
        <v>55</v>
      </c>
      <c r="E4471" s="9" t="s">
        <v>13</v>
      </c>
      <c r="F4471" s="9">
        <v>220</v>
      </c>
      <c r="G4471" s="9">
        <v>162.08000000000001</v>
      </c>
      <c r="H4471" s="9" t="s">
        <v>23</v>
      </c>
      <c r="I4471" s="9">
        <v>27</v>
      </c>
      <c r="J4471" s="10">
        <v>-57.919999999999902</v>
      </c>
      <c r="K4471" s="9" t="str">
        <f>TEXT(Sales_of_Jordan[[#This Row],[Sale_Date]],"mmm")</f>
        <v>Dec</v>
      </c>
    </row>
    <row r="4472" spans="1:11" x14ac:dyDescent="0.35">
      <c r="A4472" s="7" t="s">
        <v>4502</v>
      </c>
      <c r="B4472" s="8">
        <v>44992</v>
      </c>
      <c r="C4472" s="9" t="s">
        <v>16</v>
      </c>
      <c r="D4472" s="9" t="s">
        <v>39</v>
      </c>
      <c r="E4472" s="9" t="s">
        <v>13</v>
      </c>
      <c r="F4472" s="9">
        <v>177</v>
      </c>
      <c r="G4472" s="9">
        <v>137.12</v>
      </c>
      <c r="H4472" s="9" t="s">
        <v>25</v>
      </c>
      <c r="I4472" s="9">
        <v>28</v>
      </c>
      <c r="J4472" s="10">
        <v>-39.879999999999903</v>
      </c>
      <c r="K4472" s="9" t="str">
        <f>TEXT(Sales_of_Jordan[[#This Row],[Sale_Date]],"mmm")</f>
        <v>Mar</v>
      </c>
    </row>
    <row r="4473" spans="1:11" x14ac:dyDescent="0.35">
      <c r="A4473" s="7" t="s">
        <v>4503</v>
      </c>
      <c r="B4473" s="8">
        <v>45103</v>
      </c>
      <c r="C4473" s="9" t="s">
        <v>21</v>
      </c>
      <c r="D4473" s="9" t="s">
        <v>34</v>
      </c>
      <c r="E4473" s="9" t="s">
        <v>29</v>
      </c>
      <c r="F4473" s="9">
        <v>224</v>
      </c>
      <c r="G4473" s="9">
        <v>266.44</v>
      </c>
      <c r="H4473" s="9" t="s">
        <v>14</v>
      </c>
      <c r="I4473" s="9">
        <v>10</v>
      </c>
      <c r="J4473" s="10">
        <v>42.44</v>
      </c>
      <c r="K4473" s="9" t="str">
        <f>TEXT(Sales_of_Jordan[[#This Row],[Sale_Date]],"mmm")</f>
        <v>Jun</v>
      </c>
    </row>
    <row r="4474" spans="1:11" x14ac:dyDescent="0.35">
      <c r="A4474" s="7" t="s">
        <v>4504</v>
      </c>
      <c r="B4474" s="8">
        <v>45489</v>
      </c>
      <c r="C4474" s="9" t="s">
        <v>31</v>
      </c>
      <c r="D4474" s="9" t="s">
        <v>12</v>
      </c>
      <c r="E4474" s="9" t="s">
        <v>29</v>
      </c>
      <c r="F4474" s="9">
        <v>202</v>
      </c>
      <c r="G4474" s="9">
        <v>240.31</v>
      </c>
      <c r="H4474" s="9" t="s">
        <v>23</v>
      </c>
      <c r="I4474" s="9">
        <v>26</v>
      </c>
      <c r="J4474" s="10">
        <v>38.31</v>
      </c>
      <c r="K4474" s="9" t="str">
        <f>TEXT(Sales_of_Jordan[[#This Row],[Sale_Date]],"mmm")</f>
        <v>Jul</v>
      </c>
    </row>
    <row r="4475" spans="1:11" x14ac:dyDescent="0.35">
      <c r="A4475" s="7" t="s">
        <v>4505</v>
      </c>
      <c r="B4475" s="8">
        <v>45454</v>
      </c>
      <c r="C4475" s="9" t="s">
        <v>21</v>
      </c>
      <c r="D4475" s="9" t="s">
        <v>39</v>
      </c>
      <c r="E4475" s="9" t="s">
        <v>13</v>
      </c>
      <c r="F4475" s="9">
        <v>220</v>
      </c>
      <c r="G4475" s="9">
        <v>169.47</v>
      </c>
      <c r="H4475" s="9" t="s">
        <v>19</v>
      </c>
      <c r="I4475" s="9">
        <v>13</v>
      </c>
      <c r="J4475" s="10">
        <v>-50.53</v>
      </c>
      <c r="K4475" s="9" t="str">
        <f>TEXT(Sales_of_Jordan[[#This Row],[Sale_Date]],"mmm")</f>
        <v>Jun</v>
      </c>
    </row>
    <row r="4476" spans="1:11" x14ac:dyDescent="0.35">
      <c r="A4476" s="7" t="s">
        <v>4506</v>
      </c>
      <c r="B4476" s="8">
        <v>45127</v>
      </c>
      <c r="C4476" s="9" t="s">
        <v>11</v>
      </c>
      <c r="D4476" s="9" t="s">
        <v>17</v>
      </c>
      <c r="E4476" s="9" t="s">
        <v>29</v>
      </c>
      <c r="F4476" s="9">
        <v>226</v>
      </c>
      <c r="G4476" s="9">
        <v>292.85000000000002</v>
      </c>
      <c r="H4476" s="9" t="s">
        <v>32</v>
      </c>
      <c r="I4476" s="9">
        <v>48</v>
      </c>
      <c r="J4476" s="10">
        <v>66.849999999999994</v>
      </c>
      <c r="K4476" s="9" t="str">
        <f>TEXT(Sales_of_Jordan[[#This Row],[Sale_Date]],"mmm")</f>
        <v>Jul</v>
      </c>
    </row>
    <row r="4477" spans="1:11" x14ac:dyDescent="0.35">
      <c r="A4477" s="7" t="s">
        <v>4507</v>
      </c>
      <c r="B4477" s="8">
        <v>45531</v>
      </c>
      <c r="C4477" s="9" t="s">
        <v>16</v>
      </c>
      <c r="D4477" s="9" t="s">
        <v>12</v>
      </c>
      <c r="E4477" s="9" t="s">
        <v>13</v>
      </c>
      <c r="F4477" s="9">
        <v>176</v>
      </c>
      <c r="G4477" s="9">
        <v>137.43</v>
      </c>
      <c r="H4477" s="9" t="s">
        <v>25</v>
      </c>
      <c r="I4477" s="9">
        <v>44</v>
      </c>
      <c r="J4477" s="10">
        <v>-38.569999999999901</v>
      </c>
      <c r="K4477" s="9" t="str">
        <f>TEXT(Sales_of_Jordan[[#This Row],[Sale_Date]],"mmm")</f>
        <v>Aug</v>
      </c>
    </row>
    <row r="4478" spans="1:11" x14ac:dyDescent="0.35">
      <c r="A4478" s="7" t="s">
        <v>4508</v>
      </c>
      <c r="B4478" s="8">
        <v>45175</v>
      </c>
      <c r="C4478" s="9" t="s">
        <v>31</v>
      </c>
      <c r="D4478" s="9" t="s">
        <v>39</v>
      </c>
      <c r="E4478" s="9" t="s">
        <v>18</v>
      </c>
      <c r="F4478" s="9">
        <v>202</v>
      </c>
      <c r="G4478" s="9">
        <v>462.6</v>
      </c>
      <c r="H4478" s="9" t="s">
        <v>25</v>
      </c>
      <c r="I4478" s="9">
        <v>28</v>
      </c>
      <c r="J4478" s="10">
        <v>260.60000000000002</v>
      </c>
      <c r="K4478" s="9" t="str">
        <f>TEXT(Sales_of_Jordan[[#This Row],[Sale_Date]],"mmm")</f>
        <v>Sep</v>
      </c>
    </row>
    <row r="4479" spans="1:11" x14ac:dyDescent="0.35">
      <c r="A4479" s="7" t="s">
        <v>4509</v>
      </c>
      <c r="B4479" s="8">
        <v>45262</v>
      </c>
      <c r="C4479" s="9" t="s">
        <v>21</v>
      </c>
      <c r="D4479" s="9" t="s">
        <v>55</v>
      </c>
      <c r="E4479" s="9" t="s">
        <v>29</v>
      </c>
      <c r="F4479" s="9">
        <v>217</v>
      </c>
      <c r="G4479" s="9">
        <v>270.31</v>
      </c>
      <c r="H4479" s="9" t="s">
        <v>14</v>
      </c>
      <c r="I4479" s="9">
        <v>6</v>
      </c>
      <c r="J4479" s="10">
        <v>53.31</v>
      </c>
      <c r="K4479" s="9" t="str">
        <f>TEXT(Sales_of_Jordan[[#This Row],[Sale_Date]],"mmm")</f>
        <v>Dec</v>
      </c>
    </row>
    <row r="4480" spans="1:11" x14ac:dyDescent="0.35">
      <c r="A4480" s="7" t="s">
        <v>4510</v>
      </c>
      <c r="B4480" s="8">
        <v>45444</v>
      </c>
      <c r="C4480" s="9" t="s">
        <v>31</v>
      </c>
      <c r="D4480" s="9" t="s">
        <v>17</v>
      </c>
      <c r="E4480" s="9" t="s">
        <v>18</v>
      </c>
      <c r="F4480" s="9">
        <v>202</v>
      </c>
      <c r="G4480" s="9">
        <v>676.62</v>
      </c>
      <c r="H4480" s="9" t="s">
        <v>25</v>
      </c>
      <c r="I4480" s="9">
        <v>59</v>
      </c>
      <c r="J4480" s="10">
        <v>474.62</v>
      </c>
      <c r="K4480" s="9" t="str">
        <f>TEXT(Sales_of_Jordan[[#This Row],[Sale_Date]],"mmm")</f>
        <v>Jun</v>
      </c>
    </row>
    <row r="4481" spans="1:11" x14ac:dyDescent="0.35">
      <c r="A4481" s="7" t="s">
        <v>4511</v>
      </c>
      <c r="B4481" s="8">
        <v>45346</v>
      </c>
      <c r="C4481" s="9" t="s">
        <v>11</v>
      </c>
      <c r="D4481" s="9" t="s">
        <v>46</v>
      </c>
      <c r="E4481" s="9" t="s">
        <v>29</v>
      </c>
      <c r="F4481" s="9">
        <v>228</v>
      </c>
      <c r="G4481" s="9">
        <v>213.44</v>
      </c>
      <c r="H4481" s="9" t="s">
        <v>14</v>
      </c>
      <c r="I4481" s="9">
        <v>14</v>
      </c>
      <c r="J4481" s="10">
        <v>-14.56</v>
      </c>
      <c r="K4481" s="9" t="str">
        <f>TEXT(Sales_of_Jordan[[#This Row],[Sale_Date]],"mmm")</f>
        <v>Feb</v>
      </c>
    </row>
    <row r="4482" spans="1:11" x14ac:dyDescent="0.35">
      <c r="A4482" s="7" t="s">
        <v>4512</v>
      </c>
      <c r="B4482" s="8">
        <v>45088</v>
      </c>
      <c r="C4482" s="9" t="s">
        <v>31</v>
      </c>
      <c r="D4482" s="9" t="s">
        <v>22</v>
      </c>
      <c r="E4482" s="9" t="s">
        <v>29</v>
      </c>
      <c r="F4482" s="9">
        <v>205</v>
      </c>
      <c r="G4482" s="9">
        <v>298.64999999999998</v>
      </c>
      <c r="H4482" s="9" t="s">
        <v>23</v>
      </c>
      <c r="I4482" s="9">
        <v>32</v>
      </c>
      <c r="J4482" s="10">
        <v>93.649999999999906</v>
      </c>
      <c r="K4482" s="9" t="str">
        <f>TEXT(Sales_of_Jordan[[#This Row],[Sale_Date]],"mmm")</f>
        <v>Jun</v>
      </c>
    </row>
    <row r="4483" spans="1:11" x14ac:dyDescent="0.35">
      <c r="A4483" s="7" t="s">
        <v>4513</v>
      </c>
      <c r="B4483" s="8">
        <v>44933</v>
      </c>
      <c r="C4483" s="9" t="s">
        <v>11</v>
      </c>
      <c r="D4483" s="9" t="s">
        <v>39</v>
      </c>
      <c r="E4483" s="9" t="s">
        <v>13</v>
      </c>
      <c r="F4483" s="9">
        <v>229</v>
      </c>
      <c r="G4483" s="9">
        <v>199.02</v>
      </c>
      <c r="H4483" s="9" t="s">
        <v>19</v>
      </c>
      <c r="I4483" s="9">
        <v>14</v>
      </c>
      <c r="J4483" s="10">
        <v>-29.979999999999901</v>
      </c>
      <c r="K4483" s="9" t="str">
        <f>TEXT(Sales_of_Jordan[[#This Row],[Sale_Date]],"mmm")</f>
        <v>Jan</v>
      </c>
    </row>
    <row r="4484" spans="1:11" x14ac:dyDescent="0.35">
      <c r="A4484" s="7" t="s">
        <v>4514</v>
      </c>
      <c r="B4484" s="8">
        <v>45113</v>
      </c>
      <c r="C4484" s="9" t="s">
        <v>27</v>
      </c>
      <c r="D4484" s="9" t="s">
        <v>39</v>
      </c>
      <c r="E4484" s="9" t="s">
        <v>13</v>
      </c>
      <c r="F4484" s="9">
        <v>122</v>
      </c>
      <c r="G4484" s="9">
        <v>91.89</v>
      </c>
      <c r="H4484" s="9" t="s">
        <v>23</v>
      </c>
      <c r="I4484" s="9">
        <v>49</v>
      </c>
      <c r="J4484" s="10">
        <v>-30.11</v>
      </c>
      <c r="K4484" s="9" t="str">
        <f>TEXT(Sales_of_Jordan[[#This Row],[Sale_Date]],"mmm")</f>
        <v>Jul</v>
      </c>
    </row>
    <row r="4485" spans="1:11" x14ac:dyDescent="0.35">
      <c r="A4485" s="7" t="s">
        <v>4515</v>
      </c>
      <c r="B4485" s="8">
        <v>45857</v>
      </c>
      <c r="C4485" s="9" t="s">
        <v>11</v>
      </c>
      <c r="D4485" s="9" t="s">
        <v>53</v>
      </c>
      <c r="E4485" s="9" t="s">
        <v>18</v>
      </c>
      <c r="F4485" s="9">
        <v>227</v>
      </c>
      <c r="G4485" s="9">
        <v>711.95</v>
      </c>
      <c r="H4485" s="9" t="s">
        <v>23</v>
      </c>
      <c r="I4485" s="9">
        <v>28</v>
      </c>
      <c r="J4485" s="10">
        <v>484.95</v>
      </c>
      <c r="K4485" s="9" t="str">
        <f>TEXT(Sales_of_Jordan[[#This Row],[Sale_Date]],"mmm")</f>
        <v>Jul</v>
      </c>
    </row>
    <row r="4486" spans="1:11" x14ac:dyDescent="0.35">
      <c r="A4486" s="7" t="s">
        <v>4516</v>
      </c>
      <c r="B4486" s="8">
        <v>45894</v>
      </c>
      <c r="C4486" s="9" t="s">
        <v>16</v>
      </c>
      <c r="D4486" s="9" t="s">
        <v>34</v>
      </c>
      <c r="E4486" s="9" t="s">
        <v>13</v>
      </c>
      <c r="F4486" s="9">
        <v>181</v>
      </c>
      <c r="G4486" s="9">
        <v>97.08</v>
      </c>
      <c r="H4486" s="9" t="s">
        <v>14</v>
      </c>
      <c r="I4486" s="9">
        <v>4</v>
      </c>
      <c r="J4486" s="10">
        <v>-83.92</v>
      </c>
      <c r="K4486" s="9" t="str">
        <f>TEXT(Sales_of_Jordan[[#This Row],[Sale_Date]],"mmm")</f>
        <v>Aug</v>
      </c>
    </row>
    <row r="4487" spans="1:11" x14ac:dyDescent="0.35">
      <c r="A4487" s="7" t="s">
        <v>4517</v>
      </c>
      <c r="B4487" s="8">
        <v>45710</v>
      </c>
      <c r="C4487" s="9" t="s">
        <v>31</v>
      </c>
      <c r="D4487" s="9" t="s">
        <v>36</v>
      </c>
      <c r="E4487" s="9" t="s">
        <v>18</v>
      </c>
      <c r="F4487" s="9">
        <v>208</v>
      </c>
      <c r="G4487" s="9">
        <v>644.95000000000005</v>
      </c>
      <c r="H4487" s="9" t="s">
        <v>14</v>
      </c>
      <c r="I4487" s="9">
        <v>13</v>
      </c>
      <c r="J4487" s="10">
        <v>436.95</v>
      </c>
      <c r="K4487" s="9" t="str">
        <f>TEXT(Sales_of_Jordan[[#This Row],[Sale_Date]],"mmm")</f>
        <v>Feb</v>
      </c>
    </row>
    <row r="4488" spans="1:11" x14ac:dyDescent="0.35">
      <c r="A4488" s="7" t="s">
        <v>4518</v>
      </c>
      <c r="B4488" s="8">
        <v>45222</v>
      </c>
      <c r="C4488" s="9" t="s">
        <v>31</v>
      </c>
      <c r="D4488" s="9" t="s">
        <v>55</v>
      </c>
      <c r="E4488" s="9" t="s">
        <v>29</v>
      </c>
      <c r="F4488" s="9">
        <v>203</v>
      </c>
      <c r="G4488" s="9">
        <v>242.55</v>
      </c>
      <c r="H4488" s="9" t="s">
        <v>25</v>
      </c>
      <c r="I4488" s="9">
        <v>49</v>
      </c>
      <c r="J4488" s="10">
        <v>39.549999999999997</v>
      </c>
      <c r="K4488" s="9" t="str">
        <f>TEXT(Sales_of_Jordan[[#This Row],[Sale_Date]],"mmm")</f>
        <v>Oct</v>
      </c>
    </row>
    <row r="4489" spans="1:11" x14ac:dyDescent="0.35">
      <c r="A4489" s="7" t="s">
        <v>4519</v>
      </c>
      <c r="B4489" s="8">
        <v>45496</v>
      </c>
      <c r="C4489" s="9" t="s">
        <v>16</v>
      </c>
      <c r="D4489" s="9" t="s">
        <v>46</v>
      </c>
      <c r="E4489" s="9" t="s">
        <v>13</v>
      </c>
      <c r="F4489" s="9">
        <v>174</v>
      </c>
      <c r="G4489" s="9">
        <v>128.1</v>
      </c>
      <c r="H4489" s="9" t="s">
        <v>14</v>
      </c>
      <c r="I4489" s="9">
        <v>7</v>
      </c>
      <c r="J4489" s="10">
        <v>-45.9</v>
      </c>
      <c r="K4489" s="9" t="str">
        <f>TEXT(Sales_of_Jordan[[#This Row],[Sale_Date]],"mmm")</f>
        <v>Jul</v>
      </c>
    </row>
    <row r="4490" spans="1:11" x14ac:dyDescent="0.35">
      <c r="A4490" s="7" t="s">
        <v>4520</v>
      </c>
      <c r="B4490" s="8">
        <v>45844</v>
      </c>
      <c r="C4490" s="9" t="s">
        <v>31</v>
      </c>
      <c r="D4490" s="9" t="s">
        <v>55</v>
      </c>
      <c r="E4490" s="9" t="s">
        <v>18</v>
      </c>
      <c r="F4490" s="9">
        <v>204</v>
      </c>
      <c r="G4490" s="9">
        <v>271.8</v>
      </c>
      <c r="H4490" s="9" t="s">
        <v>14</v>
      </c>
      <c r="I4490" s="9">
        <v>11</v>
      </c>
      <c r="J4490" s="10">
        <v>67.8</v>
      </c>
      <c r="K4490" s="9" t="str">
        <f>TEXT(Sales_of_Jordan[[#This Row],[Sale_Date]],"mmm")</f>
        <v>Jul</v>
      </c>
    </row>
    <row r="4491" spans="1:11" x14ac:dyDescent="0.35">
      <c r="A4491" s="7" t="s">
        <v>4521</v>
      </c>
      <c r="B4491" s="8">
        <v>45259</v>
      </c>
      <c r="C4491" s="9" t="s">
        <v>27</v>
      </c>
      <c r="D4491" s="9" t="s">
        <v>17</v>
      </c>
      <c r="E4491" s="9" t="s">
        <v>13</v>
      </c>
      <c r="F4491" s="9">
        <v>116</v>
      </c>
      <c r="G4491" s="9">
        <v>74.400000000000006</v>
      </c>
      <c r="H4491" s="9" t="s">
        <v>14</v>
      </c>
      <c r="I4491" s="9">
        <v>7</v>
      </c>
      <c r="J4491" s="10">
        <v>-41.599999999999902</v>
      </c>
      <c r="K4491" s="9" t="str">
        <f>TEXT(Sales_of_Jordan[[#This Row],[Sale_Date]],"mmm")</f>
        <v>Nov</v>
      </c>
    </row>
    <row r="4492" spans="1:11" x14ac:dyDescent="0.35">
      <c r="A4492" s="7" t="s">
        <v>4522</v>
      </c>
      <c r="B4492" s="8">
        <v>44957</v>
      </c>
      <c r="C4492" s="9" t="s">
        <v>27</v>
      </c>
      <c r="D4492" s="9" t="s">
        <v>34</v>
      </c>
      <c r="E4492" s="9" t="s">
        <v>13</v>
      </c>
      <c r="F4492" s="9">
        <v>123</v>
      </c>
      <c r="G4492" s="9">
        <v>89.46</v>
      </c>
      <c r="H4492" s="9" t="s">
        <v>23</v>
      </c>
      <c r="I4492" s="9">
        <v>30</v>
      </c>
      <c r="J4492" s="10">
        <v>-33.54</v>
      </c>
      <c r="K4492" s="9" t="str">
        <f>TEXT(Sales_of_Jordan[[#This Row],[Sale_Date]],"mmm")</f>
        <v>Jan</v>
      </c>
    </row>
    <row r="4493" spans="1:11" x14ac:dyDescent="0.35">
      <c r="A4493" s="7" t="s">
        <v>4523</v>
      </c>
      <c r="B4493" s="8">
        <v>45691</v>
      </c>
      <c r="C4493" s="9" t="s">
        <v>27</v>
      </c>
      <c r="D4493" s="9" t="s">
        <v>17</v>
      </c>
      <c r="E4493" s="9" t="s">
        <v>29</v>
      </c>
      <c r="F4493" s="9">
        <v>119</v>
      </c>
      <c r="G4493" s="9">
        <v>108.38</v>
      </c>
      <c r="H4493" s="9" t="s">
        <v>32</v>
      </c>
      <c r="I4493" s="9">
        <v>27</v>
      </c>
      <c r="J4493" s="10">
        <v>-10.62</v>
      </c>
      <c r="K4493" s="9" t="str">
        <f>TEXT(Sales_of_Jordan[[#This Row],[Sale_Date]],"mmm")</f>
        <v>Feb</v>
      </c>
    </row>
    <row r="4494" spans="1:11" x14ac:dyDescent="0.35">
      <c r="A4494" s="7" t="s">
        <v>4524</v>
      </c>
      <c r="B4494" s="8">
        <v>45538</v>
      </c>
      <c r="C4494" s="9" t="s">
        <v>11</v>
      </c>
      <c r="D4494" s="9" t="s">
        <v>34</v>
      </c>
      <c r="E4494" s="9" t="s">
        <v>13</v>
      </c>
      <c r="F4494" s="9">
        <v>226</v>
      </c>
      <c r="G4494" s="9">
        <v>153.06</v>
      </c>
      <c r="H4494" s="9" t="s">
        <v>19</v>
      </c>
      <c r="I4494" s="9">
        <v>4</v>
      </c>
      <c r="J4494" s="10">
        <v>-72.94</v>
      </c>
      <c r="K4494" s="9" t="str">
        <f>TEXT(Sales_of_Jordan[[#This Row],[Sale_Date]],"mmm")</f>
        <v>Sep</v>
      </c>
    </row>
    <row r="4495" spans="1:11" x14ac:dyDescent="0.35">
      <c r="A4495" s="7" t="s">
        <v>4525</v>
      </c>
      <c r="B4495" s="8">
        <v>45364</v>
      </c>
      <c r="C4495" s="9" t="s">
        <v>16</v>
      </c>
      <c r="D4495" s="9" t="s">
        <v>17</v>
      </c>
      <c r="E4495" s="9" t="s">
        <v>18</v>
      </c>
      <c r="F4495" s="9">
        <v>181</v>
      </c>
      <c r="G4495" s="9">
        <v>294.05</v>
      </c>
      <c r="H4495" s="9" t="s">
        <v>25</v>
      </c>
      <c r="I4495" s="9">
        <v>8</v>
      </c>
      <c r="J4495" s="10">
        <v>113.05</v>
      </c>
      <c r="K4495" s="9" t="str">
        <f>TEXT(Sales_of_Jordan[[#This Row],[Sale_Date]],"mmm")</f>
        <v>Mar</v>
      </c>
    </row>
    <row r="4496" spans="1:11" x14ac:dyDescent="0.35">
      <c r="A4496" s="7" t="s">
        <v>4526</v>
      </c>
      <c r="B4496" s="8">
        <v>45620</v>
      </c>
      <c r="C4496" s="9" t="s">
        <v>31</v>
      </c>
      <c r="D4496" s="9" t="s">
        <v>36</v>
      </c>
      <c r="E4496" s="9" t="s">
        <v>13</v>
      </c>
      <c r="F4496" s="9">
        <v>202</v>
      </c>
      <c r="G4496" s="9">
        <v>102.05</v>
      </c>
      <c r="H4496" s="9" t="s">
        <v>14</v>
      </c>
      <c r="I4496" s="9">
        <v>7</v>
      </c>
      <c r="J4496" s="10">
        <v>-99.95</v>
      </c>
      <c r="K4496" s="9" t="str">
        <f>TEXT(Sales_of_Jordan[[#This Row],[Sale_Date]],"mmm")</f>
        <v>Nov</v>
      </c>
    </row>
    <row r="4497" spans="1:11" x14ac:dyDescent="0.35">
      <c r="A4497" s="7" t="s">
        <v>4527</v>
      </c>
      <c r="B4497" s="8">
        <v>45894</v>
      </c>
      <c r="C4497" s="9" t="s">
        <v>11</v>
      </c>
      <c r="D4497" s="9" t="s">
        <v>55</v>
      </c>
      <c r="E4497" s="9" t="s">
        <v>13</v>
      </c>
      <c r="F4497" s="9">
        <v>228</v>
      </c>
      <c r="G4497" s="9">
        <v>133.63</v>
      </c>
      <c r="H4497" s="9" t="s">
        <v>25</v>
      </c>
      <c r="I4497" s="9">
        <v>20</v>
      </c>
      <c r="J4497" s="10">
        <v>-94.37</v>
      </c>
      <c r="K4497" s="9" t="str">
        <f>TEXT(Sales_of_Jordan[[#This Row],[Sale_Date]],"mmm")</f>
        <v>Aug</v>
      </c>
    </row>
    <row r="4498" spans="1:11" x14ac:dyDescent="0.35">
      <c r="A4498" s="7" t="s">
        <v>4528</v>
      </c>
      <c r="B4498" s="8">
        <v>45651</v>
      </c>
      <c r="C4498" s="9" t="s">
        <v>11</v>
      </c>
      <c r="D4498" s="9" t="s">
        <v>39</v>
      </c>
      <c r="E4498" s="9" t="s">
        <v>29</v>
      </c>
      <c r="F4498" s="9">
        <v>230</v>
      </c>
      <c r="G4498" s="9">
        <v>294.60000000000002</v>
      </c>
      <c r="H4498" s="9" t="s">
        <v>19</v>
      </c>
      <c r="I4498" s="9">
        <v>7</v>
      </c>
      <c r="J4498" s="10">
        <v>64.599999999999994</v>
      </c>
      <c r="K4498" s="9" t="str">
        <f>TEXT(Sales_of_Jordan[[#This Row],[Sale_Date]],"mmm")</f>
        <v>Dec</v>
      </c>
    </row>
    <row r="4499" spans="1:11" x14ac:dyDescent="0.35">
      <c r="A4499" s="7" t="s">
        <v>4529</v>
      </c>
      <c r="B4499" s="8">
        <v>45069</v>
      </c>
      <c r="C4499" s="9" t="s">
        <v>11</v>
      </c>
      <c r="D4499" s="9" t="s">
        <v>55</v>
      </c>
      <c r="E4499" s="9" t="s">
        <v>13</v>
      </c>
      <c r="F4499" s="9">
        <v>230</v>
      </c>
      <c r="G4499" s="9">
        <v>157.69999999999999</v>
      </c>
      <c r="H4499" s="9" t="s">
        <v>25</v>
      </c>
      <c r="I4499" s="9">
        <v>21</v>
      </c>
      <c r="J4499" s="10">
        <v>-72.3</v>
      </c>
      <c r="K4499" s="9" t="str">
        <f>TEXT(Sales_of_Jordan[[#This Row],[Sale_Date]],"mmm")</f>
        <v>May</v>
      </c>
    </row>
    <row r="4500" spans="1:11" x14ac:dyDescent="0.35">
      <c r="A4500" s="7" t="s">
        <v>4530</v>
      </c>
      <c r="B4500" s="8">
        <v>45033</v>
      </c>
      <c r="C4500" s="9" t="s">
        <v>27</v>
      </c>
      <c r="D4500" s="9" t="s">
        <v>17</v>
      </c>
      <c r="E4500" s="9" t="s">
        <v>13</v>
      </c>
      <c r="F4500" s="9">
        <v>128</v>
      </c>
      <c r="G4500" s="9">
        <v>111.52</v>
      </c>
      <c r="H4500" s="9" t="s">
        <v>23</v>
      </c>
      <c r="I4500" s="9">
        <v>9</v>
      </c>
      <c r="J4500" s="10">
        <v>-16.48</v>
      </c>
      <c r="K4500" s="9" t="str">
        <f>TEXT(Sales_of_Jordan[[#This Row],[Sale_Date]],"mmm")</f>
        <v>Apr</v>
      </c>
    </row>
    <row r="4501" spans="1:11" x14ac:dyDescent="0.35">
      <c r="A4501" s="7" t="s">
        <v>4531</v>
      </c>
      <c r="B4501" s="8">
        <v>45047</v>
      </c>
      <c r="C4501" s="9" t="s">
        <v>31</v>
      </c>
      <c r="D4501" s="9" t="s">
        <v>53</v>
      </c>
      <c r="E4501" s="9" t="s">
        <v>13</v>
      </c>
      <c r="F4501" s="9">
        <v>208</v>
      </c>
      <c r="G4501" s="9">
        <v>140.69999999999999</v>
      </c>
      <c r="H4501" s="9" t="s">
        <v>23</v>
      </c>
      <c r="I4501" s="9">
        <v>32</v>
      </c>
      <c r="J4501" s="10">
        <v>-67.3</v>
      </c>
      <c r="K4501" s="9" t="str">
        <f>TEXT(Sales_of_Jordan[[#This Row],[Sale_Date]],"mmm")</f>
        <v>May</v>
      </c>
    </row>
    <row r="4502" spans="1:11" x14ac:dyDescent="0.35">
      <c r="A4502" s="7" t="s">
        <v>4532</v>
      </c>
      <c r="B4502" s="8">
        <v>45555</v>
      </c>
      <c r="C4502" s="9" t="s">
        <v>21</v>
      </c>
      <c r="D4502" s="9" t="s">
        <v>34</v>
      </c>
      <c r="E4502" s="9" t="s">
        <v>29</v>
      </c>
      <c r="F4502" s="9">
        <v>215</v>
      </c>
      <c r="G4502" s="9">
        <v>233.95</v>
      </c>
      <c r="H4502" s="9" t="s">
        <v>25</v>
      </c>
      <c r="I4502" s="9">
        <v>39</v>
      </c>
      <c r="J4502" s="10">
        <v>18.9499999999999</v>
      </c>
      <c r="K4502" s="9" t="str">
        <f>TEXT(Sales_of_Jordan[[#This Row],[Sale_Date]],"mmm")</f>
        <v>Sep</v>
      </c>
    </row>
    <row r="4503" spans="1:11" x14ac:dyDescent="0.35">
      <c r="A4503" s="7" t="s">
        <v>4533</v>
      </c>
      <c r="B4503" s="8">
        <v>45673</v>
      </c>
      <c r="C4503" s="9" t="s">
        <v>11</v>
      </c>
      <c r="D4503" s="9" t="s">
        <v>12</v>
      </c>
      <c r="E4503" s="9" t="s">
        <v>18</v>
      </c>
      <c r="F4503" s="9">
        <v>229</v>
      </c>
      <c r="G4503" s="9">
        <v>463.23</v>
      </c>
      <c r="H4503" s="9" t="s">
        <v>14</v>
      </c>
      <c r="I4503" s="9">
        <v>2</v>
      </c>
      <c r="J4503" s="10">
        <v>234.23</v>
      </c>
      <c r="K4503" s="9" t="str">
        <f>TEXT(Sales_of_Jordan[[#This Row],[Sale_Date]],"mmm")</f>
        <v>Jan</v>
      </c>
    </row>
    <row r="4504" spans="1:11" x14ac:dyDescent="0.35">
      <c r="A4504" s="7" t="s">
        <v>4534</v>
      </c>
      <c r="B4504" s="8">
        <v>45626</v>
      </c>
      <c r="C4504" s="9" t="s">
        <v>16</v>
      </c>
      <c r="D4504" s="9" t="s">
        <v>53</v>
      </c>
      <c r="E4504" s="9" t="s">
        <v>18</v>
      </c>
      <c r="F4504" s="9">
        <v>183</v>
      </c>
      <c r="G4504" s="9">
        <v>593.26</v>
      </c>
      <c r="H4504" s="9" t="s">
        <v>14</v>
      </c>
      <c r="I4504" s="9">
        <v>4</v>
      </c>
      <c r="J4504" s="10">
        <v>410.26</v>
      </c>
      <c r="K4504" s="9" t="str">
        <f>TEXT(Sales_of_Jordan[[#This Row],[Sale_Date]],"mmm")</f>
        <v>Nov</v>
      </c>
    </row>
    <row r="4505" spans="1:11" x14ac:dyDescent="0.35">
      <c r="A4505" s="7" t="s">
        <v>4535</v>
      </c>
      <c r="B4505" s="8">
        <v>45131</v>
      </c>
      <c r="C4505" s="9" t="s">
        <v>11</v>
      </c>
      <c r="D4505" s="9" t="s">
        <v>55</v>
      </c>
      <c r="E4505" s="9" t="s">
        <v>13</v>
      </c>
      <c r="F4505" s="9">
        <v>225</v>
      </c>
      <c r="G4505" s="9">
        <v>150</v>
      </c>
      <c r="H4505" s="9" t="s">
        <v>23</v>
      </c>
      <c r="I4505" s="9">
        <v>36</v>
      </c>
      <c r="J4505" s="10">
        <v>-75</v>
      </c>
      <c r="K4505" s="9" t="str">
        <f>TEXT(Sales_of_Jordan[[#This Row],[Sale_Date]],"mmm")</f>
        <v>Jul</v>
      </c>
    </row>
    <row r="4506" spans="1:11" x14ac:dyDescent="0.35">
      <c r="A4506" s="7" t="s">
        <v>4536</v>
      </c>
      <c r="B4506" s="8">
        <v>45236</v>
      </c>
      <c r="C4506" s="9" t="s">
        <v>21</v>
      </c>
      <c r="D4506" s="9" t="s">
        <v>39</v>
      </c>
      <c r="E4506" s="9" t="s">
        <v>13</v>
      </c>
      <c r="F4506" s="9">
        <v>223</v>
      </c>
      <c r="G4506" s="9">
        <v>189.48</v>
      </c>
      <c r="H4506" s="9" t="s">
        <v>25</v>
      </c>
      <c r="I4506" s="9">
        <v>14</v>
      </c>
      <c r="J4506" s="10">
        <v>-33.520000000000003</v>
      </c>
      <c r="K4506" s="9" t="str">
        <f>TEXT(Sales_of_Jordan[[#This Row],[Sale_Date]],"mmm")</f>
        <v>Nov</v>
      </c>
    </row>
    <row r="4507" spans="1:11" x14ac:dyDescent="0.35">
      <c r="A4507" s="7" t="s">
        <v>4537</v>
      </c>
      <c r="B4507" s="8">
        <v>45600</v>
      </c>
      <c r="C4507" s="9" t="s">
        <v>27</v>
      </c>
      <c r="D4507" s="9" t="s">
        <v>22</v>
      </c>
      <c r="E4507" s="9" t="s">
        <v>29</v>
      </c>
      <c r="F4507" s="9">
        <v>114</v>
      </c>
      <c r="G4507" s="9">
        <v>148.94</v>
      </c>
      <c r="H4507" s="9" t="s">
        <v>32</v>
      </c>
      <c r="I4507" s="9">
        <v>36</v>
      </c>
      <c r="J4507" s="10">
        <v>34.94</v>
      </c>
      <c r="K4507" s="9" t="str">
        <f>TEXT(Sales_of_Jordan[[#This Row],[Sale_Date]],"mmm")</f>
        <v>Nov</v>
      </c>
    </row>
    <row r="4508" spans="1:11" x14ac:dyDescent="0.35">
      <c r="A4508" s="7" t="s">
        <v>4538</v>
      </c>
      <c r="B4508" s="8">
        <v>45589</v>
      </c>
      <c r="C4508" s="9" t="s">
        <v>31</v>
      </c>
      <c r="D4508" s="9" t="s">
        <v>46</v>
      </c>
      <c r="E4508" s="9" t="s">
        <v>29</v>
      </c>
      <c r="F4508" s="9">
        <v>205</v>
      </c>
      <c r="G4508" s="9">
        <v>239.66</v>
      </c>
      <c r="H4508" s="9" t="s">
        <v>25</v>
      </c>
      <c r="I4508" s="9">
        <v>23</v>
      </c>
      <c r="J4508" s="10">
        <v>34.659999999999997</v>
      </c>
      <c r="K4508" s="9" t="str">
        <f>TEXT(Sales_of_Jordan[[#This Row],[Sale_Date]],"mmm")</f>
        <v>Oct</v>
      </c>
    </row>
    <row r="4509" spans="1:11" x14ac:dyDescent="0.35">
      <c r="A4509" s="7" t="s">
        <v>4539</v>
      </c>
      <c r="B4509" s="8">
        <v>45202</v>
      </c>
      <c r="C4509" s="9" t="s">
        <v>16</v>
      </c>
      <c r="D4509" s="9" t="s">
        <v>17</v>
      </c>
      <c r="E4509" s="9" t="s">
        <v>13</v>
      </c>
      <c r="F4509" s="9">
        <v>185</v>
      </c>
      <c r="G4509" s="9">
        <v>120.91</v>
      </c>
      <c r="H4509" s="9" t="s">
        <v>23</v>
      </c>
      <c r="I4509" s="9">
        <v>41</v>
      </c>
      <c r="J4509" s="10">
        <v>-64.09</v>
      </c>
      <c r="K4509" s="9" t="str">
        <f>TEXT(Sales_of_Jordan[[#This Row],[Sale_Date]],"mmm")</f>
        <v>Oct</v>
      </c>
    </row>
    <row r="4510" spans="1:11" x14ac:dyDescent="0.35">
      <c r="A4510" s="7" t="s">
        <v>4540</v>
      </c>
      <c r="B4510" s="8">
        <v>45309</v>
      </c>
      <c r="C4510" s="9" t="s">
        <v>21</v>
      </c>
      <c r="D4510" s="9" t="s">
        <v>36</v>
      </c>
      <c r="E4510" s="9" t="s">
        <v>29</v>
      </c>
      <c r="F4510" s="9">
        <v>218</v>
      </c>
      <c r="G4510" s="9">
        <v>198.1</v>
      </c>
      <c r="H4510" s="9" t="s">
        <v>19</v>
      </c>
      <c r="I4510" s="9">
        <v>2</v>
      </c>
      <c r="J4510" s="10">
        <v>-19.899999999999999</v>
      </c>
      <c r="K4510" s="9" t="str">
        <f>TEXT(Sales_of_Jordan[[#This Row],[Sale_Date]],"mmm")</f>
        <v>Jan</v>
      </c>
    </row>
    <row r="4511" spans="1:11" x14ac:dyDescent="0.35">
      <c r="A4511" s="7" t="s">
        <v>4541</v>
      </c>
      <c r="B4511" s="8">
        <v>45636</v>
      </c>
      <c r="C4511" s="9" t="s">
        <v>31</v>
      </c>
      <c r="D4511" s="9" t="s">
        <v>39</v>
      </c>
      <c r="E4511" s="9" t="s">
        <v>29</v>
      </c>
      <c r="F4511" s="9">
        <v>203</v>
      </c>
      <c r="G4511" s="9">
        <v>187.33</v>
      </c>
      <c r="H4511" s="9" t="s">
        <v>19</v>
      </c>
      <c r="I4511" s="9">
        <v>6</v>
      </c>
      <c r="J4511" s="10">
        <v>-15.6699999999999</v>
      </c>
      <c r="K4511" s="9" t="str">
        <f>TEXT(Sales_of_Jordan[[#This Row],[Sale_Date]],"mmm")</f>
        <v>Dec</v>
      </c>
    </row>
    <row r="4512" spans="1:11" x14ac:dyDescent="0.35">
      <c r="A4512" s="7" t="s">
        <v>4542</v>
      </c>
      <c r="B4512" s="8">
        <v>45217</v>
      </c>
      <c r="C4512" s="9" t="s">
        <v>27</v>
      </c>
      <c r="D4512" s="9" t="s">
        <v>53</v>
      </c>
      <c r="E4512" s="9" t="s">
        <v>13</v>
      </c>
      <c r="F4512" s="9">
        <v>132</v>
      </c>
      <c r="G4512" s="9">
        <v>112.56</v>
      </c>
      <c r="H4512" s="9" t="s">
        <v>19</v>
      </c>
      <c r="I4512" s="9">
        <v>6</v>
      </c>
      <c r="J4512" s="10">
        <v>-19.439999999999898</v>
      </c>
      <c r="K4512" s="9" t="str">
        <f>TEXT(Sales_of_Jordan[[#This Row],[Sale_Date]],"mmm")</f>
        <v>Oct</v>
      </c>
    </row>
    <row r="4513" spans="1:11" x14ac:dyDescent="0.35">
      <c r="A4513" s="7" t="s">
        <v>4543</v>
      </c>
      <c r="B4513" s="8">
        <v>45322</v>
      </c>
      <c r="C4513" s="9" t="s">
        <v>31</v>
      </c>
      <c r="D4513" s="9" t="s">
        <v>34</v>
      </c>
      <c r="E4513" s="9" t="s">
        <v>13</v>
      </c>
      <c r="F4513" s="9">
        <v>207</v>
      </c>
      <c r="G4513" s="9">
        <v>110.59</v>
      </c>
      <c r="H4513" s="9" t="s">
        <v>19</v>
      </c>
      <c r="I4513" s="9">
        <v>10</v>
      </c>
      <c r="J4513" s="10">
        <v>-96.41</v>
      </c>
      <c r="K4513" s="9" t="str">
        <f>TEXT(Sales_of_Jordan[[#This Row],[Sale_Date]],"mmm")</f>
        <v>Jan</v>
      </c>
    </row>
    <row r="4514" spans="1:11" x14ac:dyDescent="0.35">
      <c r="A4514" s="7" t="s">
        <v>4544</v>
      </c>
      <c r="B4514" s="8">
        <v>45761</v>
      </c>
      <c r="C4514" s="9" t="s">
        <v>16</v>
      </c>
      <c r="D4514" s="9" t="s">
        <v>53</v>
      </c>
      <c r="E4514" s="9" t="s">
        <v>13</v>
      </c>
      <c r="F4514" s="9">
        <v>189</v>
      </c>
      <c r="G4514" s="9">
        <v>162.07</v>
      </c>
      <c r="H4514" s="9" t="s">
        <v>14</v>
      </c>
      <c r="I4514" s="9">
        <v>4</v>
      </c>
      <c r="J4514" s="10">
        <v>-26.93</v>
      </c>
      <c r="K4514" s="9" t="str">
        <f>TEXT(Sales_of_Jordan[[#This Row],[Sale_Date]],"mmm")</f>
        <v>Apr</v>
      </c>
    </row>
    <row r="4515" spans="1:11" x14ac:dyDescent="0.35">
      <c r="A4515" s="7" t="s">
        <v>4545</v>
      </c>
      <c r="B4515" s="8">
        <v>44974</v>
      </c>
      <c r="C4515" s="9" t="s">
        <v>31</v>
      </c>
      <c r="D4515" s="9" t="s">
        <v>22</v>
      </c>
      <c r="E4515" s="9" t="s">
        <v>18</v>
      </c>
      <c r="F4515" s="9">
        <v>205</v>
      </c>
      <c r="G4515" s="9">
        <v>620.07000000000005</v>
      </c>
      <c r="H4515" s="9" t="s">
        <v>14</v>
      </c>
      <c r="I4515" s="9">
        <v>2</v>
      </c>
      <c r="J4515" s="10">
        <v>415.07</v>
      </c>
      <c r="K4515" s="9" t="str">
        <f>TEXT(Sales_of_Jordan[[#This Row],[Sale_Date]],"mmm")</f>
        <v>Feb</v>
      </c>
    </row>
    <row r="4516" spans="1:11" x14ac:dyDescent="0.35">
      <c r="A4516" s="7" t="s">
        <v>4546</v>
      </c>
      <c r="B4516" s="8">
        <v>45557</v>
      </c>
      <c r="C4516" s="9" t="s">
        <v>31</v>
      </c>
      <c r="D4516" s="9" t="s">
        <v>53</v>
      </c>
      <c r="E4516" s="9" t="s">
        <v>29</v>
      </c>
      <c r="F4516" s="9">
        <v>208</v>
      </c>
      <c r="G4516" s="9">
        <v>205.68</v>
      </c>
      <c r="H4516" s="9" t="s">
        <v>23</v>
      </c>
      <c r="I4516" s="9">
        <v>48</v>
      </c>
      <c r="J4516" s="10">
        <v>-2.3199999999999901</v>
      </c>
      <c r="K4516" s="9" t="str">
        <f>TEXT(Sales_of_Jordan[[#This Row],[Sale_Date]],"mmm")</f>
        <v>Sep</v>
      </c>
    </row>
    <row r="4517" spans="1:11" x14ac:dyDescent="0.35">
      <c r="A4517" s="7" t="s">
        <v>4547</v>
      </c>
      <c r="B4517" s="8">
        <v>45435</v>
      </c>
      <c r="C4517" s="9" t="s">
        <v>11</v>
      </c>
      <c r="D4517" s="9" t="s">
        <v>17</v>
      </c>
      <c r="E4517" s="9" t="s">
        <v>29</v>
      </c>
      <c r="F4517" s="9">
        <v>225</v>
      </c>
      <c r="G4517" s="9">
        <v>296.47000000000003</v>
      </c>
      <c r="H4517" s="9" t="s">
        <v>23</v>
      </c>
      <c r="I4517" s="9">
        <v>10</v>
      </c>
      <c r="J4517" s="10">
        <v>71.47</v>
      </c>
      <c r="K4517" s="9" t="str">
        <f>TEXT(Sales_of_Jordan[[#This Row],[Sale_Date]],"mmm")</f>
        <v>May</v>
      </c>
    </row>
    <row r="4518" spans="1:11" x14ac:dyDescent="0.35">
      <c r="A4518" s="7" t="s">
        <v>4548</v>
      </c>
      <c r="B4518" s="8">
        <v>45325</v>
      </c>
      <c r="C4518" s="9" t="s">
        <v>16</v>
      </c>
      <c r="D4518" s="9" t="s">
        <v>12</v>
      </c>
      <c r="E4518" s="9" t="s">
        <v>18</v>
      </c>
      <c r="F4518" s="9">
        <v>183</v>
      </c>
      <c r="G4518" s="9">
        <v>385.07</v>
      </c>
      <c r="H4518" s="9" t="s">
        <v>32</v>
      </c>
      <c r="I4518" s="9">
        <v>21</v>
      </c>
      <c r="J4518" s="10">
        <v>202.07</v>
      </c>
      <c r="K4518" s="9" t="str">
        <f>TEXT(Sales_of_Jordan[[#This Row],[Sale_Date]],"mmm")</f>
        <v>Feb</v>
      </c>
    </row>
    <row r="4519" spans="1:11" x14ac:dyDescent="0.35">
      <c r="A4519" s="7" t="s">
        <v>4549</v>
      </c>
      <c r="B4519" s="8">
        <v>45050</v>
      </c>
      <c r="C4519" s="9" t="s">
        <v>21</v>
      </c>
      <c r="D4519" s="9" t="s">
        <v>12</v>
      </c>
      <c r="E4519" s="9" t="s">
        <v>13</v>
      </c>
      <c r="F4519" s="9">
        <v>224</v>
      </c>
      <c r="G4519" s="9">
        <v>148.32</v>
      </c>
      <c r="H4519" s="9" t="s">
        <v>14</v>
      </c>
      <c r="I4519" s="9">
        <v>7</v>
      </c>
      <c r="J4519" s="10">
        <v>-75.680000000000007</v>
      </c>
      <c r="K4519" s="9" t="str">
        <f>TEXT(Sales_of_Jordan[[#This Row],[Sale_Date]],"mmm")</f>
        <v>May</v>
      </c>
    </row>
    <row r="4520" spans="1:11" x14ac:dyDescent="0.35">
      <c r="A4520" s="7" t="s">
        <v>4550</v>
      </c>
      <c r="B4520" s="8">
        <v>45614</v>
      </c>
      <c r="C4520" s="9" t="s">
        <v>11</v>
      </c>
      <c r="D4520" s="9" t="s">
        <v>12</v>
      </c>
      <c r="E4520" s="9" t="s">
        <v>29</v>
      </c>
      <c r="F4520" s="9">
        <v>229</v>
      </c>
      <c r="G4520" s="9">
        <v>326.73</v>
      </c>
      <c r="H4520" s="9" t="s">
        <v>25</v>
      </c>
      <c r="I4520" s="9">
        <v>23</v>
      </c>
      <c r="J4520" s="10">
        <v>97.73</v>
      </c>
      <c r="K4520" s="9" t="str">
        <f>TEXT(Sales_of_Jordan[[#This Row],[Sale_Date]],"mmm")</f>
        <v>Nov</v>
      </c>
    </row>
    <row r="4521" spans="1:11" x14ac:dyDescent="0.35">
      <c r="A4521" s="7" t="s">
        <v>4551</v>
      </c>
      <c r="B4521" s="8">
        <v>45800</v>
      </c>
      <c r="C4521" s="9" t="s">
        <v>31</v>
      </c>
      <c r="D4521" s="9" t="s">
        <v>36</v>
      </c>
      <c r="E4521" s="9" t="s">
        <v>18</v>
      </c>
      <c r="F4521" s="9">
        <v>202</v>
      </c>
      <c r="G4521" s="9">
        <v>512.46</v>
      </c>
      <c r="H4521" s="9" t="s">
        <v>23</v>
      </c>
      <c r="I4521" s="9">
        <v>50</v>
      </c>
      <c r="J4521" s="10">
        <v>310.45999999999998</v>
      </c>
      <c r="K4521" s="9" t="str">
        <f>TEXT(Sales_of_Jordan[[#This Row],[Sale_Date]],"mmm")</f>
        <v>May</v>
      </c>
    </row>
    <row r="4522" spans="1:11" x14ac:dyDescent="0.35">
      <c r="A4522" s="7" t="s">
        <v>4552</v>
      </c>
      <c r="B4522" s="8">
        <v>45112</v>
      </c>
      <c r="C4522" s="9" t="s">
        <v>27</v>
      </c>
      <c r="D4522" s="9" t="s">
        <v>53</v>
      </c>
      <c r="E4522" s="9" t="s">
        <v>18</v>
      </c>
      <c r="F4522" s="9">
        <v>116</v>
      </c>
      <c r="G4522" s="9">
        <v>317.41000000000003</v>
      </c>
      <c r="H4522" s="9" t="s">
        <v>14</v>
      </c>
      <c r="I4522" s="9">
        <v>6</v>
      </c>
      <c r="J4522" s="10">
        <v>201.41</v>
      </c>
      <c r="K4522" s="9" t="str">
        <f>TEXT(Sales_of_Jordan[[#This Row],[Sale_Date]],"mmm")</f>
        <v>Jul</v>
      </c>
    </row>
    <row r="4523" spans="1:11" x14ac:dyDescent="0.35">
      <c r="A4523" s="7" t="s">
        <v>4553</v>
      </c>
      <c r="B4523" s="8">
        <v>44978</v>
      </c>
      <c r="C4523" s="9" t="s">
        <v>11</v>
      </c>
      <c r="D4523" s="9" t="s">
        <v>22</v>
      </c>
      <c r="E4523" s="9" t="s">
        <v>29</v>
      </c>
      <c r="F4523" s="9">
        <v>228</v>
      </c>
      <c r="G4523" s="9">
        <v>215.2</v>
      </c>
      <c r="H4523" s="9" t="s">
        <v>23</v>
      </c>
      <c r="I4523" s="9">
        <v>23</v>
      </c>
      <c r="J4523" s="10">
        <v>-12.8</v>
      </c>
      <c r="K4523" s="9" t="str">
        <f>TEXT(Sales_of_Jordan[[#This Row],[Sale_Date]],"mmm")</f>
        <v>Feb</v>
      </c>
    </row>
    <row r="4524" spans="1:11" x14ac:dyDescent="0.35">
      <c r="A4524" s="7" t="s">
        <v>4554</v>
      </c>
      <c r="B4524" s="8">
        <v>45005</v>
      </c>
      <c r="C4524" s="9" t="s">
        <v>11</v>
      </c>
      <c r="D4524" s="9" t="s">
        <v>46</v>
      </c>
      <c r="E4524" s="9" t="s">
        <v>18</v>
      </c>
      <c r="F4524" s="9">
        <v>225</v>
      </c>
      <c r="G4524" s="9">
        <v>409.42</v>
      </c>
      <c r="H4524" s="9" t="s">
        <v>32</v>
      </c>
      <c r="I4524" s="9">
        <v>12</v>
      </c>
      <c r="J4524" s="10">
        <v>184.42</v>
      </c>
      <c r="K4524" s="9" t="str">
        <f>TEXT(Sales_of_Jordan[[#This Row],[Sale_Date]],"mmm")</f>
        <v>Mar</v>
      </c>
    </row>
    <row r="4525" spans="1:11" x14ac:dyDescent="0.35">
      <c r="A4525" s="7" t="s">
        <v>4555</v>
      </c>
      <c r="B4525" s="8">
        <v>45750</v>
      </c>
      <c r="C4525" s="9" t="s">
        <v>21</v>
      </c>
      <c r="D4525" s="9" t="s">
        <v>39</v>
      </c>
      <c r="E4525" s="9" t="s">
        <v>13</v>
      </c>
      <c r="F4525" s="9">
        <v>213</v>
      </c>
      <c r="G4525" s="9">
        <v>117.57</v>
      </c>
      <c r="H4525" s="9" t="s">
        <v>32</v>
      </c>
      <c r="I4525" s="9">
        <v>9</v>
      </c>
      <c r="J4525" s="10">
        <v>-95.43</v>
      </c>
      <c r="K4525" s="9" t="str">
        <f>TEXT(Sales_of_Jordan[[#This Row],[Sale_Date]],"mmm")</f>
        <v>Apr</v>
      </c>
    </row>
    <row r="4526" spans="1:11" x14ac:dyDescent="0.35">
      <c r="A4526" s="7" t="s">
        <v>4556</v>
      </c>
      <c r="B4526" s="8">
        <v>45542</v>
      </c>
      <c r="C4526" s="9" t="s">
        <v>21</v>
      </c>
      <c r="D4526" s="9" t="s">
        <v>34</v>
      </c>
      <c r="E4526" s="9" t="s">
        <v>18</v>
      </c>
      <c r="F4526" s="9">
        <v>220</v>
      </c>
      <c r="G4526" s="9">
        <v>437.6</v>
      </c>
      <c r="H4526" s="9" t="s">
        <v>25</v>
      </c>
      <c r="I4526" s="9">
        <v>32</v>
      </c>
      <c r="J4526" s="10">
        <v>217.6</v>
      </c>
      <c r="K4526" s="9" t="str">
        <f>TEXT(Sales_of_Jordan[[#This Row],[Sale_Date]],"mmm")</f>
        <v>Sep</v>
      </c>
    </row>
    <row r="4527" spans="1:11" x14ac:dyDescent="0.35">
      <c r="A4527" s="7" t="s">
        <v>4557</v>
      </c>
      <c r="B4527" s="8">
        <v>45411</v>
      </c>
      <c r="C4527" s="9" t="s">
        <v>27</v>
      </c>
      <c r="D4527" s="9" t="s">
        <v>17</v>
      </c>
      <c r="E4527" s="9" t="s">
        <v>13</v>
      </c>
      <c r="F4527" s="9">
        <v>127</v>
      </c>
      <c r="G4527" s="9">
        <v>77.27</v>
      </c>
      <c r="H4527" s="9" t="s">
        <v>14</v>
      </c>
      <c r="I4527" s="9">
        <v>6</v>
      </c>
      <c r="J4527" s="10">
        <v>-49.73</v>
      </c>
      <c r="K4527" s="9" t="str">
        <f>TEXT(Sales_of_Jordan[[#This Row],[Sale_Date]],"mmm")</f>
        <v>Apr</v>
      </c>
    </row>
    <row r="4528" spans="1:11" x14ac:dyDescent="0.35">
      <c r="A4528" s="7" t="s">
        <v>4558</v>
      </c>
      <c r="B4528" s="8">
        <v>45049</v>
      </c>
      <c r="C4528" s="9" t="s">
        <v>16</v>
      </c>
      <c r="D4528" s="9" t="s">
        <v>55</v>
      </c>
      <c r="E4528" s="9" t="s">
        <v>13</v>
      </c>
      <c r="F4528" s="9">
        <v>173</v>
      </c>
      <c r="G4528" s="9">
        <v>89.71</v>
      </c>
      <c r="H4528" s="9" t="s">
        <v>25</v>
      </c>
      <c r="I4528" s="9">
        <v>49</v>
      </c>
      <c r="J4528" s="10">
        <v>-83.29</v>
      </c>
      <c r="K4528" s="9" t="str">
        <f>TEXT(Sales_of_Jordan[[#This Row],[Sale_Date]],"mmm")</f>
        <v>May</v>
      </c>
    </row>
    <row r="4529" spans="1:11" x14ac:dyDescent="0.35">
      <c r="A4529" s="7" t="s">
        <v>4559</v>
      </c>
      <c r="B4529" s="8">
        <v>45471</v>
      </c>
      <c r="C4529" s="9" t="s">
        <v>11</v>
      </c>
      <c r="D4529" s="9" t="s">
        <v>53</v>
      </c>
      <c r="E4529" s="9" t="s">
        <v>29</v>
      </c>
      <c r="F4529" s="9">
        <v>225</v>
      </c>
      <c r="G4529" s="9">
        <v>320.74</v>
      </c>
      <c r="H4529" s="9" t="s">
        <v>23</v>
      </c>
      <c r="I4529" s="9">
        <v>17</v>
      </c>
      <c r="J4529" s="10">
        <v>95.74</v>
      </c>
      <c r="K4529" s="9" t="str">
        <f>TEXT(Sales_of_Jordan[[#This Row],[Sale_Date]],"mmm")</f>
        <v>Jun</v>
      </c>
    </row>
    <row r="4530" spans="1:11" x14ac:dyDescent="0.35">
      <c r="A4530" s="7" t="s">
        <v>4560</v>
      </c>
      <c r="B4530" s="8">
        <v>45844</v>
      </c>
      <c r="C4530" s="9" t="s">
        <v>27</v>
      </c>
      <c r="D4530" s="9" t="s">
        <v>34</v>
      </c>
      <c r="E4530" s="9" t="s">
        <v>13</v>
      </c>
      <c r="F4530" s="9">
        <v>122</v>
      </c>
      <c r="G4530" s="9">
        <v>75.099999999999994</v>
      </c>
      <c r="H4530" s="9" t="s">
        <v>14</v>
      </c>
      <c r="I4530" s="9">
        <v>3</v>
      </c>
      <c r="J4530" s="10">
        <v>-46.9</v>
      </c>
      <c r="K4530" s="9" t="str">
        <f>TEXT(Sales_of_Jordan[[#This Row],[Sale_Date]],"mmm")</f>
        <v>Jul</v>
      </c>
    </row>
    <row r="4531" spans="1:11" x14ac:dyDescent="0.35">
      <c r="A4531" s="7" t="s">
        <v>4561</v>
      </c>
      <c r="B4531" s="8">
        <v>45338</v>
      </c>
      <c r="C4531" s="9" t="s">
        <v>16</v>
      </c>
      <c r="D4531" s="9" t="s">
        <v>22</v>
      </c>
      <c r="E4531" s="9" t="s">
        <v>18</v>
      </c>
      <c r="F4531" s="9">
        <v>176</v>
      </c>
      <c r="G4531" s="9">
        <v>388.65</v>
      </c>
      <c r="H4531" s="9" t="s">
        <v>23</v>
      </c>
      <c r="I4531" s="9">
        <v>6</v>
      </c>
      <c r="J4531" s="10">
        <v>212.64999999999901</v>
      </c>
      <c r="K4531" s="9" t="str">
        <f>TEXT(Sales_of_Jordan[[#This Row],[Sale_Date]],"mmm")</f>
        <v>Feb</v>
      </c>
    </row>
    <row r="4532" spans="1:11" x14ac:dyDescent="0.35">
      <c r="A4532" s="7" t="s">
        <v>4562</v>
      </c>
      <c r="B4532" s="8">
        <v>45862</v>
      </c>
      <c r="C4532" s="9" t="s">
        <v>16</v>
      </c>
      <c r="D4532" s="9" t="s">
        <v>12</v>
      </c>
      <c r="E4532" s="9" t="s">
        <v>13</v>
      </c>
      <c r="F4532" s="9">
        <v>180</v>
      </c>
      <c r="G4532" s="9">
        <v>140.08000000000001</v>
      </c>
      <c r="H4532" s="9" t="s">
        <v>19</v>
      </c>
      <c r="I4532" s="9">
        <v>11</v>
      </c>
      <c r="J4532" s="10">
        <v>-39.919999999999902</v>
      </c>
      <c r="K4532" s="9" t="str">
        <f>TEXT(Sales_of_Jordan[[#This Row],[Sale_Date]],"mmm")</f>
        <v>Jul</v>
      </c>
    </row>
    <row r="4533" spans="1:11" x14ac:dyDescent="0.35">
      <c r="A4533" s="7" t="s">
        <v>4563</v>
      </c>
      <c r="B4533" s="8">
        <v>45545</v>
      </c>
      <c r="C4533" s="9" t="s">
        <v>27</v>
      </c>
      <c r="D4533" s="9" t="s">
        <v>36</v>
      </c>
      <c r="E4533" s="9" t="s">
        <v>29</v>
      </c>
      <c r="F4533" s="9">
        <v>132</v>
      </c>
      <c r="G4533" s="9">
        <v>146.6</v>
      </c>
      <c r="H4533" s="9" t="s">
        <v>25</v>
      </c>
      <c r="I4533" s="9">
        <v>16</v>
      </c>
      <c r="J4533" s="10">
        <v>14.5999999999999</v>
      </c>
      <c r="K4533" s="9" t="str">
        <f>TEXT(Sales_of_Jordan[[#This Row],[Sale_Date]],"mmm")</f>
        <v>Sep</v>
      </c>
    </row>
    <row r="4534" spans="1:11" x14ac:dyDescent="0.35">
      <c r="A4534" s="7" t="s">
        <v>4564</v>
      </c>
      <c r="B4534" s="8">
        <v>45128</v>
      </c>
      <c r="C4534" s="9" t="s">
        <v>27</v>
      </c>
      <c r="D4534" s="9" t="s">
        <v>46</v>
      </c>
      <c r="E4534" s="9" t="s">
        <v>13</v>
      </c>
      <c r="F4534" s="9">
        <v>138</v>
      </c>
      <c r="G4534" s="9">
        <v>98.61</v>
      </c>
      <c r="H4534" s="9" t="s">
        <v>23</v>
      </c>
      <c r="I4534" s="9">
        <v>38</v>
      </c>
      <c r="J4534" s="10">
        <v>-39.39</v>
      </c>
      <c r="K4534" s="9" t="str">
        <f>TEXT(Sales_of_Jordan[[#This Row],[Sale_Date]],"mmm")</f>
        <v>Jul</v>
      </c>
    </row>
    <row r="4535" spans="1:11" x14ac:dyDescent="0.35">
      <c r="A4535" s="7" t="s">
        <v>4565</v>
      </c>
      <c r="B4535" s="8">
        <v>45238</v>
      </c>
      <c r="C4535" s="9" t="s">
        <v>31</v>
      </c>
      <c r="D4535" s="9" t="s">
        <v>46</v>
      </c>
      <c r="E4535" s="9" t="s">
        <v>29</v>
      </c>
      <c r="F4535" s="9">
        <v>207</v>
      </c>
      <c r="G4535" s="9">
        <v>257.45</v>
      </c>
      <c r="H4535" s="9" t="s">
        <v>14</v>
      </c>
      <c r="I4535" s="9">
        <v>3</v>
      </c>
      <c r="J4535" s="10">
        <v>50.449999999999903</v>
      </c>
      <c r="K4535" s="9" t="str">
        <f>TEXT(Sales_of_Jordan[[#This Row],[Sale_Date]],"mmm")</f>
        <v>Nov</v>
      </c>
    </row>
    <row r="4536" spans="1:11" x14ac:dyDescent="0.35">
      <c r="A4536" s="7" t="s">
        <v>4566</v>
      </c>
      <c r="B4536" s="8">
        <v>45868</v>
      </c>
      <c r="C4536" s="9" t="s">
        <v>11</v>
      </c>
      <c r="D4536" s="9" t="s">
        <v>17</v>
      </c>
      <c r="E4536" s="9" t="s">
        <v>29</v>
      </c>
      <c r="F4536" s="9">
        <v>229</v>
      </c>
      <c r="G4536" s="9">
        <v>238.94</v>
      </c>
      <c r="H4536" s="9" t="s">
        <v>32</v>
      </c>
      <c r="I4536" s="9">
        <v>52</v>
      </c>
      <c r="J4536" s="10">
        <v>9.9399999999999906</v>
      </c>
      <c r="K4536" s="9" t="str">
        <f>TEXT(Sales_of_Jordan[[#This Row],[Sale_Date]],"mmm")</f>
        <v>Jul</v>
      </c>
    </row>
    <row r="4537" spans="1:11" x14ac:dyDescent="0.35">
      <c r="A4537" s="7" t="s">
        <v>4567</v>
      </c>
      <c r="B4537" s="8">
        <v>45500</v>
      </c>
      <c r="C4537" s="9" t="s">
        <v>11</v>
      </c>
      <c r="D4537" s="9" t="s">
        <v>12</v>
      </c>
      <c r="E4537" s="9" t="s">
        <v>13</v>
      </c>
      <c r="F4537" s="9">
        <v>225</v>
      </c>
      <c r="G4537" s="9">
        <v>133.11000000000001</v>
      </c>
      <c r="H4537" s="9" t="s">
        <v>14</v>
      </c>
      <c r="I4537" s="9">
        <v>11</v>
      </c>
      <c r="J4537" s="10">
        <v>-91.889999999999901</v>
      </c>
      <c r="K4537" s="9" t="str">
        <f>TEXT(Sales_of_Jordan[[#This Row],[Sale_Date]],"mmm")</f>
        <v>Jul</v>
      </c>
    </row>
    <row r="4538" spans="1:11" x14ac:dyDescent="0.35">
      <c r="A4538" s="7" t="s">
        <v>4568</v>
      </c>
      <c r="B4538" s="8">
        <v>45343</v>
      </c>
      <c r="C4538" s="9" t="s">
        <v>11</v>
      </c>
      <c r="D4538" s="9" t="s">
        <v>17</v>
      </c>
      <c r="E4538" s="9" t="s">
        <v>18</v>
      </c>
      <c r="F4538" s="9">
        <v>225</v>
      </c>
      <c r="G4538" s="9">
        <v>449.75</v>
      </c>
      <c r="H4538" s="9" t="s">
        <v>25</v>
      </c>
      <c r="I4538" s="9">
        <v>32</v>
      </c>
      <c r="J4538" s="10">
        <v>224.75</v>
      </c>
      <c r="K4538" s="9" t="str">
        <f>TEXT(Sales_of_Jordan[[#This Row],[Sale_Date]],"mmm")</f>
        <v>Feb</v>
      </c>
    </row>
    <row r="4539" spans="1:11" x14ac:dyDescent="0.35">
      <c r="A4539" s="7" t="s">
        <v>4569</v>
      </c>
      <c r="B4539" s="8">
        <v>45489</v>
      </c>
      <c r="C4539" s="9" t="s">
        <v>16</v>
      </c>
      <c r="D4539" s="9" t="s">
        <v>39</v>
      </c>
      <c r="E4539" s="9" t="s">
        <v>18</v>
      </c>
      <c r="F4539" s="9">
        <v>184</v>
      </c>
      <c r="G4539" s="9">
        <v>384.04</v>
      </c>
      <c r="H4539" s="9" t="s">
        <v>14</v>
      </c>
      <c r="I4539" s="9">
        <v>5</v>
      </c>
      <c r="J4539" s="10">
        <v>200.04</v>
      </c>
      <c r="K4539" s="9" t="str">
        <f>TEXT(Sales_of_Jordan[[#This Row],[Sale_Date]],"mmm")</f>
        <v>Jul</v>
      </c>
    </row>
    <row r="4540" spans="1:11" x14ac:dyDescent="0.35">
      <c r="A4540" s="7" t="s">
        <v>4570</v>
      </c>
      <c r="B4540" s="8">
        <v>45130</v>
      </c>
      <c r="C4540" s="9" t="s">
        <v>27</v>
      </c>
      <c r="D4540" s="9" t="s">
        <v>36</v>
      </c>
      <c r="E4540" s="9" t="s">
        <v>18</v>
      </c>
      <c r="F4540" s="9">
        <v>129</v>
      </c>
      <c r="G4540" s="9">
        <v>312.22000000000003</v>
      </c>
      <c r="H4540" s="9" t="s">
        <v>14</v>
      </c>
      <c r="I4540" s="9">
        <v>5</v>
      </c>
      <c r="J4540" s="10">
        <v>183.22</v>
      </c>
      <c r="K4540" s="9" t="str">
        <f>TEXT(Sales_of_Jordan[[#This Row],[Sale_Date]],"mmm")</f>
        <v>Jul</v>
      </c>
    </row>
    <row r="4541" spans="1:11" x14ac:dyDescent="0.35">
      <c r="A4541" s="7" t="s">
        <v>4571</v>
      </c>
      <c r="B4541" s="8">
        <v>45441</v>
      </c>
      <c r="C4541" s="9" t="s">
        <v>31</v>
      </c>
      <c r="D4541" s="9" t="s">
        <v>12</v>
      </c>
      <c r="E4541" s="9" t="s">
        <v>29</v>
      </c>
      <c r="F4541" s="9">
        <v>205</v>
      </c>
      <c r="G4541" s="9">
        <v>271.95999999999998</v>
      </c>
      <c r="H4541" s="9" t="s">
        <v>32</v>
      </c>
      <c r="I4541" s="9">
        <v>58</v>
      </c>
      <c r="J4541" s="10">
        <v>66.959999999999894</v>
      </c>
      <c r="K4541" s="9" t="str">
        <f>TEXT(Sales_of_Jordan[[#This Row],[Sale_Date]],"mmm")</f>
        <v>May</v>
      </c>
    </row>
    <row r="4542" spans="1:11" x14ac:dyDescent="0.35">
      <c r="A4542" s="7" t="s">
        <v>4572</v>
      </c>
      <c r="B4542" s="8">
        <v>45637</v>
      </c>
      <c r="C4542" s="9" t="s">
        <v>16</v>
      </c>
      <c r="D4542" s="9" t="s">
        <v>55</v>
      </c>
      <c r="E4542" s="9" t="s">
        <v>18</v>
      </c>
      <c r="F4542" s="9">
        <v>181</v>
      </c>
      <c r="G4542" s="9">
        <v>598.01</v>
      </c>
      <c r="H4542" s="9" t="s">
        <v>32</v>
      </c>
      <c r="I4542" s="9">
        <v>14</v>
      </c>
      <c r="J4542" s="10">
        <v>417.01</v>
      </c>
      <c r="K4542" s="9" t="str">
        <f>TEXT(Sales_of_Jordan[[#This Row],[Sale_Date]],"mmm")</f>
        <v>Dec</v>
      </c>
    </row>
    <row r="4543" spans="1:11" x14ac:dyDescent="0.35">
      <c r="A4543" s="7" t="s">
        <v>4573</v>
      </c>
      <c r="B4543" s="8">
        <v>45452</v>
      </c>
      <c r="C4543" s="9" t="s">
        <v>16</v>
      </c>
      <c r="D4543" s="9" t="s">
        <v>55</v>
      </c>
      <c r="E4543" s="9" t="s">
        <v>29</v>
      </c>
      <c r="F4543" s="9">
        <v>179</v>
      </c>
      <c r="G4543" s="9">
        <v>195.36</v>
      </c>
      <c r="H4543" s="9" t="s">
        <v>14</v>
      </c>
      <c r="I4543" s="9">
        <v>2</v>
      </c>
      <c r="J4543" s="10">
        <v>16.36</v>
      </c>
      <c r="K4543" s="9" t="str">
        <f>TEXT(Sales_of_Jordan[[#This Row],[Sale_Date]],"mmm")</f>
        <v>Jun</v>
      </c>
    </row>
    <row r="4544" spans="1:11" x14ac:dyDescent="0.35">
      <c r="A4544" s="7" t="s">
        <v>4574</v>
      </c>
      <c r="B4544" s="8">
        <v>45087</v>
      </c>
      <c r="C4544" s="9" t="s">
        <v>31</v>
      </c>
      <c r="D4544" s="9" t="s">
        <v>17</v>
      </c>
      <c r="E4544" s="9" t="s">
        <v>29</v>
      </c>
      <c r="F4544" s="9">
        <v>201</v>
      </c>
      <c r="G4544" s="9">
        <v>201.57</v>
      </c>
      <c r="H4544" s="9" t="s">
        <v>14</v>
      </c>
      <c r="I4544" s="9">
        <v>6</v>
      </c>
      <c r="J4544" s="10">
        <v>0.56999999999999296</v>
      </c>
      <c r="K4544" s="9" t="str">
        <f>TEXT(Sales_of_Jordan[[#This Row],[Sale_Date]],"mmm")</f>
        <v>Jun</v>
      </c>
    </row>
    <row r="4545" spans="1:11" x14ac:dyDescent="0.35">
      <c r="A4545" s="7" t="s">
        <v>4575</v>
      </c>
      <c r="B4545" s="8">
        <v>44960</v>
      </c>
      <c r="C4545" s="9" t="s">
        <v>31</v>
      </c>
      <c r="D4545" s="9" t="s">
        <v>34</v>
      </c>
      <c r="E4545" s="9" t="s">
        <v>13</v>
      </c>
      <c r="F4545" s="9">
        <v>205</v>
      </c>
      <c r="G4545" s="9">
        <v>166.45</v>
      </c>
      <c r="H4545" s="9" t="s">
        <v>23</v>
      </c>
      <c r="I4545" s="9">
        <v>16</v>
      </c>
      <c r="J4545" s="10">
        <v>-38.549999999999997</v>
      </c>
      <c r="K4545" s="9" t="str">
        <f>TEXT(Sales_of_Jordan[[#This Row],[Sale_Date]],"mmm")</f>
        <v>Feb</v>
      </c>
    </row>
    <row r="4546" spans="1:11" x14ac:dyDescent="0.35">
      <c r="A4546" s="7" t="s">
        <v>4576</v>
      </c>
      <c r="B4546" s="8">
        <v>45010</v>
      </c>
      <c r="C4546" s="9" t="s">
        <v>31</v>
      </c>
      <c r="D4546" s="9" t="s">
        <v>22</v>
      </c>
      <c r="E4546" s="9" t="s">
        <v>29</v>
      </c>
      <c r="F4546" s="9">
        <v>203</v>
      </c>
      <c r="G4546" s="9">
        <v>208.38</v>
      </c>
      <c r="H4546" s="9" t="s">
        <v>19</v>
      </c>
      <c r="I4546" s="9">
        <v>7</v>
      </c>
      <c r="J4546" s="10">
        <v>5.3799999999999901</v>
      </c>
      <c r="K4546" s="9" t="str">
        <f>TEXT(Sales_of_Jordan[[#This Row],[Sale_Date]],"mmm")</f>
        <v>Mar</v>
      </c>
    </row>
    <row r="4547" spans="1:11" x14ac:dyDescent="0.35">
      <c r="A4547" s="7" t="s">
        <v>4577</v>
      </c>
      <c r="B4547" s="8">
        <v>45211</v>
      </c>
      <c r="C4547" s="9" t="s">
        <v>21</v>
      </c>
      <c r="D4547" s="9" t="s">
        <v>34</v>
      </c>
      <c r="E4547" s="9" t="s">
        <v>18</v>
      </c>
      <c r="F4547" s="9">
        <v>222</v>
      </c>
      <c r="G4547" s="9">
        <v>599.91999999999996</v>
      </c>
      <c r="H4547" s="9" t="s">
        <v>19</v>
      </c>
      <c r="I4547" s="9">
        <v>3</v>
      </c>
      <c r="J4547" s="10">
        <v>377.91999999999899</v>
      </c>
      <c r="K4547" s="9" t="str">
        <f>TEXT(Sales_of_Jordan[[#This Row],[Sale_Date]],"mmm")</f>
        <v>Oct</v>
      </c>
    </row>
    <row r="4548" spans="1:11" x14ac:dyDescent="0.35">
      <c r="A4548" s="7" t="s">
        <v>4578</v>
      </c>
      <c r="B4548" s="8">
        <v>45191</v>
      </c>
      <c r="C4548" s="9" t="s">
        <v>31</v>
      </c>
      <c r="D4548" s="9" t="s">
        <v>53</v>
      </c>
      <c r="E4548" s="9" t="s">
        <v>13</v>
      </c>
      <c r="F4548" s="9">
        <v>209</v>
      </c>
      <c r="G4548" s="9">
        <v>121.12</v>
      </c>
      <c r="H4548" s="9" t="s">
        <v>14</v>
      </c>
      <c r="I4548" s="9">
        <v>12</v>
      </c>
      <c r="J4548" s="10">
        <v>-87.88</v>
      </c>
      <c r="K4548" s="9" t="str">
        <f>TEXT(Sales_of_Jordan[[#This Row],[Sale_Date]],"mmm")</f>
        <v>Sep</v>
      </c>
    </row>
    <row r="4549" spans="1:11" x14ac:dyDescent="0.35">
      <c r="A4549" s="7" t="s">
        <v>4579</v>
      </c>
      <c r="B4549" s="8">
        <v>45426</v>
      </c>
      <c r="C4549" s="9" t="s">
        <v>27</v>
      </c>
      <c r="D4549" s="9" t="s">
        <v>39</v>
      </c>
      <c r="E4549" s="9" t="s">
        <v>13</v>
      </c>
      <c r="F4549" s="9">
        <v>120</v>
      </c>
      <c r="G4549" s="9">
        <v>94.36</v>
      </c>
      <c r="H4549" s="9" t="s">
        <v>19</v>
      </c>
      <c r="I4549" s="9">
        <v>1</v>
      </c>
      <c r="J4549" s="10">
        <v>-25.64</v>
      </c>
      <c r="K4549" s="9" t="str">
        <f>TEXT(Sales_of_Jordan[[#This Row],[Sale_Date]],"mmm")</f>
        <v>May</v>
      </c>
    </row>
    <row r="4550" spans="1:11" x14ac:dyDescent="0.35">
      <c r="A4550" s="7" t="s">
        <v>4580</v>
      </c>
      <c r="B4550" s="8">
        <v>45040</v>
      </c>
      <c r="C4550" s="9" t="s">
        <v>31</v>
      </c>
      <c r="D4550" s="9" t="s">
        <v>17</v>
      </c>
      <c r="E4550" s="9" t="s">
        <v>29</v>
      </c>
      <c r="F4550" s="9">
        <v>201</v>
      </c>
      <c r="G4550" s="9">
        <v>191.04</v>
      </c>
      <c r="H4550" s="9" t="s">
        <v>25</v>
      </c>
      <c r="I4550" s="9">
        <v>27</v>
      </c>
      <c r="J4550" s="10">
        <v>-9.9600000000000009</v>
      </c>
      <c r="K4550" s="9" t="str">
        <f>TEXT(Sales_of_Jordan[[#This Row],[Sale_Date]],"mmm")</f>
        <v>Apr</v>
      </c>
    </row>
    <row r="4551" spans="1:11" x14ac:dyDescent="0.35">
      <c r="A4551" s="7" t="s">
        <v>4581</v>
      </c>
      <c r="B4551" s="8">
        <v>45605</v>
      </c>
      <c r="C4551" s="9" t="s">
        <v>21</v>
      </c>
      <c r="D4551" s="9" t="s">
        <v>55</v>
      </c>
      <c r="E4551" s="9" t="s">
        <v>13</v>
      </c>
      <c r="F4551" s="9">
        <v>220</v>
      </c>
      <c r="G4551" s="9">
        <v>135.53</v>
      </c>
      <c r="H4551" s="9" t="s">
        <v>14</v>
      </c>
      <c r="I4551" s="9">
        <v>7</v>
      </c>
      <c r="J4551" s="10">
        <v>-84.47</v>
      </c>
      <c r="K4551" s="9" t="str">
        <f>TEXT(Sales_of_Jordan[[#This Row],[Sale_Date]],"mmm")</f>
        <v>Nov</v>
      </c>
    </row>
    <row r="4552" spans="1:11" x14ac:dyDescent="0.35">
      <c r="A4552" s="7" t="s">
        <v>4582</v>
      </c>
      <c r="B4552" s="8">
        <v>44951</v>
      </c>
      <c r="C4552" s="9" t="s">
        <v>11</v>
      </c>
      <c r="D4552" s="9" t="s">
        <v>36</v>
      </c>
      <c r="E4552" s="9" t="s">
        <v>29</v>
      </c>
      <c r="F4552" s="9">
        <v>226</v>
      </c>
      <c r="G4552" s="9">
        <v>215.96</v>
      </c>
      <c r="H4552" s="9" t="s">
        <v>14</v>
      </c>
      <c r="I4552" s="9">
        <v>6</v>
      </c>
      <c r="J4552" s="10">
        <v>-10.0399999999999</v>
      </c>
      <c r="K4552" s="9" t="str">
        <f>TEXT(Sales_of_Jordan[[#This Row],[Sale_Date]],"mmm")</f>
        <v>Jan</v>
      </c>
    </row>
    <row r="4553" spans="1:11" x14ac:dyDescent="0.35">
      <c r="A4553" s="7" t="s">
        <v>4583</v>
      </c>
      <c r="B4553" s="8">
        <v>45320</v>
      </c>
      <c r="C4553" s="9" t="s">
        <v>21</v>
      </c>
      <c r="D4553" s="9" t="s">
        <v>55</v>
      </c>
      <c r="E4553" s="9" t="s">
        <v>13</v>
      </c>
      <c r="F4553" s="9">
        <v>222</v>
      </c>
      <c r="G4553" s="9">
        <v>138.81</v>
      </c>
      <c r="H4553" s="9" t="s">
        <v>25</v>
      </c>
      <c r="I4553" s="9">
        <v>10</v>
      </c>
      <c r="J4553" s="10">
        <v>-83.19</v>
      </c>
      <c r="K4553" s="9" t="str">
        <f>TEXT(Sales_of_Jordan[[#This Row],[Sale_Date]],"mmm")</f>
        <v>Jan</v>
      </c>
    </row>
    <row r="4554" spans="1:11" x14ac:dyDescent="0.35">
      <c r="A4554" s="7" t="s">
        <v>4584</v>
      </c>
      <c r="B4554" s="8">
        <v>45819</v>
      </c>
      <c r="C4554" s="9" t="s">
        <v>11</v>
      </c>
      <c r="D4554" s="9" t="s">
        <v>53</v>
      </c>
      <c r="E4554" s="9" t="s">
        <v>29</v>
      </c>
      <c r="F4554" s="9">
        <v>226</v>
      </c>
      <c r="G4554" s="9">
        <v>242.8</v>
      </c>
      <c r="H4554" s="9" t="s">
        <v>14</v>
      </c>
      <c r="I4554" s="9">
        <v>5</v>
      </c>
      <c r="J4554" s="10">
        <v>16.8</v>
      </c>
      <c r="K4554" s="9" t="str">
        <f>TEXT(Sales_of_Jordan[[#This Row],[Sale_Date]],"mmm")</f>
        <v>Jun</v>
      </c>
    </row>
    <row r="4555" spans="1:11" x14ac:dyDescent="0.35">
      <c r="A4555" s="7" t="s">
        <v>4585</v>
      </c>
      <c r="B4555" s="8">
        <v>45229</v>
      </c>
      <c r="C4555" s="9" t="s">
        <v>21</v>
      </c>
      <c r="D4555" s="9" t="s">
        <v>36</v>
      </c>
      <c r="E4555" s="9" t="s">
        <v>13</v>
      </c>
      <c r="F4555" s="9">
        <v>215</v>
      </c>
      <c r="G4555" s="9">
        <v>145.30000000000001</v>
      </c>
      <c r="H4555" s="9" t="s">
        <v>23</v>
      </c>
      <c r="I4555" s="9">
        <v>55</v>
      </c>
      <c r="J4555" s="10">
        <v>-69.699999999999903</v>
      </c>
      <c r="K4555" s="9" t="str">
        <f>TEXT(Sales_of_Jordan[[#This Row],[Sale_Date]],"mmm")</f>
        <v>Oct</v>
      </c>
    </row>
    <row r="4556" spans="1:11" x14ac:dyDescent="0.35">
      <c r="A4556" s="7" t="s">
        <v>4586</v>
      </c>
      <c r="B4556" s="8">
        <v>45590</v>
      </c>
      <c r="C4556" s="9" t="s">
        <v>27</v>
      </c>
      <c r="D4556" s="9" t="s">
        <v>46</v>
      </c>
      <c r="E4556" s="9" t="s">
        <v>18</v>
      </c>
      <c r="F4556" s="9">
        <v>136</v>
      </c>
      <c r="G4556" s="9">
        <v>182.94</v>
      </c>
      <c r="H4556" s="9" t="s">
        <v>23</v>
      </c>
      <c r="I4556" s="9">
        <v>56</v>
      </c>
      <c r="J4556" s="10">
        <v>46.94</v>
      </c>
      <c r="K4556" s="9" t="str">
        <f>TEXT(Sales_of_Jordan[[#This Row],[Sale_Date]],"mmm")</f>
        <v>Oct</v>
      </c>
    </row>
    <row r="4557" spans="1:11" x14ac:dyDescent="0.35">
      <c r="A4557" s="7" t="s">
        <v>4587</v>
      </c>
      <c r="B4557" s="8">
        <v>45372</v>
      </c>
      <c r="C4557" s="9" t="s">
        <v>16</v>
      </c>
      <c r="D4557" s="9" t="s">
        <v>36</v>
      </c>
      <c r="E4557" s="9" t="s">
        <v>18</v>
      </c>
      <c r="F4557" s="9">
        <v>175</v>
      </c>
      <c r="G4557" s="9">
        <v>486.62</v>
      </c>
      <c r="H4557" s="9" t="s">
        <v>25</v>
      </c>
      <c r="I4557" s="9">
        <v>43</v>
      </c>
      <c r="J4557" s="10">
        <v>311.62</v>
      </c>
      <c r="K4557" s="9" t="str">
        <f>TEXT(Sales_of_Jordan[[#This Row],[Sale_Date]],"mmm")</f>
        <v>Mar</v>
      </c>
    </row>
    <row r="4558" spans="1:11" x14ac:dyDescent="0.35">
      <c r="A4558" s="7" t="s">
        <v>4588</v>
      </c>
      <c r="B4558" s="8">
        <v>45561</v>
      </c>
      <c r="C4558" s="9" t="s">
        <v>27</v>
      </c>
      <c r="D4558" s="9" t="s">
        <v>12</v>
      </c>
      <c r="E4558" s="9" t="s">
        <v>13</v>
      </c>
      <c r="F4558" s="9">
        <v>123</v>
      </c>
      <c r="G4558" s="9">
        <v>95.33</v>
      </c>
      <c r="H4558" s="9" t="s">
        <v>14</v>
      </c>
      <c r="I4558" s="9">
        <v>2</v>
      </c>
      <c r="J4558" s="10">
        <v>-27.67</v>
      </c>
      <c r="K4558" s="9" t="str">
        <f>TEXT(Sales_of_Jordan[[#This Row],[Sale_Date]],"mmm")</f>
        <v>Sep</v>
      </c>
    </row>
    <row r="4559" spans="1:11" x14ac:dyDescent="0.35">
      <c r="A4559" s="7" t="s">
        <v>4589</v>
      </c>
      <c r="B4559" s="8">
        <v>45893</v>
      </c>
      <c r="C4559" s="9" t="s">
        <v>31</v>
      </c>
      <c r="D4559" s="9" t="s">
        <v>36</v>
      </c>
      <c r="E4559" s="9" t="s">
        <v>29</v>
      </c>
      <c r="F4559" s="9">
        <v>207</v>
      </c>
      <c r="G4559" s="9">
        <v>289.08</v>
      </c>
      <c r="H4559" s="9" t="s">
        <v>19</v>
      </c>
      <c r="I4559" s="9">
        <v>5</v>
      </c>
      <c r="J4559" s="10">
        <v>82.079999999999899</v>
      </c>
      <c r="K4559" s="9" t="str">
        <f>TEXT(Sales_of_Jordan[[#This Row],[Sale_Date]],"mmm")</f>
        <v>Aug</v>
      </c>
    </row>
    <row r="4560" spans="1:11" x14ac:dyDescent="0.35">
      <c r="A4560" s="7" t="s">
        <v>4590</v>
      </c>
      <c r="B4560" s="8">
        <v>45530</v>
      </c>
      <c r="C4560" s="9" t="s">
        <v>16</v>
      </c>
      <c r="D4560" s="9" t="s">
        <v>12</v>
      </c>
      <c r="E4560" s="9" t="s">
        <v>13</v>
      </c>
      <c r="F4560" s="9">
        <v>171</v>
      </c>
      <c r="G4560" s="9">
        <v>110.82</v>
      </c>
      <c r="H4560" s="9" t="s">
        <v>14</v>
      </c>
      <c r="I4560" s="9">
        <v>11</v>
      </c>
      <c r="J4560" s="10">
        <v>-60.18</v>
      </c>
      <c r="K4560" s="9" t="str">
        <f>TEXT(Sales_of_Jordan[[#This Row],[Sale_Date]],"mmm")</f>
        <v>Aug</v>
      </c>
    </row>
    <row r="4561" spans="1:11" x14ac:dyDescent="0.35">
      <c r="A4561" s="7" t="s">
        <v>4591</v>
      </c>
      <c r="B4561" s="8">
        <v>45523</v>
      </c>
      <c r="C4561" s="9" t="s">
        <v>16</v>
      </c>
      <c r="D4561" s="9" t="s">
        <v>55</v>
      </c>
      <c r="E4561" s="9" t="s">
        <v>18</v>
      </c>
      <c r="F4561" s="9">
        <v>175</v>
      </c>
      <c r="G4561" s="9">
        <v>426.83</v>
      </c>
      <c r="H4561" s="9" t="s">
        <v>19</v>
      </c>
      <c r="I4561" s="9">
        <v>8</v>
      </c>
      <c r="J4561" s="10">
        <v>251.82999999999899</v>
      </c>
      <c r="K4561" s="9" t="str">
        <f>TEXT(Sales_of_Jordan[[#This Row],[Sale_Date]],"mmm")</f>
        <v>Aug</v>
      </c>
    </row>
    <row r="4562" spans="1:11" x14ac:dyDescent="0.35">
      <c r="A4562" s="7" t="s">
        <v>4592</v>
      </c>
      <c r="B4562" s="8">
        <v>45019</v>
      </c>
      <c r="C4562" s="9" t="s">
        <v>27</v>
      </c>
      <c r="D4562" s="9" t="s">
        <v>22</v>
      </c>
      <c r="E4562" s="9" t="s">
        <v>29</v>
      </c>
      <c r="F4562" s="9">
        <v>135</v>
      </c>
      <c r="G4562" s="9">
        <v>126.92</v>
      </c>
      <c r="H4562" s="9" t="s">
        <v>25</v>
      </c>
      <c r="I4562" s="9">
        <v>29</v>
      </c>
      <c r="J4562" s="10">
        <v>-8.0799999999999894</v>
      </c>
      <c r="K4562" s="9" t="str">
        <f>TEXT(Sales_of_Jordan[[#This Row],[Sale_Date]],"mmm")</f>
        <v>Apr</v>
      </c>
    </row>
    <row r="4563" spans="1:11" x14ac:dyDescent="0.35">
      <c r="A4563" s="7" t="s">
        <v>4593</v>
      </c>
      <c r="B4563" s="8">
        <v>45419</v>
      </c>
      <c r="C4563" s="9" t="s">
        <v>31</v>
      </c>
      <c r="D4563" s="9" t="s">
        <v>53</v>
      </c>
      <c r="E4563" s="9" t="s">
        <v>13</v>
      </c>
      <c r="F4563" s="9">
        <v>204</v>
      </c>
      <c r="G4563" s="9">
        <v>161.72</v>
      </c>
      <c r="H4563" s="9" t="s">
        <v>19</v>
      </c>
      <c r="I4563" s="9">
        <v>3</v>
      </c>
      <c r="J4563" s="10">
        <v>-42.28</v>
      </c>
      <c r="K4563" s="9" t="str">
        <f>TEXT(Sales_of_Jordan[[#This Row],[Sale_Date]],"mmm")</f>
        <v>May</v>
      </c>
    </row>
    <row r="4564" spans="1:11" x14ac:dyDescent="0.35">
      <c r="A4564" s="7" t="s">
        <v>4594</v>
      </c>
      <c r="B4564" s="8">
        <v>45554</v>
      </c>
      <c r="C4564" s="9" t="s">
        <v>27</v>
      </c>
      <c r="D4564" s="9" t="s">
        <v>12</v>
      </c>
      <c r="E4564" s="9" t="s">
        <v>13</v>
      </c>
      <c r="F4564" s="9">
        <v>132</v>
      </c>
      <c r="G4564" s="9">
        <v>88.32</v>
      </c>
      <c r="H4564" s="9" t="s">
        <v>19</v>
      </c>
      <c r="I4564" s="9">
        <v>14</v>
      </c>
      <c r="J4564" s="10">
        <v>-43.68</v>
      </c>
      <c r="K4564" s="9" t="str">
        <f>TEXT(Sales_of_Jordan[[#This Row],[Sale_Date]],"mmm")</f>
        <v>Sep</v>
      </c>
    </row>
    <row r="4565" spans="1:11" x14ac:dyDescent="0.35">
      <c r="A4565" s="7" t="s">
        <v>4595</v>
      </c>
      <c r="B4565" s="8">
        <v>45738</v>
      </c>
      <c r="C4565" s="9" t="s">
        <v>16</v>
      </c>
      <c r="D4565" s="9" t="s">
        <v>34</v>
      </c>
      <c r="E4565" s="9" t="s">
        <v>29</v>
      </c>
      <c r="F4565" s="9">
        <v>175</v>
      </c>
      <c r="G4565" s="9">
        <v>192.34</v>
      </c>
      <c r="H4565" s="9" t="s">
        <v>32</v>
      </c>
      <c r="I4565" s="9">
        <v>53</v>
      </c>
      <c r="J4565" s="10">
        <v>17.34</v>
      </c>
      <c r="K4565" s="9" t="str">
        <f>TEXT(Sales_of_Jordan[[#This Row],[Sale_Date]],"mmm")</f>
        <v>Mar</v>
      </c>
    </row>
    <row r="4566" spans="1:11" x14ac:dyDescent="0.35">
      <c r="A4566" s="7" t="s">
        <v>4596</v>
      </c>
      <c r="B4566" s="8">
        <v>45144</v>
      </c>
      <c r="C4566" s="9" t="s">
        <v>31</v>
      </c>
      <c r="D4566" s="9" t="s">
        <v>22</v>
      </c>
      <c r="E4566" s="9" t="s">
        <v>13</v>
      </c>
      <c r="F4566" s="9">
        <v>202</v>
      </c>
      <c r="G4566" s="9">
        <v>121.85</v>
      </c>
      <c r="H4566" s="9" t="s">
        <v>32</v>
      </c>
      <c r="I4566" s="9">
        <v>57</v>
      </c>
      <c r="J4566" s="10">
        <v>-80.150000000000006</v>
      </c>
      <c r="K4566" s="9" t="str">
        <f>TEXT(Sales_of_Jordan[[#This Row],[Sale_Date]],"mmm")</f>
        <v>Aug</v>
      </c>
    </row>
    <row r="4567" spans="1:11" x14ac:dyDescent="0.35">
      <c r="A4567" s="7" t="s">
        <v>4597</v>
      </c>
      <c r="B4567" s="8">
        <v>45682</v>
      </c>
      <c r="C4567" s="9" t="s">
        <v>11</v>
      </c>
      <c r="D4567" s="9" t="s">
        <v>22</v>
      </c>
      <c r="E4567" s="9" t="s">
        <v>29</v>
      </c>
      <c r="F4567" s="9">
        <v>230</v>
      </c>
      <c r="G4567" s="9">
        <v>317.3</v>
      </c>
      <c r="H4567" s="9" t="s">
        <v>14</v>
      </c>
      <c r="I4567" s="9">
        <v>11</v>
      </c>
      <c r="J4567" s="10">
        <v>87.3</v>
      </c>
      <c r="K4567" s="9" t="str">
        <f>TEXT(Sales_of_Jordan[[#This Row],[Sale_Date]],"mmm")</f>
        <v>Jan</v>
      </c>
    </row>
    <row r="4568" spans="1:11" x14ac:dyDescent="0.35">
      <c r="A4568" s="7" t="s">
        <v>4598</v>
      </c>
      <c r="B4568" s="8">
        <v>45411</v>
      </c>
      <c r="C4568" s="9" t="s">
        <v>21</v>
      </c>
      <c r="D4568" s="9" t="s">
        <v>53</v>
      </c>
      <c r="E4568" s="9" t="s">
        <v>18</v>
      </c>
      <c r="F4568" s="9">
        <v>212</v>
      </c>
      <c r="G4568" s="9">
        <v>459.06</v>
      </c>
      <c r="H4568" s="9" t="s">
        <v>14</v>
      </c>
      <c r="I4568" s="9">
        <v>8</v>
      </c>
      <c r="J4568" s="10">
        <v>247.06</v>
      </c>
      <c r="K4568" s="9" t="str">
        <f>TEXT(Sales_of_Jordan[[#This Row],[Sale_Date]],"mmm")</f>
        <v>Apr</v>
      </c>
    </row>
    <row r="4569" spans="1:11" x14ac:dyDescent="0.35">
      <c r="A4569" s="7" t="s">
        <v>4599</v>
      </c>
      <c r="B4569" s="8">
        <v>45740</v>
      </c>
      <c r="C4569" s="9" t="s">
        <v>31</v>
      </c>
      <c r="D4569" s="9" t="s">
        <v>55</v>
      </c>
      <c r="E4569" s="9" t="s">
        <v>18</v>
      </c>
      <c r="F4569" s="9">
        <v>203</v>
      </c>
      <c r="G4569" s="9">
        <v>661.91</v>
      </c>
      <c r="H4569" s="9" t="s">
        <v>25</v>
      </c>
      <c r="I4569" s="9">
        <v>32</v>
      </c>
      <c r="J4569" s="10">
        <v>458.909999999999</v>
      </c>
      <c r="K4569" s="9" t="str">
        <f>TEXT(Sales_of_Jordan[[#This Row],[Sale_Date]],"mmm")</f>
        <v>Mar</v>
      </c>
    </row>
    <row r="4570" spans="1:11" x14ac:dyDescent="0.35">
      <c r="A4570" s="7" t="s">
        <v>4600</v>
      </c>
      <c r="B4570" s="8">
        <v>45061</v>
      </c>
      <c r="C4570" s="9" t="s">
        <v>31</v>
      </c>
      <c r="D4570" s="9" t="s">
        <v>46</v>
      </c>
      <c r="E4570" s="9" t="s">
        <v>18</v>
      </c>
      <c r="F4570" s="9">
        <v>203</v>
      </c>
      <c r="G4570" s="9">
        <v>366.1</v>
      </c>
      <c r="H4570" s="9" t="s">
        <v>32</v>
      </c>
      <c r="I4570" s="9">
        <v>34</v>
      </c>
      <c r="J4570" s="10">
        <v>163.1</v>
      </c>
      <c r="K4570" s="9" t="str">
        <f>TEXT(Sales_of_Jordan[[#This Row],[Sale_Date]],"mmm")</f>
        <v>May</v>
      </c>
    </row>
    <row r="4571" spans="1:11" x14ac:dyDescent="0.35">
      <c r="A4571" s="7" t="s">
        <v>4601</v>
      </c>
      <c r="B4571" s="8">
        <v>45681</v>
      </c>
      <c r="C4571" s="9" t="s">
        <v>31</v>
      </c>
      <c r="D4571" s="9" t="s">
        <v>22</v>
      </c>
      <c r="E4571" s="9" t="s">
        <v>18</v>
      </c>
      <c r="F4571" s="9">
        <v>200</v>
      </c>
      <c r="G4571" s="9">
        <v>666.45</v>
      </c>
      <c r="H4571" s="9" t="s">
        <v>32</v>
      </c>
      <c r="I4571" s="9">
        <v>39</v>
      </c>
      <c r="J4571" s="10">
        <v>466.45</v>
      </c>
      <c r="K4571" s="9" t="str">
        <f>TEXT(Sales_of_Jordan[[#This Row],[Sale_Date]],"mmm")</f>
        <v>Jan</v>
      </c>
    </row>
    <row r="4572" spans="1:11" x14ac:dyDescent="0.35">
      <c r="A4572" s="7" t="s">
        <v>4602</v>
      </c>
      <c r="B4572" s="8">
        <v>45135</v>
      </c>
      <c r="C4572" s="9" t="s">
        <v>16</v>
      </c>
      <c r="D4572" s="9" t="s">
        <v>39</v>
      </c>
      <c r="E4572" s="9" t="s">
        <v>29</v>
      </c>
      <c r="F4572" s="9">
        <v>187</v>
      </c>
      <c r="G4572" s="9">
        <v>169.32</v>
      </c>
      <c r="H4572" s="9" t="s">
        <v>32</v>
      </c>
      <c r="I4572" s="9">
        <v>52</v>
      </c>
      <c r="J4572" s="10">
        <v>-17.68</v>
      </c>
      <c r="K4572" s="9" t="str">
        <f>TEXT(Sales_of_Jordan[[#This Row],[Sale_Date]],"mmm")</f>
        <v>Jul</v>
      </c>
    </row>
    <row r="4573" spans="1:11" x14ac:dyDescent="0.35">
      <c r="A4573" s="7" t="s">
        <v>4603</v>
      </c>
      <c r="B4573" s="8">
        <v>45164</v>
      </c>
      <c r="C4573" s="9" t="s">
        <v>27</v>
      </c>
      <c r="D4573" s="9" t="s">
        <v>55</v>
      </c>
      <c r="E4573" s="9" t="s">
        <v>29</v>
      </c>
      <c r="F4573" s="9">
        <v>121</v>
      </c>
      <c r="G4573" s="9">
        <v>132.27000000000001</v>
      </c>
      <c r="H4573" s="9" t="s">
        <v>32</v>
      </c>
      <c r="I4573" s="9">
        <v>6</v>
      </c>
      <c r="J4573" s="10">
        <v>11.27</v>
      </c>
      <c r="K4573" s="9" t="str">
        <f>TEXT(Sales_of_Jordan[[#This Row],[Sale_Date]],"mmm")</f>
        <v>Aug</v>
      </c>
    </row>
    <row r="4574" spans="1:11" x14ac:dyDescent="0.35">
      <c r="A4574" s="7" t="s">
        <v>4604</v>
      </c>
      <c r="B4574" s="8">
        <v>45483</v>
      </c>
      <c r="C4574" s="9" t="s">
        <v>16</v>
      </c>
      <c r="D4574" s="9" t="s">
        <v>39</v>
      </c>
      <c r="E4574" s="9" t="s">
        <v>18</v>
      </c>
      <c r="F4574" s="9">
        <v>180</v>
      </c>
      <c r="G4574" s="9">
        <v>282.94</v>
      </c>
      <c r="H4574" s="9" t="s">
        <v>25</v>
      </c>
      <c r="I4574" s="9">
        <v>42</v>
      </c>
      <c r="J4574" s="10">
        <v>102.94</v>
      </c>
      <c r="K4574" s="9" t="str">
        <f>TEXT(Sales_of_Jordan[[#This Row],[Sale_Date]],"mmm")</f>
        <v>Jul</v>
      </c>
    </row>
    <row r="4575" spans="1:11" x14ac:dyDescent="0.35">
      <c r="A4575" s="7" t="s">
        <v>4605</v>
      </c>
      <c r="B4575" s="8">
        <v>45183</v>
      </c>
      <c r="C4575" s="9" t="s">
        <v>21</v>
      </c>
      <c r="D4575" s="9" t="s">
        <v>34</v>
      </c>
      <c r="E4575" s="9" t="s">
        <v>13</v>
      </c>
      <c r="F4575" s="9">
        <v>215</v>
      </c>
      <c r="G4575" s="9">
        <v>184.94</v>
      </c>
      <c r="H4575" s="9" t="s">
        <v>25</v>
      </c>
      <c r="I4575" s="9">
        <v>11</v>
      </c>
      <c r="J4575" s="10">
        <v>-30.06</v>
      </c>
      <c r="K4575" s="9" t="str">
        <f>TEXT(Sales_of_Jordan[[#This Row],[Sale_Date]],"mmm")</f>
        <v>Sep</v>
      </c>
    </row>
    <row r="4576" spans="1:11" x14ac:dyDescent="0.35">
      <c r="A4576" s="7" t="s">
        <v>4606</v>
      </c>
      <c r="B4576" s="8">
        <v>45053</v>
      </c>
      <c r="C4576" s="9" t="s">
        <v>11</v>
      </c>
      <c r="D4576" s="9" t="s">
        <v>39</v>
      </c>
      <c r="E4576" s="9" t="s">
        <v>13</v>
      </c>
      <c r="F4576" s="9">
        <v>228</v>
      </c>
      <c r="G4576" s="9">
        <v>176.22</v>
      </c>
      <c r="H4576" s="9" t="s">
        <v>14</v>
      </c>
      <c r="I4576" s="9">
        <v>14</v>
      </c>
      <c r="J4576" s="10">
        <v>-51.78</v>
      </c>
      <c r="K4576" s="9" t="str">
        <f>TEXT(Sales_of_Jordan[[#This Row],[Sale_Date]],"mmm")</f>
        <v>May</v>
      </c>
    </row>
    <row r="4577" spans="1:11" x14ac:dyDescent="0.35">
      <c r="A4577" s="7" t="s">
        <v>4607</v>
      </c>
      <c r="B4577" s="8">
        <v>45279</v>
      </c>
      <c r="C4577" s="9" t="s">
        <v>16</v>
      </c>
      <c r="D4577" s="9" t="s">
        <v>46</v>
      </c>
      <c r="E4577" s="9" t="s">
        <v>18</v>
      </c>
      <c r="F4577" s="9">
        <v>190</v>
      </c>
      <c r="G4577" s="9">
        <v>557.14</v>
      </c>
      <c r="H4577" s="9" t="s">
        <v>25</v>
      </c>
      <c r="I4577" s="9">
        <v>33</v>
      </c>
      <c r="J4577" s="10">
        <v>367.14</v>
      </c>
      <c r="K4577" s="9" t="str">
        <f>TEXT(Sales_of_Jordan[[#This Row],[Sale_Date]],"mmm")</f>
        <v>Dec</v>
      </c>
    </row>
    <row r="4578" spans="1:11" x14ac:dyDescent="0.35">
      <c r="A4578" s="7" t="s">
        <v>4608</v>
      </c>
      <c r="B4578" s="8">
        <v>45172</v>
      </c>
      <c r="C4578" s="9" t="s">
        <v>21</v>
      </c>
      <c r="D4578" s="9" t="s">
        <v>22</v>
      </c>
      <c r="E4578" s="9" t="s">
        <v>13</v>
      </c>
      <c r="F4578" s="9">
        <v>219</v>
      </c>
      <c r="G4578" s="9">
        <v>150.9</v>
      </c>
      <c r="H4578" s="9" t="s">
        <v>14</v>
      </c>
      <c r="I4578" s="9">
        <v>10</v>
      </c>
      <c r="J4578" s="10">
        <v>-68.099999999999994</v>
      </c>
      <c r="K4578" s="9" t="str">
        <f>TEXT(Sales_of_Jordan[[#This Row],[Sale_Date]],"mmm")</f>
        <v>Sep</v>
      </c>
    </row>
    <row r="4579" spans="1:11" x14ac:dyDescent="0.35">
      <c r="A4579" s="7" t="s">
        <v>4609</v>
      </c>
      <c r="B4579" s="8">
        <v>45339</v>
      </c>
      <c r="C4579" s="9" t="s">
        <v>31</v>
      </c>
      <c r="D4579" s="9" t="s">
        <v>34</v>
      </c>
      <c r="E4579" s="9" t="s">
        <v>29</v>
      </c>
      <c r="F4579" s="9">
        <v>209</v>
      </c>
      <c r="G4579" s="9">
        <v>261.63</v>
      </c>
      <c r="H4579" s="9" t="s">
        <v>23</v>
      </c>
      <c r="I4579" s="9">
        <v>7</v>
      </c>
      <c r="J4579" s="10">
        <v>52.629999999999903</v>
      </c>
      <c r="K4579" s="9" t="str">
        <f>TEXT(Sales_of_Jordan[[#This Row],[Sale_Date]],"mmm")</f>
        <v>Feb</v>
      </c>
    </row>
    <row r="4580" spans="1:11" x14ac:dyDescent="0.35">
      <c r="A4580" s="7" t="s">
        <v>4610</v>
      </c>
      <c r="B4580" s="8">
        <v>45326</v>
      </c>
      <c r="C4580" s="9" t="s">
        <v>21</v>
      </c>
      <c r="D4580" s="9" t="s">
        <v>46</v>
      </c>
      <c r="E4580" s="9" t="s">
        <v>29</v>
      </c>
      <c r="F4580" s="9">
        <v>222</v>
      </c>
      <c r="G4580" s="9">
        <v>261.13</v>
      </c>
      <c r="H4580" s="9" t="s">
        <v>14</v>
      </c>
      <c r="I4580" s="9">
        <v>14</v>
      </c>
      <c r="J4580" s="10">
        <v>39.129999999999903</v>
      </c>
      <c r="K4580" s="9" t="str">
        <f>TEXT(Sales_of_Jordan[[#This Row],[Sale_Date]],"mmm")</f>
        <v>Feb</v>
      </c>
    </row>
    <row r="4581" spans="1:11" x14ac:dyDescent="0.35">
      <c r="A4581" s="7" t="s">
        <v>4611</v>
      </c>
      <c r="B4581" s="8">
        <v>45089</v>
      </c>
      <c r="C4581" s="9" t="s">
        <v>16</v>
      </c>
      <c r="D4581" s="9" t="s">
        <v>53</v>
      </c>
      <c r="E4581" s="9" t="s">
        <v>18</v>
      </c>
      <c r="F4581" s="9">
        <v>177</v>
      </c>
      <c r="G4581" s="9">
        <v>592.24</v>
      </c>
      <c r="H4581" s="9" t="s">
        <v>14</v>
      </c>
      <c r="I4581" s="9">
        <v>4</v>
      </c>
      <c r="J4581" s="10">
        <v>415.24</v>
      </c>
      <c r="K4581" s="9" t="str">
        <f>TEXT(Sales_of_Jordan[[#This Row],[Sale_Date]],"mmm")</f>
        <v>Jun</v>
      </c>
    </row>
    <row r="4582" spans="1:11" x14ac:dyDescent="0.35">
      <c r="A4582" s="7" t="s">
        <v>4612</v>
      </c>
      <c r="B4582" s="8">
        <v>45141</v>
      </c>
      <c r="C4582" s="9" t="s">
        <v>21</v>
      </c>
      <c r="D4582" s="9" t="s">
        <v>46</v>
      </c>
      <c r="E4582" s="9" t="s">
        <v>18</v>
      </c>
      <c r="F4582" s="9">
        <v>218</v>
      </c>
      <c r="G4582" s="9">
        <v>412.21</v>
      </c>
      <c r="H4582" s="9" t="s">
        <v>23</v>
      </c>
      <c r="I4582" s="9">
        <v>13</v>
      </c>
      <c r="J4582" s="10">
        <v>194.20999999999901</v>
      </c>
      <c r="K4582" s="9" t="str">
        <f>TEXT(Sales_of_Jordan[[#This Row],[Sale_Date]],"mmm")</f>
        <v>Aug</v>
      </c>
    </row>
    <row r="4583" spans="1:11" x14ac:dyDescent="0.35">
      <c r="A4583" s="7" t="s">
        <v>4613</v>
      </c>
      <c r="B4583" s="8">
        <v>45436</v>
      </c>
      <c r="C4583" s="9" t="s">
        <v>27</v>
      </c>
      <c r="D4583" s="9" t="s">
        <v>55</v>
      </c>
      <c r="E4583" s="9" t="s">
        <v>13</v>
      </c>
      <c r="F4583" s="9">
        <v>116</v>
      </c>
      <c r="G4583" s="9">
        <v>61</v>
      </c>
      <c r="H4583" s="9" t="s">
        <v>32</v>
      </c>
      <c r="I4583" s="9">
        <v>40</v>
      </c>
      <c r="J4583" s="10">
        <v>-55</v>
      </c>
      <c r="K4583" s="9" t="str">
        <f>TEXT(Sales_of_Jordan[[#This Row],[Sale_Date]],"mmm")</f>
        <v>May</v>
      </c>
    </row>
    <row r="4584" spans="1:11" x14ac:dyDescent="0.35">
      <c r="A4584" s="7" t="s">
        <v>4614</v>
      </c>
      <c r="B4584" s="8">
        <v>45494</v>
      </c>
      <c r="C4584" s="9" t="s">
        <v>16</v>
      </c>
      <c r="D4584" s="9" t="s">
        <v>36</v>
      </c>
      <c r="E4584" s="9" t="s">
        <v>18</v>
      </c>
      <c r="F4584" s="9">
        <v>170</v>
      </c>
      <c r="G4584" s="9">
        <v>537.82000000000005</v>
      </c>
      <c r="H4584" s="9" t="s">
        <v>25</v>
      </c>
      <c r="I4584" s="9">
        <v>39</v>
      </c>
      <c r="J4584" s="10">
        <v>367.82</v>
      </c>
      <c r="K4584" s="9" t="str">
        <f>TEXT(Sales_of_Jordan[[#This Row],[Sale_Date]],"mmm")</f>
        <v>Jul</v>
      </c>
    </row>
    <row r="4585" spans="1:11" x14ac:dyDescent="0.35">
      <c r="A4585" s="7" t="s">
        <v>4615</v>
      </c>
      <c r="B4585" s="8">
        <v>45295</v>
      </c>
      <c r="C4585" s="9" t="s">
        <v>27</v>
      </c>
      <c r="D4585" s="9" t="s">
        <v>22</v>
      </c>
      <c r="E4585" s="9" t="s">
        <v>13</v>
      </c>
      <c r="F4585" s="9">
        <v>112</v>
      </c>
      <c r="G4585" s="9">
        <v>84</v>
      </c>
      <c r="H4585" s="9" t="s">
        <v>19</v>
      </c>
      <c r="I4585" s="9">
        <v>9</v>
      </c>
      <c r="J4585" s="10">
        <v>-28</v>
      </c>
      <c r="K4585" s="9" t="str">
        <f>TEXT(Sales_of_Jordan[[#This Row],[Sale_Date]],"mmm")</f>
        <v>Jan</v>
      </c>
    </row>
    <row r="4586" spans="1:11" x14ac:dyDescent="0.35">
      <c r="A4586" s="7" t="s">
        <v>4616</v>
      </c>
      <c r="B4586" s="8">
        <v>44995</v>
      </c>
      <c r="C4586" s="9" t="s">
        <v>27</v>
      </c>
      <c r="D4586" s="9" t="s">
        <v>39</v>
      </c>
      <c r="E4586" s="9" t="s">
        <v>29</v>
      </c>
      <c r="F4586" s="9">
        <v>130</v>
      </c>
      <c r="G4586" s="9">
        <v>186.6</v>
      </c>
      <c r="H4586" s="9" t="s">
        <v>25</v>
      </c>
      <c r="I4586" s="9">
        <v>17</v>
      </c>
      <c r="J4586" s="10">
        <v>56.599999999999902</v>
      </c>
      <c r="K4586" s="9" t="str">
        <f>TEXT(Sales_of_Jordan[[#This Row],[Sale_Date]],"mmm")</f>
        <v>Mar</v>
      </c>
    </row>
    <row r="4587" spans="1:11" x14ac:dyDescent="0.35">
      <c r="A4587" s="7" t="s">
        <v>4617</v>
      </c>
      <c r="B4587" s="8">
        <v>45436</v>
      </c>
      <c r="C4587" s="9" t="s">
        <v>11</v>
      </c>
      <c r="D4587" s="9" t="s">
        <v>22</v>
      </c>
      <c r="E4587" s="9" t="s">
        <v>29</v>
      </c>
      <c r="F4587" s="9">
        <v>230</v>
      </c>
      <c r="G4587" s="9">
        <v>291.42</v>
      </c>
      <c r="H4587" s="9" t="s">
        <v>19</v>
      </c>
      <c r="I4587" s="9">
        <v>3</v>
      </c>
      <c r="J4587" s="10">
        <v>61.42</v>
      </c>
      <c r="K4587" s="9" t="str">
        <f>TEXT(Sales_of_Jordan[[#This Row],[Sale_Date]],"mmm")</f>
        <v>May</v>
      </c>
    </row>
    <row r="4588" spans="1:11" x14ac:dyDescent="0.35">
      <c r="A4588" s="7" t="s">
        <v>4618</v>
      </c>
      <c r="B4588" s="8">
        <v>45417</v>
      </c>
      <c r="C4588" s="9" t="s">
        <v>16</v>
      </c>
      <c r="D4588" s="9" t="s">
        <v>46</v>
      </c>
      <c r="E4588" s="9" t="s">
        <v>18</v>
      </c>
      <c r="F4588" s="9">
        <v>184</v>
      </c>
      <c r="G4588" s="9">
        <v>555.12</v>
      </c>
      <c r="H4588" s="9" t="s">
        <v>19</v>
      </c>
      <c r="I4588" s="9">
        <v>12</v>
      </c>
      <c r="J4588" s="10">
        <v>371.12</v>
      </c>
      <c r="K4588" s="9" t="str">
        <f>TEXT(Sales_of_Jordan[[#This Row],[Sale_Date]],"mmm")</f>
        <v>May</v>
      </c>
    </row>
    <row r="4589" spans="1:11" x14ac:dyDescent="0.35">
      <c r="A4589" s="7" t="s">
        <v>4619</v>
      </c>
      <c r="B4589" s="8">
        <v>45868</v>
      </c>
      <c r="C4589" s="9" t="s">
        <v>31</v>
      </c>
      <c r="D4589" s="9" t="s">
        <v>55</v>
      </c>
      <c r="E4589" s="9" t="s">
        <v>18</v>
      </c>
      <c r="F4589" s="9">
        <v>209</v>
      </c>
      <c r="G4589" s="9">
        <v>279.33</v>
      </c>
      <c r="H4589" s="9" t="s">
        <v>14</v>
      </c>
      <c r="I4589" s="9">
        <v>7</v>
      </c>
      <c r="J4589" s="10">
        <v>70.329999999999899</v>
      </c>
      <c r="K4589" s="9" t="str">
        <f>TEXT(Sales_of_Jordan[[#This Row],[Sale_Date]],"mmm")</f>
        <v>Jul</v>
      </c>
    </row>
    <row r="4590" spans="1:11" x14ac:dyDescent="0.35">
      <c r="A4590" s="7" t="s">
        <v>4620</v>
      </c>
      <c r="B4590" s="8">
        <v>45385</v>
      </c>
      <c r="C4590" s="9" t="s">
        <v>16</v>
      </c>
      <c r="D4590" s="9" t="s">
        <v>53</v>
      </c>
      <c r="E4590" s="9" t="s">
        <v>18</v>
      </c>
      <c r="F4590" s="9">
        <v>183</v>
      </c>
      <c r="G4590" s="9">
        <v>275</v>
      </c>
      <c r="H4590" s="9" t="s">
        <v>32</v>
      </c>
      <c r="I4590" s="9">
        <v>6</v>
      </c>
      <c r="J4590" s="10">
        <v>92</v>
      </c>
      <c r="K4590" s="9" t="str">
        <f>TEXT(Sales_of_Jordan[[#This Row],[Sale_Date]],"mmm")</f>
        <v>Apr</v>
      </c>
    </row>
    <row r="4591" spans="1:11" x14ac:dyDescent="0.35">
      <c r="A4591" s="7" t="s">
        <v>4621</v>
      </c>
      <c r="B4591" s="8">
        <v>45392</v>
      </c>
      <c r="C4591" s="9" t="s">
        <v>27</v>
      </c>
      <c r="D4591" s="9" t="s">
        <v>39</v>
      </c>
      <c r="E4591" s="9" t="s">
        <v>29</v>
      </c>
      <c r="F4591" s="9">
        <v>112</v>
      </c>
      <c r="G4591" s="9">
        <v>101.41</v>
      </c>
      <c r="H4591" s="9" t="s">
        <v>19</v>
      </c>
      <c r="I4591" s="9">
        <v>14</v>
      </c>
      <c r="J4591" s="10">
        <v>-10.59</v>
      </c>
      <c r="K4591" s="9" t="str">
        <f>TEXT(Sales_of_Jordan[[#This Row],[Sale_Date]],"mmm")</f>
        <v>Apr</v>
      </c>
    </row>
    <row r="4592" spans="1:11" x14ac:dyDescent="0.35">
      <c r="A4592" s="7" t="s">
        <v>4622</v>
      </c>
      <c r="B4592" s="8">
        <v>45861</v>
      </c>
      <c r="C4592" s="9" t="s">
        <v>27</v>
      </c>
      <c r="D4592" s="9" t="s">
        <v>39</v>
      </c>
      <c r="E4592" s="9" t="s">
        <v>18</v>
      </c>
      <c r="F4592" s="9">
        <v>128</v>
      </c>
      <c r="G4592" s="9">
        <v>366.66</v>
      </c>
      <c r="H4592" s="9" t="s">
        <v>32</v>
      </c>
      <c r="I4592" s="9">
        <v>11</v>
      </c>
      <c r="J4592" s="10">
        <v>238.66</v>
      </c>
      <c r="K4592" s="9" t="str">
        <f>TEXT(Sales_of_Jordan[[#This Row],[Sale_Date]],"mmm")</f>
        <v>Jul</v>
      </c>
    </row>
    <row r="4593" spans="1:11" x14ac:dyDescent="0.35">
      <c r="A4593" s="7" t="s">
        <v>4623</v>
      </c>
      <c r="B4593" s="8">
        <v>45412</v>
      </c>
      <c r="C4593" s="9" t="s">
        <v>16</v>
      </c>
      <c r="D4593" s="9" t="s">
        <v>22</v>
      </c>
      <c r="E4593" s="9" t="s">
        <v>13</v>
      </c>
      <c r="F4593" s="9">
        <v>177</v>
      </c>
      <c r="G4593" s="9">
        <v>104.46</v>
      </c>
      <c r="H4593" s="9" t="s">
        <v>25</v>
      </c>
      <c r="I4593" s="9">
        <v>41</v>
      </c>
      <c r="J4593" s="10">
        <v>-72.540000000000006</v>
      </c>
      <c r="K4593" s="9" t="str">
        <f>TEXT(Sales_of_Jordan[[#This Row],[Sale_Date]],"mmm")</f>
        <v>Apr</v>
      </c>
    </row>
    <row r="4594" spans="1:11" x14ac:dyDescent="0.35">
      <c r="A4594" s="7" t="s">
        <v>4624</v>
      </c>
      <c r="B4594" s="8">
        <v>45121</v>
      </c>
      <c r="C4594" s="9" t="s">
        <v>21</v>
      </c>
      <c r="D4594" s="9" t="s">
        <v>46</v>
      </c>
      <c r="E4594" s="9" t="s">
        <v>18</v>
      </c>
      <c r="F4594" s="9">
        <v>215</v>
      </c>
      <c r="G4594" s="9">
        <v>743.14</v>
      </c>
      <c r="H4594" s="9" t="s">
        <v>23</v>
      </c>
      <c r="I4594" s="9">
        <v>15</v>
      </c>
      <c r="J4594" s="10">
        <v>528.14</v>
      </c>
      <c r="K4594" s="9" t="str">
        <f>TEXT(Sales_of_Jordan[[#This Row],[Sale_Date]],"mmm")</f>
        <v>Jul</v>
      </c>
    </row>
    <row r="4595" spans="1:11" x14ac:dyDescent="0.35">
      <c r="A4595" s="7" t="s">
        <v>4625</v>
      </c>
      <c r="B4595" s="8">
        <v>45432</v>
      </c>
      <c r="C4595" s="9" t="s">
        <v>16</v>
      </c>
      <c r="D4595" s="9" t="s">
        <v>53</v>
      </c>
      <c r="E4595" s="9" t="s">
        <v>13</v>
      </c>
      <c r="F4595" s="9">
        <v>182</v>
      </c>
      <c r="G4595" s="9">
        <v>140.18</v>
      </c>
      <c r="H4595" s="9" t="s">
        <v>14</v>
      </c>
      <c r="I4595" s="9">
        <v>13</v>
      </c>
      <c r="J4595" s="10">
        <v>-41.819999999999901</v>
      </c>
      <c r="K4595" s="9" t="str">
        <f>TEXT(Sales_of_Jordan[[#This Row],[Sale_Date]],"mmm")</f>
        <v>May</v>
      </c>
    </row>
    <row r="4596" spans="1:11" x14ac:dyDescent="0.35">
      <c r="A4596" s="7" t="s">
        <v>4626</v>
      </c>
      <c r="B4596" s="8">
        <v>45473</v>
      </c>
      <c r="C4596" s="9" t="s">
        <v>31</v>
      </c>
      <c r="D4596" s="9" t="s">
        <v>55</v>
      </c>
      <c r="E4596" s="9" t="s">
        <v>29</v>
      </c>
      <c r="F4596" s="9">
        <v>204</v>
      </c>
      <c r="G4596" s="9">
        <v>294.79000000000002</v>
      </c>
      <c r="H4596" s="9" t="s">
        <v>19</v>
      </c>
      <c r="I4596" s="9">
        <v>9</v>
      </c>
      <c r="J4596" s="10">
        <v>90.79</v>
      </c>
      <c r="K4596" s="9" t="str">
        <f>TEXT(Sales_of_Jordan[[#This Row],[Sale_Date]],"mmm")</f>
        <v>Jun</v>
      </c>
    </row>
    <row r="4597" spans="1:11" x14ac:dyDescent="0.35">
      <c r="A4597" s="7" t="s">
        <v>4627</v>
      </c>
      <c r="B4597" s="8">
        <v>45372</v>
      </c>
      <c r="C4597" s="9" t="s">
        <v>16</v>
      </c>
      <c r="D4597" s="9" t="s">
        <v>12</v>
      </c>
      <c r="E4597" s="9" t="s">
        <v>13</v>
      </c>
      <c r="F4597" s="9">
        <v>190</v>
      </c>
      <c r="G4597" s="9">
        <v>125.22</v>
      </c>
      <c r="H4597" s="9" t="s">
        <v>14</v>
      </c>
      <c r="I4597" s="9">
        <v>8</v>
      </c>
      <c r="J4597" s="10">
        <v>-64.78</v>
      </c>
      <c r="K4597" s="9" t="str">
        <f>TEXT(Sales_of_Jordan[[#This Row],[Sale_Date]],"mmm")</f>
        <v>Mar</v>
      </c>
    </row>
    <row r="4598" spans="1:11" x14ac:dyDescent="0.35">
      <c r="A4598" s="7" t="s">
        <v>4628</v>
      </c>
      <c r="B4598" s="8">
        <v>45579</v>
      </c>
      <c r="C4598" s="9" t="s">
        <v>31</v>
      </c>
      <c r="D4598" s="9" t="s">
        <v>53</v>
      </c>
      <c r="E4598" s="9" t="s">
        <v>13</v>
      </c>
      <c r="F4598" s="9">
        <v>208</v>
      </c>
      <c r="G4598" s="9">
        <v>117.87</v>
      </c>
      <c r="H4598" s="9" t="s">
        <v>19</v>
      </c>
      <c r="I4598" s="9">
        <v>1</v>
      </c>
      <c r="J4598" s="10">
        <v>-90.13</v>
      </c>
      <c r="K4598" s="9" t="str">
        <f>TEXT(Sales_of_Jordan[[#This Row],[Sale_Date]],"mmm")</f>
        <v>Oct</v>
      </c>
    </row>
    <row r="4599" spans="1:11" x14ac:dyDescent="0.35">
      <c r="A4599" s="7" t="s">
        <v>4629</v>
      </c>
      <c r="B4599" s="8">
        <v>45522</v>
      </c>
      <c r="C4599" s="9" t="s">
        <v>11</v>
      </c>
      <c r="D4599" s="9" t="s">
        <v>12</v>
      </c>
      <c r="E4599" s="9" t="s">
        <v>29</v>
      </c>
      <c r="F4599" s="9">
        <v>229</v>
      </c>
      <c r="G4599" s="9">
        <v>279.41000000000003</v>
      </c>
      <c r="H4599" s="9" t="s">
        <v>32</v>
      </c>
      <c r="I4599" s="9">
        <v>49</v>
      </c>
      <c r="J4599" s="10">
        <v>50.41</v>
      </c>
      <c r="K4599" s="9" t="str">
        <f>TEXT(Sales_of_Jordan[[#This Row],[Sale_Date]],"mmm")</f>
        <v>Aug</v>
      </c>
    </row>
    <row r="4600" spans="1:11" x14ac:dyDescent="0.35">
      <c r="A4600" s="7" t="s">
        <v>4630</v>
      </c>
      <c r="B4600" s="8">
        <v>45646</v>
      </c>
      <c r="C4600" s="9" t="s">
        <v>27</v>
      </c>
      <c r="D4600" s="9" t="s">
        <v>17</v>
      </c>
      <c r="E4600" s="9" t="s">
        <v>29</v>
      </c>
      <c r="F4600" s="9">
        <v>138</v>
      </c>
      <c r="G4600" s="9">
        <v>176.08</v>
      </c>
      <c r="H4600" s="9" t="s">
        <v>14</v>
      </c>
      <c r="I4600" s="9">
        <v>8</v>
      </c>
      <c r="J4600" s="10">
        <v>38.08</v>
      </c>
      <c r="K4600" s="9" t="str">
        <f>TEXT(Sales_of_Jordan[[#This Row],[Sale_Date]],"mmm")</f>
        <v>Dec</v>
      </c>
    </row>
    <row r="4601" spans="1:11" x14ac:dyDescent="0.35">
      <c r="A4601" s="7" t="s">
        <v>4631</v>
      </c>
      <c r="B4601" s="8">
        <v>45851</v>
      </c>
      <c r="C4601" s="9" t="s">
        <v>27</v>
      </c>
      <c r="D4601" s="9" t="s">
        <v>17</v>
      </c>
      <c r="E4601" s="9" t="s">
        <v>29</v>
      </c>
      <c r="F4601" s="9">
        <v>135</v>
      </c>
      <c r="G4601" s="9">
        <v>162.66</v>
      </c>
      <c r="H4601" s="9" t="s">
        <v>32</v>
      </c>
      <c r="I4601" s="9">
        <v>54</v>
      </c>
      <c r="J4601" s="10">
        <v>27.659999999999901</v>
      </c>
      <c r="K4601" s="9" t="str">
        <f>TEXT(Sales_of_Jordan[[#This Row],[Sale_Date]],"mmm")</f>
        <v>Jul</v>
      </c>
    </row>
    <row r="4602" spans="1:11" x14ac:dyDescent="0.35">
      <c r="A4602" s="7" t="s">
        <v>4632</v>
      </c>
      <c r="B4602" s="8">
        <v>45101</v>
      </c>
      <c r="C4602" s="9" t="s">
        <v>11</v>
      </c>
      <c r="D4602" s="9" t="s">
        <v>17</v>
      </c>
      <c r="E4602" s="9" t="s">
        <v>13</v>
      </c>
      <c r="F4602" s="9">
        <v>227</v>
      </c>
      <c r="G4602" s="9">
        <v>116.83</v>
      </c>
      <c r="H4602" s="9" t="s">
        <v>14</v>
      </c>
      <c r="I4602" s="9">
        <v>1</v>
      </c>
      <c r="J4602" s="10">
        <v>-110.17</v>
      </c>
      <c r="K4602" s="9" t="str">
        <f>TEXT(Sales_of_Jordan[[#This Row],[Sale_Date]],"mmm")</f>
        <v>Jun</v>
      </c>
    </row>
    <row r="4603" spans="1:11" x14ac:dyDescent="0.35">
      <c r="A4603" s="7" t="s">
        <v>4633</v>
      </c>
      <c r="B4603" s="8">
        <v>45131</v>
      </c>
      <c r="C4603" s="9" t="s">
        <v>31</v>
      </c>
      <c r="D4603" s="9" t="s">
        <v>39</v>
      </c>
      <c r="E4603" s="9" t="s">
        <v>29</v>
      </c>
      <c r="F4603" s="9">
        <v>208</v>
      </c>
      <c r="G4603" s="9">
        <v>278.39999999999998</v>
      </c>
      <c r="H4603" s="9" t="s">
        <v>19</v>
      </c>
      <c r="I4603" s="9">
        <v>7</v>
      </c>
      <c r="J4603" s="10">
        <v>70.399999999999906</v>
      </c>
      <c r="K4603" s="9" t="str">
        <f>TEXT(Sales_of_Jordan[[#This Row],[Sale_Date]],"mmm")</f>
        <v>Jul</v>
      </c>
    </row>
    <row r="4604" spans="1:11" x14ac:dyDescent="0.35">
      <c r="A4604" s="7" t="s">
        <v>4634</v>
      </c>
      <c r="B4604" s="8">
        <v>45039</v>
      </c>
      <c r="C4604" s="9" t="s">
        <v>21</v>
      </c>
      <c r="D4604" s="9" t="s">
        <v>22</v>
      </c>
      <c r="E4604" s="9" t="s">
        <v>18</v>
      </c>
      <c r="F4604" s="9">
        <v>210</v>
      </c>
      <c r="G4604" s="9">
        <v>490.35</v>
      </c>
      <c r="H4604" s="9" t="s">
        <v>14</v>
      </c>
      <c r="I4604" s="9">
        <v>10</v>
      </c>
      <c r="J4604" s="10">
        <v>280.35000000000002</v>
      </c>
      <c r="K4604" s="9" t="str">
        <f>TEXT(Sales_of_Jordan[[#This Row],[Sale_Date]],"mmm")</f>
        <v>Apr</v>
      </c>
    </row>
    <row r="4605" spans="1:11" x14ac:dyDescent="0.35">
      <c r="A4605" s="7" t="s">
        <v>4635</v>
      </c>
      <c r="B4605" s="8">
        <v>45669</v>
      </c>
      <c r="C4605" s="9" t="s">
        <v>27</v>
      </c>
      <c r="D4605" s="9" t="s">
        <v>17</v>
      </c>
      <c r="E4605" s="9" t="s">
        <v>13</v>
      </c>
      <c r="F4605" s="9">
        <v>140</v>
      </c>
      <c r="G4605" s="9">
        <v>82.63</v>
      </c>
      <c r="H4605" s="9" t="s">
        <v>25</v>
      </c>
      <c r="I4605" s="9">
        <v>33</v>
      </c>
      <c r="J4605" s="10">
        <v>-57.37</v>
      </c>
      <c r="K4605" s="9" t="str">
        <f>TEXT(Sales_of_Jordan[[#This Row],[Sale_Date]],"mmm")</f>
        <v>Jan</v>
      </c>
    </row>
    <row r="4606" spans="1:11" x14ac:dyDescent="0.35">
      <c r="A4606" s="7" t="s">
        <v>4636</v>
      </c>
      <c r="B4606" s="8">
        <v>44975</v>
      </c>
      <c r="C4606" s="9" t="s">
        <v>31</v>
      </c>
      <c r="D4606" s="9" t="s">
        <v>34</v>
      </c>
      <c r="E4606" s="9" t="s">
        <v>29</v>
      </c>
      <c r="F4606" s="9">
        <v>203</v>
      </c>
      <c r="G4606" s="9">
        <v>258.7</v>
      </c>
      <c r="H4606" s="9" t="s">
        <v>32</v>
      </c>
      <c r="I4606" s="9">
        <v>40</v>
      </c>
      <c r="J4606" s="10">
        <v>55.699999999999903</v>
      </c>
      <c r="K4606" s="9" t="str">
        <f>TEXT(Sales_of_Jordan[[#This Row],[Sale_Date]],"mmm")</f>
        <v>Feb</v>
      </c>
    </row>
    <row r="4607" spans="1:11" x14ac:dyDescent="0.35">
      <c r="A4607" s="7" t="s">
        <v>4637</v>
      </c>
      <c r="B4607" s="8">
        <v>45201</v>
      </c>
      <c r="C4607" s="9" t="s">
        <v>16</v>
      </c>
      <c r="D4607" s="9" t="s">
        <v>22</v>
      </c>
      <c r="E4607" s="9" t="s">
        <v>29</v>
      </c>
      <c r="F4607" s="9">
        <v>183</v>
      </c>
      <c r="G4607" s="9">
        <v>258.3</v>
      </c>
      <c r="H4607" s="9" t="s">
        <v>23</v>
      </c>
      <c r="I4607" s="9">
        <v>40</v>
      </c>
      <c r="J4607" s="10">
        <v>75.3</v>
      </c>
      <c r="K4607" s="9" t="str">
        <f>TEXT(Sales_of_Jordan[[#This Row],[Sale_Date]],"mmm")</f>
        <v>Oct</v>
      </c>
    </row>
    <row r="4608" spans="1:11" x14ac:dyDescent="0.35">
      <c r="A4608" s="7" t="s">
        <v>4638</v>
      </c>
      <c r="B4608" s="8">
        <v>45399</v>
      </c>
      <c r="C4608" s="9" t="s">
        <v>31</v>
      </c>
      <c r="D4608" s="9" t="s">
        <v>53</v>
      </c>
      <c r="E4608" s="9" t="s">
        <v>29</v>
      </c>
      <c r="F4608" s="9">
        <v>208</v>
      </c>
      <c r="G4608" s="9">
        <v>260.51</v>
      </c>
      <c r="H4608" s="9" t="s">
        <v>32</v>
      </c>
      <c r="I4608" s="9">
        <v>51</v>
      </c>
      <c r="J4608" s="10">
        <v>52.509999999999899</v>
      </c>
      <c r="K4608" s="9" t="str">
        <f>TEXT(Sales_of_Jordan[[#This Row],[Sale_Date]],"mmm")</f>
        <v>Apr</v>
      </c>
    </row>
    <row r="4609" spans="1:11" x14ac:dyDescent="0.35">
      <c r="A4609" s="7" t="s">
        <v>4639</v>
      </c>
      <c r="B4609" s="8">
        <v>45430</v>
      </c>
      <c r="C4609" s="9" t="s">
        <v>31</v>
      </c>
      <c r="D4609" s="9" t="s">
        <v>22</v>
      </c>
      <c r="E4609" s="9" t="s">
        <v>29</v>
      </c>
      <c r="F4609" s="9">
        <v>204</v>
      </c>
      <c r="G4609" s="9">
        <v>233.73</v>
      </c>
      <c r="H4609" s="9" t="s">
        <v>32</v>
      </c>
      <c r="I4609" s="9">
        <v>31</v>
      </c>
      <c r="J4609" s="10">
        <v>29.729999999999901</v>
      </c>
      <c r="K4609" s="9" t="str">
        <f>TEXT(Sales_of_Jordan[[#This Row],[Sale_Date]],"mmm")</f>
        <v>May</v>
      </c>
    </row>
    <row r="4610" spans="1:11" x14ac:dyDescent="0.35">
      <c r="A4610" s="7" t="s">
        <v>4640</v>
      </c>
      <c r="B4610" s="8">
        <v>45015</v>
      </c>
      <c r="C4610" s="9" t="s">
        <v>27</v>
      </c>
      <c r="D4610" s="9" t="s">
        <v>55</v>
      </c>
      <c r="E4610" s="9" t="s">
        <v>13</v>
      </c>
      <c r="F4610" s="9">
        <v>137</v>
      </c>
      <c r="G4610" s="9">
        <v>82.66</v>
      </c>
      <c r="H4610" s="9" t="s">
        <v>23</v>
      </c>
      <c r="I4610" s="9">
        <v>44</v>
      </c>
      <c r="J4610" s="10">
        <v>-54.34</v>
      </c>
      <c r="K4610" s="9" t="str">
        <f>TEXT(Sales_of_Jordan[[#This Row],[Sale_Date]],"mmm")</f>
        <v>Mar</v>
      </c>
    </row>
    <row r="4611" spans="1:11" x14ac:dyDescent="0.35">
      <c r="A4611" s="7" t="s">
        <v>4641</v>
      </c>
      <c r="B4611" s="8">
        <v>45410</v>
      </c>
      <c r="C4611" s="9" t="s">
        <v>11</v>
      </c>
      <c r="D4611" s="9" t="s">
        <v>12</v>
      </c>
      <c r="E4611" s="9" t="s">
        <v>18</v>
      </c>
      <c r="F4611" s="9">
        <v>228</v>
      </c>
      <c r="G4611" s="9">
        <v>309.11</v>
      </c>
      <c r="H4611" s="9" t="s">
        <v>14</v>
      </c>
      <c r="I4611" s="9">
        <v>1</v>
      </c>
      <c r="J4611" s="10">
        <v>81.11</v>
      </c>
      <c r="K4611" s="9" t="str">
        <f>TEXT(Sales_of_Jordan[[#This Row],[Sale_Date]],"mmm")</f>
        <v>Apr</v>
      </c>
    </row>
    <row r="4612" spans="1:11" x14ac:dyDescent="0.35">
      <c r="A4612" s="7" t="s">
        <v>4642</v>
      </c>
      <c r="B4612" s="8">
        <v>45329</v>
      </c>
      <c r="C4612" s="9" t="s">
        <v>11</v>
      </c>
      <c r="D4612" s="9" t="s">
        <v>34</v>
      </c>
      <c r="E4612" s="9" t="s">
        <v>13</v>
      </c>
      <c r="F4612" s="9">
        <v>229</v>
      </c>
      <c r="G4612" s="9">
        <v>190.19</v>
      </c>
      <c r="H4612" s="9" t="s">
        <v>23</v>
      </c>
      <c r="I4612" s="9">
        <v>60</v>
      </c>
      <c r="J4612" s="10">
        <v>-38.81</v>
      </c>
      <c r="K4612" s="9" t="str">
        <f>TEXT(Sales_of_Jordan[[#This Row],[Sale_Date]],"mmm")</f>
        <v>Feb</v>
      </c>
    </row>
    <row r="4613" spans="1:11" x14ac:dyDescent="0.35">
      <c r="A4613" s="7" t="s">
        <v>4643</v>
      </c>
      <c r="B4613" s="8">
        <v>45738</v>
      </c>
      <c r="C4613" s="9" t="s">
        <v>16</v>
      </c>
      <c r="D4613" s="9" t="s">
        <v>39</v>
      </c>
      <c r="E4613" s="9" t="s">
        <v>29</v>
      </c>
      <c r="F4613" s="9">
        <v>181</v>
      </c>
      <c r="G4613" s="9">
        <v>167.58</v>
      </c>
      <c r="H4613" s="9" t="s">
        <v>19</v>
      </c>
      <c r="I4613" s="9">
        <v>13</v>
      </c>
      <c r="J4613" s="10">
        <v>-13.4199999999999</v>
      </c>
      <c r="K4613" s="9" t="str">
        <f>TEXT(Sales_of_Jordan[[#This Row],[Sale_Date]],"mmm")</f>
        <v>Mar</v>
      </c>
    </row>
    <row r="4614" spans="1:11" x14ac:dyDescent="0.35">
      <c r="A4614" s="7" t="s">
        <v>4644</v>
      </c>
      <c r="B4614" s="8">
        <v>45704</v>
      </c>
      <c r="C4614" s="9" t="s">
        <v>11</v>
      </c>
      <c r="D4614" s="9" t="s">
        <v>36</v>
      </c>
      <c r="E4614" s="9" t="s">
        <v>29</v>
      </c>
      <c r="F4614" s="9">
        <v>230</v>
      </c>
      <c r="G4614" s="9">
        <v>213.67</v>
      </c>
      <c r="H4614" s="9" t="s">
        <v>32</v>
      </c>
      <c r="I4614" s="9">
        <v>31</v>
      </c>
      <c r="J4614" s="10">
        <v>-16.329999999999998</v>
      </c>
      <c r="K4614" s="9" t="str">
        <f>TEXT(Sales_of_Jordan[[#This Row],[Sale_Date]],"mmm")</f>
        <v>Feb</v>
      </c>
    </row>
    <row r="4615" spans="1:11" x14ac:dyDescent="0.35">
      <c r="A4615" s="7" t="s">
        <v>4645</v>
      </c>
      <c r="B4615" s="8">
        <v>45313</v>
      </c>
      <c r="C4615" s="9" t="s">
        <v>16</v>
      </c>
      <c r="D4615" s="9" t="s">
        <v>36</v>
      </c>
      <c r="E4615" s="9" t="s">
        <v>18</v>
      </c>
      <c r="F4615" s="9">
        <v>183</v>
      </c>
      <c r="G4615" s="9">
        <v>420.69</v>
      </c>
      <c r="H4615" s="9" t="s">
        <v>32</v>
      </c>
      <c r="I4615" s="9">
        <v>44</v>
      </c>
      <c r="J4615" s="10">
        <v>237.69</v>
      </c>
      <c r="K4615" s="9" t="str">
        <f>TEXT(Sales_of_Jordan[[#This Row],[Sale_Date]],"mmm")</f>
        <v>Jan</v>
      </c>
    </row>
    <row r="4616" spans="1:11" x14ac:dyDescent="0.35">
      <c r="A4616" s="7" t="s">
        <v>4646</v>
      </c>
      <c r="B4616" s="8">
        <v>45852</v>
      </c>
      <c r="C4616" s="9" t="s">
        <v>21</v>
      </c>
      <c r="D4616" s="9" t="s">
        <v>34</v>
      </c>
      <c r="E4616" s="9" t="s">
        <v>13</v>
      </c>
      <c r="F4616" s="9">
        <v>212</v>
      </c>
      <c r="G4616" s="9">
        <v>188.4</v>
      </c>
      <c r="H4616" s="9" t="s">
        <v>32</v>
      </c>
      <c r="I4616" s="9">
        <v>38</v>
      </c>
      <c r="J4616" s="10">
        <v>-23.599999999999898</v>
      </c>
      <c r="K4616" s="9" t="str">
        <f>TEXT(Sales_of_Jordan[[#This Row],[Sale_Date]],"mmm")</f>
        <v>Jul</v>
      </c>
    </row>
    <row r="4617" spans="1:11" x14ac:dyDescent="0.35">
      <c r="A4617" s="7" t="s">
        <v>4647</v>
      </c>
      <c r="B4617" s="8">
        <v>45403</v>
      </c>
      <c r="C4617" s="9" t="s">
        <v>16</v>
      </c>
      <c r="D4617" s="9" t="s">
        <v>39</v>
      </c>
      <c r="E4617" s="9" t="s">
        <v>18</v>
      </c>
      <c r="F4617" s="9">
        <v>183</v>
      </c>
      <c r="G4617" s="9">
        <v>382.5</v>
      </c>
      <c r="H4617" s="9" t="s">
        <v>23</v>
      </c>
      <c r="I4617" s="9">
        <v>16</v>
      </c>
      <c r="J4617" s="10">
        <v>199.5</v>
      </c>
      <c r="K4617" s="9" t="str">
        <f>TEXT(Sales_of_Jordan[[#This Row],[Sale_Date]],"mmm")</f>
        <v>Apr</v>
      </c>
    </row>
    <row r="4618" spans="1:11" x14ac:dyDescent="0.35">
      <c r="A4618" s="7" t="s">
        <v>4648</v>
      </c>
      <c r="B4618" s="8">
        <v>45912</v>
      </c>
      <c r="C4618" s="9" t="s">
        <v>16</v>
      </c>
      <c r="D4618" s="9" t="s">
        <v>53</v>
      </c>
      <c r="E4618" s="9" t="s">
        <v>13</v>
      </c>
      <c r="F4618" s="9">
        <v>189</v>
      </c>
      <c r="G4618" s="9">
        <v>103.23</v>
      </c>
      <c r="H4618" s="9" t="s">
        <v>23</v>
      </c>
      <c r="I4618" s="9">
        <v>8</v>
      </c>
      <c r="J4618" s="10">
        <v>-85.77</v>
      </c>
      <c r="K4618" s="9" t="str">
        <f>TEXT(Sales_of_Jordan[[#This Row],[Sale_Date]],"mmm")</f>
        <v>Sep</v>
      </c>
    </row>
    <row r="4619" spans="1:11" x14ac:dyDescent="0.35">
      <c r="A4619" s="7" t="s">
        <v>4649</v>
      </c>
      <c r="B4619" s="8">
        <v>44953</v>
      </c>
      <c r="C4619" s="9" t="s">
        <v>16</v>
      </c>
      <c r="D4619" s="9" t="s">
        <v>36</v>
      </c>
      <c r="E4619" s="9" t="s">
        <v>29</v>
      </c>
      <c r="F4619" s="9">
        <v>183</v>
      </c>
      <c r="G4619" s="9">
        <v>218.18</v>
      </c>
      <c r="H4619" s="9" t="s">
        <v>14</v>
      </c>
      <c r="I4619" s="9">
        <v>7</v>
      </c>
      <c r="J4619" s="10">
        <v>35.18</v>
      </c>
      <c r="K4619" s="9" t="str">
        <f>TEXT(Sales_of_Jordan[[#This Row],[Sale_Date]],"mmm")</f>
        <v>Jan</v>
      </c>
    </row>
    <row r="4620" spans="1:11" x14ac:dyDescent="0.35">
      <c r="A4620" s="7" t="s">
        <v>4650</v>
      </c>
      <c r="B4620" s="8">
        <v>45440</v>
      </c>
      <c r="C4620" s="9" t="s">
        <v>21</v>
      </c>
      <c r="D4620" s="9" t="s">
        <v>53</v>
      </c>
      <c r="E4620" s="9" t="s">
        <v>29</v>
      </c>
      <c r="F4620" s="9">
        <v>221</v>
      </c>
      <c r="G4620" s="9">
        <v>262.33999999999997</v>
      </c>
      <c r="H4620" s="9" t="s">
        <v>19</v>
      </c>
      <c r="I4620" s="9">
        <v>1</v>
      </c>
      <c r="J4620" s="10">
        <v>41.339999999999897</v>
      </c>
      <c r="K4620" s="9" t="str">
        <f>TEXT(Sales_of_Jordan[[#This Row],[Sale_Date]],"mmm")</f>
        <v>May</v>
      </c>
    </row>
    <row r="4621" spans="1:11" x14ac:dyDescent="0.35">
      <c r="A4621" s="7" t="s">
        <v>4651</v>
      </c>
      <c r="B4621" s="8">
        <v>45508</v>
      </c>
      <c r="C4621" s="9" t="s">
        <v>27</v>
      </c>
      <c r="D4621" s="9" t="s">
        <v>34</v>
      </c>
      <c r="E4621" s="9" t="s">
        <v>13</v>
      </c>
      <c r="F4621" s="9">
        <v>137</v>
      </c>
      <c r="G4621" s="9">
        <v>104.57</v>
      </c>
      <c r="H4621" s="9" t="s">
        <v>14</v>
      </c>
      <c r="I4621" s="9">
        <v>14</v>
      </c>
      <c r="J4621" s="10">
        <v>-32.43</v>
      </c>
      <c r="K4621" s="9" t="str">
        <f>TEXT(Sales_of_Jordan[[#This Row],[Sale_Date]],"mmm")</f>
        <v>Aug</v>
      </c>
    </row>
    <row r="4622" spans="1:11" x14ac:dyDescent="0.35">
      <c r="A4622" s="7" t="s">
        <v>4652</v>
      </c>
      <c r="B4622" s="8">
        <v>45256</v>
      </c>
      <c r="C4622" s="9" t="s">
        <v>16</v>
      </c>
      <c r="D4622" s="9" t="s">
        <v>22</v>
      </c>
      <c r="E4622" s="9" t="s">
        <v>18</v>
      </c>
      <c r="F4622" s="9">
        <v>185</v>
      </c>
      <c r="G4622" s="9">
        <v>593.63</v>
      </c>
      <c r="H4622" s="9" t="s">
        <v>19</v>
      </c>
      <c r="I4622" s="9">
        <v>6</v>
      </c>
      <c r="J4622" s="10">
        <v>408.63</v>
      </c>
      <c r="K4622" s="9" t="str">
        <f>TEXT(Sales_of_Jordan[[#This Row],[Sale_Date]],"mmm")</f>
        <v>Nov</v>
      </c>
    </row>
    <row r="4623" spans="1:11" x14ac:dyDescent="0.35">
      <c r="A4623" s="7" t="s">
        <v>4653</v>
      </c>
      <c r="B4623" s="8">
        <v>45750</v>
      </c>
      <c r="C4623" s="9" t="s">
        <v>31</v>
      </c>
      <c r="D4623" s="9" t="s">
        <v>36</v>
      </c>
      <c r="E4623" s="9" t="s">
        <v>18</v>
      </c>
      <c r="F4623" s="9">
        <v>209</v>
      </c>
      <c r="G4623" s="9">
        <v>296.14</v>
      </c>
      <c r="H4623" s="9" t="s">
        <v>19</v>
      </c>
      <c r="I4623" s="9">
        <v>2</v>
      </c>
      <c r="J4623" s="10">
        <v>87.139999999999901</v>
      </c>
      <c r="K4623" s="9" t="str">
        <f>TEXT(Sales_of_Jordan[[#This Row],[Sale_Date]],"mmm")</f>
        <v>Apr</v>
      </c>
    </row>
    <row r="4624" spans="1:11" x14ac:dyDescent="0.35">
      <c r="A4624" s="7" t="s">
        <v>4654</v>
      </c>
      <c r="B4624" s="8">
        <v>45927</v>
      </c>
      <c r="C4624" s="9" t="s">
        <v>16</v>
      </c>
      <c r="D4624" s="9" t="s">
        <v>22</v>
      </c>
      <c r="E4624" s="9" t="s">
        <v>13</v>
      </c>
      <c r="F4624" s="9">
        <v>179</v>
      </c>
      <c r="G4624" s="9">
        <v>122.83</v>
      </c>
      <c r="H4624" s="9" t="s">
        <v>14</v>
      </c>
      <c r="I4624" s="9">
        <v>8</v>
      </c>
      <c r="J4624" s="10">
        <v>-56.17</v>
      </c>
      <c r="K4624" s="9" t="str">
        <f>TEXT(Sales_of_Jordan[[#This Row],[Sale_Date]],"mmm")</f>
        <v>Sep</v>
      </c>
    </row>
    <row r="4625" spans="1:11" x14ac:dyDescent="0.35">
      <c r="A4625" s="7" t="s">
        <v>4655</v>
      </c>
      <c r="B4625" s="8">
        <v>45915</v>
      </c>
      <c r="C4625" s="9" t="s">
        <v>11</v>
      </c>
      <c r="D4625" s="9" t="s">
        <v>22</v>
      </c>
      <c r="E4625" s="9" t="s">
        <v>29</v>
      </c>
      <c r="F4625" s="9">
        <v>225</v>
      </c>
      <c r="G4625" s="9">
        <v>310.95999999999998</v>
      </c>
      <c r="H4625" s="9" t="s">
        <v>23</v>
      </c>
      <c r="I4625" s="9">
        <v>14</v>
      </c>
      <c r="J4625" s="10">
        <v>85.959999999999894</v>
      </c>
      <c r="K4625" s="9" t="str">
        <f>TEXT(Sales_of_Jordan[[#This Row],[Sale_Date]],"mmm")</f>
        <v>Sep</v>
      </c>
    </row>
    <row r="4626" spans="1:11" x14ac:dyDescent="0.35">
      <c r="A4626" s="7" t="s">
        <v>4656</v>
      </c>
      <c r="B4626" s="8">
        <v>44978</v>
      </c>
      <c r="C4626" s="9" t="s">
        <v>11</v>
      </c>
      <c r="D4626" s="9" t="s">
        <v>46</v>
      </c>
      <c r="E4626" s="9" t="s">
        <v>13</v>
      </c>
      <c r="F4626" s="9">
        <v>229</v>
      </c>
      <c r="G4626" s="9">
        <v>123.63</v>
      </c>
      <c r="H4626" s="9" t="s">
        <v>19</v>
      </c>
      <c r="I4626" s="9">
        <v>8</v>
      </c>
      <c r="J4626" s="10">
        <v>-105.37</v>
      </c>
      <c r="K4626" s="9" t="str">
        <f>TEXT(Sales_of_Jordan[[#This Row],[Sale_Date]],"mmm")</f>
        <v>Feb</v>
      </c>
    </row>
    <row r="4627" spans="1:11" x14ac:dyDescent="0.35">
      <c r="A4627" s="7" t="s">
        <v>4657</v>
      </c>
      <c r="B4627" s="8">
        <v>45083</v>
      </c>
      <c r="C4627" s="9" t="s">
        <v>31</v>
      </c>
      <c r="D4627" s="9" t="s">
        <v>17</v>
      </c>
      <c r="E4627" s="9" t="s">
        <v>13</v>
      </c>
      <c r="F4627" s="9">
        <v>200</v>
      </c>
      <c r="G4627" s="9">
        <v>145.16</v>
      </c>
      <c r="H4627" s="9" t="s">
        <v>19</v>
      </c>
      <c r="I4627" s="9">
        <v>12</v>
      </c>
      <c r="J4627" s="10">
        <v>-54.84</v>
      </c>
      <c r="K4627" s="9" t="str">
        <f>TEXT(Sales_of_Jordan[[#This Row],[Sale_Date]],"mmm")</f>
        <v>Jun</v>
      </c>
    </row>
    <row r="4628" spans="1:11" x14ac:dyDescent="0.35">
      <c r="A4628" s="7" t="s">
        <v>4658</v>
      </c>
      <c r="B4628" s="8">
        <v>45472</v>
      </c>
      <c r="C4628" s="9" t="s">
        <v>16</v>
      </c>
      <c r="D4628" s="9" t="s">
        <v>55</v>
      </c>
      <c r="E4628" s="9" t="s">
        <v>18</v>
      </c>
      <c r="F4628" s="9">
        <v>187</v>
      </c>
      <c r="G4628" s="9">
        <v>552.51</v>
      </c>
      <c r="H4628" s="9" t="s">
        <v>23</v>
      </c>
      <c r="I4628" s="9">
        <v>41</v>
      </c>
      <c r="J4628" s="10">
        <v>365.51</v>
      </c>
      <c r="K4628" s="9" t="str">
        <f>TEXT(Sales_of_Jordan[[#This Row],[Sale_Date]],"mmm")</f>
        <v>Jun</v>
      </c>
    </row>
    <row r="4629" spans="1:11" x14ac:dyDescent="0.35">
      <c r="A4629" s="7" t="s">
        <v>4659</v>
      </c>
      <c r="B4629" s="8">
        <v>45787</v>
      </c>
      <c r="C4629" s="9" t="s">
        <v>16</v>
      </c>
      <c r="D4629" s="9" t="s">
        <v>12</v>
      </c>
      <c r="E4629" s="9" t="s">
        <v>29</v>
      </c>
      <c r="F4629" s="9">
        <v>188</v>
      </c>
      <c r="G4629" s="9">
        <v>272.74</v>
      </c>
      <c r="H4629" s="9" t="s">
        <v>25</v>
      </c>
      <c r="I4629" s="9">
        <v>20</v>
      </c>
      <c r="J4629" s="10">
        <v>84.74</v>
      </c>
      <c r="K4629" s="9" t="str">
        <f>TEXT(Sales_of_Jordan[[#This Row],[Sale_Date]],"mmm")</f>
        <v>May</v>
      </c>
    </row>
    <row r="4630" spans="1:11" x14ac:dyDescent="0.35">
      <c r="A4630" s="7" t="s">
        <v>4660</v>
      </c>
      <c r="B4630" s="8">
        <v>45436</v>
      </c>
      <c r="C4630" s="9" t="s">
        <v>31</v>
      </c>
      <c r="D4630" s="9" t="s">
        <v>55</v>
      </c>
      <c r="E4630" s="9" t="s">
        <v>13</v>
      </c>
      <c r="F4630" s="9">
        <v>205</v>
      </c>
      <c r="G4630" s="9">
        <v>175.06</v>
      </c>
      <c r="H4630" s="9" t="s">
        <v>23</v>
      </c>
      <c r="I4630" s="9">
        <v>30</v>
      </c>
      <c r="J4630" s="10">
        <v>-29.939999999999898</v>
      </c>
      <c r="K4630" s="9" t="str">
        <f>TEXT(Sales_of_Jordan[[#This Row],[Sale_Date]],"mmm")</f>
        <v>May</v>
      </c>
    </row>
    <row r="4631" spans="1:11" x14ac:dyDescent="0.35">
      <c r="A4631" s="7" t="s">
        <v>4661</v>
      </c>
      <c r="B4631" s="8">
        <v>45507</v>
      </c>
      <c r="C4631" s="9" t="s">
        <v>16</v>
      </c>
      <c r="D4631" s="9" t="s">
        <v>36</v>
      </c>
      <c r="E4631" s="9" t="s">
        <v>13</v>
      </c>
      <c r="F4631" s="9">
        <v>179</v>
      </c>
      <c r="G4631" s="9">
        <v>126.71</v>
      </c>
      <c r="H4631" s="9" t="s">
        <v>23</v>
      </c>
      <c r="I4631" s="9">
        <v>39</v>
      </c>
      <c r="J4631" s="10">
        <v>-52.29</v>
      </c>
      <c r="K4631" s="9" t="str">
        <f>TEXT(Sales_of_Jordan[[#This Row],[Sale_Date]],"mmm")</f>
        <v>Aug</v>
      </c>
    </row>
    <row r="4632" spans="1:11" x14ac:dyDescent="0.35">
      <c r="A4632" s="7" t="s">
        <v>4662</v>
      </c>
      <c r="B4632" s="8">
        <v>45082</v>
      </c>
      <c r="C4632" s="9" t="s">
        <v>21</v>
      </c>
      <c r="D4632" s="9" t="s">
        <v>53</v>
      </c>
      <c r="E4632" s="9" t="s">
        <v>18</v>
      </c>
      <c r="F4632" s="9">
        <v>217</v>
      </c>
      <c r="G4632" s="9">
        <v>674.48</v>
      </c>
      <c r="H4632" s="9" t="s">
        <v>14</v>
      </c>
      <c r="I4632" s="9">
        <v>5</v>
      </c>
      <c r="J4632" s="10">
        <v>457.48</v>
      </c>
      <c r="K4632" s="9" t="str">
        <f>TEXT(Sales_of_Jordan[[#This Row],[Sale_Date]],"mmm")</f>
        <v>Jun</v>
      </c>
    </row>
    <row r="4633" spans="1:11" x14ac:dyDescent="0.35">
      <c r="A4633" s="7" t="s">
        <v>4663</v>
      </c>
      <c r="B4633" s="8">
        <v>45233</v>
      </c>
      <c r="C4633" s="9" t="s">
        <v>27</v>
      </c>
      <c r="D4633" s="9" t="s">
        <v>34</v>
      </c>
      <c r="E4633" s="9" t="s">
        <v>13</v>
      </c>
      <c r="F4633" s="9">
        <v>132</v>
      </c>
      <c r="G4633" s="9">
        <v>71.09</v>
      </c>
      <c r="H4633" s="9" t="s">
        <v>25</v>
      </c>
      <c r="I4633" s="9">
        <v>32</v>
      </c>
      <c r="J4633" s="10">
        <v>-60.91</v>
      </c>
      <c r="K4633" s="9" t="str">
        <f>TEXT(Sales_of_Jordan[[#This Row],[Sale_Date]],"mmm")</f>
        <v>Nov</v>
      </c>
    </row>
    <row r="4634" spans="1:11" x14ac:dyDescent="0.35">
      <c r="A4634" s="7" t="s">
        <v>4664</v>
      </c>
      <c r="B4634" s="8">
        <v>45320</v>
      </c>
      <c r="C4634" s="9" t="s">
        <v>11</v>
      </c>
      <c r="D4634" s="9" t="s">
        <v>36</v>
      </c>
      <c r="E4634" s="9" t="s">
        <v>18</v>
      </c>
      <c r="F4634" s="9">
        <v>229</v>
      </c>
      <c r="G4634" s="9">
        <v>294.39</v>
      </c>
      <c r="H4634" s="9" t="s">
        <v>14</v>
      </c>
      <c r="I4634" s="9">
        <v>10</v>
      </c>
      <c r="J4634" s="10">
        <v>65.389999999999901</v>
      </c>
      <c r="K4634" s="9" t="str">
        <f>TEXT(Sales_of_Jordan[[#This Row],[Sale_Date]],"mmm")</f>
        <v>Jan</v>
      </c>
    </row>
    <row r="4635" spans="1:11" x14ac:dyDescent="0.35">
      <c r="A4635" s="7" t="s">
        <v>4665</v>
      </c>
      <c r="B4635" s="8">
        <v>45687</v>
      </c>
      <c r="C4635" s="9" t="s">
        <v>31</v>
      </c>
      <c r="D4635" s="9" t="s">
        <v>36</v>
      </c>
      <c r="E4635" s="9" t="s">
        <v>18</v>
      </c>
      <c r="F4635" s="9">
        <v>203</v>
      </c>
      <c r="G4635" s="9">
        <v>478.52</v>
      </c>
      <c r="H4635" s="9" t="s">
        <v>14</v>
      </c>
      <c r="I4635" s="9">
        <v>13</v>
      </c>
      <c r="J4635" s="10">
        <v>275.52</v>
      </c>
      <c r="K4635" s="9" t="str">
        <f>TEXT(Sales_of_Jordan[[#This Row],[Sale_Date]],"mmm")</f>
        <v>Jan</v>
      </c>
    </row>
    <row r="4636" spans="1:11" x14ac:dyDescent="0.35">
      <c r="A4636" s="7" t="s">
        <v>4666</v>
      </c>
      <c r="B4636" s="8">
        <v>44962</v>
      </c>
      <c r="C4636" s="9" t="s">
        <v>27</v>
      </c>
      <c r="D4636" s="9" t="s">
        <v>22</v>
      </c>
      <c r="E4636" s="9" t="s">
        <v>13</v>
      </c>
      <c r="F4636" s="9">
        <v>127</v>
      </c>
      <c r="G4636" s="9">
        <v>114.18</v>
      </c>
      <c r="H4636" s="9" t="s">
        <v>25</v>
      </c>
      <c r="I4636" s="9">
        <v>12</v>
      </c>
      <c r="J4636" s="10">
        <v>-12.819999999999901</v>
      </c>
      <c r="K4636" s="9" t="str">
        <f>TEXT(Sales_of_Jordan[[#This Row],[Sale_Date]],"mmm")</f>
        <v>Feb</v>
      </c>
    </row>
    <row r="4637" spans="1:11" x14ac:dyDescent="0.35">
      <c r="A4637" s="7" t="s">
        <v>4667</v>
      </c>
      <c r="B4637" s="8">
        <v>45761</v>
      </c>
      <c r="C4637" s="9" t="s">
        <v>11</v>
      </c>
      <c r="D4637" s="9" t="s">
        <v>39</v>
      </c>
      <c r="E4637" s="9" t="s">
        <v>13</v>
      </c>
      <c r="F4637" s="9">
        <v>227</v>
      </c>
      <c r="G4637" s="9">
        <v>192.44</v>
      </c>
      <c r="H4637" s="9" t="s">
        <v>19</v>
      </c>
      <c r="I4637" s="9">
        <v>2</v>
      </c>
      <c r="J4637" s="10">
        <v>-34.56</v>
      </c>
      <c r="K4637" s="9" t="str">
        <f>TEXT(Sales_of_Jordan[[#This Row],[Sale_Date]],"mmm")</f>
        <v>Apr</v>
      </c>
    </row>
    <row r="4638" spans="1:11" x14ac:dyDescent="0.35">
      <c r="A4638" s="7" t="s">
        <v>4668</v>
      </c>
      <c r="B4638" s="8">
        <v>45587</v>
      </c>
      <c r="C4638" s="9" t="s">
        <v>11</v>
      </c>
      <c r="D4638" s="9" t="s">
        <v>46</v>
      </c>
      <c r="E4638" s="9" t="s">
        <v>18</v>
      </c>
      <c r="F4638" s="9">
        <v>226</v>
      </c>
      <c r="G4638" s="9">
        <v>384.63</v>
      </c>
      <c r="H4638" s="9" t="s">
        <v>32</v>
      </c>
      <c r="I4638" s="9">
        <v>33</v>
      </c>
      <c r="J4638" s="10">
        <v>158.63</v>
      </c>
      <c r="K4638" s="9" t="str">
        <f>TEXT(Sales_of_Jordan[[#This Row],[Sale_Date]],"mmm")</f>
        <v>Oct</v>
      </c>
    </row>
    <row r="4639" spans="1:11" x14ac:dyDescent="0.35">
      <c r="A4639" s="7" t="s">
        <v>4669</v>
      </c>
      <c r="B4639" s="8">
        <v>45555</v>
      </c>
      <c r="C4639" s="9" t="s">
        <v>11</v>
      </c>
      <c r="D4639" s="9" t="s">
        <v>22</v>
      </c>
      <c r="E4639" s="9" t="s">
        <v>18</v>
      </c>
      <c r="F4639" s="9">
        <v>227</v>
      </c>
      <c r="G4639" s="9">
        <v>550.67999999999995</v>
      </c>
      <c r="H4639" s="9" t="s">
        <v>19</v>
      </c>
      <c r="I4639" s="9">
        <v>13</v>
      </c>
      <c r="J4639" s="10">
        <v>323.67999999999898</v>
      </c>
      <c r="K4639" s="9" t="str">
        <f>TEXT(Sales_of_Jordan[[#This Row],[Sale_Date]],"mmm")</f>
        <v>Sep</v>
      </c>
    </row>
    <row r="4640" spans="1:11" x14ac:dyDescent="0.35">
      <c r="A4640" s="7" t="s">
        <v>4670</v>
      </c>
      <c r="B4640" s="8">
        <v>45000</v>
      </c>
      <c r="C4640" s="9" t="s">
        <v>27</v>
      </c>
      <c r="D4640" s="9" t="s">
        <v>39</v>
      </c>
      <c r="E4640" s="9" t="s">
        <v>29</v>
      </c>
      <c r="F4640" s="9">
        <v>129</v>
      </c>
      <c r="G4640" s="9">
        <v>125.82</v>
      </c>
      <c r="H4640" s="9" t="s">
        <v>23</v>
      </c>
      <c r="I4640" s="9">
        <v>55</v>
      </c>
      <c r="J4640" s="10">
        <v>-3.18</v>
      </c>
      <c r="K4640" s="9" t="str">
        <f>TEXT(Sales_of_Jordan[[#This Row],[Sale_Date]],"mmm")</f>
        <v>Mar</v>
      </c>
    </row>
    <row r="4641" spans="1:11" x14ac:dyDescent="0.35">
      <c r="A4641" s="7" t="s">
        <v>4671</v>
      </c>
      <c r="B4641" s="8">
        <v>45154</v>
      </c>
      <c r="C4641" s="9" t="s">
        <v>11</v>
      </c>
      <c r="D4641" s="9" t="s">
        <v>12</v>
      </c>
      <c r="E4641" s="9" t="s">
        <v>13</v>
      </c>
      <c r="F4641" s="9">
        <v>225</v>
      </c>
      <c r="G4641" s="9">
        <v>128.34</v>
      </c>
      <c r="H4641" s="9" t="s">
        <v>23</v>
      </c>
      <c r="I4641" s="9">
        <v>40</v>
      </c>
      <c r="J4641" s="10">
        <v>-96.66</v>
      </c>
      <c r="K4641" s="9" t="str">
        <f>TEXT(Sales_of_Jordan[[#This Row],[Sale_Date]],"mmm")</f>
        <v>Aug</v>
      </c>
    </row>
    <row r="4642" spans="1:11" x14ac:dyDescent="0.35">
      <c r="A4642" s="7" t="s">
        <v>4672</v>
      </c>
      <c r="B4642" s="8">
        <v>45621</v>
      </c>
      <c r="C4642" s="9" t="s">
        <v>27</v>
      </c>
      <c r="D4642" s="9" t="s">
        <v>46</v>
      </c>
      <c r="E4642" s="9" t="s">
        <v>18</v>
      </c>
      <c r="F4642" s="9">
        <v>125</v>
      </c>
      <c r="G4642" s="9">
        <v>384.3</v>
      </c>
      <c r="H4642" s="9" t="s">
        <v>23</v>
      </c>
      <c r="I4642" s="9">
        <v>12</v>
      </c>
      <c r="J4642" s="10">
        <v>259.3</v>
      </c>
      <c r="K4642" s="9" t="str">
        <f>TEXT(Sales_of_Jordan[[#This Row],[Sale_Date]],"mmm")</f>
        <v>Nov</v>
      </c>
    </row>
    <row r="4643" spans="1:11" x14ac:dyDescent="0.35">
      <c r="A4643" s="7" t="s">
        <v>4673</v>
      </c>
      <c r="B4643" s="8">
        <v>45190</v>
      </c>
      <c r="C4643" s="9" t="s">
        <v>31</v>
      </c>
      <c r="D4643" s="9" t="s">
        <v>55</v>
      </c>
      <c r="E4643" s="9" t="s">
        <v>13</v>
      </c>
      <c r="F4643" s="9">
        <v>207</v>
      </c>
      <c r="G4643" s="9">
        <v>153.07</v>
      </c>
      <c r="H4643" s="9" t="s">
        <v>32</v>
      </c>
      <c r="I4643" s="9">
        <v>6</v>
      </c>
      <c r="J4643" s="10">
        <v>-53.93</v>
      </c>
      <c r="K4643" s="9" t="str">
        <f>TEXT(Sales_of_Jordan[[#This Row],[Sale_Date]],"mmm")</f>
        <v>Sep</v>
      </c>
    </row>
    <row r="4644" spans="1:11" x14ac:dyDescent="0.35">
      <c r="A4644" s="7" t="s">
        <v>4674</v>
      </c>
      <c r="B4644" s="8">
        <v>45380</v>
      </c>
      <c r="C4644" s="9" t="s">
        <v>21</v>
      </c>
      <c r="D4644" s="9" t="s">
        <v>36</v>
      </c>
      <c r="E4644" s="9" t="s">
        <v>29</v>
      </c>
      <c r="F4644" s="9">
        <v>225</v>
      </c>
      <c r="G4644" s="9">
        <v>208.76</v>
      </c>
      <c r="H4644" s="9" t="s">
        <v>32</v>
      </c>
      <c r="I4644" s="9">
        <v>5</v>
      </c>
      <c r="J4644" s="10">
        <v>-16.239999999999998</v>
      </c>
      <c r="K4644" s="9" t="str">
        <f>TEXT(Sales_of_Jordan[[#This Row],[Sale_Date]],"mmm")</f>
        <v>Mar</v>
      </c>
    </row>
    <row r="4645" spans="1:11" x14ac:dyDescent="0.35">
      <c r="A4645" s="7" t="s">
        <v>4675</v>
      </c>
      <c r="B4645" s="8">
        <v>45369</v>
      </c>
      <c r="C4645" s="9" t="s">
        <v>11</v>
      </c>
      <c r="D4645" s="9" t="s">
        <v>46</v>
      </c>
      <c r="E4645" s="9" t="s">
        <v>18</v>
      </c>
      <c r="F4645" s="9">
        <v>227</v>
      </c>
      <c r="G4645" s="9">
        <v>536.6</v>
      </c>
      <c r="H4645" s="9" t="s">
        <v>23</v>
      </c>
      <c r="I4645" s="9">
        <v>20</v>
      </c>
      <c r="J4645" s="10">
        <v>309.60000000000002</v>
      </c>
      <c r="K4645" s="9" t="str">
        <f>TEXT(Sales_of_Jordan[[#This Row],[Sale_Date]],"mmm")</f>
        <v>Mar</v>
      </c>
    </row>
    <row r="4646" spans="1:11" x14ac:dyDescent="0.35">
      <c r="A4646" s="7" t="s">
        <v>4676</v>
      </c>
      <c r="B4646" s="8">
        <v>45253</v>
      </c>
      <c r="C4646" s="9" t="s">
        <v>21</v>
      </c>
      <c r="D4646" s="9" t="s">
        <v>46</v>
      </c>
      <c r="E4646" s="9" t="s">
        <v>18</v>
      </c>
      <c r="F4646" s="9">
        <v>211</v>
      </c>
      <c r="G4646" s="9">
        <v>507.49</v>
      </c>
      <c r="H4646" s="9" t="s">
        <v>23</v>
      </c>
      <c r="I4646" s="9">
        <v>40</v>
      </c>
      <c r="J4646" s="10">
        <v>296.49</v>
      </c>
      <c r="K4646" s="9" t="str">
        <f>TEXT(Sales_of_Jordan[[#This Row],[Sale_Date]],"mmm")</f>
        <v>Nov</v>
      </c>
    </row>
    <row r="4647" spans="1:11" x14ac:dyDescent="0.35">
      <c r="A4647" s="7" t="s">
        <v>4677</v>
      </c>
      <c r="B4647" s="8">
        <v>45175</v>
      </c>
      <c r="C4647" s="9" t="s">
        <v>31</v>
      </c>
      <c r="D4647" s="9" t="s">
        <v>17</v>
      </c>
      <c r="E4647" s="9" t="s">
        <v>13</v>
      </c>
      <c r="F4647" s="9">
        <v>208</v>
      </c>
      <c r="G4647" s="9">
        <v>111.45</v>
      </c>
      <c r="H4647" s="9" t="s">
        <v>19</v>
      </c>
      <c r="I4647" s="9">
        <v>7</v>
      </c>
      <c r="J4647" s="10">
        <v>-96.55</v>
      </c>
      <c r="K4647" s="9" t="str">
        <f>TEXT(Sales_of_Jordan[[#This Row],[Sale_Date]],"mmm")</f>
        <v>Sep</v>
      </c>
    </row>
    <row r="4648" spans="1:11" x14ac:dyDescent="0.35">
      <c r="A4648" s="7" t="s">
        <v>4678</v>
      </c>
      <c r="B4648" s="8">
        <v>45114</v>
      </c>
      <c r="C4648" s="9" t="s">
        <v>27</v>
      </c>
      <c r="D4648" s="9" t="s">
        <v>46</v>
      </c>
      <c r="E4648" s="9" t="s">
        <v>29</v>
      </c>
      <c r="F4648" s="9">
        <v>136</v>
      </c>
      <c r="G4648" s="9">
        <v>166.86</v>
      </c>
      <c r="H4648" s="9" t="s">
        <v>14</v>
      </c>
      <c r="I4648" s="9">
        <v>13</v>
      </c>
      <c r="J4648" s="10">
        <v>30.86</v>
      </c>
      <c r="K4648" s="9" t="str">
        <f>TEXT(Sales_of_Jordan[[#This Row],[Sale_Date]],"mmm")</f>
        <v>Jul</v>
      </c>
    </row>
    <row r="4649" spans="1:11" x14ac:dyDescent="0.35">
      <c r="A4649" s="7" t="s">
        <v>4679</v>
      </c>
      <c r="B4649" s="8">
        <v>45075</v>
      </c>
      <c r="C4649" s="9" t="s">
        <v>16</v>
      </c>
      <c r="D4649" s="9" t="s">
        <v>17</v>
      </c>
      <c r="E4649" s="9" t="s">
        <v>13</v>
      </c>
      <c r="F4649" s="9">
        <v>180</v>
      </c>
      <c r="G4649" s="9">
        <v>122.11</v>
      </c>
      <c r="H4649" s="9" t="s">
        <v>19</v>
      </c>
      <c r="I4649" s="9">
        <v>9</v>
      </c>
      <c r="J4649" s="10">
        <v>-57.89</v>
      </c>
      <c r="K4649" s="9" t="str">
        <f>TEXT(Sales_of_Jordan[[#This Row],[Sale_Date]],"mmm")</f>
        <v>May</v>
      </c>
    </row>
    <row r="4650" spans="1:11" x14ac:dyDescent="0.35">
      <c r="A4650" s="7" t="s">
        <v>4680</v>
      </c>
      <c r="B4650" s="8">
        <v>45019</v>
      </c>
      <c r="C4650" s="9" t="s">
        <v>27</v>
      </c>
      <c r="D4650" s="9" t="s">
        <v>22</v>
      </c>
      <c r="E4650" s="9" t="s">
        <v>13</v>
      </c>
      <c r="F4650" s="9">
        <v>118</v>
      </c>
      <c r="G4650" s="9">
        <v>69.61</v>
      </c>
      <c r="H4650" s="9" t="s">
        <v>14</v>
      </c>
      <c r="I4650" s="9">
        <v>8</v>
      </c>
      <c r="J4650" s="10">
        <v>-48.39</v>
      </c>
      <c r="K4650" s="9" t="str">
        <f>TEXT(Sales_of_Jordan[[#This Row],[Sale_Date]],"mmm")</f>
        <v>Apr</v>
      </c>
    </row>
    <row r="4651" spans="1:11" x14ac:dyDescent="0.35">
      <c r="A4651" s="7" t="s">
        <v>4681</v>
      </c>
      <c r="B4651" s="8">
        <v>45770</v>
      </c>
      <c r="C4651" s="9" t="s">
        <v>11</v>
      </c>
      <c r="D4651" s="9" t="s">
        <v>12</v>
      </c>
      <c r="E4651" s="9" t="s">
        <v>18</v>
      </c>
      <c r="F4651" s="9">
        <v>230</v>
      </c>
      <c r="G4651" s="9">
        <v>297.93</v>
      </c>
      <c r="H4651" s="9" t="s">
        <v>25</v>
      </c>
      <c r="I4651" s="9">
        <v>25</v>
      </c>
      <c r="J4651" s="10">
        <v>67.930000000000007</v>
      </c>
      <c r="K4651" s="9" t="str">
        <f>TEXT(Sales_of_Jordan[[#This Row],[Sale_Date]],"mmm")</f>
        <v>Apr</v>
      </c>
    </row>
    <row r="4652" spans="1:11" x14ac:dyDescent="0.35">
      <c r="A4652" s="7" t="s">
        <v>4682</v>
      </c>
      <c r="B4652" s="8">
        <v>45325</v>
      </c>
      <c r="C4652" s="9" t="s">
        <v>16</v>
      </c>
      <c r="D4652" s="9" t="s">
        <v>12</v>
      </c>
      <c r="E4652" s="9" t="s">
        <v>29</v>
      </c>
      <c r="F4652" s="9">
        <v>186</v>
      </c>
      <c r="G4652" s="9">
        <v>198.51</v>
      </c>
      <c r="H4652" s="9" t="s">
        <v>19</v>
      </c>
      <c r="I4652" s="9">
        <v>13</v>
      </c>
      <c r="J4652" s="10">
        <v>12.5099999999999</v>
      </c>
      <c r="K4652" s="9" t="str">
        <f>TEXT(Sales_of_Jordan[[#This Row],[Sale_Date]],"mmm")</f>
        <v>Feb</v>
      </c>
    </row>
    <row r="4653" spans="1:11" x14ac:dyDescent="0.35">
      <c r="A4653" s="7" t="s">
        <v>4683</v>
      </c>
      <c r="B4653" s="8">
        <v>45370</v>
      </c>
      <c r="C4653" s="9" t="s">
        <v>16</v>
      </c>
      <c r="D4653" s="9" t="s">
        <v>34</v>
      </c>
      <c r="E4653" s="9" t="s">
        <v>29</v>
      </c>
      <c r="F4653" s="9">
        <v>189</v>
      </c>
      <c r="G4653" s="9">
        <v>233.21</v>
      </c>
      <c r="H4653" s="9" t="s">
        <v>14</v>
      </c>
      <c r="I4653" s="9">
        <v>4</v>
      </c>
      <c r="J4653" s="10">
        <v>44.21</v>
      </c>
      <c r="K4653" s="9" t="str">
        <f>TEXT(Sales_of_Jordan[[#This Row],[Sale_Date]],"mmm")</f>
        <v>Mar</v>
      </c>
    </row>
    <row r="4654" spans="1:11" x14ac:dyDescent="0.35">
      <c r="A4654" s="7" t="s">
        <v>4684</v>
      </c>
      <c r="B4654" s="8">
        <v>45093</v>
      </c>
      <c r="C4654" s="9" t="s">
        <v>16</v>
      </c>
      <c r="D4654" s="9" t="s">
        <v>55</v>
      </c>
      <c r="E4654" s="9" t="s">
        <v>18</v>
      </c>
      <c r="F4654" s="9">
        <v>177</v>
      </c>
      <c r="G4654" s="9">
        <v>613.13</v>
      </c>
      <c r="H4654" s="9" t="s">
        <v>25</v>
      </c>
      <c r="I4654" s="9">
        <v>50</v>
      </c>
      <c r="J4654" s="10">
        <v>436.13</v>
      </c>
      <c r="K4654" s="9" t="str">
        <f>TEXT(Sales_of_Jordan[[#This Row],[Sale_Date]],"mmm")</f>
        <v>Jun</v>
      </c>
    </row>
    <row r="4655" spans="1:11" x14ac:dyDescent="0.35">
      <c r="A4655" s="7" t="s">
        <v>4685</v>
      </c>
      <c r="B4655" s="8">
        <v>45883</v>
      </c>
      <c r="C4655" s="9" t="s">
        <v>16</v>
      </c>
      <c r="D4655" s="9" t="s">
        <v>36</v>
      </c>
      <c r="E4655" s="9" t="s">
        <v>29</v>
      </c>
      <c r="F4655" s="9">
        <v>182</v>
      </c>
      <c r="G4655" s="9">
        <v>247.95</v>
      </c>
      <c r="H4655" s="9" t="s">
        <v>14</v>
      </c>
      <c r="I4655" s="9">
        <v>9</v>
      </c>
      <c r="J4655" s="10">
        <v>65.949999999999903</v>
      </c>
      <c r="K4655" s="9" t="str">
        <f>TEXT(Sales_of_Jordan[[#This Row],[Sale_Date]],"mmm")</f>
        <v>Aug</v>
      </c>
    </row>
    <row r="4656" spans="1:11" x14ac:dyDescent="0.35">
      <c r="A4656" s="7" t="s">
        <v>4686</v>
      </c>
      <c r="B4656" s="8">
        <v>45509</v>
      </c>
      <c r="C4656" s="9" t="s">
        <v>31</v>
      </c>
      <c r="D4656" s="9" t="s">
        <v>22</v>
      </c>
      <c r="E4656" s="9" t="s">
        <v>18</v>
      </c>
      <c r="F4656" s="9">
        <v>208</v>
      </c>
      <c r="G4656" s="9">
        <v>431.52</v>
      </c>
      <c r="H4656" s="9" t="s">
        <v>25</v>
      </c>
      <c r="I4656" s="9">
        <v>37</v>
      </c>
      <c r="J4656" s="10">
        <v>223.51999999999899</v>
      </c>
      <c r="K4656" s="9" t="str">
        <f>TEXT(Sales_of_Jordan[[#This Row],[Sale_Date]],"mmm")</f>
        <v>Aug</v>
      </c>
    </row>
    <row r="4657" spans="1:11" x14ac:dyDescent="0.35">
      <c r="A4657" s="7" t="s">
        <v>4687</v>
      </c>
      <c r="B4657" s="8">
        <v>45632</v>
      </c>
      <c r="C4657" s="9" t="s">
        <v>27</v>
      </c>
      <c r="D4657" s="9" t="s">
        <v>34</v>
      </c>
      <c r="E4657" s="9" t="s">
        <v>13</v>
      </c>
      <c r="F4657" s="9">
        <v>120</v>
      </c>
      <c r="G4657" s="9">
        <v>78.459999999999994</v>
      </c>
      <c r="H4657" s="9" t="s">
        <v>25</v>
      </c>
      <c r="I4657" s="9">
        <v>53</v>
      </c>
      <c r="J4657" s="10">
        <v>-41.54</v>
      </c>
      <c r="K4657" s="9" t="str">
        <f>TEXT(Sales_of_Jordan[[#This Row],[Sale_Date]],"mmm")</f>
        <v>Dec</v>
      </c>
    </row>
    <row r="4658" spans="1:11" x14ac:dyDescent="0.35">
      <c r="A4658" s="7" t="s">
        <v>4688</v>
      </c>
      <c r="B4658" s="8">
        <v>45293</v>
      </c>
      <c r="C4658" s="9" t="s">
        <v>11</v>
      </c>
      <c r="D4658" s="9" t="s">
        <v>36</v>
      </c>
      <c r="E4658" s="9" t="s">
        <v>13</v>
      </c>
      <c r="F4658" s="9">
        <v>229</v>
      </c>
      <c r="G4658" s="9">
        <v>124.93</v>
      </c>
      <c r="H4658" s="9" t="s">
        <v>25</v>
      </c>
      <c r="I4658" s="9">
        <v>9</v>
      </c>
      <c r="J4658" s="10">
        <v>-104.07</v>
      </c>
      <c r="K4658" s="9" t="str">
        <f>TEXT(Sales_of_Jordan[[#This Row],[Sale_Date]],"mmm")</f>
        <v>Jan</v>
      </c>
    </row>
    <row r="4659" spans="1:11" x14ac:dyDescent="0.35">
      <c r="A4659" s="7" t="s">
        <v>4689</v>
      </c>
      <c r="B4659" s="8">
        <v>45648</v>
      </c>
      <c r="C4659" s="9" t="s">
        <v>16</v>
      </c>
      <c r="D4659" s="9" t="s">
        <v>22</v>
      </c>
      <c r="E4659" s="9" t="s">
        <v>13</v>
      </c>
      <c r="F4659" s="9">
        <v>182</v>
      </c>
      <c r="G4659" s="9">
        <v>103.09</v>
      </c>
      <c r="H4659" s="9" t="s">
        <v>25</v>
      </c>
      <c r="I4659" s="9">
        <v>33</v>
      </c>
      <c r="J4659" s="10">
        <v>-78.91</v>
      </c>
      <c r="K4659" s="9" t="str">
        <f>TEXT(Sales_of_Jordan[[#This Row],[Sale_Date]],"mmm")</f>
        <v>Dec</v>
      </c>
    </row>
    <row r="4660" spans="1:11" x14ac:dyDescent="0.35">
      <c r="A4660" s="7" t="s">
        <v>4690</v>
      </c>
      <c r="B4660" s="8">
        <v>45742</v>
      </c>
      <c r="C4660" s="9" t="s">
        <v>11</v>
      </c>
      <c r="D4660" s="9" t="s">
        <v>46</v>
      </c>
      <c r="E4660" s="9" t="s">
        <v>18</v>
      </c>
      <c r="F4660" s="9">
        <v>228</v>
      </c>
      <c r="G4660" s="9">
        <v>760.69</v>
      </c>
      <c r="H4660" s="9" t="s">
        <v>32</v>
      </c>
      <c r="I4660" s="9">
        <v>10</v>
      </c>
      <c r="J4660" s="10">
        <v>532.69000000000005</v>
      </c>
      <c r="K4660" s="9" t="str">
        <f>TEXT(Sales_of_Jordan[[#This Row],[Sale_Date]],"mmm")</f>
        <v>Mar</v>
      </c>
    </row>
    <row r="4661" spans="1:11" x14ac:dyDescent="0.35">
      <c r="A4661" s="7" t="s">
        <v>4691</v>
      </c>
      <c r="B4661" s="8">
        <v>45772</v>
      </c>
      <c r="C4661" s="9" t="s">
        <v>27</v>
      </c>
      <c r="D4661" s="9" t="s">
        <v>34</v>
      </c>
      <c r="E4661" s="9" t="s">
        <v>13</v>
      </c>
      <c r="F4661" s="9">
        <v>113</v>
      </c>
      <c r="G4661" s="9">
        <v>71.989999999999995</v>
      </c>
      <c r="H4661" s="9" t="s">
        <v>19</v>
      </c>
      <c r="I4661" s="9">
        <v>12</v>
      </c>
      <c r="J4661" s="10">
        <v>-41.01</v>
      </c>
      <c r="K4661" s="9" t="str">
        <f>TEXT(Sales_of_Jordan[[#This Row],[Sale_Date]],"mmm")</f>
        <v>Apr</v>
      </c>
    </row>
    <row r="4662" spans="1:11" x14ac:dyDescent="0.35">
      <c r="A4662" s="7" t="s">
        <v>4692</v>
      </c>
      <c r="B4662" s="8">
        <v>45619</v>
      </c>
      <c r="C4662" s="9" t="s">
        <v>21</v>
      </c>
      <c r="D4662" s="9" t="s">
        <v>39</v>
      </c>
      <c r="E4662" s="9" t="s">
        <v>13</v>
      </c>
      <c r="F4662" s="9">
        <v>214</v>
      </c>
      <c r="G4662" s="9">
        <v>124.74</v>
      </c>
      <c r="H4662" s="9" t="s">
        <v>32</v>
      </c>
      <c r="I4662" s="9">
        <v>52</v>
      </c>
      <c r="J4662" s="10">
        <v>-89.26</v>
      </c>
      <c r="K4662" s="9" t="str">
        <f>TEXT(Sales_of_Jordan[[#This Row],[Sale_Date]],"mmm")</f>
        <v>Nov</v>
      </c>
    </row>
    <row r="4663" spans="1:11" x14ac:dyDescent="0.35">
      <c r="A4663" s="7" t="s">
        <v>4693</v>
      </c>
      <c r="B4663" s="8">
        <v>45564</v>
      </c>
      <c r="C4663" s="9" t="s">
        <v>31</v>
      </c>
      <c r="D4663" s="9" t="s">
        <v>39</v>
      </c>
      <c r="E4663" s="9" t="s">
        <v>29</v>
      </c>
      <c r="F4663" s="9">
        <v>203</v>
      </c>
      <c r="G4663" s="9">
        <v>219.41</v>
      </c>
      <c r="H4663" s="9" t="s">
        <v>25</v>
      </c>
      <c r="I4663" s="9">
        <v>52</v>
      </c>
      <c r="J4663" s="10">
        <v>16.409999999999901</v>
      </c>
      <c r="K4663" s="9" t="str">
        <f>TEXT(Sales_of_Jordan[[#This Row],[Sale_Date]],"mmm")</f>
        <v>Sep</v>
      </c>
    </row>
    <row r="4664" spans="1:11" x14ac:dyDescent="0.35">
      <c r="A4664" s="7" t="s">
        <v>4694</v>
      </c>
      <c r="B4664" s="8">
        <v>45471</v>
      </c>
      <c r="C4664" s="9" t="s">
        <v>31</v>
      </c>
      <c r="D4664" s="9" t="s">
        <v>12</v>
      </c>
      <c r="E4664" s="9" t="s">
        <v>18</v>
      </c>
      <c r="F4664" s="9">
        <v>200</v>
      </c>
      <c r="G4664" s="9">
        <v>550.28</v>
      </c>
      <c r="H4664" s="9" t="s">
        <v>14</v>
      </c>
      <c r="I4664" s="9">
        <v>5</v>
      </c>
      <c r="J4664" s="10">
        <v>350.28</v>
      </c>
      <c r="K4664" s="9" t="str">
        <f>TEXT(Sales_of_Jordan[[#This Row],[Sale_Date]],"mmm")</f>
        <v>Jun</v>
      </c>
    </row>
    <row r="4665" spans="1:11" x14ac:dyDescent="0.35">
      <c r="A4665" s="7" t="s">
        <v>4695</v>
      </c>
      <c r="B4665" s="8">
        <v>45750</v>
      </c>
      <c r="C4665" s="9" t="s">
        <v>16</v>
      </c>
      <c r="D4665" s="9" t="s">
        <v>34</v>
      </c>
      <c r="E4665" s="9" t="s">
        <v>18</v>
      </c>
      <c r="F4665" s="9">
        <v>173</v>
      </c>
      <c r="G4665" s="9">
        <v>514.70000000000005</v>
      </c>
      <c r="H4665" s="9" t="s">
        <v>32</v>
      </c>
      <c r="I4665" s="9">
        <v>51</v>
      </c>
      <c r="J4665" s="10">
        <v>341.7</v>
      </c>
      <c r="K4665" s="9" t="str">
        <f>TEXT(Sales_of_Jordan[[#This Row],[Sale_Date]],"mmm")</f>
        <v>Apr</v>
      </c>
    </row>
    <row r="4666" spans="1:11" x14ac:dyDescent="0.35">
      <c r="A4666" s="7" t="s">
        <v>4696</v>
      </c>
      <c r="B4666" s="8">
        <v>45612</v>
      </c>
      <c r="C4666" s="9" t="s">
        <v>31</v>
      </c>
      <c r="D4666" s="9" t="s">
        <v>36</v>
      </c>
      <c r="E4666" s="9" t="s">
        <v>18</v>
      </c>
      <c r="F4666" s="9">
        <v>202</v>
      </c>
      <c r="G4666" s="9">
        <v>407.18</v>
      </c>
      <c r="H4666" s="9" t="s">
        <v>25</v>
      </c>
      <c r="I4666" s="9">
        <v>48</v>
      </c>
      <c r="J4666" s="10">
        <v>205.18</v>
      </c>
      <c r="K4666" s="9" t="str">
        <f>TEXT(Sales_of_Jordan[[#This Row],[Sale_Date]],"mmm")</f>
        <v>Nov</v>
      </c>
    </row>
    <row r="4667" spans="1:11" x14ac:dyDescent="0.35">
      <c r="A4667" s="7" t="s">
        <v>4697</v>
      </c>
      <c r="B4667" s="8">
        <v>45067</v>
      </c>
      <c r="C4667" s="9" t="s">
        <v>31</v>
      </c>
      <c r="D4667" s="9" t="s">
        <v>46</v>
      </c>
      <c r="E4667" s="9" t="s">
        <v>18</v>
      </c>
      <c r="F4667" s="9">
        <v>202</v>
      </c>
      <c r="G4667" s="9">
        <v>263.17</v>
      </c>
      <c r="H4667" s="9" t="s">
        <v>25</v>
      </c>
      <c r="I4667" s="9">
        <v>44</v>
      </c>
      <c r="J4667" s="10">
        <v>61.17</v>
      </c>
      <c r="K4667" s="9" t="str">
        <f>TEXT(Sales_of_Jordan[[#This Row],[Sale_Date]],"mmm")</f>
        <v>May</v>
      </c>
    </row>
    <row r="4668" spans="1:11" x14ac:dyDescent="0.35">
      <c r="A4668" s="7" t="s">
        <v>4698</v>
      </c>
      <c r="B4668" s="8">
        <v>45901</v>
      </c>
      <c r="C4668" s="9" t="s">
        <v>16</v>
      </c>
      <c r="D4668" s="9" t="s">
        <v>12</v>
      </c>
      <c r="E4668" s="9" t="s">
        <v>29</v>
      </c>
      <c r="F4668" s="9">
        <v>189</v>
      </c>
      <c r="G4668" s="9">
        <v>220.14</v>
      </c>
      <c r="H4668" s="9" t="s">
        <v>32</v>
      </c>
      <c r="I4668" s="9">
        <v>20</v>
      </c>
      <c r="J4668" s="10">
        <v>31.139999999999901</v>
      </c>
      <c r="K4668" s="9" t="str">
        <f>TEXT(Sales_of_Jordan[[#This Row],[Sale_Date]],"mmm")</f>
        <v>Sep</v>
      </c>
    </row>
    <row r="4669" spans="1:11" x14ac:dyDescent="0.35">
      <c r="A4669" s="7" t="s">
        <v>4699</v>
      </c>
      <c r="B4669" s="8">
        <v>44943</v>
      </c>
      <c r="C4669" s="9" t="s">
        <v>31</v>
      </c>
      <c r="D4669" s="9" t="s">
        <v>34</v>
      </c>
      <c r="E4669" s="9" t="s">
        <v>18</v>
      </c>
      <c r="F4669" s="9">
        <v>208</v>
      </c>
      <c r="G4669" s="9">
        <v>682.67</v>
      </c>
      <c r="H4669" s="9" t="s">
        <v>25</v>
      </c>
      <c r="I4669" s="9">
        <v>55</v>
      </c>
      <c r="J4669" s="10">
        <v>474.66999999999899</v>
      </c>
      <c r="K4669" s="9" t="str">
        <f>TEXT(Sales_of_Jordan[[#This Row],[Sale_Date]],"mmm")</f>
        <v>Jan</v>
      </c>
    </row>
    <row r="4670" spans="1:11" x14ac:dyDescent="0.35">
      <c r="A4670" s="7" t="s">
        <v>4700</v>
      </c>
      <c r="B4670" s="8">
        <v>45869</v>
      </c>
      <c r="C4670" s="9" t="s">
        <v>31</v>
      </c>
      <c r="D4670" s="9" t="s">
        <v>17</v>
      </c>
      <c r="E4670" s="9" t="s">
        <v>29</v>
      </c>
      <c r="F4670" s="9">
        <v>202</v>
      </c>
      <c r="G4670" s="9">
        <v>254.28</v>
      </c>
      <c r="H4670" s="9" t="s">
        <v>23</v>
      </c>
      <c r="I4670" s="9">
        <v>8</v>
      </c>
      <c r="J4670" s="10">
        <v>52.28</v>
      </c>
      <c r="K4670" s="9" t="str">
        <f>TEXT(Sales_of_Jordan[[#This Row],[Sale_Date]],"mmm")</f>
        <v>Jul</v>
      </c>
    </row>
    <row r="4671" spans="1:11" x14ac:dyDescent="0.35">
      <c r="A4671" s="7" t="s">
        <v>4701</v>
      </c>
      <c r="B4671" s="8">
        <v>45895</v>
      </c>
      <c r="C4671" s="9" t="s">
        <v>27</v>
      </c>
      <c r="D4671" s="9" t="s">
        <v>17</v>
      </c>
      <c r="E4671" s="9" t="s">
        <v>13</v>
      </c>
      <c r="F4671" s="9">
        <v>130</v>
      </c>
      <c r="G4671" s="9">
        <v>84.94</v>
      </c>
      <c r="H4671" s="9" t="s">
        <v>23</v>
      </c>
      <c r="I4671" s="9">
        <v>59</v>
      </c>
      <c r="J4671" s="10">
        <v>-45.06</v>
      </c>
      <c r="K4671" s="9" t="str">
        <f>TEXT(Sales_of_Jordan[[#This Row],[Sale_Date]],"mmm")</f>
        <v>Aug</v>
      </c>
    </row>
    <row r="4672" spans="1:11" x14ac:dyDescent="0.35">
      <c r="A4672" s="7" t="s">
        <v>4702</v>
      </c>
      <c r="B4672" s="8">
        <v>45369</v>
      </c>
      <c r="C4672" s="9" t="s">
        <v>21</v>
      </c>
      <c r="D4672" s="9" t="s">
        <v>12</v>
      </c>
      <c r="E4672" s="9" t="s">
        <v>18</v>
      </c>
      <c r="F4672" s="9">
        <v>215</v>
      </c>
      <c r="G4672" s="9">
        <v>386.44</v>
      </c>
      <c r="H4672" s="9" t="s">
        <v>23</v>
      </c>
      <c r="I4672" s="9">
        <v>29</v>
      </c>
      <c r="J4672" s="10">
        <v>171.44</v>
      </c>
      <c r="K4672" s="9" t="str">
        <f>TEXT(Sales_of_Jordan[[#This Row],[Sale_Date]],"mmm")</f>
        <v>Mar</v>
      </c>
    </row>
    <row r="4673" spans="1:11" x14ac:dyDescent="0.35">
      <c r="A4673" s="7" t="s">
        <v>4703</v>
      </c>
      <c r="B4673" s="8">
        <v>44986</v>
      </c>
      <c r="C4673" s="9" t="s">
        <v>21</v>
      </c>
      <c r="D4673" s="9" t="s">
        <v>53</v>
      </c>
      <c r="E4673" s="9" t="s">
        <v>29</v>
      </c>
      <c r="F4673" s="9">
        <v>225</v>
      </c>
      <c r="G4673" s="9">
        <v>219.27</v>
      </c>
      <c r="H4673" s="9" t="s">
        <v>25</v>
      </c>
      <c r="I4673" s="9">
        <v>30</v>
      </c>
      <c r="J4673" s="10">
        <v>-5.7299999999999898</v>
      </c>
      <c r="K4673" s="9" t="str">
        <f>TEXT(Sales_of_Jordan[[#This Row],[Sale_Date]],"mmm")</f>
        <v>Mar</v>
      </c>
    </row>
    <row r="4674" spans="1:11" x14ac:dyDescent="0.35">
      <c r="A4674" s="7" t="s">
        <v>4704</v>
      </c>
      <c r="B4674" s="8">
        <v>45504</v>
      </c>
      <c r="C4674" s="9" t="s">
        <v>21</v>
      </c>
      <c r="D4674" s="9" t="s">
        <v>34</v>
      </c>
      <c r="E4674" s="9" t="s">
        <v>18</v>
      </c>
      <c r="F4674" s="9">
        <v>212</v>
      </c>
      <c r="G4674" s="9">
        <v>491.43</v>
      </c>
      <c r="H4674" s="9" t="s">
        <v>14</v>
      </c>
      <c r="I4674" s="9">
        <v>9</v>
      </c>
      <c r="J4674" s="10">
        <v>279.43</v>
      </c>
      <c r="K4674" s="9" t="str">
        <f>TEXT(Sales_of_Jordan[[#This Row],[Sale_Date]],"mmm")</f>
        <v>Jul</v>
      </c>
    </row>
    <row r="4675" spans="1:11" x14ac:dyDescent="0.35">
      <c r="A4675" s="7" t="s">
        <v>4705</v>
      </c>
      <c r="B4675" s="8">
        <v>45175</v>
      </c>
      <c r="C4675" s="9" t="s">
        <v>27</v>
      </c>
      <c r="D4675" s="9" t="s">
        <v>36</v>
      </c>
      <c r="E4675" s="9" t="s">
        <v>13</v>
      </c>
      <c r="F4675" s="9">
        <v>124</v>
      </c>
      <c r="G4675" s="9">
        <v>96.87</v>
      </c>
      <c r="H4675" s="9" t="s">
        <v>25</v>
      </c>
      <c r="I4675" s="9">
        <v>24</v>
      </c>
      <c r="J4675" s="10">
        <v>-27.1299999999999</v>
      </c>
      <c r="K4675" s="9" t="str">
        <f>TEXT(Sales_of_Jordan[[#This Row],[Sale_Date]],"mmm")</f>
        <v>Sep</v>
      </c>
    </row>
    <row r="4676" spans="1:11" x14ac:dyDescent="0.35">
      <c r="A4676" s="7" t="s">
        <v>4706</v>
      </c>
      <c r="B4676" s="8">
        <v>45732</v>
      </c>
      <c r="C4676" s="9" t="s">
        <v>11</v>
      </c>
      <c r="D4676" s="9" t="s">
        <v>46</v>
      </c>
      <c r="E4676" s="9" t="s">
        <v>29</v>
      </c>
      <c r="F4676" s="9">
        <v>226</v>
      </c>
      <c r="G4676" s="9">
        <v>213.94</v>
      </c>
      <c r="H4676" s="9" t="s">
        <v>32</v>
      </c>
      <c r="I4676" s="9">
        <v>42</v>
      </c>
      <c r="J4676" s="10">
        <v>-12.06</v>
      </c>
      <c r="K4676" s="9" t="str">
        <f>TEXT(Sales_of_Jordan[[#This Row],[Sale_Date]],"mmm")</f>
        <v>Mar</v>
      </c>
    </row>
    <row r="4677" spans="1:11" x14ac:dyDescent="0.35">
      <c r="A4677" s="7" t="s">
        <v>4707</v>
      </c>
      <c r="B4677" s="8">
        <v>45913</v>
      </c>
      <c r="C4677" s="9" t="s">
        <v>21</v>
      </c>
      <c r="D4677" s="9" t="s">
        <v>46</v>
      </c>
      <c r="E4677" s="9" t="s">
        <v>18</v>
      </c>
      <c r="F4677" s="9">
        <v>216</v>
      </c>
      <c r="G4677" s="9">
        <v>635.49</v>
      </c>
      <c r="H4677" s="9" t="s">
        <v>14</v>
      </c>
      <c r="I4677" s="9">
        <v>12</v>
      </c>
      <c r="J4677" s="10">
        <v>419.49</v>
      </c>
      <c r="K4677" s="9" t="str">
        <f>TEXT(Sales_of_Jordan[[#This Row],[Sale_Date]],"mmm")</f>
        <v>Sep</v>
      </c>
    </row>
    <row r="4678" spans="1:11" x14ac:dyDescent="0.35">
      <c r="A4678" s="7" t="s">
        <v>4708</v>
      </c>
      <c r="B4678" s="8">
        <v>45109</v>
      </c>
      <c r="C4678" s="9" t="s">
        <v>21</v>
      </c>
      <c r="D4678" s="9" t="s">
        <v>53</v>
      </c>
      <c r="E4678" s="9" t="s">
        <v>29</v>
      </c>
      <c r="F4678" s="9">
        <v>225</v>
      </c>
      <c r="G4678" s="9">
        <v>262.33</v>
      </c>
      <c r="H4678" s="9" t="s">
        <v>23</v>
      </c>
      <c r="I4678" s="9">
        <v>25</v>
      </c>
      <c r="J4678" s="10">
        <v>37.329999999999899</v>
      </c>
      <c r="K4678" s="9" t="str">
        <f>TEXT(Sales_of_Jordan[[#This Row],[Sale_Date]],"mmm")</f>
        <v>Jul</v>
      </c>
    </row>
    <row r="4679" spans="1:11" x14ac:dyDescent="0.35">
      <c r="A4679" s="7" t="s">
        <v>4709</v>
      </c>
      <c r="B4679" s="8">
        <v>45228</v>
      </c>
      <c r="C4679" s="9" t="s">
        <v>31</v>
      </c>
      <c r="D4679" s="9" t="s">
        <v>36</v>
      </c>
      <c r="E4679" s="9" t="s">
        <v>13</v>
      </c>
      <c r="F4679" s="9">
        <v>202</v>
      </c>
      <c r="G4679" s="9">
        <v>148.66</v>
      </c>
      <c r="H4679" s="9" t="s">
        <v>14</v>
      </c>
      <c r="I4679" s="9">
        <v>2</v>
      </c>
      <c r="J4679" s="10">
        <v>-53.34</v>
      </c>
      <c r="K4679" s="9" t="str">
        <f>TEXT(Sales_of_Jordan[[#This Row],[Sale_Date]],"mmm")</f>
        <v>Oct</v>
      </c>
    </row>
    <row r="4680" spans="1:11" x14ac:dyDescent="0.35">
      <c r="A4680" s="7" t="s">
        <v>4710</v>
      </c>
      <c r="B4680" s="8">
        <v>45751</v>
      </c>
      <c r="C4680" s="9" t="s">
        <v>31</v>
      </c>
      <c r="D4680" s="9" t="s">
        <v>17</v>
      </c>
      <c r="E4680" s="9" t="s">
        <v>29</v>
      </c>
      <c r="F4680" s="9">
        <v>202</v>
      </c>
      <c r="G4680" s="9">
        <v>232.71</v>
      </c>
      <c r="H4680" s="9" t="s">
        <v>25</v>
      </c>
      <c r="I4680" s="9">
        <v>17</v>
      </c>
      <c r="J4680" s="10">
        <v>30.71</v>
      </c>
      <c r="K4680" s="9" t="str">
        <f>TEXT(Sales_of_Jordan[[#This Row],[Sale_Date]],"mmm")</f>
        <v>Apr</v>
      </c>
    </row>
    <row r="4681" spans="1:11" x14ac:dyDescent="0.35">
      <c r="A4681" s="7" t="s">
        <v>4711</v>
      </c>
      <c r="B4681" s="8">
        <v>45845</v>
      </c>
      <c r="C4681" s="9" t="s">
        <v>31</v>
      </c>
      <c r="D4681" s="9" t="s">
        <v>55</v>
      </c>
      <c r="E4681" s="9" t="s">
        <v>29</v>
      </c>
      <c r="F4681" s="9">
        <v>205</v>
      </c>
      <c r="G4681" s="9">
        <v>205.76</v>
      </c>
      <c r="H4681" s="9" t="s">
        <v>25</v>
      </c>
      <c r="I4681" s="9">
        <v>54</v>
      </c>
      <c r="J4681" s="10">
        <v>0.75999999999999002</v>
      </c>
      <c r="K4681" s="9" t="str">
        <f>TEXT(Sales_of_Jordan[[#This Row],[Sale_Date]],"mmm")</f>
        <v>Jul</v>
      </c>
    </row>
    <row r="4682" spans="1:11" x14ac:dyDescent="0.35">
      <c r="A4682" s="7" t="s">
        <v>4712</v>
      </c>
      <c r="B4682" s="8">
        <v>45384</v>
      </c>
      <c r="C4682" s="9" t="s">
        <v>11</v>
      </c>
      <c r="D4682" s="9" t="s">
        <v>46</v>
      </c>
      <c r="E4682" s="9" t="s">
        <v>13</v>
      </c>
      <c r="F4682" s="9">
        <v>229</v>
      </c>
      <c r="G4682" s="9">
        <v>171.21</v>
      </c>
      <c r="H4682" s="9" t="s">
        <v>19</v>
      </c>
      <c r="I4682" s="9">
        <v>1</v>
      </c>
      <c r="J4682" s="10">
        <v>-57.7899999999999</v>
      </c>
      <c r="K4682" s="9" t="str">
        <f>TEXT(Sales_of_Jordan[[#This Row],[Sale_Date]],"mmm")</f>
        <v>Apr</v>
      </c>
    </row>
    <row r="4683" spans="1:11" x14ac:dyDescent="0.35">
      <c r="A4683" s="7" t="s">
        <v>4713</v>
      </c>
      <c r="B4683" s="8">
        <v>45503</v>
      </c>
      <c r="C4683" s="9" t="s">
        <v>16</v>
      </c>
      <c r="D4683" s="9" t="s">
        <v>53</v>
      </c>
      <c r="E4683" s="9" t="s">
        <v>13</v>
      </c>
      <c r="F4683" s="9">
        <v>189</v>
      </c>
      <c r="G4683" s="9">
        <v>110.31</v>
      </c>
      <c r="H4683" s="9" t="s">
        <v>19</v>
      </c>
      <c r="I4683" s="9">
        <v>4</v>
      </c>
      <c r="J4683" s="10">
        <v>-78.69</v>
      </c>
      <c r="K4683" s="9" t="str">
        <f>TEXT(Sales_of_Jordan[[#This Row],[Sale_Date]],"mmm")</f>
        <v>Jul</v>
      </c>
    </row>
    <row r="4684" spans="1:11" x14ac:dyDescent="0.35">
      <c r="A4684" s="7" t="s">
        <v>4714</v>
      </c>
      <c r="B4684" s="8">
        <v>45326</v>
      </c>
      <c r="C4684" s="9" t="s">
        <v>16</v>
      </c>
      <c r="D4684" s="9" t="s">
        <v>36</v>
      </c>
      <c r="E4684" s="9" t="s">
        <v>13</v>
      </c>
      <c r="F4684" s="9">
        <v>174</v>
      </c>
      <c r="G4684" s="9">
        <v>140.69999999999999</v>
      </c>
      <c r="H4684" s="9" t="s">
        <v>25</v>
      </c>
      <c r="I4684" s="9">
        <v>24</v>
      </c>
      <c r="J4684" s="10">
        <v>-33.299999999999997</v>
      </c>
      <c r="K4684" s="9" t="str">
        <f>TEXT(Sales_of_Jordan[[#This Row],[Sale_Date]],"mmm")</f>
        <v>Feb</v>
      </c>
    </row>
    <row r="4685" spans="1:11" x14ac:dyDescent="0.35">
      <c r="A4685" s="7" t="s">
        <v>4715</v>
      </c>
      <c r="B4685" s="8">
        <v>45196</v>
      </c>
      <c r="C4685" s="9" t="s">
        <v>21</v>
      </c>
      <c r="D4685" s="9" t="s">
        <v>55</v>
      </c>
      <c r="E4685" s="9" t="s">
        <v>13</v>
      </c>
      <c r="F4685" s="9">
        <v>223</v>
      </c>
      <c r="G4685" s="9">
        <v>119.18</v>
      </c>
      <c r="H4685" s="9" t="s">
        <v>19</v>
      </c>
      <c r="I4685" s="9">
        <v>5</v>
      </c>
      <c r="J4685" s="10">
        <v>-103.82</v>
      </c>
      <c r="K4685" s="9" t="str">
        <f>TEXT(Sales_of_Jordan[[#This Row],[Sale_Date]],"mmm")</f>
        <v>Sep</v>
      </c>
    </row>
    <row r="4686" spans="1:11" x14ac:dyDescent="0.35">
      <c r="A4686" s="7" t="s">
        <v>4716</v>
      </c>
      <c r="B4686" s="8">
        <v>45489</v>
      </c>
      <c r="C4686" s="9" t="s">
        <v>27</v>
      </c>
      <c r="D4686" s="9" t="s">
        <v>17</v>
      </c>
      <c r="E4686" s="9" t="s">
        <v>13</v>
      </c>
      <c r="F4686" s="9">
        <v>115</v>
      </c>
      <c r="G4686" s="9">
        <v>77.12</v>
      </c>
      <c r="H4686" s="9" t="s">
        <v>25</v>
      </c>
      <c r="I4686" s="9">
        <v>10</v>
      </c>
      <c r="J4686" s="10">
        <v>-37.879999999999903</v>
      </c>
      <c r="K4686" s="9" t="str">
        <f>TEXT(Sales_of_Jordan[[#This Row],[Sale_Date]],"mmm")</f>
        <v>Jul</v>
      </c>
    </row>
    <row r="4687" spans="1:11" x14ac:dyDescent="0.35">
      <c r="A4687" s="7" t="s">
        <v>4717</v>
      </c>
      <c r="B4687" s="8">
        <v>45027</v>
      </c>
      <c r="C4687" s="9" t="s">
        <v>27</v>
      </c>
      <c r="D4687" s="9" t="s">
        <v>34</v>
      </c>
      <c r="E4687" s="9" t="s">
        <v>18</v>
      </c>
      <c r="F4687" s="9">
        <v>111</v>
      </c>
      <c r="G4687" s="9">
        <v>300.31</v>
      </c>
      <c r="H4687" s="9" t="s">
        <v>23</v>
      </c>
      <c r="I4687" s="9">
        <v>27</v>
      </c>
      <c r="J4687" s="10">
        <v>189.31</v>
      </c>
      <c r="K4687" s="9" t="str">
        <f>TEXT(Sales_of_Jordan[[#This Row],[Sale_Date]],"mmm")</f>
        <v>Apr</v>
      </c>
    </row>
    <row r="4688" spans="1:11" x14ac:dyDescent="0.35">
      <c r="A4688" s="7" t="s">
        <v>4718</v>
      </c>
      <c r="B4688" s="8">
        <v>45907</v>
      </c>
      <c r="C4688" s="9" t="s">
        <v>21</v>
      </c>
      <c r="D4688" s="9" t="s">
        <v>55</v>
      </c>
      <c r="E4688" s="9" t="s">
        <v>13</v>
      </c>
      <c r="F4688" s="9">
        <v>216</v>
      </c>
      <c r="G4688" s="9">
        <v>122.8</v>
      </c>
      <c r="H4688" s="9" t="s">
        <v>32</v>
      </c>
      <c r="I4688" s="9">
        <v>5</v>
      </c>
      <c r="J4688" s="10">
        <v>-93.2</v>
      </c>
      <c r="K4688" s="9" t="str">
        <f>TEXT(Sales_of_Jordan[[#This Row],[Sale_Date]],"mmm")</f>
        <v>Sep</v>
      </c>
    </row>
    <row r="4689" spans="1:11" x14ac:dyDescent="0.35">
      <c r="A4689" s="7" t="s">
        <v>4719</v>
      </c>
      <c r="B4689" s="8">
        <v>45221</v>
      </c>
      <c r="C4689" s="9" t="s">
        <v>21</v>
      </c>
      <c r="D4689" s="9" t="s">
        <v>53</v>
      </c>
      <c r="E4689" s="9" t="s">
        <v>13</v>
      </c>
      <c r="F4689" s="9">
        <v>214</v>
      </c>
      <c r="G4689" s="9">
        <v>162.4</v>
      </c>
      <c r="H4689" s="9" t="s">
        <v>32</v>
      </c>
      <c r="I4689" s="9">
        <v>5</v>
      </c>
      <c r="J4689" s="10">
        <v>-51.599999999999902</v>
      </c>
      <c r="K4689" s="9" t="str">
        <f>TEXT(Sales_of_Jordan[[#This Row],[Sale_Date]],"mmm")</f>
        <v>Oct</v>
      </c>
    </row>
    <row r="4690" spans="1:11" x14ac:dyDescent="0.35">
      <c r="A4690" s="7" t="s">
        <v>4720</v>
      </c>
      <c r="B4690" s="8">
        <v>45036</v>
      </c>
      <c r="C4690" s="9" t="s">
        <v>27</v>
      </c>
      <c r="D4690" s="9" t="s">
        <v>22</v>
      </c>
      <c r="E4690" s="9" t="s">
        <v>18</v>
      </c>
      <c r="F4690" s="9">
        <v>114</v>
      </c>
      <c r="G4690" s="9">
        <v>152.96</v>
      </c>
      <c r="H4690" s="9" t="s">
        <v>19</v>
      </c>
      <c r="I4690" s="9">
        <v>6</v>
      </c>
      <c r="J4690" s="10">
        <v>38.96</v>
      </c>
      <c r="K4690" s="9" t="str">
        <f>TEXT(Sales_of_Jordan[[#This Row],[Sale_Date]],"mmm")</f>
        <v>Apr</v>
      </c>
    </row>
    <row r="4691" spans="1:11" x14ac:dyDescent="0.35">
      <c r="A4691" s="7" t="s">
        <v>4721</v>
      </c>
      <c r="B4691" s="8">
        <v>45000</v>
      </c>
      <c r="C4691" s="9" t="s">
        <v>27</v>
      </c>
      <c r="D4691" s="9" t="s">
        <v>39</v>
      </c>
      <c r="E4691" s="9" t="s">
        <v>29</v>
      </c>
      <c r="F4691" s="9">
        <v>110</v>
      </c>
      <c r="G4691" s="9">
        <v>163.08000000000001</v>
      </c>
      <c r="H4691" s="9" t="s">
        <v>25</v>
      </c>
      <c r="I4691" s="9">
        <v>45</v>
      </c>
      <c r="J4691" s="10">
        <v>53.08</v>
      </c>
      <c r="K4691" s="9" t="str">
        <f>TEXT(Sales_of_Jordan[[#This Row],[Sale_Date]],"mmm")</f>
        <v>Mar</v>
      </c>
    </row>
    <row r="4692" spans="1:11" x14ac:dyDescent="0.35">
      <c r="A4692" s="7" t="s">
        <v>4722</v>
      </c>
      <c r="B4692" s="8">
        <v>45440</v>
      </c>
      <c r="C4692" s="9" t="s">
        <v>27</v>
      </c>
      <c r="D4692" s="9" t="s">
        <v>36</v>
      </c>
      <c r="E4692" s="9" t="s">
        <v>18</v>
      </c>
      <c r="F4692" s="9">
        <v>123</v>
      </c>
      <c r="G4692" s="9">
        <v>345.01</v>
      </c>
      <c r="H4692" s="9" t="s">
        <v>23</v>
      </c>
      <c r="I4692" s="9">
        <v>49</v>
      </c>
      <c r="J4692" s="10">
        <v>222.01</v>
      </c>
      <c r="K4692" s="9" t="str">
        <f>TEXT(Sales_of_Jordan[[#This Row],[Sale_Date]],"mmm")</f>
        <v>May</v>
      </c>
    </row>
    <row r="4693" spans="1:11" x14ac:dyDescent="0.35">
      <c r="A4693" s="7" t="s">
        <v>4723</v>
      </c>
      <c r="B4693" s="8">
        <v>45492</v>
      </c>
      <c r="C4693" s="9" t="s">
        <v>11</v>
      </c>
      <c r="D4693" s="9" t="s">
        <v>55</v>
      </c>
      <c r="E4693" s="9" t="s">
        <v>18</v>
      </c>
      <c r="F4693" s="9">
        <v>227</v>
      </c>
      <c r="G4693" s="9">
        <v>521.27</v>
      </c>
      <c r="H4693" s="9" t="s">
        <v>23</v>
      </c>
      <c r="I4693" s="9">
        <v>16</v>
      </c>
      <c r="J4693" s="10">
        <v>294.27</v>
      </c>
      <c r="K4693" s="9" t="str">
        <f>TEXT(Sales_of_Jordan[[#This Row],[Sale_Date]],"mmm")</f>
        <v>Jul</v>
      </c>
    </row>
    <row r="4694" spans="1:11" x14ac:dyDescent="0.35">
      <c r="A4694" s="7" t="s">
        <v>4724</v>
      </c>
      <c r="B4694" s="8">
        <v>45242</v>
      </c>
      <c r="C4694" s="9" t="s">
        <v>31</v>
      </c>
      <c r="D4694" s="9" t="s">
        <v>12</v>
      </c>
      <c r="E4694" s="9" t="s">
        <v>29</v>
      </c>
      <c r="F4694" s="9">
        <v>208</v>
      </c>
      <c r="G4694" s="9">
        <v>251.46</v>
      </c>
      <c r="H4694" s="9" t="s">
        <v>23</v>
      </c>
      <c r="I4694" s="9">
        <v>6</v>
      </c>
      <c r="J4694" s="10">
        <v>43.46</v>
      </c>
      <c r="K4694" s="9" t="str">
        <f>TEXT(Sales_of_Jordan[[#This Row],[Sale_Date]],"mmm")</f>
        <v>Nov</v>
      </c>
    </row>
    <row r="4695" spans="1:11" x14ac:dyDescent="0.35">
      <c r="A4695" s="7" t="s">
        <v>4725</v>
      </c>
      <c r="B4695" s="8">
        <v>45256</v>
      </c>
      <c r="C4695" s="9" t="s">
        <v>21</v>
      </c>
      <c r="D4695" s="9" t="s">
        <v>36</v>
      </c>
      <c r="E4695" s="9" t="s">
        <v>13</v>
      </c>
      <c r="F4695" s="9">
        <v>221</v>
      </c>
      <c r="G4695" s="9">
        <v>167.94</v>
      </c>
      <c r="H4695" s="9" t="s">
        <v>32</v>
      </c>
      <c r="I4695" s="9">
        <v>50</v>
      </c>
      <c r="J4695" s="10">
        <v>-53.06</v>
      </c>
      <c r="K4695" s="9" t="str">
        <f>TEXT(Sales_of_Jordan[[#This Row],[Sale_Date]],"mmm")</f>
        <v>Nov</v>
      </c>
    </row>
    <row r="4696" spans="1:11" x14ac:dyDescent="0.35">
      <c r="A4696" s="7" t="s">
        <v>4726</v>
      </c>
      <c r="B4696" s="8">
        <v>45506</v>
      </c>
      <c r="C4696" s="9" t="s">
        <v>21</v>
      </c>
      <c r="D4696" s="9" t="s">
        <v>36</v>
      </c>
      <c r="E4696" s="9" t="s">
        <v>29</v>
      </c>
      <c r="F4696" s="9">
        <v>225</v>
      </c>
      <c r="G4696" s="9">
        <v>230.37</v>
      </c>
      <c r="H4696" s="9" t="s">
        <v>32</v>
      </c>
      <c r="I4696" s="9">
        <v>26</v>
      </c>
      <c r="J4696" s="10">
        <v>5.37</v>
      </c>
      <c r="K4696" s="9" t="str">
        <f>TEXT(Sales_of_Jordan[[#This Row],[Sale_Date]],"mmm")</f>
        <v>Aug</v>
      </c>
    </row>
    <row r="4697" spans="1:11" x14ac:dyDescent="0.35">
      <c r="A4697" s="7" t="s">
        <v>4727</v>
      </c>
      <c r="B4697" s="8">
        <v>45815</v>
      </c>
      <c r="C4697" s="9" t="s">
        <v>16</v>
      </c>
      <c r="D4697" s="9" t="s">
        <v>53</v>
      </c>
      <c r="E4697" s="9" t="s">
        <v>18</v>
      </c>
      <c r="F4697" s="9">
        <v>176</v>
      </c>
      <c r="G4697" s="9">
        <v>455.52</v>
      </c>
      <c r="H4697" s="9" t="s">
        <v>25</v>
      </c>
      <c r="I4697" s="9">
        <v>49</v>
      </c>
      <c r="J4697" s="10">
        <v>279.52</v>
      </c>
      <c r="K4697" s="9" t="str">
        <f>TEXT(Sales_of_Jordan[[#This Row],[Sale_Date]],"mmm")</f>
        <v>Jun</v>
      </c>
    </row>
    <row r="4698" spans="1:11" x14ac:dyDescent="0.35">
      <c r="A4698" s="7" t="s">
        <v>4728</v>
      </c>
      <c r="B4698" s="8">
        <v>45777</v>
      </c>
      <c r="C4698" s="9" t="s">
        <v>27</v>
      </c>
      <c r="D4698" s="9" t="s">
        <v>17</v>
      </c>
      <c r="E4698" s="9" t="s">
        <v>18</v>
      </c>
      <c r="F4698" s="9">
        <v>125</v>
      </c>
      <c r="G4698" s="9">
        <v>323.14999999999998</v>
      </c>
      <c r="H4698" s="9" t="s">
        <v>25</v>
      </c>
      <c r="I4698" s="9">
        <v>5</v>
      </c>
      <c r="J4698" s="10">
        <v>198.14999999999901</v>
      </c>
      <c r="K4698" s="9" t="str">
        <f>TEXT(Sales_of_Jordan[[#This Row],[Sale_Date]],"mmm")</f>
        <v>Apr</v>
      </c>
    </row>
    <row r="4699" spans="1:11" x14ac:dyDescent="0.35">
      <c r="A4699" s="7" t="s">
        <v>4729</v>
      </c>
      <c r="B4699" s="8">
        <v>45885</v>
      </c>
      <c r="C4699" s="9" t="s">
        <v>16</v>
      </c>
      <c r="D4699" s="9" t="s">
        <v>39</v>
      </c>
      <c r="E4699" s="9" t="s">
        <v>13</v>
      </c>
      <c r="F4699" s="9">
        <v>184</v>
      </c>
      <c r="G4699" s="9">
        <v>114.31</v>
      </c>
      <c r="H4699" s="9" t="s">
        <v>19</v>
      </c>
      <c r="I4699" s="9">
        <v>5</v>
      </c>
      <c r="J4699" s="10">
        <v>-69.69</v>
      </c>
      <c r="K4699" s="9" t="str">
        <f>TEXT(Sales_of_Jordan[[#This Row],[Sale_Date]],"mmm")</f>
        <v>Aug</v>
      </c>
    </row>
    <row r="4700" spans="1:11" x14ac:dyDescent="0.35">
      <c r="A4700" s="7" t="s">
        <v>4730</v>
      </c>
      <c r="B4700" s="8">
        <v>45455</v>
      </c>
      <c r="C4700" s="9" t="s">
        <v>31</v>
      </c>
      <c r="D4700" s="9" t="s">
        <v>12</v>
      </c>
      <c r="E4700" s="9" t="s">
        <v>29</v>
      </c>
      <c r="F4700" s="9">
        <v>203</v>
      </c>
      <c r="G4700" s="9">
        <v>225.48</v>
      </c>
      <c r="H4700" s="9" t="s">
        <v>25</v>
      </c>
      <c r="I4700" s="9">
        <v>44</v>
      </c>
      <c r="J4700" s="10">
        <v>22.479999999999901</v>
      </c>
      <c r="K4700" s="9" t="str">
        <f>TEXT(Sales_of_Jordan[[#This Row],[Sale_Date]],"mmm")</f>
        <v>Jun</v>
      </c>
    </row>
    <row r="4701" spans="1:11" x14ac:dyDescent="0.35">
      <c r="A4701" s="7" t="s">
        <v>4731</v>
      </c>
      <c r="B4701" s="8">
        <v>45285</v>
      </c>
      <c r="C4701" s="9" t="s">
        <v>11</v>
      </c>
      <c r="D4701" s="9" t="s">
        <v>34</v>
      </c>
      <c r="E4701" s="9" t="s">
        <v>29</v>
      </c>
      <c r="F4701" s="9">
        <v>227</v>
      </c>
      <c r="G4701" s="9">
        <v>337.43</v>
      </c>
      <c r="H4701" s="9" t="s">
        <v>32</v>
      </c>
      <c r="I4701" s="9">
        <v>8</v>
      </c>
      <c r="J4701" s="10">
        <v>110.43</v>
      </c>
      <c r="K4701" s="9" t="str">
        <f>TEXT(Sales_of_Jordan[[#This Row],[Sale_Date]],"mmm")</f>
        <v>Dec</v>
      </c>
    </row>
    <row r="4702" spans="1:11" x14ac:dyDescent="0.35">
      <c r="A4702" s="7" t="s">
        <v>4732</v>
      </c>
      <c r="B4702" s="8">
        <v>45280</v>
      </c>
      <c r="C4702" s="9" t="s">
        <v>16</v>
      </c>
      <c r="D4702" s="9" t="s">
        <v>34</v>
      </c>
      <c r="E4702" s="9" t="s">
        <v>29</v>
      </c>
      <c r="F4702" s="9">
        <v>183</v>
      </c>
      <c r="G4702" s="9">
        <v>175.73</v>
      </c>
      <c r="H4702" s="9" t="s">
        <v>14</v>
      </c>
      <c r="I4702" s="9">
        <v>5</v>
      </c>
      <c r="J4702" s="10">
        <v>-7.2700000000000102</v>
      </c>
      <c r="K4702" s="9" t="str">
        <f>TEXT(Sales_of_Jordan[[#This Row],[Sale_Date]],"mmm")</f>
        <v>Dec</v>
      </c>
    </row>
    <row r="4703" spans="1:11" x14ac:dyDescent="0.35">
      <c r="A4703" s="7" t="s">
        <v>4733</v>
      </c>
      <c r="B4703" s="8">
        <v>45342</v>
      </c>
      <c r="C4703" s="9" t="s">
        <v>21</v>
      </c>
      <c r="D4703" s="9" t="s">
        <v>55</v>
      </c>
      <c r="E4703" s="9" t="s">
        <v>13</v>
      </c>
      <c r="F4703" s="9">
        <v>215</v>
      </c>
      <c r="G4703" s="9">
        <v>187.27</v>
      </c>
      <c r="H4703" s="9" t="s">
        <v>32</v>
      </c>
      <c r="I4703" s="9">
        <v>42</v>
      </c>
      <c r="J4703" s="10">
        <v>-27.729999999999901</v>
      </c>
      <c r="K4703" s="9" t="str">
        <f>TEXT(Sales_of_Jordan[[#This Row],[Sale_Date]],"mmm")</f>
        <v>Feb</v>
      </c>
    </row>
    <row r="4704" spans="1:11" x14ac:dyDescent="0.35">
      <c r="A4704" s="7" t="s">
        <v>4734</v>
      </c>
      <c r="B4704" s="8">
        <v>45879</v>
      </c>
      <c r="C4704" s="9" t="s">
        <v>31</v>
      </c>
      <c r="D4704" s="9" t="s">
        <v>39</v>
      </c>
      <c r="E4704" s="9" t="s">
        <v>18</v>
      </c>
      <c r="F4704" s="9">
        <v>209</v>
      </c>
      <c r="G4704" s="9">
        <v>510.46</v>
      </c>
      <c r="H4704" s="9" t="s">
        <v>23</v>
      </c>
      <c r="I4704" s="9">
        <v>48</v>
      </c>
      <c r="J4704" s="10">
        <v>301.45999999999998</v>
      </c>
      <c r="K4704" s="9" t="str">
        <f>TEXT(Sales_of_Jordan[[#This Row],[Sale_Date]],"mmm")</f>
        <v>Aug</v>
      </c>
    </row>
    <row r="4705" spans="1:11" x14ac:dyDescent="0.35">
      <c r="A4705" s="7" t="s">
        <v>4735</v>
      </c>
      <c r="B4705" s="8">
        <v>44984</v>
      </c>
      <c r="C4705" s="9" t="s">
        <v>27</v>
      </c>
      <c r="D4705" s="9" t="s">
        <v>36</v>
      </c>
      <c r="E4705" s="9" t="s">
        <v>29</v>
      </c>
      <c r="F4705" s="9">
        <v>132</v>
      </c>
      <c r="G4705" s="9">
        <v>154.72999999999999</v>
      </c>
      <c r="H4705" s="9" t="s">
        <v>32</v>
      </c>
      <c r="I4705" s="9">
        <v>35</v>
      </c>
      <c r="J4705" s="10">
        <v>22.729999999999901</v>
      </c>
      <c r="K4705" s="9" t="str">
        <f>TEXT(Sales_of_Jordan[[#This Row],[Sale_Date]],"mmm")</f>
        <v>Feb</v>
      </c>
    </row>
    <row r="4706" spans="1:11" x14ac:dyDescent="0.35">
      <c r="A4706" s="7" t="s">
        <v>4736</v>
      </c>
      <c r="B4706" s="8">
        <v>45032</v>
      </c>
      <c r="C4706" s="9" t="s">
        <v>27</v>
      </c>
      <c r="D4706" s="9" t="s">
        <v>17</v>
      </c>
      <c r="E4706" s="9" t="s">
        <v>13</v>
      </c>
      <c r="F4706" s="9">
        <v>114</v>
      </c>
      <c r="G4706" s="9">
        <v>95.11</v>
      </c>
      <c r="H4706" s="9" t="s">
        <v>25</v>
      </c>
      <c r="I4706" s="9">
        <v>30</v>
      </c>
      <c r="J4706" s="10">
        <v>-18.89</v>
      </c>
      <c r="K4706" s="9" t="str">
        <f>TEXT(Sales_of_Jordan[[#This Row],[Sale_Date]],"mmm")</f>
        <v>Apr</v>
      </c>
    </row>
    <row r="4707" spans="1:11" x14ac:dyDescent="0.35">
      <c r="A4707" s="7" t="s">
        <v>4737</v>
      </c>
      <c r="B4707" s="8">
        <v>45050</v>
      </c>
      <c r="C4707" s="9" t="s">
        <v>11</v>
      </c>
      <c r="D4707" s="9" t="s">
        <v>34</v>
      </c>
      <c r="E4707" s="9" t="s">
        <v>13</v>
      </c>
      <c r="F4707" s="9">
        <v>226</v>
      </c>
      <c r="G4707" s="9">
        <v>157.87</v>
      </c>
      <c r="H4707" s="9" t="s">
        <v>32</v>
      </c>
      <c r="I4707" s="9">
        <v>54</v>
      </c>
      <c r="J4707" s="10">
        <v>-68.13</v>
      </c>
      <c r="K4707" s="9" t="str">
        <f>TEXT(Sales_of_Jordan[[#This Row],[Sale_Date]],"mmm")</f>
        <v>May</v>
      </c>
    </row>
    <row r="4708" spans="1:11" x14ac:dyDescent="0.35">
      <c r="A4708" s="7" t="s">
        <v>4738</v>
      </c>
      <c r="B4708" s="8">
        <v>45920</v>
      </c>
      <c r="C4708" s="9" t="s">
        <v>21</v>
      </c>
      <c r="D4708" s="9" t="s">
        <v>46</v>
      </c>
      <c r="E4708" s="9" t="s">
        <v>18</v>
      </c>
      <c r="F4708" s="9">
        <v>221</v>
      </c>
      <c r="G4708" s="9">
        <v>457.72</v>
      </c>
      <c r="H4708" s="9" t="s">
        <v>32</v>
      </c>
      <c r="I4708" s="9">
        <v>37</v>
      </c>
      <c r="J4708" s="10">
        <v>236.72</v>
      </c>
      <c r="K4708" s="9" t="str">
        <f>TEXT(Sales_of_Jordan[[#This Row],[Sale_Date]],"mmm")</f>
        <v>Sep</v>
      </c>
    </row>
    <row r="4709" spans="1:11" x14ac:dyDescent="0.35">
      <c r="A4709" s="7" t="s">
        <v>4739</v>
      </c>
      <c r="B4709" s="8">
        <v>45293</v>
      </c>
      <c r="C4709" s="9" t="s">
        <v>11</v>
      </c>
      <c r="D4709" s="9" t="s">
        <v>39</v>
      </c>
      <c r="E4709" s="9" t="s">
        <v>29</v>
      </c>
      <c r="F4709" s="9">
        <v>230</v>
      </c>
      <c r="G4709" s="9">
        <v>236.08</v>
      </c>
      <c r="H4709" s="9" t="s">
        <v>19</v>
      </c>
      <c r="I4709" s="9">
        <v>6</v>
      </c>
      <c r="J4709" s="10">
        <v>6.0800000000000098</v>
      </c>
      <c r="K4709" s="9" t="str">
        <f>TEXT(Sales_of_Jordan[[#This Row],[Sale_Date]],"mmm")</f>
        <v>Jan</v>
      </c>
    </row>
    <row r="4710" spans="1:11" x14ac:dyDescent="0.35">
      <c r="A4710" s="7" t="s">
        <v>4740</v>
      </c>
      <c r="B4710" s="8">
        <v>45867</v>
      </c>
      <c r="C4710" s="9" t="s">
        <v>11</v>
      </c>
      <c r="D4710" s="9" t="s">
        <v>34</v>
      </c>
      <c r="E4710" s="9" t="s">
        <v>29</v>
      </c>
      <c r="F4710" s="9">
        <v>230</v>
      </c>
      <c r="G4710" s="9">
        <v>290.7</v>
      </c>
      <c r="H4710" s="9" t="s">
        <v>14</v>
      </c>
      <c r="I4710" s="9">
        <v>13</v>
      </c>
      <c r="J4710" s="10">
        <v>60.699999999999903</v>
      </c>
      <c r="K4710" s="9" t="str">
        <f>TEXT(Sales_of_Jordan[[#This Row],[Sale_Date]],"mmm")</f>
        <v>Jul</v>
      </c>
    </row>
    <row r="4711" spans="1:11" x14ac:dyDescent="0.35">
      <c r="A4711" s="7" t="s">
        <v>4741</v>
      </c>
      <c r="B4711" s="8">
        <v>45742</v>
      </c>
      <c r="C4711" s="9" t="s">
        <v>31</v>
      </c>
      <c r="D4711" s="9" t="s">
        <v>39</v>
      </c>
      <c r="E4711" s="9" t="s">
        <v>13</v>
      </c>
      <c r="F4711" s="9">
        <v>205</v>
      </c>
      <c r="G4711" s="9">
        <v>128.55000000000001</v>
      </c>
      <c r="H4711" s="9" t="s">
        <v>19</v>
      </c>
      <c r="I4711" s="9">
        <v>12</v>
      </c>
      <c r="J4711" s="10">
        <v>-76.449999999999903</v>
      </c>
      <c r="K4711" s="9" t="str">
        <f>TEXT(Sales_of_Jordan[[#This Row],[Sale_Date]],"mmm")</f>
        <v>Mar</v>
      </c>
    </row>
    <row r="4712" spans="1:11" x14ac:dyDescent="0.35">
      <c r="A4712" s="7" t="s">
        <v>4742</v>
      </c>
      <c r="B4712" s="8">
        <v>45654</v>
      </c>
      <c r="C4712" s="9" t="s">
        <v>16</v>
      </c>
      <c r="D4712" s="9" t="s">
        <v>55</v>
      </c>
      <c r="E4712" s="9" t="s">
        <v>13</v>
      </c>
      <c r="F4712" s="9">
        <v>182</v>
      </c>
      <c r="G4712" s="9">
        <v>112.1</v>
      </c>
      <c r="H4712" s="9" t="s">
        <v>14</v>
      </c>
      <c r="I4712" s="9">
        <v>5</v>
      </c>
      <c r="J4712" s="10">
        <v>-69.900000000000006</v>
      </c>
      <c r="K4712" s="9" t="str">
        <f>TEXT(Sales_of_Jordan[[#This Row],[Sale_Date]],"mmm")</f>
        <v>Dec</v>
      </c>
    </row>
    <row r="4713" spans="1:11" x14ac:dyDescent="0.35">
      <c r="A4713" s="7" t="s">
        <v>4743</v>
      </c>
      <c r="B4713" s="8">
        <v>45153</v>
      </c>
      <c r="C4713" s="9" t="s">
        <v>16</v>
      </c>
      <c r="D4713" s="9" t="s">
        <v>17</v>
      </c>
      <c r="E4713" s="9" t="s">
        <v>13</v>
      </c>
      <c r="F4713" s="9">
        <v>172</v>
      </c>
      <c r="G4713" s="9">
        <v>153.19</v>
      </c>
      <c r="H4713" s="9" t="s">
        <v>14</v>
      </c>
      <c r="I4713" s="9">
        <v>4</v>
      </c>
      <c r="J4713" s="10">
        <v>-18.809999999999999</v>
      </c>
      <c r="K4713" s="9" t="str">
        <f>TEXT(Sales_of_Jordan[[#This Row],[Sale_Date]],"mmm")</f>
        <v>Aug</v>
      </c>
    </row>
    <row r="4714" spans="1:11" x14ac:dyDescent="0.35">
      <c r="A4714" s="7" t="s">
        <v>4744</v>
      </c>
      <c r="B4714" s="8">
        <v>45674</v>
      </c>
      <c r="C4714" s="9" t="s">
        <v>11</v>
      </c>
      <c r="D4714" s="9" t="s">
        <v>46</v>
      </c>
      <c r="E4714" s="9" t="s">
        <v>13</v>
      </c>
      <c r="F4714" s="9">
        <v>230</v>
      </c>
      <c r="G4714" s="9">
        <v>197.36</v>
      </c>
      <c r="H4714" s="9" t="s">
        <v>19</v>
      </c>
      <c r="I4714" s="9">
        <v>7</v>
      </c>
      <c r="J4714" s="10">
        <v>-32.639999999999901</v>
      </c>
      <c r="K4714" s="9" t="str">
        <f>TEXT(Sales_of_Jordan[[#This Row],[Sale_Date]],"mmm")</f>
        <v>Jan</v>
      </c>
    </row>
    <row r="4715" spans="1:11" x14ac:dyDescent="0.35">
      <c r="A4715" s="7" t="s">
        <v>4745</v>
      </c>
      <c r="B4715" s="8">
        <v>45058</v>
      </c>
      <c r="C4715" s="9" t="s">
        <v>31</v>
      </c>
      <c r="D4715" s="9" t="s">
        <v>53</v>
      </c>
      <c r="E4715" s="9" t="s">
        <v>13</v>
      </c>
      <c r="F4715" s="9">
        <v>201</v>
      </c>
      <c r="G4715" s="9">
        <v>153.16999999999999</v>
      </c>
      <c r="H4715" s="9" t="s">
        <v>32</v>
      </c>
      <c r="I4715" s="9">
        <v>57</v>
      </c>
      <c r="J4715" s="10">
        <v>-47.83</v>
      </c>
      <c r="K4715" s="9" t="str">
        <f>TEXT(Sales_of_Jordan[[#This Row],[Sale_Date]],"mmm")</f>
        <v>May</v>
      </c>
    </row>
    <row r="4716" spans="1:11" x14ac:dyDescent="0.35">
      <c r="A4716" s="7" t="s">
        <v>4746</v>
      </c>
      <c r="B4716" s="8">
        <v>45327</v>
      </c>
      <c r="C4716" s="9" t="s">
        <v>21</v>
      </c>
      <c r="D4716" s="9" t="s">
        <v>34</v>
      </c>
      <c r="E4716" s="9" t="s">
        <v>13</v>
      </c>
      <c r="F4716" s="9">
        <v>222</v>
      </c>
      <c r="G4716" s="9">
        <v>168.83</v>
      </c>
      <c r="H4716" s="9" t="s">
        <v>23</v>
      </c>
      <c r="I4716" s="9">
        <v>5</v>
      </c>
      <c r="J4716" s="10">
        <v>-53.169999999999902</v>
      </c>
      <c r="K4716" s="9" t="str">
        <f>TEXT(Sales_of_Jordan[[#This Row],[Sale_Date]],"mmm")</f>
        <v>Feb</v>
      </c>
    </row>
    <row r="4717" spans="1:11" x14ac:dyDescent="0.35">
      <c r="A4717" s="7" t="s">
        <v>4747</v>
      </c>
      <c r="B4717" s="8">
        <v>45159</v>
      </c>
      <c r="C4717" s="9" t="s">
        <v>21</v>
      </c>
      <c r="D4717" s="9" t="s">
        <v>53</v>
      </c>
      <c r="E4717" s="9" t="s">
        <v>18</v>
      </c>
      <c r="F4717" s="9">
        <v>211</v>
      </c>
      <c r="G4717" s="9">
        <v>558.94000000000005</v>
      </c>
      <c r="H4717" s="9" t="s">
        <v>32</v>
      </c>
      <c r="I4717" s="9">
        <v>35</v>
      </c>
      <c r="J4717" s="10">
        <v>347.94</v>
      </c>
      <c r="K4717" s="9" t="str">
        <f>TEXT(Sales_of_Jordan[[#This Row],[Sale_Date]],"mmm")</f>
        <v>Aug</v>
      </c>
    </row>
    <row r="4718" spans="1:11" x14ac:dyDescent="0.35">
      <c r="A4718" s="7" t="s">
        <v>4748</v>
      </c>
      <c r="B4718" s="8">
        <v>45730</v>
      </c>
      <c r="C4718" s="9" t="s">
        <v>27</v>
      </c>
      <c r="D4718" s="9" t="s">
        <v>39</v>
      </c>
      <c r="E4718" s="9" t="s">
        <v>29</v>
      </c>
      <c r="F4718" s="9">
        <v>119</v>
      </c>
      <c r="G4718" s="9">
        <v>124.04</v>
      </c>
      <c r="H4718" s="9" t="s">
        <v>25</v>
      </c>
      <c r="I4718" s="9">
        <v>21</v>
      </c>
      <c r="J4718" s="10">
        <v>5.04</v>
      </c>
      <c r="K4718" s="9" t="str">
        <f>TEXT(Sales_of_Jordan[[#This Row],[Sale_Date]],"mmm")</f>
        <v>Mar</v>
      </c>
    </row>
    <row r="4719" spans="1:11" x14ac:dyDescent="0.35">
      <c r="A4719" s="7" t="s">
        <v>4749</v>
      </c>
      <c r="B4719" s="8">
        <v>45559</v>
      </c>
      <c r="C4719" s="9" t="s">
        <v>11</v>
      </c>
      <c r="D4719" s="9" t="s">
        <v>17</v>
      </c>
      <c r="E4719" s="9" t="s">
        <v>18</v>
      </c>
      <c r="F4719" s="9">
        <v>225</v>
      </c>
      <c r="G4719" s="9">
        <v>635.61</v>
      </c>
      <c r="H4719" s="9" t="s">
        <v>19</v>
      </c>
      <c r="I4719" s="9">
        <v>8</v>
      </c>
      <c r="J4719" s="10">
        <v>410.61</v>
      </c>
      <c r="K4719" s="9" t="str">
        <f>TEXT(Sales_of_Jordan[[#This Row],[Sale_Date]],"mmm")</f>
        <v>Sep</v>
      </c>
    </row>
    <row r="4720" spans="1:11" x14ac:dyDescent="0.35">
      <c r="A4720" s="7" t="s">
        <v>4750</v>
      </c>
      <c r="B4720" s="8">
        <v>45083</v>
      </c>
      <c r="C4720" s="9" t="s">
        <v>27</v>
      </c>
      <c r="D4720" s="9" t="s">
        <v>53</v>
      </c>
      <c r="E4720" s="9" t="s">
        <v>18</v>
      </c>
      <c r="F4720" s="9">
        <v>124</v>
      </c>
      <c r="G4720" s="9">
        <v>155.54</v>
      </c>
      <c r="H4720" s="9" t="s">
        <v>23</v>
      </c>
      <c r="I4720" s="9">
        <v>21</v>
      </c>
      <c r="J4720" s="10">
        <v>31.5399999999999</v>
      </c>
      <c r="K4720" s="9" t="str">
        <f>TEXT(Sales_of_Jordan[[#This Row],[Sale_Date]],"mmm")</f>
        <v>Jun</v>
      </c>
    </row>
    <row r="4721" spans="1:11" x14ac:dyDescent="0.35">
      <c r="A4721" s="7" t="s">
        <v>4751</v>
      </c>
      <c r="B4721" s="8">
        <v>45621</v>
      </c>
      <c r="C4721" s="9" t="s">
        <v>27</v>
      </c>
      <c r="D4721" s="9" t="s">
        <v>12</v>
      </c>
      <c r="E4721" s="9" t="s">
        <v>18</v>
      </c>
      <c r="F4721" s="9">
        <v>128</v>
      </c>
      <c r="G4721" s="9">
        <v>162.75</v>
      </c>
      <c r="H4721" s="9" t="s">
        <v>25</v>
      </c>
      <c r="I4721" s="9">
        <v>60</v>
      </c>
      <c r="J4721" s="10">
        <v>34.75</v>
      </c>
      <c r="K4721" s="9" t="str">
        <f>TEXT(Sales_of_Jordan[[#This Row],[Sale_Date]],"mmm")</f>
        <v>Nov</v>
      </c>
    </row>
    <row r="4722" spans="1:11" x14ac:dyDescent="0.35">
      <c r="A4722" s="7" t="s">
        <v>4752</v>
      </c>
      <c r="B4722" s="8">
        <v>45106</v>
      </c>
      <c r="C4722" s="9" t="s">
        <v>11</v>
      </c>
      <c r="D4722" s="9" t="s">
        <v>22</v>
      </c>
      <c r="E4722" s="9" t="s">
        <v>29</v>
      </c>
      <c r="F4722" s="9">
        <v>230</v>
      </c>
      <c r="G4722" s="9">
        <v>282.52</v>
      </c>
      <c r="H4722" s="9" t="s">
        <v>19</v>
      </c>
      <c r="I4722" s="9">
        <v>12</v>
      </c>
      <c r="J4722" s="10">
        <v>52.519999999999897</v>
      </c>
      <c r="K4722" s="9" t="str">
        <f>TEXT(Sales_of_Jordan[[#This Row],[Sale_Date]],"mmm")</f>
        <v>Jun</v>
      </c>
    </row>
    <row r="4723" spans="1:11" x14ac:dyDescent="0.35">
      <c r="A4723" s="7" t="s">
        <v>4753</v>
      </c>
      <c r="B4723" s="8">
        <v>45843</v>
      </c>
      <c r="C4723" s="9" t="s">
        <v>21</v>
      </c>
      <c r="D4723" s="9" t="s">
        <v>55</v>
      </c>
      <c r="E4723" s="9" t="s">
        <v>29</v>
      </c>
      <c r="F4723" s="9">
        <v>214</v>
      </c>
      <c r="G4723" s="9">
        <v>233.47</v>
      </c>
      <c r="H4723" s="9" t="s">
        <v>19</v>
      </c>
      <c r="I4723" s="9">
        <v>5</v>
      </c>
      <c r="J4723" s="10">
        <v>19.47</v>
      </c>
      <c r="K4723" s="9" t="str">
        <f>TEXT(Sales_of_Jordan[[#This Row],[Sale_Date]],"mmm")</f>
        <v>Jul</v>
      </c>
    </row>
    <row r="4724" spans="1:11" x14ac:dyDescent="0.35">
      <c r="A4724" s="7" t="s">
        <v>4754</v>
      </c>
      <c r="B4724" s="8">
        <v>44959</v>
      </c>
      <c r="C4724" s="9" t="s">
        <v>21</v>
      </c>
      <c r="D4724" s="9" t="s">
        <v>53</v>
      </c>
      <c r="E4724" s="9" t="s">
        <v>13</v>
      </c>
      <c r="F4724" s="9">
        <v>215</v>
      </c>
      <c r="G4724" s="9">
        <v>156.41999999999999</v>
      </c>
      <c r="H4724" s="9" t="s">
        <v>14</v>
      </c>
      <c r="I4724" s="9">
        <v>6</v>
      </c>
      <c r="J4724" s="10">
        <v>-58.58</v>
      </c>
      <c r="K4724" s="9" t="str">
        <f>TEXT(Sales_of_Jordan[[#This Row],[Sale_Date]],"mmm")</f>
        <v>Feb</v>
      </c>
    </row>
    <row r="4725" spans="1:11" x14ac:dyDescent="0.35">
      <c r="A4725" s="7" t="s">
        <v>4755</v>
      </c>
      <c r="B4725" s="8">
        <v>45518</v>
      </c>
      <c r="C4725" s="9" t="s">
        <v>11</v>
      </c>
      <c r="D4725" s="9" t="s">
        <v>12</v>
      </c>
      <c r="E4725" s="9" t="s">
        <v>13</v>
      </c>
      <c r="F4725" s="9">
        <v>228</v>
      </c>
      <c r="G4725" s="9">
        <v>201.34</v>
      </c>
      <c r="H4725" s="9" t="s">
        <v>19</v>
      </c>
      <c r="I4725" s="9">
        <v>10</v>
      </c>
      <c r="J4725" s="10">
        <v>-26.659999999999901</v>
      </c>
      <c r="K4725" s="9" t="str">
        <f>TEXT(Sales_of_Jordan[[#This Row],[Sale_Date]],"mmm")</f>
        <v>Aug</v>
      </c>
    </row>
    <row r="4726" spans="1:11" x14ac:dyDescent="0.35">
      <c r="A4726" s="7" t="s">
        <v>4756</v>
      </c>
      <c r="B4726" s="8">
        <v>45148</v>
      </c>
      <c r="C4726" s="9" t="s">
        <v>21</v>
      </c>
      <c r="D4726" s="9" t="s">
        <v>53</v>
      </c>
      <c r="E4726" s="9" t="s">
        <v>29</v>
      </c>
      <c r="F4726" s="9">
        <v>223</v>
      </c>
      <c r="G4726" s="9">
        <v>240.79</v>
      </c>
      <c r="H4726" s="9" t="s">
        <v>14</v>
      </c>
      <c r="I4726" s="9">
        <v>8</v>
      </c>
      <c r="J4726" s="10">
        <v>17.7899999999999</v>
      </c>
      <c r="K4726" s="9" t="str">
        <f>TEXT(Sales_of_Jordan[[#This Row],[Sale_Date]],"mmm")</f>
        <v>Aug</v>
      </c>
    </row>
    <row r="4727" spans="1:11" x14ac:dyDescent="0.35">
      <c r="A4727" s="7" t="s">
        <v>4757</v>
      </c>
      <c r="B4727" s="8">
        <v>45180</v>
      </c>
      <c r="C4727" s="9" t="s">
        <v>21</v>
      </c>
      <c r="D4727" s="9" t="s">
        <v>36</v>
      </c>
      <c r="E4727" s="9" t="s">
        <v>13</v>
      </c>
      <c r="F4727" s="9">
        <v>214</v>
      </c>
      <c r="G4727" s="9">
        <v>119.21</v>
      </c>
      <c r="H4727" s="9" t="s">
        <v>23</v>
      </c>
      <c r="I4727" s="9">
        <v>43</v>
      </c>
      <c r="J4727" s="10">
        <v>-94.79</v>
      </c>
      <c r="K4727" s="9" t="str">
        <f>TEXT(Sales_of_Jordan[[#This Row],[Sale_Date]],"mmm")</f>
        <v>Sep</v>
      </c>
    </row>
    <row r="4728" spans="1:11" x14ac:dyDescent="0.35">
      <c r="A4728" s="7" t="s">
        <v>4758</v>
      </c>
      <c r="B4728" s="8">
        <v>45188</v>
      </c>
      <c r="C4728" s="9" t="s">
        <v>11</v>
      </c>
      <c r="D4728" s="9" t="s">
        <v>17</v>
      </c>
      <c r="E4728" s="9" t="s">
        <v>29</v>
      </c>
      <c r="F4728" s="9">
        <v>229</v>
      </c>
      <c r="G4728" s="9">
        <v>278.04000000000002</v>
      </c>
      <c r="H4728" s="9" t="s">
        <v>23</v>
      </c>
      <c r="I4728" s="9">
        <v>13</v>
      </c>
      <c r="J4728" s="10">
        <v>49.04</v>
      </c>
      <c r="K4728" s="9" t="str">
        <f>TEXT(Sales_of_Jordan[[#This Row],[Sale_Date]],"mmm")</f>
        <v>Sep</v>
      </c>
    </row>
    <row r="4729" spans="1:11" x14ac:dyDescent="0.35">
      <c r="A4729" s="7" t="s">
        <v>4759</v>
      </c>
      <c r="B4729" s="8">
        <v>45379</v>
      </c>
      <c r="C4729" s="9" t="s">
        <v>11</v>
      </c>
      <c r="D4729" s="9" t="s">
        <v>17</v>
      </c>
      <c r="E4729" s="9" t="s">
        <v>13</v>
      </c>
      <c r="F4729" s="9">
        <v>226</v>
      </c>
      <c r="G4729" s="9">
        <v>139.56</v>
      </c>
      <c r="H4729" s="9" t="s">
        <v>14</v>
      </c>
      <c r="I4729" s="9">
        <v>11</v>
      </c>
      <c r="J4729" s="10">
        <v>-86.44</v>
      </c>
      <c r="K4729" s="9" t="str">
        <f>TEXT(Sales_of_Jordan[[#This Row],[Sale_Date]],"mmm")</f>
        <v>Mar</v>
      </c>
    </row>
    <row r="4730" spans="1:11" x14ac:dyDescent="0.35">
      <c r="A4730" s="7" t="s">
        <v>4760</v>
      </c>
      <c r="B4730" s="8">
        <v>45274</v>
      </c>
      <c r="C4730" s="9" t="s">
        <v>27</v>
      </c>
      <c r="D4730" s="9" t="s">
        <v>39</v>
      </c>
      <c r="E4730" s="9" t="s">
        <v>18</v>
      </c>
      <c r="F4730" s="9">
        <v>138</v>
      </c>
      <c r="G4730" s="9">
        <v>423.71</v>
      </c>
      <c r="H4730" s="9" t="s">
        <v>19</v>
      </c>
      <c r="I4730" s="9">
        <v>6</v>
      </c>
      <c r="J4730" s="10">
        <v>285.70999999999998</v>
      </c>
      <c r="K4730" s="9" t="str">
        <f>TEXT(Sales_of_Jordan[[#This Row],[Sale_Date]],"mmm")</f>
        <v>Dec</v>
      </c>
    </row>
    <row r="4731" spans="1:11" x14ac:dyDescent="0.35">
      <c r="A4731" s="7" t="s">
        <v>4761</v>
      </c>
      <c r="B4731" s="8">
        <v>45876</v>
      </c>
      <c r="C4731" s="9" t="s">
        <v>27</v>
      </c>
      <c r="D4731" s="9" t="s">
        <v>17</v>
      </c>
      <c r="E4731" s="9" t="s">
        <v>29</v>
      </c>
      <c r="F4731" s="9">
        <v>120</v>
      </c>
      <c r="G4731" s="9">
        <v>110.21</v>
      </c>
      <c r="H4731" s="9" t="s">
        <v>25</v>
      </c>
      <c r="I4731" s="9">
        <v>36</v>
      </c>
      <c r="J4731" s="10">
        <v>-9.7899999999999991</v>
      </c>
      <c r="K4731" s="9" t="str">
        <f>TEXT(Sales_of_Jordan[[#This Row],[Sale_Date]],"mmm")</f>
        <v>Aug</v>
      </c>
    </row>
    <row r="4732" spans="1:11" x14ac:dyDescent="0.35">
      <c r="A4732" s="7" t="s">
        <v>4762</v>
      </c>
      <c r="B4732" s="8">
        <v>45926</v>
      </c>
      <c r="C4732" s="9" t="s">
        <v>21</v>
      </c>
      <c r="D4732" s="9" t="s">
        <v>34</v>
      </c>
      <c r="E4732" s="9" t="s">
        <v>18</v>
      </c>
      <c r="F4732" s="9">
        <v>221</v>
      </c>
      <c r="G4732" s="9">
        <v>524.70000000000005</v>
      </c>
      <c r="H4732" s="9" t="s">
        <v>14</v>
      </c>
      <c r="I4732" s="9">
        <v>7</v>
      </c>
      <c r="J4732" s="10">
        <v>303.7</v>
      </c>
      <c r="K4732" s="9" t="str">
        <f>TEXT(Sales_of_Jordan[[#This Row],[Sale_Date]],"mmm")</f>
        <v>Sep</v>
      </c>
    </row>
    <row r="4733" spans="1:11" x14ac:dyDescent="0.35">
      <c r="A4733" s="7" t="s">
        <v>4763</v>
      </c>
      <c r="B4733" s="8">
        <v>45595</v>
      </c>
      <c r="C4733" s="9" t="s">
        <v>21</v>
      </c>
      <c r="D4733" s="9" t="s">
        <v>17</v>
      </c>
      <c r="E4733" s="9" t="s">
        <v>29</v>
      </c>
      <c r="F4733" s="9">
        <v>223</v>
      </c>
      <c r="G4733" s="9">
        <v>331.86</v>
      </c>
      <c r="H4733" s="9" t="s">
        <v>14</v>
      </c>
      <c r="I4733" s="9">
        <v>12</v>
      </c>
      <c r="J4733" s="10">
        <v>108.86</v>
      </c>
      <c r="K4733" s="9" t="str">
        <f>TEXT(Sales_of_Jordan[[#This Row],[Sale_Date]],"mmm")</f>
        <v>Oct</v>
      </c>
    </row>
    <row r="4734" spans="1:11" x14ac:dyDescent="0.35">
      <c r="A4734" s="7" t="s">
        <v>4764</v>
      </c>
      <c r="B4734" s="8">
        <v>45019</v>
      </c>
      <c r="C4734" s="9" t="s">
        <v>11</v>
      </c>
      <c r="D4734" s="9" t="s">
        <v>53</v>
      </c>
      <c r="E4734" s="9" t="s">
        <v>29</v>
      </c>
      <c r="F4734" s="9">
        <v>229</v>
      </c>
      <c r="G4734" s="9">
        <v>303.17</v>
      </c>
      <c r="H4734" s="9" t="s">
        <v>23</v>
      </c>
      <c r="I4734" s="9">
        <v>31</v>
      </c>
      <c r="J4734" s="10">
        <v>74.17</v>
      </c>
      <c r="K4734" s="9" t="str">
        <f>TEXT(Sales_of_Jordan[[#This Row],[Sale_Date]],"mmm")</f>
        <v>Apr</v>
      </c>
    </row>
    <row r="4735" spans="1:11" x14ac:dyDescent="0.35">
      <c r="A4735" s="7" t="s">
        <v>4765</v>
      </c>
      <c r="B4735" s="8">
        <v>45023</v>
      </c>
      <c r="C4735" s="9" t="s">
        <v>31</v>
      </c>
      <c r="D4735" s="9" t="s">
        <v>17</v>
      </c>
      <c r="E4735" s="9" t="s">
        <v>13</v>
      </c>
      <c r="F4735" s="9">
        <v>208</v>
      </c>
      <c r="G4735" s="9">
        <v>126.27</v>
      </c>
      <c r="H4735" s="9" t="s">
        <v>14</v>
      </c>
      <c r="I4735" s="9">
        <v>11</v>
      </c>
      <c r="J4735" s="10">
        <v>-81.73</v>
      </c>
      <c r="K4735" s="9" t="str">
        <f>TEXT(Sales_of_Jordan[[#This Row],[Sale_Date]],"mmm")</f>
        <v>Apr</v>
      </c>
    </row>
    <row r="4736" spans="1:11" x14ac:dyDescent="0.35">
      <c r="A4736" s="7" t="s">
        <v>4766</v>
      </c>
      <c r="B4736" s="8">
        <v>44979</v>
      </c>
      <c r="C4736" s="9" t="s">
        <v>27</v>
      </c>
      <c r="D4736" s="9" t="s">
        <v>36</v>
      </c>
      <c r="E4736" s="9" t="s">
        <v>18</v>
      </c>
      <c r="F4736" s="9">
        <v>124</v>
      </c>
      <c r="G4736" s="9">
        <v>316.77</v>
      </c>
      <c r="H4736" s="9" t="s">
        <v>23</v>
      </c>
      <c r="I4736" s="9">
        <v>17</v>
      </c>
      <c r="J4736" s="10">
        <v>192.76999999999899</v>
      </c>
      <c r="K4736" s="9" t="str">
        <f>TEXT(Sales_of_Jordan[[#This Row],[Sale_Date]],"mmm")</f>
        <v>Feb</v>
      </c>
    </row>
    <row r="4737" spans="1:11" x14ac:dyDescent="0.35">
      <c r="A4737" s="7" t="s">
        <v>4767</v>
      </c>
      <c r="B4737" s="8">
        <v>45765</v>
      </c>
      <c r="C4737" s="9" t="s">
        <v>27</v>
      </c>
      <c r="D4737" s="9" t="s">
        <v>12</v>
      </c>
      <c r="E4737" s="9" t="s">
        <v>13</v>
      </c>
      <c r="F4737" s="9">
        <v>111</v>
      </c>
      <c r="G4737" s="9">
        <v>55.91</v>
      </c>
      <c r="H4737" s="9" t="s">
        <v>25</v>
      </c>
      <c r="I4737" s="9">
        <v>28</v>
      </c>
      <c r="J4737" s="10">
        <v>-55.09</v>
      </c>
      <c r="K4737" s="9" t="str">
        <f>TEXT(Sales_of_Jordan[[#This Row],[Sale_Date]],"mmm")</f>
        <v>Apr</v>
      </c>
    </row>
    <row r="4738" spans="1:11" x14ac:dyDescent="0.35">
      <c r="A4738" s="7" t="s">
        <v>4768</v>
      </c>
      <c r="B4738" s="8">
        <v>45199</v>
      </c>
      <c r="C4738" s="9" t="s">
        <v>21</v>
      </c>
      <c r="D4738" s="9" t="s">
        <v>46</v>
      </c>
      <c r="E4738" s="9" t="s">
        <v>29</v>
      </c>
      <c r="F4738" s="9">
        <v>224</v>
      </c>
      <c r="G4738" s="9">
        <v>213.7</v>
      </c>
      <c r="H4738" s="9" t="s">
        <v>23</v>
      </c>
      <c r="I4738" s="9">
        <v>44</v>
      </c>
      <c r="J4738" s="10">
        <v>-10.3</v>
      </c>
      <c r="K4738" s="9" t="str">
        <f>TEXT(Sales_of_Jordan[[#This Row],[Sale_Date]],"mmm")</f>
        <v>Sep</v>
      </c>
    </row>
    <row r="4739" spans="1:11" x14ac:dyDescent="0.35">
      <c r="A4739" s="7" t="s">
        <v>4769</v>
      </c>
      <c r="B4739" s="8">
        <v>45019</v>
      </c>
      <c r="C4739" s="9" t="s">
        <v>21</v>
      </c>
      <c r="D4739" s="9" t="s">
        <v>12</v>
      </c>
      <c r="E4739" s="9" t="s">
        <v>29</v>
      </c>
      <c r="F4739" s="9">
        <v>212</v>
      </c>
      <c r="G4739" s="9">
        <v>227.56</v>
      </c>
      <c r="H4739" s="9" t="s">
        <v>19</v>
      </c>
      <c r="I4739" s="9">
        <v>5</v>
      </c>
      <c r="J4739" s="10">
        <v>15.56</v>
      </c>
      <c r="K4739" s="9" t="str">
        <f>TEXT(Sales_of_Jordan[[#This Row],[Sale_Date]],"mmm")</f>
        <v>Apr</v>
      </c>
    </row>
    <row r="4740" spans="1:11" x14ac:dyDescent="0.35">
      <c r="A4740" s="7" t="s">
        <v>4770</v>
      </c>
      <c r="B4740" s="8">
        <v>44998</v>
      </c>
      <c r="C4740" s="9" t="s">
        <v>31</v>
      </c>
      <c r="D4740" s="9" t="s">
        <v>34</v>
      </c>
      <c r="E4740" s="9" t="s">
        <v>18</v>
      </c>
      <c r="F4740" s="9">
        <v>210</v>
      </c>
      <c r="G4740" s="9">
        <v>471.79</v>
      </c>
      <c r="H4740" s="9" t="s">
        <v>25</v>
      </c>
      <c r="I4740" s="9">
        <v>25</v>
      </c>
      <c r="J4740" s="10">
        <v>261.79000000000002</v>
      </c>
      <c r="K4740" s="9" t="str">
        <f>TEXT(Sales_of_Jordan[[#This Row],[Sale_Date]],"mmm")</f>
        <v>Mar</v>
      </c>
    </row>
    <row r="4741" spans="1:11" x14ac:dyDescent="0.35">
      <c r="A4741" s="7" t="s">
        <v>4771</v>
      </c>
      <c r="B4741" s="8">
        <v>45660</v>
      </c>
      <c r="C4741" s="9" t="s">
        <v>11</v>
      </c>
      <c r="D4741" s="9" t="s">
        <v>17</v>
      </c>
      <c r="E4741" s="9" t="s">
        <v>18</v>
      </c>
      <c r="F4741" s="9">
        <v>230</v>
      </c>
      <c r="G4741" s="9">
        <v>741.51</v>
      </c>
      <c r="H4741" s="9" t="s">
        <v>23</v>
      </c>
      <c r="I4741" s="9">
        <v>24</v>
      </c>
      <c r="J4741" s="10">
        <v>511.51</v>
      </c>
      <c r="K4741" s="9" t="str">
        <f>TEXT(Sales_of_Jordan[[#This Row],[Sale_Date]],"mmm")</f>
        <v>Jan</v>
      </c>
    </row>
    <row r="4742" spans="1:11" x14ac:dyDescent="0.35">
      <c r="A4742" s="7" t="s">
        <v>4772</v>
      </c>
      <c r="B4742" s="8">
        <v>45221</v>
      </c>
      <c r="C4742" s="9" t="s">
        <v>11</v>
      </c>
      <c r="D4742" s="9" t="s">
        <v>12</v>
      </c>
      <c r="E4742" s="9" t="s">
        <v>18</v>
      </c>
      <c r="F4742" s="9">
        <v>229</v>
      </c>
      <c r="G4742" s="9">
        <v>501.05</v>
      </c>
      <c r="H4742" s="9" t="s">
        <v>14</v>
      </c>
      <c r="I4742" s="9">
        <v>2</v>
      </c>
      <c r="J4742" s="10">
        <v>272.05</v>
      </c>
      <c r="K4742" s="9" t="str">
        <f>TEXT(Sales_of_Jordan[[#This Row],[Sale_Date]],"mmm")</f>
        <v>Oct</v>
      </c>
    </row>
    <row r="4743" spans="1:11" x14ac:dyDescent="0.35">
      <c r="A4743" s="7" t="s">
        <v>4773</v>
      </c>
      <c r="B4743" s="8">
        <v>45575</v>
      </c>
      <c r="C4743" s="9" t="s">
        <v>27</v>
      </c>
      <c r="D4743" s="9" t="s">
        <v>36</v>
      </c>
      <c r="E4743" s="9" t="s">
        <v>13</v>
      </c>
      <c r="F4743" s="9">
        <v>112</v>
      </c>
      <c r="G4743" s="9">
        <v>92.17</v>
      </c>
      <c r="H4743" s="9" t="s">
        <v>32</v>
      </c>
      <c r="I4743" s="9">
        <v>24</v>
      </c>
      <c r="J4743" s="10">
        <v>-19.829999999999998</v>
      </c>
      <c r="K4743" s="9" t="str">
        <f>TEXT(Sales_of_Jordan[[#This Row],[Sale_Date]],"mmm")</f>
        <v>Oct</v>
      </c>
    </row>
    <row r="4744" spans="1:11" x14ac:dyDescent="0.35">
      <c r="A4744" s="7" t="s">
        <v>4774</v>
      </c>
      <c r="B4744" s="8">
        <v>44974</v>
      </c>
      <c r="C4744" s="9" t="s">
        <v>16</v>
      </c>
      <c r="D4744" s="9" t="s">
        <v>53</v>
      </c>
      <c r="E4744" s="9" t="s">
        <v>13</v>
      </c>
      <c r="F4744" s="9">
        <v>187</v>
      </c>
      <c r="G4744" s="9">
        <v>145.38999999999999</v>
      </c>
      <c r="H4744" s="9" t="s">
        <v>19</v>
      </c>
      <c r="I4744" s="9">
        <v>9</v>
      </c>
      <c r="J4744" s="10">
        <v>-41.61</v>
      </c>
      <c r="K4744" s="9" t="str">
        <f>TEXT(Sales_of_Jordan[[#This Row],[Sale_Date]],"mmm")</f>
        <v>Feb</v>
      </c>
    </row>
    <row r="4745" spans="1:11" x14ac:dyDescent="0.35">
      <c r="A4745" s="7" t="s">
        <v>4775</v>
      </c>
      <c r="B4745" s="8">
        <v>45194</v>
      </c>
      <c r="C4745" s="9" t="s">
        <v>16</v>
      </c>
      <c r="D4745" s="9" t="s">
        <v>22</v>
      </c>
      <c r="E4745" s="9" t="s">
        <v>13</v>
      </c>
      <c r="F4745" s="9">
        <v>175</v>
      </c>
      <c r="G4745" s="9">
        <v>122.79</v>
      </c>
      <c r="H4745" s="9" t="s">
        <v>25</v>
      </c>
      <c r="I4745" s="9">
        <v>42</v>
      </c>
      <c r="J4745" s="10">
        <v>-52.209999999999901</v>
      </c>
      <c r="K4745" s="9" t="str">
        <f>TEXT(Sales_of_Jordan[[#This Row],[Sale_Date]],"mmm")</f>
        <v>Sep</v>
      </c>
    </row>
    <row r="4746" spans="1:11" x14ac:dyDescent="0.35">
      <c r="A4746" s="7" t="s">
        <v>4776</v>
      </c>
      <c r="B4746" s="8">
        <v>45595</v>
      </c>
      <c r="C4746" s="9" t="s">
        <v>31</v>
      </c>
      <c r="D4746" s="9" t="s">
        <v>22</v>
      </c>
      <c r="E4746" s="9" t="s">
        <v>18</v>
      </c>
      <c r="F4746" s="9">
        <v>208</v>
      </c>
      <c r="G4746" s="9">
        <v>529.92999999999995</v>
      </c>
      <c r="H4746" s="9" t="s">
        <v>19</v>
      </c>
      <c r="I4746" s="9">
        <v>5</v>
      </c>
      <c r="J4746" s="10">
        <v>321.92999999999898</v>
      </c>
      <c r="K4746" s="9" t="str">
        <f>TEXT(Sales_of_Jordan[[#This Row],[Sale_Date]],"mmm")</f>
        <v>Oct</v>
      </c>
    </row>
    <row r="4747" spans="1:11" x14ac:dyDescent="0.35">
      <c r="A4747" s="7" t="s">
        <v>4777</v>
      </c>
      <c r="B4747" s="8">
        <v>45751</v>
      </c>
      <c r="C4747" s="9" t="s">
        <v>11</v>
      </c>
      <c r="D4747" s="9" t="s">
        <v>22</v>
      </c>
      <c r="E4747" s="9" t="s">
        <v>18</v>
      </c>
      <c r="F4747" s="9">
        <v>227</v>
      </c>
      <c r="G4747" s="9">
        <v>498.86</v>
      </c>
      <c r="H4747" s="9" t="s">
        <v>19</v>
      </c>
      <c r="I4747" s="9">
        <v>7</v>
      </c>
      <c r="J4747" s="10">
        <v>271.86</v>
      </c>
      <c r="K4747" s="9" t="str">
        <f>TEXT(Sales_of_Jordan[[#This Row],[Sale_Date]],"mmm")</f>
        <v>Apr</v>
      </c>
    </row>
    <row r="4748" spans="1:11" x14ac:dyDescent="0.35">
      <c r="A4748" s="7" t="s">
        <v>4778</v>
      </c>
      <c r="B4748" s="8">
        <v>45462</v>
      </c>
      <c r="C4748" s="9" t="s">
        <v>31</v>
      </c>
      <c r="D4748" s="9" t="s">
        <v>46</v>
      </c>
      <c r="E4748" s="9" t="s">
        <v>29</v>
      </c>
      <c r="F4748" s="9">
        <v>208</v>
      </c>
      <c r="G4748" s="9">
        <v>289.63</v>
      </c>
      <c r="H4748" s="9" t="s">
        <v>25</v>
      </c>
      <c r="I4748" s="9">
        <v>40</v>
      </c>
      <c r="J4748" s="10">
        <v>81.63</v>
      </c>
      <c r="K4748" s="9" t="str">
        <f>TEXT(Sales_of_Jordan[[#This Row],[Sale_Date]],"mmm")</f>
        <v>Jun</v>
      </c>
    </row>
    <row r="4749" spans="1:11" x14ac:dyDescent="0.35">
      <c r="A4749" s="7" t="s">
        <v>4779</v>
      </c>
      <c r="B4749" s="8">
        <v>45466</v>
      </c>
      <c r="C4749" s="9" t="s">
        <v>27</v>
      </c>
      <c r="D4749" s="9" t="s">
        <v>46</v>
      </c>
      <c r="E4749" s="9" t="s">
        <v>13</v>
      </c>
      <c r="F4749" s="9">
        <v>130</v>
      </c>
      <c r="G4749" s="9">
        <v>87.2</v>
      </c>
      <c r="H4749" s="9" t="s">
        <v>25</v>
      </c>
      <c r="I4749" s="9">
        <v>14</v>
      </c>
      <c r="J4749" s="10">
        <v>-42.8</v>
      </c>
      <c r="K4749" s="9" t="str">
        <f>TEXT(Sales_of_Jordan[[#This Row],[Sale_Date]],"mmm")</f>
        <v>Jun</v>
      </c>
    </row>
    <row r="4750" spans="1:11" x14ac:dyDescent="0.35">
      <c r="A4750" s="7" t="s">
        <v>4780</v>
      </c>
      <c r="B4750" s="8">
        <v>45332</v>
      </c>
      <c r="C4750" s="9" t="s">
        <v>31</v>
      </c>
      <c r="D4750" s="9" t="s">
        <v>55</v>
      </c>
      <c r="E4750" s="9" t="s">
        <v>13</v>
      </c>
      <c r="F4750" s="9">
        <v>209</v>
      </c>
      <c r="G4750" s="9">
        <v>121.66</v>
      </c>
      <c r="H4750" s="9" t="s">
        <v>19</v>
      </c>
      <c r="I4750" s="9">
        <v>2</v>
      </c>
      <c r="J4750" s="10">
        <v>-87.34</v>
      </c>
      <c r="K4750" s="9" t="str">
        <f>TEXT(Sales_of_Jordan[[#This Row],[Sale_Date]],"mmm")</f>
        <v>Feb</v>
      </c>
    </row>
    <row r="4751" spans="1:11" x14ac:dyDescent="0.35">
      <c r="A4751" s="7" t="s">
        <v>4781</v>
      </c>
      <c r="B4751" s="8">
        <v>45589</v>
      </c>
      <c r="C4751" s="9" t="s">
        <v>16</v>
      </c>
      <c r="D4751" s="9" t="s">
        <v>12</v>
      </c>
      <c r="E4751" s="9" t="s">
        <v>13</v>
      </c>
      <c r="F4751" s="9">
        <v>184</v>
      </c>
      <c r="G4751" s="9">
        <v>140.80000000000001</v>
      </c>
      <c r="H4751" s="9" t="s">
        <v>25</v>
      </c>
      <c r="I4751" s="9">
        <v>49</v>
      </c>
      <c r="J4751" s="10">
        <v>-43.199999999999903</v>
      </c>
      <c r="K4751" s="9" t="str">
        <f>TEXT(Sales_of_Jordan[[#This Row],[Sale_Date]],"mmm")</f>
        <v>Oct</v>
      </c>
    </row>
    <row r="4752" spans="1:11" x14ac:dyDescent="0.35">
      <c r="A4752" s="7" t="s">
        <v>4782</v>
      </c>
      <c r="B4752" s="8">
        <v>45801</v>
      </c>
      <c r="C4752" s="9" t="s">
        <v>31</v>
      </c>
      <c r="D4752" s="9" t="s">
        <v>34</v>
      </c>
      <c r="E4752" s="9" t="s">
        <v>13</v>
      </c>
      <c r="F4752" s="9">
        <v>203</v>
      </c>
      <c r="G4752" s="9">
        <v>172.03</v>
      </c>
      <c r="H4752" s="9" t="s">
        <v>23</v>
      </c>
      <c r="I4752" s="9">
        <v>57</v>
      </c>
      <c r="J4752" s="10">
        <v>-30.97</v>
      </c>
      <c r="K4752" s="9" t="str">
        <f>TEXT(Sales_of_Jordan[[#This Row],[Sale_Date]],"mmm")</f>
        <v>May</v>
      </c>
    </row>
    <row r="4753" spans="1:11" x14ac:dyDescent="0.35">
      <c r="A4753" s="7" t="s">
        <v>4783</v>
      </c>
      <c r="B4753" s="8">
        <v>45898</v>
      </c>
      <c r="C4753" s="9" t="s">
        <v>21</v>
      </c>
      <c r="D4753" s="9" t="s">
        <v>55</v>
      </c>
      <c r="E4753" s="9" t="s">
        <v>18</v>
      </c>
      <c r="F4753" s="9">
        <v>219</v>
      </c>
      <c r="G4753" s="9">
        <v>320.86</v>
      </c>
      <c r="H4753" s="9" t="s">
        <v>23</v>
      </c>
      <c r="I4753" s="9">
        <v>27</v>
      </c>
      <c r="J4753" s="10">
        <v>101.86</v>
      </c>
      <c r="K4753" s="9" t="str">
        <f>TEXT(Sales_of_Jordan[[#This Row],[Sale_Date]],"mmm")</f>
        <v>Aug</v>
      </c>
    </row>
    <row r="4754" spans="1:11" x14ac:dyDescent="0.35">
      <c r="A4754" s="7" t="s">
        <v>4784</v>
      </c>
      <c r="B4754" s="8">
        <v>45724</v>
      </c>
      <c r="C4754" s="9" t="s">
        <v>21</v>
      </c>
      <c r="D4754" s="9" t="s">
        <v>12</v>
      </c>
      <c r="E4754" s="9" t="s">
        <v>18</v>
      </c>
      <c r="F4754" s="9">
        <v>213</v>
      </c>
      <c r="G4754" s="9">
        <v>285.89999999999998</v>
      </c>
      <c r="H4754" s="9" t="s">
        <v>32</v>
      </c>
      <c r="I4754" s="9">
        <v>13</v>
      </c>
      <c r="J4754" s="10">
        <v>72.899999999999906</v>
      </c>
      <c r="K4754" s="9" t="str">
        <f>TEXT(Sales_of_Jordan[[#This Row],[Sale_Date]],"mmm")</f>
        <v>Mar</v>
      </c>
    </row>
    <row r="4755" spans="1:11" x14ac:dyDescent="0.35">
      <c r="A4755" s="7" t="s">
        <v>4785</v>
      </c>
      <c r="B4755" s="8">
        <v>45089</v>
      </c>
      <c r="C4755" s="9" t="s">
        <v>16</v>
      </c>
      <c r="D4755" s="9" t="s">
        <v>17</v>
      </c>
      <c r="E4755" s="9" t="s">
        <v>29</v>
      </c>
      <c r="F4755" s="9">
        <v>173</v>
      </c>
      <c r="G4755" s="9">
        <v>223.99</v>
      </c>
      <c r="H4755" s="9" t="s">
        <v>25</v>
      </c>
      <c r="I4755" s="9">
        <v>40</v>
      </c>
      <c r="J4755" s="10">
        <v>50.99</v>
      </c>
      <c r="K4755" s="9" t="str">
        <f>TEXT(Sales_of_Jordan[[#This Row],[Sale_Date]],"mmm")</f>
        <v>Jun</v>
      </c>
    </row>
    <row r="4756" spans="1:11" x14ac:dyDescent="0.35">
      <c r="A4756" s="7" t="s">
        <v>4786</v>
      </c>
      <c r="B4756" s="8">
        <v>45635</v>
      </c>
      <c r="C4756" s="9" t="s">
        <v>21</v>
      </c>
      <c r="D4756" s="9" t="s">
        <v>34</v>
      </c>
      <c r="E4756" s="9" t="s">
        <v>13</v>
      </c>
      <c r="F4756" s="9">
        <v>221</v>
      </c>
      <c r="G4756" s="9">
        <v>112.67</v>
      </c>
      <c r="H4756" s="9" t="s">
        <v>25</v>
      </c>
      <c r="I4756" s="9">
        <v>49</v>
      </c>
      <c r="J4756" s="10">
        <v>-108.33</v>
      </c>
      <c r="K4756" s="9" t="str">
        <f>TEXT(Sales_of_Jordan[[#This Row],[Sale_Date]],"mmm")</f>
        <v>Dec</v>
      </c>
    </row>
    <row r="4757" spans="1:11" x14ac:dyDescent="0.35">
      <c r="A4757" s="7" t="s">
        <v>4787</v>
      </c>
      <c r="B4757" s="8">
        <v>45922</v>
      </c>
      <c r="C4757" s="9" t="s">
        <v>11</v>
      </c>
      <c r="D4757" s="9" t="s">
        <v>55</v>
      </c>
      <c r="E4757" s="9" t="s">
        <v>29</v>
      </c>
      <c r="F4757" s="9">
        <v>227</v>
      </c>
      <c r="G4757" s="9">
        <v>248.98</v>
      </c>
      <c r="H4757" s="9" t="s">
        <v>14</v>
      </c>
      <c r="I4757" s="9">
        <v>1</v>
      </c>
      <c r="J4757" s="10">
        <v>21.979999999999901</v>
      </c>
      <c r="K4757" s="9" t="str">
        <f>TEXT(Sales_of_Jordan[[#This Row],[Sale_Date]],"mmm")</f>
        <v>Sep</v>
      </c>
    </row>
    <row r="4758" spans="1:11" x14ac:dyDescent="0.35">
      <c r="A4758" s="7" t="s">
        <v>4788</v>
      </c>
      <c r="B4758" s="8">
        <v>45806</v>
      </c>
      <c r="C4758" s="9" t="s">
        <v>27</v>
      </c>
      <c r="D4758" s="9" t="s">
        <v>36</v>
      </c>
      <c r="E4758" s="9" t="s">
        <v>13</v>
      </c>
      <c r="F4758" s="9">
        <v>121</v>
      </c>
      <c r="G4758" s="9">
        <v>70.8</v>
      </c>
      <c r="H4758" s="9" t="s">
        <v>25</v>
      </c>
      <c r="I4758" s="9">
        <v>38</v>
      </c>
      <c r="J4758" s="10">
        <v>-50.2</v>
      </c>
      <c r="K4758" s="9" t="str">
        <f>TEXT(Sales_of_Jordan[[#This Row],[Sale_Date]],"mmm")</f>
        <v>May</v>
      </c>
    </row>
    <row r="4759" spans="1:11" x14ac:dyDescent="0.35">
      <c r="A4759" s="7" t="s">
        <v>4789</v>
      </c>
      <c r="B4759" s="8">
        <v>45766</v>
      </c>
      <c r="C4759" s="9" t="s">
        <v>21</v>
      </c>
      <c r="D4759" s="9" t="s">
        <v>34</v>
      </c>
      <c r="E4759" s="9" t="s">
        <v>29</v>
      </c>
      <c r="F4759" s="9">
        <v>215</v>
      </c>
      <c r="G4759" s="9">
        <v>232.3</v>
      </c>
      <c r="H4759" s="9" t="s">
        <v>19</v>
      </c>
      <c r="I4759" s="9">
        <v>9</v>
      </c>
      <c r="J4759" s="10">
        <v>17.3</v>
      </c>
      <c r="K4759" s="9" t="str">
        <f>TEXT(Sales_of_Jordan[[#This Row],[Sale_Date]],"mmm")</f>
        <v>Apr</v>
      </c>
    </row>
    <row r="4760" spans="1:11" x14ac:dyDescent="0.35">
      <c r="A4760" s="7" t="s">
        <v>4790</v>
      </c>
      <c r="B4760" s="8">
        <v>45901</v>
      </c>
      <c r="C4760" s="9" t="s">
        <v>21</v>
      </c>
      <c r="D4760" s="9" t="s">
        <v>34</v>
      </c>
      <c r="E4760" s="9" t="s">
        <v>18</v>
      </c>
      <c r="F4760" s="9">
        <v>218</v>
      </c>
      <c r="G4760" s="9">
        <v>719.48</v>
      </c>
      <c r="H4760" s="9" t="s">
        <v>14</v>
      </c>
      <c r="I4760" s="9">
        <v>13</v>
      </c>
      <c r="J4760" s="10">
        <v>501.48</v>
      </c>
      <c r="K4760" s="9" t="str">
        <f>TEXT(Sales_of_Jordan[[#This Row],[Sale_Date]],"mmm")</f>
        <v>Sep</v>
      </c>
    </row>
    <row r="4761" spans="1:11" x14ac:dyDescent="0.35">
      <c r="A4761" s="7" t="s">
        <v>4791</v>
      </c>
      <c r="B4761" s="8">
        <v>45123</v>
      </c>
      <c r="C4761" s="9" t="s">
        <v>16</v>
      </c>
      <c r="D4761" s="9" t="s">
        <v>53</v>
      </c>
      <c r="E4761" s="9" t="s">
        <v>18</v>
      </c>
      <c r="F4761" s="9">
        <v>173</v>
      </c>
      <c r="G4761" s="9">
        <v>557.34</v>
      </c>
      <c r="H4761" s="9" t="s">
        <v>23</v>
      </c>
      <c r="I4761" s="9">
        <v>47</v>
      </c>
      <c r="J4761" s="10">
        <v>384.34</v>
      </c>
      <c r="K4761" s="9" t="str">
        <f>TEXT(Sales_of_Jordan[[#This Row],[Sale_Date]],"mmm")</f>
        <v>Jul</v>
      </c>
    </row>
    <row r="4762" spans="1:11" x14ac:dyDescent="0.35">
      <c r="A4762" s="7" t="s">
        <v>4792</v>
      </c>
      <c r="B4762" s="8">
        <v>45543</v>
      </c>
      <c r="C4762" s="9" t="s">
        <v>31</v>
      </c>
      <c r="D4762" s="9" t="s">
        <v>46</v>
      </c>
      <c r="E4762" s="9" t="s">
        <v>29</v>
      </c>
      <c r="F4762" s="9">
        <v>205</v>
      </c>
      <c r="G4762" s="9">
        <v>295.94</v>
      </c>
      <c r="H4762" s="9" t="s">
        <v>19</v>
      </c>
      <c r="I4762" s="9">
        <v>10</v>
      </c>
      <c r="J4762" s="10">
        <v>90.94</v>
      </c>
      <c r="K4762" s="9" t="str">
        <f>TEXT(Sales_of_Jordan[[#This Row],[Sale_Date]],"mmm")</f>
        <v>Sep</v>
      </c>
    </row>
    <row r="4763" spans="1:11" x14ac:dyDescent="0.35">
      <c r="A4763" s="7" t="s">
        <v>4793</v>
      </c>
      <c r="B4763" s="8">
        <v>45882</v>
      </c>
      <c r="C4763" s="9" t="s">
        <v>11</v>
      </c>
      <c r="D4763" s="9" t="s">
        <v>17</v>
      </c>
      <c r="E4763" s="9" t="s">
        <v>13</v>
      </c>
      <c r="F4763" s="9">
        <v>230</v>
      </c>
      <c r="G4763" s="9">
        <v>119.08</v>
      </c>
      <c r="H4763" s="9" t="s">
        <v>14</v>
      </c>
      <c r="I4763" s="9">
        <v>1</v>
      </c>
      <c r="J4763" s="10">
        <v>-110.92</v>
      </c>
      <c r="K4763" s="9" t="str">
        <f>TEXT(Sales_of_Jordan[[#This Row],[Sale_Date]],"mmm")</f>
        <v>Aug</v>
      </c>
    </row>
    <row r="4764" spans="1:11" x14ac:dyDescent="0.35">
      <c r="A4764" s="7" t="s">
        <v>4794</v>
      </c>
      <c r="B4764" s="8">
        <v>45735</v>
      </c>
      <c r="C4764" s="9" t="s">
        <v>27</v>
      </c>
      <c r="D4764" s="9" t="s">
        <v>17</v>
      </c>
      <c r="E4764" s="9" t="s">
        <v>18</v>
      </c>
      <c r="F4764" s="9">
        <v>139</v>
      </c>
      <c r="G4764" s="9">
        <v>376.45</v>
      </c>
      <c r="H4764" s="9" t="s">
        <v>25</v>
      </c>
      <c r="I4764" s="9">
        <v>13</v>
      </c>
      <c r="J4764" s="10">
        <v>237.45</v>
      </c>
      <c r="K4764" s="9" t="str">
        <f>TEXT(Sales_of_Jordan[[#This Row],[Sale_Date]],"mmm")</f>
        <v>Mar</v>
      </c>
    </row>
    <row r="4765" spans="1:11" x14ac:dyDescent="0.35">
      <c r="A4765" s="7" t="s">
        <v>4795</v>
      </c>
      <c r="B4765" s="8">
        <v>45655</v>
      </c>
      <c r="C4765" s="9" t="s">
        <v>21</v>
      </c>
      <c r="D4765" s="9" t="s">
        <v>36</v>
      </c>
      <c r="E4765" s="9" t="s">
        <v>18</v>
      </c>
      <c r="F4765" s="9">
        <v>223</v>
      </c>
      <c r="G4765" s="9">
        <v>567.22</v>
      </c>
      <c r="H4765" s="9" t="s">
        <v>14</v>
      </c>
      <c r="I4765" s="9">
        <v>6</v>
      </c>
      <c r="J4765" s="10">
        <v>344.22</v>
      </c>
      <c r="K4765" s="9" t="str">
        <f>TEXT(Sales_of_Jordan[[#This Row],[Sale_Date]],"mmm")</f>
        <v>Dec</v>
      </c>
    </row>
    <row r="4766" spans="1:11" x14ac:dyDescent="0.35">
      <c r="A4766" s="7" t="s">
        <v>4796</v>
      </c>
      <c r="B4766" s="8">
        <v>45707</v>
      </c>
      <c r="C4766" s="9" t="s">
        <v>31</v>
      </c>
      <c r="D4766" s="9" t="s">
        <v>36</v>
      </c>
      <c r="E4766" s="9" t="s">
        <v>29</v>
      </c>
      <c r="F4766" s="9">
        <v>206</v>
      </c>
      <c r="G4766" s="9">
        <v>284.51</v>
      </c>
      <c r="H4766" s="9" t="s">
        <v>32</v>
      </c>
      <c r="I4766" s="9">
        <v>13</v>
      </c>
      <c r="J4766" s="10">
        <v>78.509999999999906</v>
      </c>
      <c r="K4766" s="9" t="str">
        <f>TEXT(Sales_of_Jordan[[#This Row],[Sale_Date]],"mmm")</f>
        <v>Feb</v>
      </c>
    </row>
    <row r="4767" spans="1:11" x14ac:dyDescent="0.35">
      <c r="A4767" s="7" t="s">
        <v>4797</v>
      </c>
      <c r="B4767" s="8">
        <v>45331</v>
      </c>
      <c r="C4767" s="9" t="s">
        <v>27</v>
      </c>
      <c r="D4767" s="9" t="s">
        <v>55</v>
      </c>
      <c r="E4767" s="9" t="s">
        <v>29</v>
      </c>
      <c r="F4767" s="9">
        <v>120</v>
      </c>
      <c r="G4767" s="9">
        <v>136.16</v>
      </c>
      <c r="H4767" s="9" t="s">
        <v>14</v>
      </c>
      <c r="I4767" s="9">
        <v>11</v>
      </c>
      <c r="J4767" s="10">
        <v>16.159999999999901</v>
      </c>
      <c r="K4767" s="9" t="str">
        <f>TEXT(Sales_of_Jordan[[#This Row],[Sale_Date]],"mmm")</f>
        <v>Feb</v>
      </c>
    </row>
    <row r="4768" spans="1:11" x14ac:dyDescent="0.35">
      <c r="A4768" s="7" t="s">
        <v>4798</v>
      </c>
      <c r="B4768" s="8">
        <v>45251</v>
      </c>
      <c r="C4768" s="9" t="s">
        <v>27</v>
      </c>
      <c r="D4768" s="9" t="s">
        <v>46</v>
      </c>
      <c r="E4768" s="9" t="s">
        <v>13</v>
      </c>
      <c r="F4768" s="9">
        <v>110</v>
      </c>
      <c r="G4768" s="9">
        <v>62.61</v>
      </c>
      <c r="H4768" s="9" t="s">
        <v>25</v>
      </c>
      <c r="I4768" s="9">
        <v>25</v>
      </c>
      <c r="J4768" s="10">
        <v>-47.39</v>
      </c>
      <c r="K4768" s="9" t="str">
        <f>TEXT(Sales_of_Jordan[[#This Row],[Sale_Date]],"mmm")</f>
        <v>Nov</v>
      </c>
    </row>
    <row r="4769" spans="1:11" x14ac:dyDescent="0.35">
      <c r="A4769" s="7" t="s">
        <v>4799</v>
      </c>
      <c r="B4769" s="8">
        <v>45901</v>
      </c>
      <c r="C4769" s="9" t="s">
        <v>11</v>
      </c>
      <c r="D4769" s="9" t="s">
        <v>17</v>
      </c>
      <c r="E4769" s="9" t="s">
        <v>13</v>
      </c>
      <c r="F4769" s="9">
        <v>229</v>
      </c>
      <c r="G4769" s="9">
        <v>136.86000000000001</v>
      </c>
      <c r="H4769" s="9" t="s">
        <v>32</v>
      </c>
      <c r="I4769" s="9">
        <v>54</v>
      </c>
      <c r="J4769" s="10">
        <v>-92.139999999999901</v>
      </c>
      <c r="K4769" s="9" t="str">
        <f>TEXT(Sales_of_Jordan[[#This Row],[Sale_Date]],"mmm")</f>
        <v>Sep</v>
      </c>
    </row>
    <row r="4770" spans="1:11" x14ac:dyDescent="0.35">
      <c r="A4770" s="7" t="s">
        <v>4800</v>
      </c>
      <c r="B4770" s="8">
        <v>45097</v>
      </c>
      <c r="C4770" s="9" t="s">
        <v>27</v>
      </c>
      <c r="D4770" s="9" t="s">
        <v>55</v>
      </c>
      <c r="E4770" s="9" t="s">
        <v>18</v>
      </c>
      <c r="F4770" s="9">
        <v>135</v>
      </c>
      <c r="G4770" s="9">
        <v>322.3</v>
      </c>
      <c r="H4770" s="9" t="s">
        <v>25</v>
      </c>
      <c r="I4770" s="9">
        <v>13</v>
      </c>
      <c r="J4770" s="10">
        <v>187.3</v>
      </c>
      <c r="K4770" s="9" t="str">
        <f>TEXT(Sales_of_Jordan[[#This Row],[Sale_Date]],"mmm")</f>
        <v>Jun</v>
      </c>
    </row>
    <row r="4771" spans="1:11" x14ac:dyDescent="0.35">
      <c r="A4771" s="7" t="s">
        <v>4801</v>
      </c>
      <c r="B4771" s="8">
        <v>45843</v>
      </c>
      <c r="C4771" s="9" t="s">
        <v>16</v>
      </c>
      <c r="D4771" s="9" t="s">
        <v>34</v>
      </c>
      <c r="E4771" s="9" t="s">
        <v>13</v>
      </c>
      <c r="F4771" s="9">
        <v>176</v>
      </c>
      <c r="G4771" s="9">
        <v>102.17</v>
      </c>
      <c r="H4771" s="9" t="s">
        <v>14</v>
      </c>
      <c r="I4771" s="9">
        <v>3</v>
      </c>
      <c r="J4771" s="10">
        <v>-73.83</v>
      </c>
      <c r="K4771" s="9" t="str">
        <f>TEXT(Sales_of_Jordan[[#This Row],[Sale_Date]],"mmm")</f>
        <v>Jul</v>
      </c>
    </row>
    <row r="4772" spans="1:11" x14ac:dyDescent="0.35">
      <c r="A4772" s="7" t="s">
        <v>4802</v>
      </c>
      <c r="B4772" s="8">
        <v>45723</v>
      </c>
      <c r="C4772" s="9" t="s">
        <v>21</v>
      </c>
      <c r="D4772" s="9" t="s">
        <v>36</v>
      </c>
      <c r="E4772" s="9" t="s">
        <v>18</v>
      </c>
      <c r="F4772" s="9">
        <v>224</v>
      </c>
      <c r="G4772" s="9">
        <v>621.01</v>
      </c>
      <c r="H4772" s="9" t="s">
        <v>19</v>
      </c>
      <c r="I4772" s="9">
        <v>5</v>
      </c>
      <c r="J4772" s="10">
        <v>397.01</v>
      </c>
      <c r="K4772" s="9" t="str">
        <f>TEXT(Sales_of_Jordan[[#This Row],[Sale_Date]],"mmm")</f>
        <v>Mar</v>
      </c>
    </row>
    <row r="4773" spans="1:11" x14ac:dyDescent="0.35">
      <c r="A4773" s="7" t="s">
        <v>4803</v>
      </c>
      <c r="B4773" s="8">
        <v>45270</v>
      </c>
      <c r="C4773" s="9" t="s">
        <v>21</v>
      </c>
      <c r="D4773" s="9" t="s">
        <v>39</v>
      </c>
      <c r="E4773" s="9" t="s">
        <v>13</v>
      </c>
      <c r="F4773" s="9">
        <v>224</v>
      </c>
      <c r="G4773" s="9">
        <v>175.08</v>
      </c>
      <c r="H4773" s="9" t="s">
        <v>25</v>
      </c>
      <c r="I4773" s="9">
        <v>17</v>
      </c>
      <c r="J4773" s="10">
        <v>-48.919999999999902</v>
      </c>
      <c r="K4773" s="9" t="str">
        <f>TEXT(Sales_of_Jordan[[#This Row],[Sale_Date]],"mmm")</f>
        <v>Dec</v>
      </c>
    </row>
    <row r="4774" spans="1:11" x14ac:dyDescent="0.35">
      <c r="A4774" s="7" t="s">
        <v>4804</v>
      </c>
      <c r="B4774" s="8">
        <v>45569</v>
      </c>
      <c r="C4774" s="9" t="s">
        <v>27</v>
      </c>
      <c r="D4774" s="9" t="s">
        <v>12</v>
      </c>
      <c r="E4774" s="9" t="s">
        <v>13</v>
      </c>
      <c r="F4774" s="9">
        <v>113</v>
      </c>
      <c r="G4774" s="9">
        <v>60.66</v>
      </c>
      <c r="H4774" s="9" t="s">
        <v>32</v>
      </c>
      <c r="I4774" s="9">
        <v>42</v>
      </c>
      <c r="J4774" s="10">
        <v>-52.34</v>
      </c>
      <c r="K4774" s="9" t="str">
        <f>TEXT(Sales_of_Jordan[[#This Row],[Sale_Date]],"mmm")</f>
        <v>Oct</v>
      </c>
    </row>
    <row r="4775" spans="1:11" x14ac:dyDescent="0.35">
      <c r="A4775" s="7" t="s">
        <v>4805</v>
      </c>
      <c r="B4775" s="8">
        <v>45649</v>
      </c>
      <c r="C4775" s="9" t="s">
        <v>16</v>
      </c>
      <c r="D4775" s="9" t="s">
        <v>53</v>
      </c>
      <c r="E4775" s="9" t="s">
        <v>13</v>
      </c>
      <c r="F4775" s="9">
        <v>180</v>
      </c>
      <c r="G4775" s="9">
        <v>144.78</v>
      </c>
      <c r="H4775" s="9" t="s">
        <v>32</v>
      </c>
      <c r="I4775" s="9">
        <v>12</v>
      </c>
      <c r="J4775" s="10">
        <v>-35.22</v>
      </c>
      <c r="K4775" s="9" t="str">
        <f>TEXT(Sales_of_Jordan[[#This Row],[Sale_Date]],"mmm")</f>
        <v>Dec</v>
      </c>
    </row>
    <row r="4776" spans="1:11" x14ac:dyDescent="0.35">
      <c r="A4776" s="7" t="s">
        <v>4806</v>
      </c>
      <c r="B4776" s="8">
        <v>45119</v>
      </c>
      <c r="C4776" s="9" t="s">
        <v>11</v>
      </c>
      <c r="D4776" s="9" t="s">
        <v>46</v>
      </c>
      <c r="E4776" s="9" t="s">
        <v>18</v>
      </c>
      <c r="F4776" s="9">
        <v>230</v>
      </c>
      <c r="G4776" s="9">
        <v>376.4</v>
      </c>
      <c r="H4776" s="9" t="s">
        <v>19</v>
      </c>
      <c r="I4776" s="9">
        <v>1</v>
      </c>
      <c r="J4776" s="10">
        <v>146.39999999999901</v>
      </c>
      <c r="K4776" s="9" t="str">
        <f>TEXT(Sales_of_Jordan[[#This Row],[Sale_Date]],"mmm")</f>
        <v>Jul</v>
      </c>
    </row>
    <row r="4777" spans="1:11" x14ac:dyDescent="0.35">
      <c r="A4777" s="7" t="s">
        <v>4807</v>
      </c>
      <c r="B4777" s="8">
        <v>45667</v>
      </c>
      <c r="C4777" s="9" t="s">
        <v>16</v>
      </c>
      <c r="D4777" s="9" t="s">
        <v>46</v>
      </c>
      <c r="E4777" s="9" t="s">
        <v>13</v>
      </c>
      <c r="F4777" s="9">
        <v>187</v>
      </c>
      <c r="G4777" s="9">
        <v>96.11</v>
      </c>
      <c r="H4777" s="9" t="s">
        <v>32</v>
      </c>
      <c r="I4777" s="9">
        <v>20</v>
      </c>
      <c r="J4777" s="10">
        <v>-90.89</v>
      </c>
      <c r="K4777" s="9" t="str">
        <f>TEXT(Sales_of_Jordan[[#This Row],[Sale_Date]],"mmm")</f>
        <v>Jan</v>
      </c>
    </row>
    <row r="4778" spans="1:11" x14ac:dyDescent="0.35">
      <c r="A4778" s="7" t="s">
        <v>4808</v>
      </c>
      <c r="B4778" s="8">
        <v>45646</v>
      </c>
      <c r="C4778" s="9" t="s">
        <v>31</v>
      </c>
      <c r="D4778" s="9" t="s">
        <v>22</v>
      </c>
      <c r="E4778" s="9" t="s">
        <v>13</v>
      </c>
      <c r="F4778" s="9">
        <v>208</v>
      </c>
      <c r="G4778" s="9">
        <v>117.18</v>
      </c>
      <c r="H4778" s="9" t="s">
        <v>14</v>
      </c>
      <c r="I4778" s="9">
        <v>4</v>
      </c>
      <c r="J4778" s="10">
        <v>-90.82</v>
      </c>
      <c r="K4778" s="9" t="str">
        <f>TEXT(Sales_of_Jordan[[#This Row],[Sale_Date]],"mmm")</f>
        <v>Dec</v>
      </c>
    </row>
    <row r="4779" spans="1:11" x14ac:dyDescent="0.35">
      <c r="A4779" s="7" t="s">
        <v>4809</v>
      </c>
      <c r="B4779" s="8">
        <v>45374</v>
      </c>
      <c r="C4779" s="9" t="s">
        <v>16</v>
      </c>
      <c r="D4779" s="9" t="s">
        <v>53</v>
      </c>
      <c r="E4779" s="9" t="s">
        <v>18</v>
      </c>
      <c r="F4779" s="9">
        <v>189</v>
      </c>
      <c r="G4779" s="9">
        <v>372.14</v>
      </c>
      <c r="H4779" s="9" t="s">
        <v>32</v>
      </c>
      <c r="I4779" s="9">
        <v>58</v>
      </c>
      <c r="J4779" s="10">
        <v>183.14</v>
      </c>
      <c r="K4779" s="9" t="str">
        <f>TEXT(Sales_of_Jordan[[#This Row],[Sale_Date]],"mmm")</f>
        <v>Mar</v>
      </c>
    </row>
    <row r="4780" spans="1:11" x14ac:dyDescent="0.35">
      <c r="A4780" s="7" t="s">
        <v>4810</v>
      </c>
      <c r="B4780" s="8">
        <v>45001</v>
      </c>
      <c r="C4780" s="9" t="s">
        <v>21</v>
      </c>
      <c r="D4780" s="9" t="s">
        <v>39</v>
      </c>
      <c r="E4780" s="9" t="s">
        <v>29</v>
      </c>
      <c r="F4780" s="9">
        <v>225</v>
      </c>
      <c r="G4780" s="9">
        <v>232.33</v>
      </c>
      <c r="H4780" s="9" t="s">
        <v>25</v>
      </c>
      <c r="I4780" s="9">
        <v>22</v>
      </c>
      <c r="J4780" s="10">
        <v>7.3300000000000098</v>
      </c>
      <c r="K4780" s="9" t="str">
        <f>TEXT(Sales_of_Jordan[[#This Row],[Sale_Date]],"mmm")</f>
        <v>Mar</v>
      </c>
    </row>
    <row r="4781" spans="1:11" x14ac:dyDescent="0.35">
      <c r="A4781" s="7" t="s">
        <v>4811</v>
      </c>
      <c r="B4781" s="8">
        <v>45384</v>
      </c>
      <c r="C4781" s="9" t="s">
        <v>21</v>
      </c>
      <c r="D4781" s="9" t="s">
        <v>34</v>
      </c>
      <c r="E4781" s="9" t="s">
        <v>29</v>
      </c>
      <c r="F4781" s="9">
        <v>223</v>
      </c>
      <c r="G4781" s="9">
        <v>218.14</v>
      </c>
      <c r="H4781" s="9" t="s">
        <v>23</v>
      </c>
      <c r="I4781" s="9">
        <v>24</v>
      </c>
      <c r="J4781" s="10">
        <v>-4.8600000000000101</v>
      </c>
      <c r="K4781" s="9" t="str">
        <f>TEXT(Sales_of_Jordan[[#This Row],[Sale_Date]],"mmm")</f>
        <v>Apr</v>
      </c>
    </row>
    <row r="4782" spans="1:11" x14ac:dyDescent="0.35">
      <c r="A4782" s="7" t="s">
        <v>4812</v>
      </c>
      <c r="B4782" s="8">
        <v>45244</v>
      </c>
      <c r="C4782" s="9" t="s">
        <v>31</v>
      </c>
      <c r="D4782" s="9" t="s">
        <v>39</v>
      </c>
      <c r="E4782" s="9" t="s">
        <v>13</v>
      </c>
      <c r="F4782" s="9">
        <v>210</v>
      </c>
      <c r="G4782" s="9">
        <v>159.79</v>
      </c>
      <c r="H4782" s="9" t="s">
        <v>32</v>
      </c>
      <c r="I4782" s="9">
        <v>29</v>
      </c>
      <c r="J4782" s="10">
        <v>-50.21</v>
      </c>
      <c r="K4782" s="9" t="str">
        <f>TEXT(Sales_of_Jordan[[#This Row],[Sale_Date]],"mmm")</f>
        <v>Nov</v>
      </c>
    </row>
    <row r="4783" spans="1:11" x14ac:dyDescent="0.35">
      <c r="A4783" s="7" t="s">
        <v>4813</v>
      </c>
      <c r="B4783" s="8">
        <v>45711</v>
      </c>
      <c r="C4783" s="9" t="s">
        <v>27</v>
      </c>
      <c r="D4783" s="9" t="s">
        <v>17</v>
      </c>
      <c r="E4783" s="9" t="s">
        <v>13</v>
      </c>
      <c r="F4783" s="9">
        <v>114</v>
      </c>
      <c r="G4783" s="9">
        <v>81.239999999999995</v>
      </c>
      <c r="H4783" s="9" t="s">
        <v>14</v>
      </c>
      <c r="I4783" s="9">
        <v>6</v>
      </c>
      <c r="J4783" s="10">
        <v>-32.76</v>
      </c>
      <c r="K4783" s="9" t="str">
        <f>TEXT(Sales_of_Jordan[[#This Row],[Sale_Date]],"mmm")</f>
        <v>Feb</v>
      </c>
    </row>
    <row r="4784" spans="1:11" x14ac:dyDescent="0.35">
      <c r="A4784" s="7" t="s">
        <v>4814</v>
      </c>
      <c r="B4784" s="8">
        <v>45392</v>
      </c>
      <c r="C4784" s="9" t="s">
        <v>16</v>
      </c>
      <c r="D4784" s="9" t="s">
        <v>12</v>
      </c>
      <c r="E4784" s="9" t="s">
        <v>29</v>
      </c>
      <c r="F4784" s="9">
        <v>185</v>
      </c>
      <c r="G4784" s="9">
        <v>228.38</v>
      </c>
      <c r="H4784" s="9" t="s">
        <v>19</v>
      </c>
      <c r="I4784" s="9">
        <v>3</v>
      </c>
      <c r="J4784" s="10">
        <v>43.379999999999903</v>
      </c>
      <c r="K4784" s="9" t="str">
        <f>TEXT(Sales_of_Jordan[[#This Row],[Sale_Date]],"mmm")</f>
        <v>Apr</v>
      </c>
    </row>
    <row r="4785" spans="1:11" x14ac:dyDescent="0.35">
      <c r="A4785" s="7" t="s">
        <v>4815</v>
      </c>
      <c r="B4785" s="8">
        <v>45373</v>
      </c>
      <c r="C4785" s="9" t="s">
        <v>31</v>
      </c>
      <c r="D4785" s="9" t="s">
        <v>17</v>
      </c>
      <c r="E4785" s="9" t="s">
        <v>29</v>
      </c>
      <c r="F4785" s="9">
        <v>207</v>
      </c>
      <c r="G4785" s="9">
        <v>288.32</v>
      </c>
      <c r="H4785" s="9" t="s">
        <v>14</v>
      </c>
      <c r="I4785" s="9">
        <v>12</v>
      </c>
      <c r="J4785" s="10">
        <v>81.319999999999993</v>
      </c>
      <c r="K4785" s="9" t="str">
        <f>TEXT(Sales_of_Jordan[[#This Row],[Sale_Date]],"mmm")</f>
        <v>Mar</v>
      </c>
    </row>
    <row r="4786" spans="1:11" x14ac:dyDescent="0.35">
      <c r="A4786" s="7" t="s">
        <v>4816</v>
      </c>
      <c r="B4786" s="8">
        <v>45234</v>
      </c>
      <c r="C4786" s="9" t="s">
        <v>27</v>
      </c>
      <c r="D4786" s="9" t="s">
        <v>17</v>
      </c>
      <c r="E4786" s="9" t="s">
        <v>18</v>
      </c>
      <c r="F4786" s="9">
        <v>132</v>
      </c>
      <c r="G4786" s="9">
        <v>444.3</v>
      </c>
      <c r="H4786" s="9" t="s">
        <v>19</v>
      </c>
      <c r="I4786" s="9">
        <v>2</v>
      </c>
      <c r="J4786" s="10">
        <v>312.3</v>
      </c>
      <c r="K4786" s="9" t="str">
        <f>TEXT(Sales_of_Jordan[[#This Row],[Sale_Date]],"mmm")</f>
        <v>Nov</v>
      </c>
    </row>
    <row r="4787" spans="1:11" x14ac:dyDescent="0.35">
      <c r="A4787" s="7" t="s">
        <v>4817</v>
      </c>
      <c r="B4787" s="8">
        <v>45901</v>
      </c>
      <c r="C4787" s="9" t="s">
        <v>31</v>
      </c>
      <c r="D4787" s="9" t="s">
        <v>39</v>
      </c>
      <c r="E4787" s="9" t="s">
        <v>29</v>
      </c>
      <c r="F4787" s="9">
        <v>204</v>
      </c>
      <c r="G4787" s="9">
        <v>270.43</v>
      </c>
      <c r="H4787" s="9" t="s">
        <v>14</v>
      </c>
      <c r="I4787" s="9">
        <v>1</v>
      </c>
      <c r="J4787" s="10">
        <v>66.430000000000007</v>
      </c>
      <c r="K4787" s="9" t="str">
        <f>TEXT(Sales_of_Jordan[[#This Row],[Sale_Date]],"mmm")</f>
        <v>Sep</v>
      </c>
    </row>
    <row r="4788" spans="1:11" x14ac:dyDescent="0.35">
      <c r="A4788" s="7" t="s">
        <v>4818</v>
      </c>
      <c r="B4788" s="8">
        <v>45713</v>
      </c>
      <c r="C4788" s="9" t="s">
        <v>16</v>
      </c>
      <c r="D4788" s="9" t="s">
        <v>34</v>
      </c>
      <c r="E4788" s="9" t="s">
        <v>18</v>
      </c>
      <c r="F4788" s="9">
        <v>173</v>
      </c>
      <c r="G4788" s="9">
        <v>265.76</v>
      </c>
      <c r="H4788" s="9" t="s">
        <v>23</v>
      </c>
      <c r="I4788" s="9">
        <v>55</v>
      </c>
      <c r="J4788" s="10">
        <v>92.759999999999906</v>
      </c>
      <c r="K4788" s="9" t="str">
        <f>TEXT(Sales_of_Jordan[[#This Row],[Sale_Date]],"mmm")</f>
        <v>Feb</v>
      </c>
    </row>
    <row r="4789" spans="1:11" x14ac:dyDescent="0.35">
      <c r="A4789" s="7" t="s">
        <v>4819</v>
      </c>
      <c r="B4789" s="8">
        <v>45041</v>
      </c>
      <c r="C4789" s="9" t="s">
        <v>21</v>
      </c>
      <c r="D4789" s="9" t="s">
        <v>46</v>
      </c>
      <c r="E4789" s="9" t="s">
        <v>13</v>
      </c>
      <c r="F4789" s="9">
        <v>222</v>
      </c>
      <c r="G4789" s="9">
        <v>162.94</v>
      </c>
      <c r="H4789" s="9" t="s">
        <v>14</v>
      </c>
      <c r="I4789" s="9">
        <v>6</v>
      </c>
      <c r="J4789" s="10">
        <v>-59.06</v>
      </c>
      <c r="K4789" s="9" t="str">
        <f>TEXT(Sales_of_Jordan[[#This Row],[Sale_Date]],"mmm")</f>
        <v>Apr</v>
      </c>
    </row>
    <row r="4790" spans="1:11" x14ac:dyDescent="0.35">
      <c r="A4790" s="7" t="s">
        <v>4820</v>
      </c>
      <c r="B4790" s="8">
        <v>44956</v>
      </c>
      <c r="C4790" s="9" t="s">
        <v>21</v>
      </c>
      <c r="D4790" s="9" t="s">
        <v>39</v>
      </c>
      <c r="E4790" s="9" t="s">
        <v>13</v>
      </c>
      <c r="F4790" s="9">
        <v>210</v>
      </c>
      <c r="G4790" s="9">
        <v>149.34</v>
      </c>
      <c r="H4790" s="9" t="s">
        <v>14</v>
      </c>
      <c r="I4790" s="9">
        <v>8</v>
      </c>
      <c r="J4790" s="10">
        <v>-60.66</v>
      </c>
      <c r="K4790" s="9" t="str">
        <f>TEXT(Sales_of_Jordan[[#This Row],[Sale_Date]],"mmm")</f>
        <v>Jan</v>
      </c>
    </row>
    <row r="4791" spans="1:11" x14ac:dyDescent="0.35">
      <c r="A4791" s="7" t="s">
        <v>4821</v>
      </c>
      <c r="B4791" s="8">
        <v>45326</v>
      </c>
      <c r="C4791" s="9" t="s">
        <v>31</v>
      </c>
      <c r="D4791" s="9" t="s">
        <v>34</v>
      </c>
      <c r="E4791" s="9" t="s">
        <v>13</v>
      </c>
      <c r="F4791" s="9">
        <v>203</v>
      </c>
      <c r="G4791" s="9">
        <v>160.75</v>
      </c>
      <c r="H4791" s="9" t="s">
        <v>32</v>
      </c>
      <c r="I4791" s="9">
        <v>22</v>
      </c>
      <c r="J4791" s="10">
        <v>-42.25</v>
      </c>
      <c r="K4791" s="9" t="str">
        <f>TEXT(Sales_of_Jordan[[#This Row],[Sale_Date]],"mmm")</f>
        <v>Feb</v>
      </c>
    </row>
    <row r="4792" spans="1:11" x14ac:dyDescent="0.35">
      <c r="A4792" s="7" t="s">
        <v>4822</v>
      </c>
      <c r="B4792" s="8">
        <v>45876</v>
      </c>
      <c r="C4792" s="9" t="s">
        <v>21</v>
      </c>
      <c r="D4792" s="9" t="s">
        <v>22</v>
      </c>
      <c r="E4792" s="9" t="s">
        <v>29</v>
      </c>
      <c r="F4792" s="9">
        <v>213</v>
      </c>
      <c r="G4792" s="9">
        <v>308.49</v>
      </c>
      <c r="H4792" s="9" t="s">
        <v>23</v>
      </c>
      <c r="I4792" s="9">
        <v>28</v>
      </c>
      <c r="J4792" s="10">
        <v>95.49</v>
      </c>
      <c r="K4792" s="9" t="str">
        <f>TEXT(Sales_of_Jordan[[#This Row],[Sale_Date]],"mmm")</f>
        <v>Aug</v>
      </c>
    </row>
    <row r="4793" spans="1:11" x14ac:dyDescent="0.35">
      <c r="A4793" s="7" t="s">
        <v>4823</v>
      </c>
      <c r="B4793" s="8">
        <v>45392</v>
      </c>
      <c r="C4793" s="9" t="s">
        <v>21</v>
      </c>
      <c r="D4793" s="9" t="s">
        <v>17</v>
      </c>
      <c r="E4793" s="9" t="s">
        <v>13</v>
      </c>
      <c r="F4793" s="9">
        <v>221</v>
      </c>
      <c r="G4793" s="9">
        <v>160.97</v>
      </c>
      <c r="H4793" s="9" t="s">
        <v>32</v>
      </c>
      <c r="I4793" s="9">
        <v>23</v>
      </c>
      <c r="J4793" s="10">
        <v>-60.03</v>
      </c>
      <c r="K4793" s="9" t="str">
        <f>TEXT(Sales_of_Jordan[[#This Row],[Sale_Date]],"mmm")</f>
        <v>Apr</v>
      </c>
    </row>
    <row r="4794" spans="1:11" x14ac:dyDescent="0.35">
      <c r="A4794" s="7" t="s">
        <v>4824</v>
      </c>
      <c r="B4794" s="8">
        <v>45170</v>
      </c>
      <c r="C4794" s="9" t="s">
        <v>21</v>
      </c>
      <c r="D4794" s="9" t="s">
        <v>46</v>
      </c>
      <c r="E4794" s="9" t="s">
        <v>13</v>
      </c>
      <c r="F4794" s="9">
        <v>220</v>
      </c>
      <c r="G4794" s="9">
        <v>162.29</v>
      </c>
      <c r="H4794" s="9" t="s">
        <v>23</v>
      </c>
      <c r="I4794" s="9">
        <v>52</v>
      </c>
      <c r="J4794" s="10">
        <v>-57.71</v>
      </c>
      <c r="K4794" s="9" t="str">
        <f>TEXT(Sales_of_Jordan[[#This Row],[Sale_Date]],"mmm")</f>
        <v>Sep</v>
      </c>
    </row>
    <row r="4795" spans="1:11" x14ac:dyDescent="0.35">
      <c r="A4795" s="7" t="s">
        <v>4825</v>
      </c>
      <c r="B4795" s="8">
        <v>45526</v>
      </c>
      <c r="C4795" s="9" t="s">
        <v>16</v>
      </c>
      <c r="D4795" s="9" t="s">
        <v>46</v>
      </c>
      <c r="E4795" s="9" t="s">
        <v>13</v>
      </c>
      <c r="F4795" s="9">
        <v>188</v>
      </c>
      <c r="G4795" s="9">
        <v>147.56</v>
      </c>
      <c r="H4795" s="9" t="s">
        <v>25</v>
      </c>
      <c r="I4795" s="9">
        <v>49</v>
      </c>
      <c r="J4795" s="10">
        <v>-40.44</v>
      </c>
      <c r="K4795" s="9" t="str">
        <f>TEXT(Sales_of_Jordan[[#This Row],[Sale_Date]],"mmm")</f>
        <v>Aug</v>
      </c>
    </row>
    <row r="4796" spans="1:11" x14ac:dyDescent="0.35">
      <c r="A4796" s="7" t="s">
        <v>4826</v>
      </c>
      <c r="B4796" s="8">
        <v>45580</v>
      </c>
      <c r="C4796" s="9" t="s">
        <v>16</v>
      </c>
      <c r="D4796" s="9" t="s">
        <v>34</v>
      </c>
      <c r="E4796" s="9" t="s">
        <v>29</v>
      </c>
      <c r="F4796" s="9">
        <v>180</v>
      </c>
      <c r="G4796" s="9">
        <v>248.84</v>
      </c>
      <c r="H4796" s="9" t="s">
        <v>23</v>
      </c>
      <c r="I4796" s="9">
        <v>14</v>
      </c>
      <c r="J4796" s="10">
        <v>68.84</v>
      </c>
      <c r="K4796" s="9" t="str">
        <f>TEXT(Sales_of_Jordan[[#This Row],[Sale_Date]],"mmm")</f>
        <v>Oct</v>
      </c>
    </row>
    <row r="4797" spans="1:11" x14ac:dyDescent="0.35">
      <c r="A4797" s="7" t="s">
        <v>4827</v>
      </c>
      <c r="B4797" s="8">
        <v>45245</v>
      </c>
      <c r="C4797" s="9" t="s">
        <v>16</v>
      </c>
      <c r="D4797" s="9" t="s">
        <v>46</v>
      </c>
      <c r="E4797" s="9" t="s">
        <v>13</v>
      </c>
      <c r="F4797" s="9">
        <v>188</v>
      </c>
      <c r="G4797" s="9">
        <v>107.07</v>
      </c>
      <c r="H4797" s="9" t="s">
        <v>23</v>
      </c>
      <c r="I4797" s="9">
        <v>33</v>
      </c>
      <c r="J4797" s="10">
        <v>-80.930000000000007</v>
      </c>
      <c r="K4797" s="9" t="str">
        <f>TEXT(Sales_of_Jordan[[#This Row],[Sale_Date]],"mmm")</f>
        <v>Nov</v>
      </c>
    </row>
    <row r="4798" spans="1:11" x14ac:dyDescent="0.35">
      <c r="A4798" s="7" t="s">
        <v>4828</v>
      </c>
      <c r="B4798" s="8">
        <v>45702</v>
      </c>
      <c r="C4798" s="9" t="s">
        <v>11</v>
      </c>
      <c r="D4798" s="9" t="s">
        <v>22</v>
      </c>
      <c r="E4798" s="9" t="s">
        <v>18</v>
      </c>
      <c r="F4798" s="9">
        <v>225</v>
      </c>
      <c r="G4798" s="9">
        <v>307.47000000000003</v>
      </c>
      <c r="H4798" s="9" t="s">
        <v>19</v>
      </c>
      <c r="I4798" s="9">
        <v>8</v>
      </c>
      <c r="J4798" s="10">
        <v>82.47</v>
      </c>
      <c r="K4798" s="9" t="str">
        <f>TEXT(Sales_of_Jordan[[#This Row],[Sale_Date]],"mmm")</f>
        <v>Feb</v>
      </c>
    </row>
    <row r="4799" spans="1:11" x14ac:dyDescent="0.35">
      <c r="A4799" s="7" t="s">
        <v>4829</v>
      </c>
      <c r="B4799" s="8">
        <v>45239</v>
      </c>
      <c r="C4799" s="9" t="s">
        <v>27</v>
      </c>
      <c r="D4799" s="9" t="s">
        <v>34</v>
      </c>
      <c r="E4799" s="9" t="s">
        <v>18</v>
      </c>
      <c r="F4799" s="9">
        <v>136</v>
      </c>
      <c r="G4799" s="9">
        <v>426.98</v>
      </c>
      <c r="H4799" s="9" t="s">
        <v>23</v>
      </c>
      <c r="I4799" s="9">
        <v>31</v>
      </c>
      <c r="J4799" s="10">
        <v>290.98</v>
      </c>
      <c r="K4799" s="9" t="str">
        <f>TEXT(Sales_of_Jordan[[#This Row],[Sale_Date]],"mmm")</f>
        <v>Nov</v>
      </c>
    </row>
    <row r="4800" spans="1:11" x14ac:dyDescent="0.35">
      <c r="A4800" s="7" t="s">
        <v>4830</v>
      </c>
      <c r="B4800" s="8">
        <v>45542</v>
      </c>
      <c r="C4800" s="9" t="s">
        <v>11</v>
      </c>
      <c r="D4800" s="9" t="s">
        <v>17</v>
      </c>
      <c r="E4800" s="9" t="s">
        <v>18</v>
      </c>
      <c r="F4800" s="9">
        <v>226</v>
      </c>
      <c r="G4800" s="9">
        <v>453.12</v>
      </c>
      <c r="H4800" s="9" t="s">
        <v>25</v>
      </c>
      <c r="I4800" s="9">
        <v>53</v>
      </c>
      <c r="J4800" s="10">
        <v>227.12</v>
      </c>
      <c r="K4800" s="9" t="str">
        <f>TEXT(Sales_of_Jordan[[#This Row],[Sale_Date]],"mmm")</f>
        <v>Sep</v>
      </c>
    </row>
    <row r="4801" spans="1:11" x14ac:dyDescent="0.35">
      <c r="A4801" s="7" t="s">
        <v>4831</v>
      </c>
      <c r="B4801" s="8">
        <v>45733</v>
      </c>
      <c r="C4801" s="9" t="s">
        <v>27</v>
      </c>
      <c r="D4801" s="9" t="s">
        <v>39</v>
      </c>
      <c r="E4801" s="9" t="s">
        <v>29</v>
      </c>
      <c r="F4801" s="9">
        <v>125</v>
      </c>
      <c r="G4801" s="9">
        <v>123.67</v>
      </c>
      <c r="H4801" s="9" t="s">
        <v>19</v>
      </c>
      <c r="I4801" s="9">
        <v>13</v>
      </c>
      <c r="J4801" s="10">
        <v>-1.3299999999999901</v>
      </c>
      <c r="K4801" s="9" t="str">
        <f>TEXT(Sales_of_Jordan[[#This Row],[Sale_Date]],"mmm")</f>
        <v>Mar</v>
      </c>
    </row>
    <row r="4802" spans="1:11" x14ac:dyDescent="0.35">
      <c r="A4802" s="7" t="s">
        <v>4832</v>
      </c>
      <c r="B4802" s="8">
        <v>45384</v>
      </c>
      <c r="C4802" s="9" t="s">
        <v>27</v>
      </c>
      <c r="D4802" s="9" t="s">
        <v>53</v>
      </c>
      <c r="E4802" s="9" t="s">
        <v>13</v>
      </c>
      <c r="F4802" s="9">
        <v>117</v>
      </c>
      <c r="G4802" s="9">
        <v>101.73</v>
      </c>
      <c r="H4802" s="9" t="s">
        <v>14</v>
      </c>
      <c r="I4802" s="9">
        <v>11</v>
      </c>
      <c r="J4802" s="10">
        <v>-15.2699999999999</v>
      </c>
      <c r="K4802" s="9" t="str">
        <f>TEXT(Sales_of_Jordan[[#This Row],[Sale_Date]],"mmm")</f>
        <v>Apr</v>
      </c>
    </row>
    <row r="4803" spans="1:11" x14ac:dyDescent="0.35">
      <c r="A4803" s="7" t="s">
        <v>4833</v>
      </c>
      <c r="B4803" s="8">
        <v>45241</v>
      </c>
      <c r="C4803" s="9" t="s">
        <v>11</v>
      </c>
      <c r="D4803" s="9" t="s">
        <v>17</v>
      </c>
      <c r="E4803" s="9" t="s">
        <v>18</v>
      </c>
      <c r="F4803" s="9">
        <v>230</v>
      </c>
      <c r="G4803" s="9">
        <v>596.57000000000005</v>
      </c>
      <c r="H4803" s="9" t="s">
        <v>14</v>
      </c>
      <c r="I4803" s="9">
        <v>14</v>
      </c>
      <c r="J4803" s="10">
        <v>366.57</v>
      </c>
      <c r="K4803" s="9" t="str">
        <f>TEXT(Sales_of_Jordan[[#This Row],[Sale_Date]],"mmm")</f>
        <v>Nov</v>
      </c>
    </row>
    <row r="4804" spans="1:11" x14ac:dyDescent="0.35">
      <c r="A4804" s="7" t="s">
        <v>4834</v>
      </c>
      <c r="B4804" s="8">
        <v>45563</v>
      </c>
      <c r="C4804" s="9" t="s">
        <v>11</v>
      </c>
      <c r="D4804" s="9" t="s">
        <v>55</v>
      </c>
      <c r="E4804" s="9" t="s">
        <v>29</v>
      </c>
      <c r="F4804" s="9">
        <v>225</v>
      </c>
      <c r="G4804" s="9">
        <v>255.01</v>
      </c>
      <c r="H4804" s="9" t="s">
        <v>14</v>
      </c>
      <c r="I4804" s="9">
        <v>3</v>
      </c>
      <c r="J4804" s="10">
        <v>30.009999999999899</v>
      </c>
      <c r="K4804" s="9" t="str">
        <f>TEXT(Sales_of_Jordan[[#This Row],[Sale_Date]],"mmm")</f>
        <v>Sep</v>
      </c>
    </row>
    <row r="4805" spans="1:11" x14ac:dyDescent="0.35">
      <c r="A4805" s="7" t="s">
        <v>4835</v>
      </c>
      <c r="B4805" s="8">
        <v>45211</v>
      </c>
      <c r="C4805" s="9" t="s">
        <v>11</v>
      </c>
      <c r="D4805" s="9" t="s">
        <v>53</v>
      </c>
      <c r="E4805" s="9" t="s">
        <v>18</v>
      </c>
      <c r="F4805" s="9">
        <v>230</v>
      </c>
      <c r="G4805" s="9">
        <v>654.07000000000005</v>
      </c>
      <c r="H4805" s="9" t="s">
        <v>32</v>
      </c>
      <c r="I4805" s="9">
        <v>5</v>
      </c>
      <c r="J4805" s="10">
        <v>424.07</v>
      </c>
      <c r="K4805" s="9" t="str">
        <f>TEXT(Sales_of_Jordan[[#This Row],[Sale_Date]],"mmm")</f>
        <v>Oct</v>
      </c>
    </row>
    <row r="4806" spans="1:11" x14ac:dyDescent="0.35">
      <c r="A4806" s="7" t="s">
        <v>4836</v>
      </c>
      <c r="B4806" s="8">
        <v>45476</v>
      </c>
      <c r="C4806" s="9" t="s">
        <v>16</v>
      </c>
      <c r="D4806" s="9" t="s">
        <v>36</v>
      </c>
      <c r="E4806" s="9" t="s">
        <v>18</v>
      </c>
      <c r="F4806" s="9">
        <v>187</v>
      </c>
      <c r="G4806" s="9">
        <v>283.48</v>
      </c>
      <c r="H4806" s="9" t="s">
        <v>23</v>
      </c>
      <c r="I4806" s="9">
        <v>38</v>
      </c>
      <c r="J4806" s="10">
        <v>96.48</v>
      </c>
      <c r="K4806" s="9" t="str">
        <f>TEXT(Sales_of_Jordan[[#This Row],[Sale_Date]],"mmm")</f>
        <v>Jul</v>
      </c>
    </row>
    <row r="4807" spans="1:11" x14ac:dyDescent="0.35">
      <c r="A4807" s="7" t="s">
        <v>4837</v>
      </c>
      <c r="B4807" s="8">
        <v>45829</v>
      </c>
      <c r="C4807" s="9" t="s">
        <v>21</v>
      </c>
      <c r="D4807" s="9" t="s">
        <v>46</v>
      </c>
      <c r="E4807" s="9" t="s">
        <v>29</v>
      </c>
      <c r="F4807" s="9">
        <v>218</v>
      </c>
      <c r="G4807" s="9">
        <v>204.52</v>
      </c>
      <c r="H4807" s="9" t="s">
        <v>25</v>
      </c>
      <c r="I4807" s="9">
        <v>12</v>
      </c>
      <c r="J4807" s="10">
        <v>-13.479999999999899</v>
      </c>
      <c r="K4807" s="9" t="str">
        <f>TEXT(Sales_of_Jordan[[#This Row],[Sale_Date]],"mmm")</f>
        <v>Jun</v>
      </c>
    </row>
    <row r="4808" spans="1:11" x14ac:dyDescent="0.35">
      <c r="A4808" s="7" t="s">
        <v>4838</v>
      </c>
      <c r="B4808" s="8">
        <v>45781</v>
      </c>
      <c r="C4808" s="9" t="s">
        <v>11</v>
      </c>
      <c r="D4808" s="9" t="s">
        <v>36</v>
      </c>
      <c r="E4808" s="9" t="s">
        <v>29</v>
      </c>
      <c r="F4808" s="9">
        <v>229</v>
      </c>
      <c r="G4808" s="9">
        <v>342.06</v>
      </c>
      <c r="H4808" s="9" t="s">
        <v>23</v>
      </c>
      <c r="I4808" s="9">
        <v>43</v>
      </c>
      <c r="J4808" s="10">
        <v>113.06</v>
      </c>
      <c r="K4808" s="9" t="str">
        <f>TEXT(Sales_of_Jordan[[#This Row],[Sale_Date]],"mmm")</f>
        <v>May</v>
      </c>
    </row>
    <row r="4809" spans="1:11" x14ac:dyDescent="0.35">
      <c r="A4809" s="7" t="s">
        <v>4839</v>
      </c>
      <c r="B4809" s="8">
        <v>44972</v>
      </c>
      <c r="C4809" s="9" t="s">
        <v>31</v>
      </c>
      <c r="D4809" s="9" t="s">
        <v>17</v>
      </c>
      <c r="E4809" s="9" t="s">
        <v>18</v>
      </c>
      <c r="F4809" s="9">
        <v>208</v>
      </c>
      <c r="G4809" s="9">
        <v>512.20000000000005</v>
      </c>
      <c r="H4809" s="9" t="s">
        <v>25</v>
      </c>
      <c r="I4809" s="9">
        <v>51</v>
      </c>
      <c r="J4809" s="10">
        <v>304.2</v>
      </c>
      <c r="K4809" s="9" t="str">
        <f>TEXT(Sales_of_Jordan[[#This Row],[Sale_Date]],"mmm")</f>
        <v>Feb</v>
      </c>
    </row>
    <row r="4810" spans="1:11" x14ac:dyDescent="0.35">
      <c r="A4810" s="7" t="s">
        <v>4840</v>
      </c>
      <c r="B4810" s="8">
        <v>45525</v>
      </c>
      <c r="C4810" s="9" t="s">
        <v>31</v>
      </c>
      <c r="D4810" s="9" t="s">
        <v>53</v>
      </c>
      <c r="E4810" s="9" t="s">
        <v>18</v>
      </c>
      <c r="F4810" s="9">
        <v>205</v>
      </c>
      <c r="G4810" s="9">
        <v>623.78</v>
      </c>
      <c r="H4810" s="9" t="s">
        <v>19</v>
      </c>
      <c r="I4810" s="9">
        <v>5</v>
      </c>
      <c r="J4810" s="10">
        <v>418.78</v>
      </c>
      <c r="K4810" s="9" t="str">
        <f>TEXT(Sales_of_Jordan[[#This Row],[Sale_Date]],"mmm")</f>
        <v>Aug</v>
      </c>
    </row>
    <row r="4811" spans="1:11" x14ac:dyDescent="0.35">
      <c r="A4811" s="7" t="s">
        <v>4841</v>
      </c>
      <c r="B4811" s="8">
        <v>45715</v>
      </c>
      <c r="C4811" s="9" t="s">
        <v>31</v>
      </c>
      <c r="D4811" s="9" t="s">
        <v>34</v>
      </c>
      <c r="E4811" s="9" t="s">
        <v>29</v>
      </c>
      <c r="F4811" s="9">
        <v>205</v>
      </c>
      <c r="G4811" s="9">
        <v>257.68</v>
      </c>
      <c r="H4811" s="9" t="s">
        <v>14</v>
      </c>
      <c r="I4811" s="9">
        <v>11</v>
      </c>
      <c r="J4811" s="10">
        <v>52.68</v>
      </c>
      <c r="K4811" s="9" t="str">
        <f>TEXT(Sales_of_Jordan[[#This Row],[Sale_Date]],"mmm")</f>
        <v>Feb</v>
      </c>
    </row>
    <row r="4812" spans="1:11" x14ac:dyDescent="0.35">
      <c r="A4812" s="7" t="s">
        <v>4842</v>
      </c>
      <c r="B4812" s="8">
        <v>45901</v>
      </c>
      <c r="C4812" s="9" t="s">
        <v>21</v>
      </c>
      <c r="D4812" s="9" t="s">
        <v>17</v>
      </c>
      <c r="E4812" s="9" t="s">
        <v>13</v>
      </c>
      <c r="F4812" s="9">
        <v>221</v>
      </c>
      <c r="G4812" s="9">
        <v>193.21</v>
      </c>
      <c r="H4812" s="9" t="s">
        <v>25</v>
      </c>
      <c r="I4812" s="9">
        <v>25</v>
      </c>
      <c r="J4812" s="10">
        <v>-27.7899999999999</v>
      </c>
      <c r="K4812" s="9" t="str">
        <f>TEXT(Sales_of_Jordan[[#This Row],[Sale_Date]],"mmm")</f>
        <v>Sep</v>
      </c>
    </row>
    <row r="4813" spans="1:11" x14ac:dyDescent="0.35">
      <c r="A4813" s="7" t="s">
        <v>4843</v>
      </c>
      <c r="B4813" s="8">
        <v>45038</v>
      </c>
      <c r="C4813" s="9" t="s">
        <v>16</v>
      </c>
      <c r="D4813" s="9" t="s">
        <v>34</v>
      </c>
      <c r="E4813" s="9" t="s">
        <v>18</v>
      </c>
      <c r="F4813" s="9">
        <v>186</v>
      </c>
      <c r="G4813" s="9">
        <v>531.98</v>
      </c>
      <c r="H4813" s="9" t="s">
        <v>32</v>
      </c>
      <c r="I4813" s="9">
        <v>32</v>
      </c>
      <c r="J4813" s="10">
        <v>345.98</v>
      </c>
      <c r="K4813" s="9" t="str">
        <f>TEXT(Sales_of_Jordan[[#This Row],[Sale_Date]],"mmm")</f>
        <v>Apr</v>
      </c>
    </row>
    <row r="4814" spans="1:11" x14ac:dyDescent="0.35">
      <c r="A4814" s="7" t="s">
        <v>4844</v>
      </c>
      <c r="B4814" s="8">
        <v>45554</v>
      </c>
      <c r="C4814" s="9" t="s">
        <v>16</v>
      </c>
      <c r="D4814" s="9" t="s">
        <v>46</v>
      </c>
      <c r="E4814" s="9" t="s">
        <v>18</v>
      </c>
      <c r="F4814" s="9">
        <v>170</v>
      </c>
      <c r="G4814" s="9">
        <v>308.72000000000003</v>
      </c>
      <c r="H4814" s="9" t="s">
        <v>32</v>
      </c>
      <c r="I4814" s="9">
        <v>18</v>
      </c>
      <c r="J4814" s="10">
        <v>138.72</v>
      </c>
      <c r="K4814" s="9" t="str">
        <f>TEXT(Sales_of_Jordan[[#This Row],[Sale_Date]],"mmm")</f>
        <v>Sep</v>
      </c>
    </row>
    <row r="4815" spans="1:11" x14ac:dyDescent="0.35">
      <c r="A4815" s="7" t="s">
        <v>4845</v>
      </c>
      <c r="B4815" s="8">
        <v>45789</v>
      </c>
      <c r="C4815" s="9" t="s">
        <v>31</v>
      </c>
      <c r="D4815" s="9" t="s">
        <v>53</v>
      </c>
      <c r="E4815" s="9" t="s">
        <v>18</v>
      </c>
      <c r="F4815" s="9">
        <v>207</v>
      </c>
      <c r="G4815" s="9">
        <v>343.3</v>
      </c>
      <c r="H4815" s="9" t="s">
        <v>25</v>
      </c>
      <c r="I4815" s="9">
        <v>60</v>
      </c>
      <c r="J4815" s="10">
        <v>136.30000000000001</v>
      </c>
      <c r="K4815" s="9" t="str">
        <f>TEXT(Sales_of_Jordan[[#This Row],[Sale_Date]],"mmm")</f>
        <v>May</v>
      </c>
    </row>
    <row r="4816" spans="1:11" x14ac:dyDescent="0.35">
      <c r="A4816" s="7" t="s">
        <v>4846</v>
      </c>
      <c r="B4816" s="8">
        <v>45894</v>
      </c>
      <c r="C4816" s="9" t="s">
        <v>21</v>
      </c>
      <c r="D4816" s="9" t="s">
        <v>12</v>
      </c>
      <c r="E4816" s="9" t="s">
        <v>13</v>
      </c>
      <c r="F4816" s="9">
        <v>220</v>
      </c>
      <c r="G4816" s="9">
        <v>174.01</v>
      </c>
      <c r="H4816" s="9" t="s">
        <v>25</v>
      </c>
      <c r="I4816" s="9">
        <v>22</v>
      </c>
      <c r="J4816" s="10">
        <v>-45.99</v>
      </c>
      <c r="K4816" s="9" t="str">
        <f>TEXT(Sales_of_Jordan[[#This Row],[Sale_Date]],"mmm")</f>
        <v>Aug</v>
      </c>
    </row>
    <row r="4817" spans="1:11" x14ac:dyDescent="0.35">
      <c r="A4817" s="7" t="s">
        <v>4847</v>
      </c>
      <c r="B4817" s="8">
        <v>45074</v>
      </c>
      <c r="C4817" s="9" t="s">
        <v>27</v>
      </c>
      <c r="D4817" s="9" t="s">
        <v>34</v>
      </c>
      <c r="E4817" s="9" t="s">
        <v>29</v>
      </c>
      <c r="F4817" s="9">
        <v>116</v>
      </c>
      <c r="G4817" s="9">
        <v>173.84</v>
      </c>
      <c r="H4817" s="9" t="s">
        <v>32</v>
      </c>
      <c r="I4817" s="9">
        <v>39</v>
      </c>
      <c r="J4817" s="10">
        <v>57.84</v>
      </c>
      <c r="K4817" s="9" t="str">
        <f>TEXT(Sales_of_Jordan[[#This Row],[Sale_Date]],"mmm")</f>
        <v>May</v>
      </c>
    </row>
    <row r="4818" spans="1:11" x14ac:dyDescent="0.35">
      <c r="A4818" s="7" t="s">
        <v>4848</v>
      </c>
      <c r="B4818" s="8">
        <v>45725</v>
      </c>
      <c r="C4818" s="9" t="s">
        <v>16</v>
      </c>
      <c r="D4818" s="9" t="s">
        <v>46</v>
      </c>
      <c r="E4818" s="9" t="s">
        <v>29</v>
      </c>
      <c r="F4818" s="9">
        <v>181</v>
      </c>
      <c r="G4818" s="9">
        <v>193.78</v>
      </c>
      <c r="H4818" s="9" t="s">
        <v>14</v>
      </c>
      <c r="I4818" s="9">
        <v>9</v>
      </c>
      <c r="J4818" s="10">
        <v>12.78</v>
      </c>
      <c r="K4818" s="9" t="str">
        <f>TEXT(Sales_of_Jordan[[#This Row],[Sale_Date]],"mmm")</f>
        <v>Mar</v>
      </c>
    </row>
    <row r="4819" spans="1:11" x14ac:dyDescent="0.35">
      <c r="A4819" s="7" t="s">
        <v>4849</v>
      </c>
      <c r="B4819" s="8">
        <v>45754</v>
      </c>
      <c r="C4819" s="9" t="s">
        <v>21</v>
      </c>
      <c r="D4819" s="9" t="s">
        <v>17</v>
      </c>
      <c r="E4819" s="9" t="s">
        <v>13</v>
      </c>
      <c r="F4819" s="9">
        <v>224</v>
      </c>
      <c r="G4819" s="9">
        <v>178.15</v>
      </c>
      <c r="H4819" s="9" t="s">
        <v>25</v>
      </c>
      <c r="I4819" s="9">
        <v>55</v>
      </c>
      <c r="J4819" s="10">
        <v>-45.849999999999902</v>
      </c>
      <c r="K4819" s="9" t="str">
        <f>TEXT(Sales_of_Jordan[[#This Row],[Sale_Date]],"mmm")</f>
        <v>Apr</v>
      </c>
    </row>
    <row r="4820" spans="1:11" x14ac:dyDescent="0.35">
      <c r="A4820" s="7" t="s">
        <v>4850</v>
      </c>
      <c r="B4820" s="8">
        <v>45289</v>
      </c>
      <c r="C4820" s="9" t="s">
        <v>31</v>
      </c>
      <c r="D4820" s="9" t="s">
        <v>55</v>
      </c>
      <c r="E4820" s="9" t="s">
        <v>18</v>
      </c>
      <c r="F4820" s="9">
        <v>202</v>
      </c>
      <c r="G4820" s="9">
        <v>630.25</v>
      </c>
      <c r="H4820" s="9" t="s">
        <v>14</v>
      </c>
      <c r="I4820" s="9">
        <v>13</v>
      </c>
      <c r="J4820" s="10">
        <v>428.25</v>
      </c>
      <c r="K4820" s="9" t="str">
        <f>TEXT(Sales_of_Jordan[[#This Row],[Sale_Date]],"mmm")</f>
        <v>Dec</v>
      </c>
    </row>
    <row r="4821" spans="1:11" x14ac:dyDescent="0.35">
      <c r="A4821" s="7" t="s">
        <v>4851</v>
      </c>
      <c r="B4821" s="8">
        <v>45441</v>
      </c>
      <c r="C4821" s="9" t="s">
        <v>16</v>
      </c>
      <c r="D4821" s="9" t="s">
        <v>22</v>
      </c>
      <c r="E4821" s="9" t="s">
        <v>18</v>
      </c>
      <c r="F4821" s="9">
        <v>173</v>
      </c>
      <c r="G4821" s="9">
        <v>393.08</v>
      </c>
      <c r="H4821" s="9" t="s">
        <v>32</v>
      </c>
      <c r="I4821" s="9">
        <v>39</v>
      </c>
      <c r="J4821" s="10">
        <v>220.07999999999899</v>
      </c>
      <c r="K4821" s="9" t="str">
        <f>TEXT(Sales_of_Jordan[[#This Row],[Sale_Date]],"mmm")</f>
        <v>May</v>
      </c>
    </row>
    <row r="4822" spans="1:11" x14ac:dyDescent="0.35">
      <c r="A4822" s="7" t="s">
        <v>4852</v>
      </c>
      <c r="B4822" s="8">
        <v>45335</v>
      </c>
      <c r="C4822" s="9" t="s">
        <v>27</v>
      </c>
      <c r="D4822" s="9" t="s">
        <v>34</v>
      </c>
      <c r="E4822" s="9" t="s">
        <v>13</v>
      </c>
      <c r="F4822" s="9">
        <v>135</v>
      </c>
      <c r="G4822" s="9">
        <v>109.05</v>
      </c>
      <c r="H4822" s="9" t="s">
        <v>19</v>
      </c>
      <c r="I4822" s="9">
        <v>6</v>
      </c>
      <c r="J4822" s="10">
        <v>-25.95</v>
      </c>
      <c r="K4822" s="9" t="str">
        <f>TEXT(Sales_of_Jordan[[#This Row],[Sale_Date]],"mmm")</f>
        <v>Feb</v>
      </c>
    </row>
    <row r="4823" spans="1:11" x14ac:dyDescent="0.35">
      <c r="A4823" s="7" t="s">
        <v>4853</v>
      </c>
      <c r="B4823" s="8">
        <v>45133</v>
      </c>
      <c r="C4823" s="9" t="s">
        <v>11</v>
      </c>
      <c r="D4823" s="9" t="s">
        <v>55</v>
      </c>
      <c r="E4823" s="9" t="s">
        <v>13</v>
      </c>
      <c r="F4823" s="9">
        <v>225</v>
      </c>
      <c r="G4823" s="9">
        <v>141.41</v>
      </c>
      <c r="H4823" s="9" t="s">
        <v>14</v>
      </c>
      <c r="I4823" s="9">
        <v>14</v>
      </c>
      <c r="J4823" s="10">
        <v>-83.59</v>
      </c>
      <c r="K4823" s="9" t="str">
        <f>TEXT(Sales_of_Jordan[[#This Row],[Sale_Date]],"mmm")</f>
        <v>Jul</v>
      </c>
    </row>
    <row r="4824" spans="1:11" x14ac:dyDescent="0.35">
      <c r="A4824" s="7" t="s">
        <v>4854</v>
      </c>
      <c r="B4824" s="8">
        <v>45659</v>
      </c>
      <c r="C4824" s="9" t="s">
        <v>11</v>
      </c>
      <c r="D4824" s="9" t="s">
        <v>34</v>
      </c>
      <c r="E4824" s="9" t="s">
        <v>13</v>
      </c>
      <c r="F4824" s="9">
        <v>227</v>
      </c>
      <c r="G4824" s="9">
        <v>129.97</v>
      </c>
      <c r="H4824" s="9" t="s">
        <v>23</v>
      </c>
      <c r="I4824" s="9">
        <v>60</v>
      </c>
      <c r="J4824" s="10">
        <v>-97.03</v>
      </c>
      <c r="K4824" s="9" t="str">
        <f>TEXT(Sales_of_Jordan[[#This Row],[Sale_Date]],"mmm")</f>
        <v>Jan</v>
      </c>
    </row>
    <row r="4825" spans="1:11" x14ac:dyDescent="0.35">
      <c r="A4825" s="7" t="s">
        <v>4855</v>
      </c>
      <c r="B4825" s="8">
        <v>45279</v>
      </c>
      <c r="C4825" s="9" t="s">
        <v>16</v>
      </c>
      <c r="D4825" s="9" t="s">
        <v>12</v>
      </c>
      <c r="E4825" s="9" t="s">
        <v>18</v>
      </c>
      <c r="F4825" s="9">
        <v>172</v>
      </c>
      <c r="G4825" s="9">
        <v>585.21</v>
      </c>
      <c r="H4825" s="9" t="s">
        <v>19</v>
      </c>
      <c r="I4825" s="9">
        <v>12</v>
      </c>
      <c r="J4825" s="10">
        <v>413.21</v>
      </c>
      <c r="K4825" s="9" t="str">
        <f>TEXT(Sales_of_Jordan[[#This Row],[Sale_Date]],"mmm")</f>
        <v>Dec</v>
      </c>
    </row>
    <row r="4826" spans="1:11" x14ac:dyDescent="0.35">
      <c r="A4826" s="7" t="s">
        <v>4856</v>
      </c>
      <c r="B4826" s="8">
        <v>45627</v>
      </c>
      <c r="C4826" s="9" t="s">
        <v>31</v>
      </c>
      <c r="D4826" s="9" t="s">
        <v>46</v>
      </c>
      <c r="E4826" s="9" t="s">
        <v>18</v>
      </c>
      <c r="F4826" s="9">
        <v>206</v>
      </c>
      <c r="G4826" s="9">
        <v>485.19</v>
      </c>
      <c r="H4826" s="9" t="s">
        <v>19</v>
      </c>
      <c r="I4826" s="9">
        <v>10</v>
      </c>
      <c r="J4826" s="10">
        <v>279.19</v>
      </c>
      <c r="K4826" s="9" t="str">
        <f>TEXT(Sales_of_Jordan[[#This Row],[Sale_Date]],"mmm")</f>
        <v>Dec</v>
      </c>
    </row>
    <row r="4827" spans="1:11" x14ac:dyDescent="0.35">
      <c r="A4827" s="7" t="s">
        <v>4857</v>
      </c>
      <c r="B4827" s="8">
        <v>45556</v>
      </c>
      <c r="C4827" s="9" t="s">
        <v>21</v>
      </c>
      <c r="D4827" s="9" t="s">
        <v>36</v>
      </c>
      <c r="E4827" s="9" t="s">
        <v>29</v>
      </c>
      <c r="F4827" s="9">
        <v>211</v>
      </c>
      <c r="G4827" s="9">
        <v>244.33</v>
      </c>
      <c r="H4827" s="9" t="s">
        <v>23</v>
      </c>
      <c r="I4827" s="9">
        <v>10</v>
      </c>
      <c r="J4827" s="10">
        <v>33.33</v>
      </c>
      <c r="K4827" s="9" t="str">
        <f>TEXT(Sales_of_Jordan[[#This Row],[Sale_Date]],"mmm")</f>
        <v>Sep</v>
      </c>
    </row>
    <row r="4828" spans="1:11" x14ac:dyDescent="0.35">
      <c r="A4828" s="7" t="s">
        <v>4858</v>
      </c>
      <c r="B4828" s="8">
        <v>45124</v>
      </c>
      <c r="C4828" s="9" t="s">
        <v>11</v>
      </c>
      <c r="D4828" s="9" t="s">
        <v>53</v>
      </c>
      <c r="E4828" s="9" t="s">
        <v>29</v>
      </c>
      <c r="F4828" s="9">
        <v>227</v>
      </c>
      <c r="G4828" s="9">
        <v>265.25</v>
      </c>
      <c r="H4828" s="9" t="s">
        <v>14</v>
      </c>
      <c r="I4828" s="9">
        <v>2</v>
      </c>
      <c r="J4828" s="10">
        <v>38.25</v>
      </c>
      <c r="K4828" s="9" t="str">
        <f>TEXT(Sales_of_Jordan[[#This Row],[Sale_Date]],"mmm")</f>
        <v>Jul</v>
      </c>
    </row>
    <row r="4829" spans="1:11" x14ac:dyDescent="0.35">
      <c r="A4829" s="7" t="s">
        <v>4859</v>
      </c>
      <c r="B4829" s="8">
        <v>45366</v>
      </c>
      <c r="C4829" s="9" t="s">
        <v>21</v>
      </c>
      <c r="D4829" s="9" t="s">
        <v>34</v>
      </c>
      <c r="E4829" s="9" t="s">
        <v>13</v>
      </c>
      <c r="F4829" s="9">
        <v>214</v>
      </c>
      <c r="G4829" s="9">
        <v>111.79</v>
      </c>
      <c r="H4829" s="9" t="s">
        <v>25</v>
      </c>
      <c r="I4829" s="9">
        <v>60</v>
      </c>
      <c r="J4829" s="10">
        <v>-102.21</v>
      </c>
      <c r="K4829" s="9" t="str">
        <f>TEXT(Sales_of_Jordan[[#This Row],[Sale_Date]],"mmm")</f>
        <v>Mar</v>
      </c>
    </row>
    <row r="4830" spans="1:11" x14ac:dyDescent="0.35">
      <c r="A4830" s="7" t="s">
        <v>4860</v>
      </c>
      <c r="B4830" s="8">
        <v>45784</v>
      </c>
      <c r="C4830" s="9" t="s">
        <v>11</v>
      </c>
      <c r="D4830" s="9" t="s">
        <v>53</v>
      </c>
      <c r="E4830" s="9" t="s">
        <v>18</v>
      </c>
      <c r="F4830" s="9">
        <v>226</v>
      </c>
      <c r="G4830" s="9">
        <v>771.02</v>
      </c>
      <c r="H4830" s="9" t="s">
        <v>23</v>
      </c>
      <c r="I4830" s="9">
        <v>34</v>
      </c>
      <c r="J4830" s="10">
        <v>545.02</v>
      </c>
      <c r="K4830" s="9" t="str">
        <f>TEXT(Sales_of_Jordan[[#This Row],[Sale_Date]],"mmm")</f>
        <v>May</v>
      </c>
    </row>
    <row r="4831" spans="1:11" x14ac:dyDescent="0.35">
      <c r="A4831" s="7" t="s">
        <v>4861</v>
      </c>
      <c r="B4831" s="8">
        <v>45308</v>
      </c>
      <c r="C4831" s="9" t="s">
        <v>16</v>
      </c>
      <c r="D4831" s="9" t="s">
        <v>46</v>
      </c>
      <c r="E4831" s="9" t="s">
        <v>18</v>
      </c>
      <c r="F4831" s="9">
        <v>190</v>
      </c>
      <c r="G4831" s="9">
        <v>437.97</v>
      </c>
      <c r="H4831" s="9" t="s">
        <v>23</v>
      </c>
      <c r="I4831" s="9">
        <v>16</v>
      </c>
      <c r="J4831" s="10">
        <v>247.97</v>
      </c>
      <c r="K4831" s="9" t="str">
        <f>TEXT(Sales_of_Jordan[[#This Row],[Sale_Date]],"mmm")</f>
        <v>Jan</v>
      </c>
    </row>
    <row r="4832" spans="1:11" x14ac:dyDescent="0.35">
      <c r="A4832" s="7" t="s">
        <v>4862</v>
      </c>
      <c r="B4832" s="8">
        <v>45843</v>
      </c>
      <c r="C4832" s="9" t="s">
        <v>21</v>
      </c>
      <c r="D4832" s="9" t="s">
        <v>12</v>
      </c>
      <c r="E4832" s="9" t="s">
        <v>18</v>
      </c>
      <c r="F4832" s="9">
        <v>217</v>
      </c>
      <c r="G4832" s="9">
        <v>401.71</v>
      </c>
      <c r="H4832" s="9" t="s">
        <v>25</v>
      </c>
      <c r="I4832" s="9">
        <v>22</v>
      </c>
      <c r="J4832" s="10">
        <v>184.70999999999901</v>
      </c>
      <c r="K4832" s="9" t="str">
        <f>TEXT(Sales_of_Jordan[[#This Row],[Sale_Date]],"mmm")</f>
        <v>Jul</v>
      </c>
    </row>
    <row r="4833" spans="1:11" x14ac:dyDescent="0.35">
      <c r="A4833" s="7" t="s">
        <v>4863</v>
      </c>
      <c r="B4833" s="8">
        <v>45226</v>
      </c>
      <c r="C4833" s="9" t="s">
        <v>21</v>
      </c>
      <c r="D4833" s="9" t="s">
        <v>12</v>
      </c>
      <c r="E4833" s="9" t="s">
        <v>13</v>
      </c>
      <c r="F4833" s="9">
        <v>220</v>
      </c>
      <c r="G4833" s="9">
        <v>140.69</v>
      </c>
      <c r="H4833" s="9" t="s">
        <v>25</v>
      </c>
      <c r="I4833" s="9">
        <v>28</v>
      </c>
      <c r="J4833" s="10">
        <v>-79.31</v>
      </c>
      <c r="K4833" s="9" t="str">
        <f>TEXT(Sales_of_Jordan[[#This Row],[Sale_Date]],"mmm")</f>
        <v>Oct</v>
      </c>
    </row>
    <row r="4834" spans="1:11" x14ac:dyDescent="0.35">
      <c r="A4834" s="7" t="s">
        <v>4864</v>
      </c>
      <c r="B4834" s="8">
        <v>45490</v>
      </c>
      <c r="C4834" s="9" t="s">
        <v>11</v>
      </c>
      <c r="D4834" s="9" t="s">
        <v>22</v>
      </c>
      <c r="E4834" s="9" t="s">
        <v>13</v>
      </c>
      <c r="F4834" s="9">
        <v>225</v>
      </c>
      <c r="G4834" s="9">
        <v>126.05</v>
      </c>
      <c r="H4834" s="9" t="s">
        <v>23</v>
      </c>
      <c r="I4834" s="9">
        <v>30</v>
      </c>
      <c r="J4834" s="10">
        <v>-98.95</v>
      </c>
      <c r="K4834" s="9" t="str">
        <f>TEXT(Sales_of_Jordan[[#This Row],[Sale_Date]],"mmm")</f>
        <v>Jul</v>
      </c>
    </row>
    <row r="4835" spans="1:11" x14ac:dyDescent="0.35">
      <c r="A4835" s="7" t="s">
        <v>4865</v>
      </c>
      <c r="B4835" s="8">
        <v>45527</v>
      </c>
      <c r="C4835" s="9" t="s">
        <v>27</v>
      </c>
      <c r="D4835" s="9" t="s">
        <v>36</v>
      </c>
      <c r="E4835" s="9" t="s">
        <v>18</v>
      </c>
      <c r="F4835" s="9">
        <v>114</v>
      </c>
      <c r="G4835" s="9">
        <v>138.65</v>
      </c>
      <c r="H4835" s="9" t="s">
        <v>19</v>
      </c>
      <c r="I4835" s="9">
        <v>4</v>
      </c>
      <c r="J4835" s="10">
        <v>24.65</v>
      </c>
      <c r="K4835" s="9" t="str">
        <f>TEXT(Sales_of_Jordan[[#This Row],[Sale_Date]],"mmm")</f>
        <v>Aug</v>
      </c>
    </row>
    <row r="4836" spans="1:11" x14ac:dyDescent="0.35">
      <c r="A4836" s="7" t="s">
        <v>4866</v>
      </c>
      <c r="B4836" s="8">
        <v>45058</v>
      </c>
      <c r="C4836" s="9" t="s">
        <v>16</v>
      </c>
      <c r="D4836" s="9" t="s">
        <v>34</v>
      </c>
      <c r="E4836" s="9" t="s">
        <v>29</v>
      </c>
      <c r="F4836" s="9">
        <v>170</v>
      </c>
      <c r="G4836" s="9">
        <v>154</v>
      </c>
      <c r="H4836" s="9" t="s">
        <v>14</v>
      </c>
      <c r="I4836" s="9">
        <v>8</v>
      </c>
      <c r="J4836" s="10">
        <v>-16</v>
      </c>
      <c r="K4836" s="9" t="str">
        <f>TEXT(Sales_of_Jordan[[#This Row],[Sale_Date]],"mmm")</f>
        <v>May</v>
      </c>
    </row>
    <row r="4837" spans="1:11" x14ac:dyDescent="0.35">
      <c r="A4837" s="7" t="s">
        <v>4867</v>
      </c>
      <c r="B4837" s="8">
        <v>45558</v>
      </c>
      <c r="C4837" s="9" t="s">
        <v>21</v>
      </c>
      <c r="D4837" s="9" t="s">
        <v>36</v>
      </c>
      <c r="E4837" s="9" t="s">
        <v>18</v>
      </c>
      <c r="F4837" s="9">
        <v>216</v>
      </c>
      <c r="G4837" s="9">
        <v>657.85</v>
      </c>
      <c r="H4837" s="9" t="s">
        <v>19</v>
      </c>
      <c r="I4837" s="9">
        <v>9</v>
      </c>
      <c r="J4837" s="10">
        <v>441.85</v>
      </c>
      <c r="K4837" s="9" t="str">
        <f>TEXT(Sales_of_Jordan[[#This Row],[Sale_Date]],"mmm")</f>
        <v>Sep</v>
      </c>
    </row>
    <row r="4838" spans="1:11" x14ac:dyDescent="0.35">
      <c r="A4838" s="7" t="s">
        <v>4868</v>
      </c>
      <c r="B4838" s="8">
        <v>45655</v>
      </c>
      <c r="C4838" s="9" t="s">
        <v>11</v>
      </c>
      <c r="D4838" s="9" t="s">
        <v>17</v>
      </c>
      <c r="E4838" s="9" t="s">
        <v>29</v>
      </c>
      <c r="F4838" s="9">
        <v>225</v>
      </c>
      <c r="G4838" s="9">
        <v>229.13</v>
      </c>
      <c r="H4838" s="9" t="s">
        <v>23</v>
      </c>
      <c r="I4838" s="9">
        <v>17</v>
      </c>
      <c r="J4838" s="10">
        <v>4.1299999999999901</v>
      </c>
      <c r="K4838" s="9" t="str">
        <f>TEXT(Sales_of_Jordan[[#This Row],[Sale_Date]],"mmm")</f>
        <v>Dec</v>
      </c>
    </row>
    <row r="4839" spans="1:11" x14ac:dyDescent="0.35">
      <c r="A4839" s="7" t="s">
        <v>4869</v>
      </c>
      <c r="B4839" s="8">
        <v>45706</v>
      </c>
      <c r="C4839" s="9" t="s">
        <v>21</v>
      </c>
      <c r="D4839" s="9" t="s">
        <v>22</v>
      </c>
      <c r="E4839" s="9" t="s">
        <v>18</v>
      </c>
      <c r="F4839" s="9">
        <v>211</v>
      </c>
      <c r="G4839" s="9">
        <v>550.23</v>
      </c>
      <c r="H4839" s="9" t="s">
        <v>14</v>
      </c>
      <c r="I4839" s="9">
        <v>4</v>
      </c>
      <c r="J4839" s="10">
        <v>339.23</v>
      </c>
      <c r="K4839" s="9" t="str">
        <f>TEXT(Sales_of_Jordan[[#This Row],[Sale_Date]],"mmm")</f>
        <v>Feb</v>
      </c>
    </row>
    <row r="4840" spans="1:11" x14ac:dyDescent="0.35">
      <c r="A4840" s="7" t="s">
        <v>4870</v>
      </c>
      <c r="B4840" s="8">
        <v>45787</v>
      </c>
      <c r="C4840" s="9" t="s">
        <v>11</v>
      </c>
      <c r="D4840" s="9" t="s">
        <v>17</v>
      </c>
      <c r="E4840" s="9" t="s">
        <v>13</v>
      </c>
      <c r="F4840" s="9">
        <v>225</v>
      </c>
      <c r="G4840" s="9">
        <v>141.80000000000001</v>
      </c>
      <c r="H4840" s="9" t="s">
        <v>25</v>
      </c>
      <c r="I4840" s="9">
        <v>20</v>
      </c>
      <c r="J4840" s="10">
        <v>-83.199999999999903</v>
      </c>
      <c r="K4840" s="9" t="str">
        <f>TEXT(Sales_of_Jordan[[#This Row],[Sale_Date]],"mmm")</f>
        <v>May</v>
      </c>
    </row>
    <row r="4841" spans="1:11" x14ac:dyDescent="0.35">
      <c r="A4841" s="7" t="s">
        <v>4871</v>
      </c>
      <c r="B4841" s="8">
        <v>44951</v>
      </c>
      <c r="C4841" s="9" t="s">
        <v>21</v>
      </c>
      <c r="D4841" s="9" t="s">
        <v>53</v>
      </c>
      <c r="E4841" s="9" t="s">
        <v>13</v>
      </c>
      <c r="F4841" s="9">
        <v>219</v>
      </c>
      <c r="G4841" s="9">
        <v>162.37</v>
      </c>
      <c r="H4841" s="9" t="s">
        <v>23</v>
      </c>
      <c r="I4841" s="9">
        <v>26</v>
      </c>
      <c r="J4841" s="10">
        <v>-56.629999999999903</v>
      </c>
      <c r="K4841" s="9" t="str">
        <f>TEXT(Sales_of_Jordan[[#This Row],[Sale_Date]],"mmm")</f>
        <v>Jan</v>
      </c>
    </row>
    <row r="4842" spans="1:11" x14ac:dyDescent="0.35">
      <c r="A4842" s="7" t="s">
        <v>4872</v>
      </c>
      <c r="B4842" s="8">
        <v>45056</v>
      </c>
      <c r="C4842" s="9" t="s">
        <v>11</v>
      </c>
      <c r="D4842" s="9" t="s">
        <v>53</v>
      </c>
      <c r="E4842" s="9" t="s">
        <v>29</v>
      </c>
      <c r="F4842" s="9">
        <v>225</v>
      </c>
      <c r="G4842" s="9">
        <v>308.57</v>
      </c>
      <c r="H4842" s="9" t="s">
        <v>19</v>
      </c>
      <c r="I4842" s="9">
        <v>4</v>
      </c>
      <c r="J4842" s="10">
        <v>83.57</v>
      </c>
      <c r="K4842" s="9" t="str">
        <f>TEXT(Sales_of_Jordan[[#This Row],[Sale_Date]],"mmm")</f>
        <v>May</v>
      </c>
    </row>
    <row r="4843" spans="1:11" x14ac:dyDescent="0.35">
      <c r="A4843" s="7" t="s">
        <v>4873</v>
      </c>
      <c r="B4843" s="8">
        <v>44962</v>
      </c>
      <c r="C4843" s="9" t="s">
        <v>27</v>
      </c>
      <c r="D4843" s="9" t="s">
        <v>12</v>
      </c>
      <c r="E4843" s="9" t="s">
        <v>13</v>
      </c>
      <c r="F4843" s="9">
        <v>117</v>
      </c>
      <c r="G4843" s="9">
        <v>90.34</v>
      </c>
      <c r="H4843" s="9" t="s">
        <v>19</v>
      </c>
      <c r="I4843" s="9">
        <v>2</v>
      </c>
      <c r="J4843" s="10">
        <v>-26.659999999999901</v>
      </c>
      <c r="K4843" s="9" t="str">
        <f>TEXT(Sales_of_Jordan[[#This Row],[Sale_Date]],"mmm")</f>
        <v>Feb</v>
      </c>
    </row>
    <row r="4844" spans="1:11" x14ac:dyDescent="0.35">
      <c r="A4844" s="7" t="s">
        <v>4874</v>
      </c>
      <c r="B4844" s="8">
        <v>45204</v>
      </c>
      <c r="C4844" s="9" t="s">
        <v>31</v>
      </c>
      <c r="D4844" s="9" t="s">
        <v>53</v>
      </c>
      <c r="E4844" s="9" t="s">
        <v>18</v>
      </c>
      <c r="F4844" s="9">
        <v>200</v>
      </c>
      <c r="G4844" s="9">
        <v>317.08999999999997</v>
      </c>
      <c r="H4844" s="9" t="s">
        <v>25</v>
      </c>
      <c r="I4844" s="9">
        <v>43</v>
      </c>
      <c r="J4844" s="10">
        <v>117.08999999999899</v>
      </c>
      <c r="K4844" s="9" t="str">
        <f>TEXT(Sales_of_Jordan[[#This Row],[Sale_Date]],"mmm")</f>
        <v>Oct</v>
      </c>
    </row>
    <row r="4845" spans="1:11" x14ac:dyDescent="0.35">
      <c r="A4845" s="7" t="s">
        <v>4875</v>
      </c>
      <c r="B4845" s="8">
        <v>45089</v>
      </c>
      <c r="C4845" s="9" t="s">
        <v>27</v>
      </c>
      <c r="D4845" s="9" t="s">
        <v>46</v>
      </c>
      <c r="E4845" s="9" t="s">
        <v>18</v>
      </c>
      <c r="F4845" s="9">
        <v>134</v>
      </c>
      <c r="G4845" s="9">
        <v>325.41000000000003</v>
      </c>
      <c r="H4845" s="9" t="s">
        <v>23</v>
      </c>
      <c r="I4845" s="9">
        <v>24</v>
      </c>
      <c r="J4845" s="10">
        <v>191.41</v>
      </c>
      <c r="K4845" s="9" t="str">
        <f>TEXT(Sales_of_Jordan[[#This Row],[Sale_Date]],"mmm")</f>
        <v>Jun</v>
      </c>
    </row>
    <row r="4846" spans="1:11" x14ac:dyDescent="0.35">
      <c r="A4846" s="7" t="s">
        <v>4876</v>
      </c>
      <c r="B4846" s="8">
        <v>45588</v>
      </c>
      <c r="C4846" s="9" t="s">
        <v>27</v>
      </c>
      <c r="D4846" s="9" t="s">
        <v>34</v>
      </c>
      <c r="E4846" s="9" t="s">
        <v>18</v>
      </c>
      <c r="F4846" s="9">
        <v>114</v>
      </c>
      <c r="G4846" s="9">
        <v>175.14</v>
      </c>
      <c r="H4846" s="9" t="s">
        <v>25</v>
      </c>
      <c r="I4846" s="9">
        <v>5</v>
      </c>
      <c r="J4846" s="10">
        <v>61.139999999999901</v>
      </c>
      <c r="K4846" s="9" t="str">
        <f>TEXT(Sales_of_Jordan[[#This Row],[Sale_Date]],"mmm")</f>
        <v>Oct</v>
      </c>
    </row>
    <row r="4847" spans="1:11" x14ac:dyDescent="0.35">
      <c r="A4847" s="7" t="s">
        <v>4877</v>
      </c>
      <c r="B4847" s="8">
        <v>45759</v>
      </c>
      <c r="C4847" s="9" t="s">
        <v>27</v>
      </c>
      <c r="D4847" s="9" t="s">
        <v>36</v>
      </c>
      <c r="E4847" s="9" t="s">
        <v>29</v>
      </c>
      <c r="F4847" s="9">
        <v>125</v>
      </c>
      <c r="G4847" s="9">
        <v>184.87</v>
      </c>
      <c r="H4847" s="9" t="s">
        <v>23</v>
      </c>
      <c r="I4847" s="9">
        <v>44</v>
      </c>
      <c r="J4847" s="10">
        <v>59.87</v>
      </c>
      <c r="K4847" s="9" t="str">
        <f>TEXT(Sales_of_Jordan[[#This Row],[Sale_Date]],"mmm")</f>
        <v>Apr</v>
      </c>
    </row>
    <row r="4848" spans="1:11" x14ac:dyDescent="0.35">
      <c r="A4848" s="7" t="s">
        <v>4878</v>
      </c>
      <c r="B4848" s="8">
        <v>45617</v>
      </c>
      <c r="C4848" s="9" t="s">
        <v>16</v>
      </c>
      <c r="D4848" s="9" t="s">
        <v>12</v>
      </c>
      <c r="E4848" s="9" t="s">
        <v>29</v>
      </c>
      <c r="F4848" s="9">
        <v>171</v>
      </c>
      <c r="G4848" s="9">
        <v>249.77</v>
      </c>
      <c r="H4848" s="9" t="s">
        <v>23</v>
      </c>
      <c r="I4848" s="9">
        <v>47</v>
      </c>
      <c r="J4848" s="10">
        <v>78.77</v>
      </c>
      <c r="K4848" s="9" t="str">
        <f>TEXT(Sales_of_Jordan[[#This Row],[Sale_Date]],"mmm")</f>
        <v>Nov</v>
      </c>
    </row>
    <row r="4849" spans="1:11" x14ac:dyDescent="0.35">
      <c r="A4849" s="7" t="s">
        <v>4879</v>
      </c>
      <c r="B4849" s="8">
        <v>45900</v>
      </c>
      <c r="C4849" s="9" t="s">
        <v>11</v>
      </c>
      <c r="D4849" s="9" t="s">
        <v>55</v>
      </c>
      <c r="E4849" s="9" t="s">
        <v>29</v>
      </c>
      <c r="F4849" s="9">
        <v>226</v>
      </c>
      <c r="G4849" s="9">
        <v>307.63</v>
      </c>
      <c r="H4849" s="9" t="s">
        <v>14</v>
      </c>
      <c r="I4849" s="9">
        <v>10</v>
      </c>
      <c r="J4849" s="10">
        <v>81.63</v>
      </c>
      <c r="K4849" s="9" t="str">
        <f>TEXT(Sales_of_Jordan[[#This Row],[Sale_Date]],"mmm")</f>
        <v>Aug</v>
      </c>
    </row>
    <row r="4850" spans="1:11" x14ac:dyDescent="0.35">
      <c r="A4850" s="7" t="s">
        <v>4880</v>
      </c>
      <c r="B4850" s="8">
        <v>45605</v>
      </c>
      <c r="C4850" s="9" t="s">
        <v>11</v>
      </c>
      <c r="D4850" s="9" t="s">
        <v>22</v>
      </c>
      <c r="E4850" s="9" t="s">
        <v>18</v>
      </c>
      <c r="F4850" s="9">
        <v>226</v>
      </c>
      <c r="G4850" s="9">
        <v>454.69</v>
      </c>
      <c r="H4850" s="9" t="s">
        <v>25</v>
      </c>
      <c r="I4850" s="9">
        <v>11</v>
      </c>
      <c r="J4850" s="10">
        <v>228.69</v>
      </c>
      <c r="K4850" s="9" t="str">
        <f>TEXT(Sales_of_Jordan[[#This Row],[Sale_Date]],"mmm")</f>
        <v>Nov</v>
      </c>
    </row>
    <row r="4851" spans="1:11" x14ac:dyDescent="0.35">
      <c r="A4851" s="7" t="s">
        <v>4881</v>
      </c>
      <c r="B4851" s="8">
        <v>45491</v>
      </c>
      <c r="C4851" s="9" t="s">
        <v>27</v>
      </c>
      <c r="D4851" s="9" t="s">
        <v>53</v>
      </c>
      <c r="E4851" s="9" t="s">
        <v>18</v>
      </c>
      <c r="F4851" s="9">
        <v>115</v>
      </c>
      <c r="G4851" s="9">
        <v>141.63</v>
      </c>
      <c r="H4851" s="9" t="s">
        <v>23</v>
      </c>
      <c r="I4851" s="9">
        <v>47</v>
      </c>
      <c r="J4851" s="10">
        <v>26.6299999999999</v>
      </c>
      <c r="K4851" s="9" t="str">
        <f>TEXT(Sales_of_Jordan[[#This Row],[Sale_Date]],"mmm")</f>
        <v>Jul</v>
      </c>
    </row>
    <row r="4852" spans="1:11" x14ac:dyDescent="0.35">
      <c r="A4852" s="7" t="s">
        <v>4882</v>
      </c>
      <c r="B4852" s="8">
        <v>45571</v>
      </c>
      <c r="C4852" s="9" t="s">
        <v>16</v>
      </c>
      <c r="D4852" s="9" t="s">
        <v>12</v>
      </c>
      <c r="E4852" s="9" t="s">
        <v>29</v>
      </c>
      <c r="F4852" s="9">
        <v>180</v>
      </c>
      <c r="G4852" s="9">
        <v>197.45</v>
      </c>
      <c r="H4852" s="9" t="s">
        <v>25</v>
      </c>
      <c r="I4852" s="9">
        <v>46</v>
      </c>
      <c r="J4852" s="10">
        <v>17.4499999999999</v>
      </c>
      <c r="K4852" s="9" t="str">
        <f>TEXT(Sales_of_Jordan[[#This Row],[Sale_Date]],"mmm")</f>
        <v>Oct</v>
      </c>
    </row>
    <row r="4853" spans="1:11" x14ac:dyDescent="0.35">
      <c r="A4853" s="7" t="s">
        <v>4883</v>
      </c>
      <c r="B4853" s="8">
        <v>45583</v>
      </c>
      <c r="C4853" s="9" t="s">
        <v>21</v>
      </c>
      <c r="D4853" s="9" t="s">
        <v>55</v>
      </c>
      <c r="E4853" s="9" t="s">
        <v>29</v>
      </c>
      <c r="F4853" s="9">
        <v>220</v>
      </c>
      <c r="G4853" s="9">
        <v>318.60000000000002</v>
      </c>
      <c r="H4853" s="9" t="s">
        <v>32</v>
      </c>
      <c r="I4853" s="9">
        <v>33</v>
      </c>
      <c r="J4853" s="10">
        <v>98.6</v>
      </c>
      <c r="K4853" s="9" t="str">
        <f>TEXT(Sales_of_Jordan[[#This Row],[Sale_Date]],"mmm")</f>
        <v>Oct</v>
      </c>
    </row>
    <row r="4854" spans="1:11" x14ac:dyDescent="0.35">
      <c r="A4854" s="7" t="s">
        <v>4884</v>
      </c>
      <c r="B4854" s="8">
        <v>45004</v>
      </c>
      <c r="C4854" s="9" t="s">
        <v>16</v>
      </c>
      <c r="D4854" s="9" t="s">
        <v>12</v>
      </c>
      <c r="E4854" s="9" t="s">
        <v>29</v>
      </c>
      <c r="F4854" s="9">
        <v>171</v>
      </c>
      <c r="G4854" s="9">
        <v>224.88</v>
      </c>
      <c r="H4854" s="9" t="s">
        <v>14</v>
      </c>
      <c r="I4854" s="9">
        <v>14</v>
      </c>
      <c r="J4854" s="10">
        <v>53.879999999999903</v>
      </c>
      <c r="K4854" s="9" t="str">
        <f>TEXT(Sales_of_Jordan[[#This Row],[Sale_Date]],"mmm")</f>
        <v>Mar</v>
      </c>
    </row>
    <row r="4855" spans="1:11" x14ac:dyDescent="0.35">
      <c r="A4855" s="7" t="s">
        <v>4885</v>
      </c>
      <c r="B4855" s="8">
        <v>45192</v>
      </c>
      <c r="C4855" s="9" t="s">
        <v>16</v>
      </c>
      <c r="D4855" s="9" t="s">
        <v>53</v>
      </c>
      <c r="E4855" s="9" t="s">
        <v>18</v>
      </c>
      <c r="F4855" s="9">
        <v>174</v>
      </c>
      <c r="G4855" s="9">
        <v>596.79</v>
      </c>
      <c r="H4855" s="9" t="s">
        <v>32</v>
      </c>
      <c r="I4855" s="9">
        <v>47</v>
      </c>
      <c r="J4855" s="10">
        <v>422.789999999999</v>
      </c>
      <c r="K4855" s="9" t="str">
        <f>TEXT(Sales_of_Jordan[[#This Row],[Sale_Date]],"mmm")</f>
        <v>Sep</v>
      </c>
    </row>
    <row r="4856" spans="1:11" x14ac:dyDescent="0.35">
      <c r="A4856" s="7" t="s">
        <v>4886</v>
      </c>
      <c r="B4856" s="8">
        <v>45795</v>
      </c>
      <c r="C4856" s="9" t="s">
        <v>11</v>
      </c>
      <c r="D4856" s="9" t="s">
        <v>53</v>
      </c>
      <c r="E4856" s="9" t="s">
        <v>18</v>
      </c>
      <c r="F4856" s="9">
        <v>226</v>
      </c>
      <c r="G4856" s="9">
        <v>316.42</v>
      </c>
      <c r="H4856" s="9" t="s">
        <v>25</v>
      </c>
      <c r="I4856" s="9">
        <v>54</v>
      </c>
      <c r="J4856" s="10">
        <v>90.42</v>
      </c>
      <c r="K4856" s="9" t="str">
        <f>TEXT(Sales_of_Jordan[[#This Row],[Sale_Date]],"mmm")</f>
        <v>May</v>
      </c>
    </row>
    <row r="4857" spans="1:11" x14ac:dyDescent="0.35">
      <c r="A4857" s="7" t="s">
        <v>4887</v>
      </c>
      <c r="B4857" s="8">
        <v>45441</v>
      </c>
      <c r="C4857" s="9" t="s">
        <v>11</v>
      </c>
      <c r="D4857" s="9" t="s">
        <v>34</v>
      </c>
      <c r="E4857" s="9" t="s">
        <v>13</v>
      </c>
      <c r="F4857" s="9">
        <v>226</v>
      </c>
      <c r="G4857" s="9">
        <v>161.38999999999999</v>
      </c>
      <c r="H4857" s="9" t="s">
        <v>25</v>
      </c>
      <c r="I4857" s="9">
        <v>21</v>
      </c>
      <c r="J4857" s="10">
        <v>-64.61</v>
      </c>
      <c r="K4857" s="9" t="str">
        <f>TEXT(Sales_of_Jordan[[#This Row],[Sale_Date]],"mmm")</f>
        <v>May</v>
      </c>
    </row>
    <row r="4858" spans="1:11" x14ac:dyDescent="0.35">
      <c r="A4858" s="7" t="s">
        <v>4888</v>
      </c>
      <c r="B4858" s="8">
        <v>45791</v>
      </c>
      <c r="C4858" s="9" t="s">
        <v>27</v>
      </c>
      <c r="D4858" s="9" t="s">
        <v>36</v>
      </c>
      <c r="E4858" s="9" t="s">
        <v>18</v>
      </c>
      <c r="F4858" s="9">
        <v>135</v>
      </c>
      <c r="G4858" s="9">
        <v>329.59</v>
      </c>
      <c r="H4858" s="9" t="s">
        <v>25</v>
      </c>
      <c r="I4858" s="9">
        <v>24</v>
      </c>
      <c r="J4858" s="10">
        <v>194.58999999999901</v>
      </c>
      <c r="K4858" s="9" t="str">
        <f>TEXT(Sales_of_Jordan[[#This Row],[Sale_Date]],"mmm")</f>
        <v>May</v>
      </c>
    </row>
    <row r="4859" spans="1:11" x14ac:dyDescent="0.35">
      <c r="A4859" s="7" t="s">
        <v>4889</v>
      </c>
      <c r="B4859" s="8">
        <v>45469</v>
      </c>
      <c r="C4859" s="9" t="s">
        <v>27</v>
      </c>
      <c r="D4859" s="9" t="s">
        <v>36</v>
      </c>
      <c r="E4859" s="9" t="s">
        <v>13</v>
      </c>
      <c r="F4859" s="9">
        <v>116</v>
      </c>
      <c r="G4859" s="9">
        <v>82.04</v>
      </c>
      <c r="H4859" s="9" t="s">
        <v>23</v>
      </c>
      <c r="I4859" s="9">
        <v>27</v>
      </c>
      <c r="J4859" s="10">
        <v>-33.959999999999901</v>
      </c>
      <c r="K4859" s="9" t="str">
        <f>TEXT(Sales_of_Jordan[[#This Row],[Sale_Date]],"mmm")</f>
        <v>Jun</v>
      </c>
    </row>
    <row r="4860" spans="1:11" x14ac:dyDescent="0.35">
      <c r="A4860" s="7" t="s">
        <v>4890</v>
      </c>
      <c r="B4860" s="8">
        <v>44966</v>
      </c>
      <c r="C4860" s="9" t="s">
        <v>21</v>
      </c>
      <c r="D4860" s="9" t="s">
        <v>55</v>
      </c>
      <c r="E4860" s="9" t="s">
        <v>18</v>
      </c>
      <c r="F4860" s="9">
        <v>213</v>
      </c>
      <c r="G4860" s="9">
        <v>490.79</v>
      </c>
      <c r="H4860" s="9" t="s">
        <v>23</v>
      </c>
      <c r="I4860" s="9">
        <v>39</v>
      </c>
      <c r="J4860" s="10">
        <v>277.79000000000002</v>
      </c>
      <c r="K4860" s="9" t="str">
        <f>TEXT(Sales_of_Jordan[[#This Row],[Sale_Date]],"mmm")</f>
        <v>Feb</v>
      </c>
    </row>
    <row r="4861" spans="1:11" x14ac:dyDescent="0.35">
      <c r="A4861" s="7" t="s">
        <v>4891</v>
      </c>
      <c r="B4861" s="8">
        <v>45175</v>
      </c>
      <c r="C4861" s="9" t="s">
        <v>31</v>
      </c>
      <c r="D4861" s="9" t="s">
        <v>53</v>
      </c>
      <c r="E4861" s="9" t="s">
        <v>18</v>
      </c>
      <c r="F4861" s="9">
        <v>206</v>
      </c>
      <c r="G4861" s="9">
        <v>708.42</v>
      </c>
      <c r="H4861" s="9" t="s">
        <v>19</v>
      </c>
      <c r="I4861" s="9">
        <v>2</v>
      </c>
      <c r="J4861" s="10">
        <v>502.41999999999899</v>
      </c>
      <c r="K4861" s="9" t="str">
        <f>TEXT(Sales_of_Jordan[[#This Row],[Sale_Date]],"mmm")</f>
        <v>Sep</v>
      </c>
    </row>
    <row r="4862" spans="1:11" x14ac:dyDescent="0.35">
      <c r="A4862" s="7" t="s">
        <v>4892</v>
      </c>
      <c r="B4862" s="8">
        <v>45164</v>
      </c>
      <c r="C4862" s="9" t="s">
        <v>11</v>
      </c>
      <c r="D4862" s="9" t="s">
        <v>22</v>
      </c>
      <c r="E4862" s="9" t="s">
        <v>29</v>
      </c>
      <c r="F4862" s="9">
        <v>229</v>
      </c>
      <c r="G4862" s="9">
        <v>276.11</v>
      </c>
      <c r="H4862" s="9" t="s">
        <v>14</v>
      </c>
      <c r="I4862" s="9">
        <v>11</v>
      </c>
      <c r="J4862" s="10">
        <v>47.11</v>
      </c>
      <c r="K4862" s="9" t="str">
        <f>TEXT(Sales_of_Jordan[[#This Row],[Sale_Date]],"mmm")</f>
        <v>Aug</v>
      </c>
    </row>
    <row r="4863" spans="1:11" x14ac:dyDescent="0.35">
      <c r="A4863" s="7" t="s">
        <v>4893</v>
      </c>
      <c r="B4863" s="8">
        <v>45522</v>
      </c>
      <c r="C4863" s="9" t="s">
        <v>27</v>
      </c>
      <c r="D4863" s="9" t="s">
        <v>17</v>
      </c>
      <c r="E4863" s="9" t="s">
        <v>13</v>
      </c>
      <c r="F4863" s="9">
        <v>116</v>
      </c>
      <c r="G4863" s="9">
        <v>86.02</v>
      </c>
      <c r="H4863" s="9" t="s">
        <v>32</v>
      </c>
      <c r="I4863" s="9">
        <v>57</v>
      </c>
      <c r="J4863" s="10">
        <v>-29.98</v>
      </c>
      <c r="K4863" s="9" t="str">
        <f>TEXT(Sales_of_Jordan[[#This Row],[Sale_Date]],"mmm")</f>
        <v>Aug</v>
      </c>
    </row>
    <row r="4864" spans="1:11" x14ac:dyDescent="0.35">
      <c r="A4864" s="7" t="s">
        <v>4894</v>
      </c>
      <c r="B4864" s="8">
        <v>45293</v>
      </c>
      <c r="C4864" s="9" t="s">
        <v>31</v>
      </c>
      <c r="D4864" s="9" t="s">
        <v>46</v>
      </c>
      <c r="E4864" s="9" t="s">
        <v>18</v>
      </c>
      <c r="F4864" s="9">
        <v>209</v>
      </c>
      <c r="G4864" s="9">
        <v>639.46</v>
      </c>
      <c r="H4864" s="9" t="s">
        <v>32</v>
      </c>
      <c r="I4864" s="9">
        <v>37</v>
      </c>
      <c r="J4864" s="10">
        <v>430.46</v>
      </c>
      <c r="K4864" s="9" t="str">
        <f>TEXT(Sales_of_Jordan[[#This Row],[Sale_Date]],"mmm")</f>
        <v>Jan</v>
      </c>
    </row>
    <row r="4865" spans="1:11" x14ac:dyDescent="0.35">
      <c r="A4865" s="7" t="s">
        <v>4895</v>
      </c>
      <c r="B4865" s="8">
        <v>45895</v>
      </c>
      <c r="C4865" s="9" t="s">
        <v>31</v>
      </c>
      <c r="D4865" s="9" t="s">
        <v>53</v>
      </c>
      <c r="E4865" s="9" t="s">
        <v>18</v>
      </c>
      <c r="F4865" s="9">
        <v>208</v>
      </c>
      <c r="G4865" s="9">
        <v>619.66999999999996</v>
      </c>
      <c r="H4865" s="9" t="s">
        <v>25</v>
      </c>
      <c r="I4865" s="9">
        <v>25</v>
      </c>
      <c r="J4865" s="10">
        <v>411.66999999999899</v>
      </c>
      <c r="K4865" s="9" t="str">
        <f>TEXT(Sales_of_Jordan[[#This Row],[Sale_Date]],"mmm")</f>
        <v>Aug</v>
      </c>
    </row>
    <row r="4866" spans="1:11" x14ac:dyDescent="0.35">
      <c r="A4866" s="7" t="s">
        <v>4896</v>
      </c>
      <c r="B4866" s="8">
        <v>45323</v>
      </c>
      <c r="C4866" s="9" t="s">
        <v>27</v>
      </c>
      <c r="D4866" s="9" t="s">
        <v>36</v>
      </c>
      <c r="E4866" s="9" t="s">
        <v>29</v>
      </c>
      <c r="F4866" s="9">
        <v>124</v>
      </c>
      <c r="G4866" s="9">
        <v>135.99</v>
      </c>
      <c r="H4866" s="9" t="s">
        <v>25</v>
      </c>
      <c r="I4866" s="9">
        <v>21</v>
      </c>
      <c r="J4866" s="10">
        <v>11.99</v>
      </c>
      <c r="K4866" s="9" t="str">
        <f>TEXT(Sales_of_Jordan[[#This Row],[Sale_Date]],"mmm")</f>
        <v>Feb</v>
      </c>
    </row>
    <row r="4867" spans="1:11" x14ac:dyDescent="0.35">
      <c r="A4867" s="7" t="s">
        <v>4897</v>
      </c>
      <c r="B4867" s="8">
        <v>45798</v>
      </c>
      <c r="C4867" s="9" t="s">
        <v>16</v>
      </c>
      <c r="D4867" s="9" t="s">
        <v>36</v>
      </c>
      <c r="E4867" s="9" t="s">
        <v>13</v>
      </c>
      <c r="F4867" s="9">
        <v>172</v>
      </c>
      <c r="G4867" s="9">
        <v>153.4</v>
      </c>
      <c r="H4867" s="9" t="s">
        <v>19</v>
      </c>
      <c r="I4867" s="9">
        <v>8</v>
      </c>
      <c r="J4867" s="10">
        <v>-18.599999999999898</v>
      </c>
      <c r="K4867" s="9" t="str">
        <f>TEXT(Sales_of_Jordan[[#This Row],[Sale_Date]],"mmm")</f>
        <v>May</v>
      </c>
    </row>
    <row r="4868" spans="1:11" x14ac:dyDescent="0.35">
      <c r="A4868" s="7" t="s">
        <v>4898</v>
      </c>
      <c r="B4868" s="8">
        <v>45424</v>
      </c>
      <c r="C4868" s="9" t="s">
        <v>27</v>
      </c>
      <c r="D4868" s="9" t="s">
        <v>17</v>
      </c>
      <c r="E4868" s="9" t="s">
        <v>13</v>
      </c>
      <c r="F4868" s="9">
        <v>110</v>
      </c>
      <c r="G4868" s="9">
        <v>61.07</v>
      </c>
      <c r="H4868" s="9" t="s">
        <v>25</v>
      </c>
      <c r="I4868" s="9">
        <v>14</v>
      </c>
      <c r="J4868" s="10">
        <v>-48.93</v>
      </c>
      <c r="K4868" s="9" t="str">
        <f>TEXT(Sales_of_Jordan[[#This Row],[Sale_Date]],"mmm")</f>
        <v>May</v>
      </c>
    </row>
    <row r="4869" spans="1:11" x14ac:dyDescent="0.35">
      <c r="A4869" s="7" t="s">
        <v>4899</v>
      </c>
      <c r="B4869" s="8">
        <v>45230</v>
      </c>
      <c r="C4869" s="9" t="s">
        <v>27</v>
      </c>
      <c r="D4869" s="9" t="s">
        <v>22</v>
      </c>
      <c r="E4869" s="9" t="s">
        <v>29</v>
      </c>
      <c r="F4869" s="9">
        <v>137</v>
      </c>
      <c r="G4869" s="9">
        <v>164.8</v>
      </c>
      <c r="H4869" s="9" t="s">
        <v>25</v>
      </c>
      <c r="I4869" s="9">
        <v>17</v>
      </c>
      <c r="J4869" s="10">
        <v>27.8</v>
      </c>
      <c r="K4869" s="9" t="str">
        <f>TEXT(Sales_of_Jordan[[#This Row],[Sale_Date]],"mmm")</f>
        <v>Oct</v>
      </c>
    </row>
    <row r="4870" spans="1:11" x14ac:dyDescent="0.35">
      <c r="A4870" s="7" t="s">
        <v>4900</v>
      </c>
      <c r="B4870" s="8">
        <v>45638</v>
      </c>
      <c r="C4870" s="9" t="s">
        <v>21</v>
      </c>
      <c r="D4870" s="9" t="s">
        <v>12</v>
      </c>
      <c r="E4870" s="9" t="s">
        <v>29</v>
      </c>
      <c r="F4870" s="9">
        <v>210</v>
      </c>
      <c r="G4870" s="9">
        <v>215.13</v>
      </c>
      <c r="H4870" s="9" t="s">
        <v>25</v>
      </c>
      <c r="I4870" s="9">
        <v>36</v>
      </c>
      <c r="J4870" s="10">
        <v>5.1299999999999901</v>
      </c>
      <c r="K4870" s="9" t="str">
        <f>TEXT(Sales_of_Jordan[[#This Row],[Sale_Date]],"mmm")</f>
        <v>Dec</v>
      </c>
    </row>
    <row r="4871" spans="1:11" x14ac:dyDescent="0.35">
      <c r="A4871" s="7" t="s">
        <v>4901</v>
      </c>
      <c r="B4871" s="8">
        <v>45191</v>
      </c>
      <c r="C4871" s="9" t="s">
        <v>16</v>
      </c>
      <c r="D4871" s="9" t="s">
        <v>46</v>
      </c>
      <c r="E4871" s="9" t="s">
        <v>18</v>
      </c>
      <c r="F4871" s="9">
        <v>181</v>
      </c>
      <c r="G4871" s="9">
        <v>402.14</v>
      </c>
      <c r="H4871" s="9" t="s">
        <v>14</v>
      </c>
      <c r="I4871" s="9">
        <v>9</v>
      </c>
      <c r="J4871" s="10">
        <v>221.14</v>
      </c>
      <c r="K4871" s="9" t="str">
        <f>TEXT(Sales_of_Jordan[[#This Row],[Sale_Date]],"mmm")</f>
        <v>Sep</v>
      </c>
    </row>
    <row r="4872" spans="1:11" x14ac:dyDescent="0.35">
      <c r="A4872" s="7" t="s">
        <v>4902</v>
      </c>
      <c r="B4872" s="8">
        <v>45261</v>
      </c>
      <c r="C4872" s="9" t="s">
        <v>31</v>
      </c>
      <c r="D4872" s="9" t="s">
        <v>17</v>
      </c>
      <c r="E4872" s="9" t="s">
        <v>29</v>
      </c>
      <c r="F4872" s="9">
        <v>208</v>
      </c>
      <c r="G4872" s="9">
        <v>296.64</v>
      </c>
      <c r="H4872" s="9" t="s">
        <v>14</v>
      </c>
      <c r="I4872" s="9">
        <v>4</v>
      </c>
      <c r="J4872" s="10">
        <v>88.639999999999901</v>
      </c>
      <c r="K4872" s="9" t="str">
        <f>TEXT(Sales_of_Jordan[[#This Row],[Sale_Date]],"mmm")</f>
        <v>Dec</v>
      </c>
    </row>
    <row r="4873" spans="1:11" x14ac:dyDescent="0.35">
      <c r="A4873" s="7" t="s">
        <v>4903</v>
      </c>
      <c r="B4873" s="8">
        <v>45024</v>
      </c>
      <c r="C4873" s="9" t="s">
        <v>27</v>
      </c>
      <c r="D4873" s="9" t="s">
        <v>22</v>
      </c>
      <c r="E4873" s="9" t="s">
        <v>18</v>
      </c>
      <c r="F4873" s="9">
        <v>130</v>
      </c>
      <c r="G4873" s="9">
        <v>189.06</v>
      </c>
      <c r="H4873" s="9" t="s">
        <v>19</v>
      </c>
      <c r="I4873" s="9">
        <v>13</v>
      </c>
      <c r="J4873" s="10">
        <v>59.06</v>
      </c>
      <c r="K4873" s="9" t="str">
        <f>TEXT(Sales_of_Jordan[[#This Row],[Sale_Date]],"mmm")</f>
        <v>Apr</v>
      </c>
    </row>
    <row r="4874" spans="1:11" x14ac:dyDescent="0.35">
      <c r="A4874" s="7" t="s">
        <v>4904</v>
      </c>
      <c r="B4874" s="8">
        <v>44984</v>
      </c>
      <c r="C4874" s="9" t="s">
        <v>31</v>
      </c>
      <c r="D4874" s="9" t="s">
        <v>53</v>
      </c>
      <c r="E4874" s="9" t="s">
        <v>13</v>
      </c>
      <c r="F4874" s="9">
        <v>206</v>
      </c>
      <c r="G4874" s="9">
        <v>106.02</v>
      </c>
      <c r="H4874" s="9" t="s">
        <v>19</v>
      </c>
      <c r="I4874" s="9">
        <v>4</v>
      </c>
      <c r="J4874" s="10">
        <v>-99.98</v>
      </c>
      <c r="K4874" s="9" t="str">
        <f>TEXT(Sales_of_Jordan[[#This Row],[Sale_Date]],"mmm")</f>
        <v>Feb</v>
      </c>
    </row>
    <row r="4875" spans="1:11" x14ac:dyDescent="0.35">
      <c r="A4875" s="7" t="s">
        <v>4905</v>
      </c>
      <c r="B4875" s="8">
        <v>45227</v>
      </c>
      <c r="C4875" s="9" t="s">
        <v>31</v>
      </c>
      <c r="D4875" s="9" t="s">
        <v>36</v>
      </c>
      <c r="E4875" s="9" t="s">
        <v>29</v>
      </c>
      <c r="F4875" s="9">
        <v>204</v>
      </c>
      <c r="G4875" s="9">
        <v>291.2</v>
      </c>
      <c r="H4875" s="9" t="s">
        <v>25</v>
      </c>
      <c r="I4875" s="9">
        <v>9</v>
      </c>
      <c r="J4875" s="10">
        <v>87.199999999999903</v>
      </c>
      <c r="K4875" s="9" t="str">
        <f>TEXT(Sales_of_Jordan[[#This Row],[Sale_Date]],"mmm")</f>
        <v>Oct</v>
      </c>
    </row>
    <row r="4876" spans="1:11" x14ac:dyDescent="0.35">
      <c r="A4876" s="7" t="s">
        <v>4906</v>
      </c>
      <c r="B4876" s="8">
        <v>45262</v>
      </c>
      <c r="C4876" s="9" t="s">
        <v>21</v>
      </c>
      <c r="D4876" s="9" t="s">
        <v>34</v>
      </c>
      <c r="E4876" s="9" t="s">
        <v>29</v>
      </c>
      <c r="F4876" s="9">
        <v>211</v>
      </c>
      <c r="G4876" s="9">
        <v>272.86</v>
      </c>
      <c r="H4876" s="9" t="s">
        <v>14</v>
      </c>
      <c r="I4876" s="9">
        <v>7</v>
      </c>
      <c r="J4876" s="10">
        <v>61.86</v>
      </c>
      <c r="K4876" s="9" t="str">
        <f>TEXT(Sales_of_Jordan[[#This Row],[Sale_Date]],"mmm")</f>
        <v>Dec</v>
      </c>
    </row>
    <row r="4877" spans="1:11" x14ac:dyDescent="0.35">
      <c r="A4877" s="7" t="s">
        <v>4907</v>
      </c>
      <c r="B4877" s="8">
        <v>45407</v>
      </c>
      <c r="C4877" s="9" t="s">
        <v>31</v>
      </c>
      <c r="D4877" s="9" t="s">
        <v>12</v>
      </c>
      <c r="E4877" s="9" t="s">
        <v>18</v>
      </c>
      <c r="F4877" s="9">
        <v>208</v>
      </c>
      <c r="G4877" s="9">
        <v>559.63</v>
      </c>
      <c r="H4877" s="9" t="s">
        <v>19</v>
      </c>
      <c r="I4877" s="9">
        <v>8</v>
      </c>
      <c r="J4877" s="10">
        <v>351.63</v>
      </c>
      <c r="K4877" s="9" t="str">
        <f>TEXT(Sales_of_Jordan[[#This Row],[Sale_Date]],"mmm")</f>
        <v>Apr</v>
      </c>
    </row>
    <row r="4878" spans="1:11" x14ac:dyDescent="0.35">
      <c r="A4878" s="7" t="s">
        <v>4908</v>
      </c>
      <c r="B4878" s="8">
        <v>45523</v>
      </c>
      <c r="C4878" s="9" t="s">
        <v>16</v>
      </c>
      <c r="D4878" s="9" t="s">
        <v>53</v>
      </c>
      <c r="E4878" s="9" t="s">
        <v>18</v>
      </c>
      <c r="F4878" s="9">
        <v>182</v>
      </c>
      <c r="G4878" s="9">
        <v>413.18</v>
      </c>
      <c r="H4878" s="9" t="s">
        <v>19</v>
      </c>
      <c r="I4878" s="9">
        <v>8</v>
      </c>
      <c r="J4878" s="10">
        <v>231.18</v>
      </c>
      <c r="K4878" s="9" t="str">
        <f>TEXT(Sales_of_Jordan[[#This Row],[Sale_Date]],"mmm")</f>
        <v>Aug</v>
      </c>
    </row>
    <row r="4879" spans="1:11" x14ac:dyDescent="0.35">
      <c r="A4879" s="7" t="s">
        <v>4909</v>
      </c>
      <c r="B4879" s="8">
        <v>45677</v>
      </c>
      <c r="C4879" s="9" t="s">
        <v>27</v>
      </c>
      <c r="D4879" s="9" t="s">
        <v>39</v>
      </c>
      <c r="E4879" s="9" t="s">
        <v>29</v>
      </c>
      <c r="F4879" s="9">
        <v>133</v>
      </c>
      <c r="G4879" s="9">
        <v>123.46</v>
      </c>
      <c r="H4879" s="9" t="s">
        <v>32</v>
      </c>
      <c r="I4879" s="9">
        <v>40</v>
      </c>
      <c r="J4879" s="10">
        <v>-9.5399999999999991</v>
      </c>
      <c r="K4879" s="9" t="str">
        <f>TEXT(Sales_of_Jordan[[#This Row],[Sale_Date]],"mmm")</f>
        <v>Jan</v>
      </c>
    </row>
    <row r="4880" spans="1:11" x14ac:dyDescent="0.35">
      <c r="A4880" s="7" t="s">
        <v>4910</v>
      </c>
      <c r="B4880" s="8">
        <v>45315</v>
      </c>
      <c r="C4880" s="9" t="s">
        <v>31</v>
      </c>
      <c r="D4880" s="9" t="s">
        <v>12</v>
      </c>
      <c r="E4880" s="9" t="s">
        <v>29</v>
      </c>
      <c r="F4880" s="9">
        <v>206</v>
      </c>
      <c r="G4880" s="9">
        <v>241.41</v>
      </c>
      <c r="H4880" s="9" t="s">
        <v>19</v>
      </c>
      <c r="I4880" s="9">
        <v>8</v>
      </c>
      <c r="J4880" s="10">
        <v>35.409999999999997</v>
      </c>
      <c r="K4880" s="9" t="str">
        <f>TEXT(Sales_of_Jordan[[#This Row],[Sale_Date]],"mmm")</f>
        <v>Jan</v>
      </c>
    </row>
    <row r="4881" spans="1:11" x14ac:dyDescent="0.35">
      <c r="A4881" s="7" t="s">
        <v>4911</v>
      </c>
      <c r="B4881" s="8">
        <v>45451</v>
      </c>
      <c r="C4881" s="9" t="s">
        <v>31</v>
      </c>
      <c r="D4881" s="9" t="s">
        <v>22</v>
      </c>
      <c r="E4881" s="9" t="s">
        <v>18</v>
      </c>
      <c r="F4881" s="9">
        <v>203</v>
      </c>
      <c r="G4881" s="9">
        <v>539.78</v>
      </c>
      <c r="H4881" s="9" t="s">
        <v>32</v>
      </c>
      <c r="I4881" s="9">
        <v>17</v>
      </c>
      <c r="J4881" s="10">
        <v>336.78</v>
      </c>
      <c r="K4881" s="9" t="str">
        <f>TEXT(Sales_of_Jordan[[#This Row],[Sale_Date]],"mmm")</f>
        <v>Jun</v>
      </c>
    </row>
    <row r="4882" spans="1:11" x14ac:dyDescent="0.35">
      <c r="A4882" s="7" t="s">
        <v>4912</v>
      </c>
      <c r="B4882" s="8">
        <v>45851</v>
      </c>
      <c r="C4882" s="9" t="s">
        <v>16</v>
      </c>
      <c r="D4882" s="9" t="s">
        <v>36</v>
      </c>
      <c r="E4882" s="9" t="s">
        <v>29</v>
      </c>
      <c r="F4882" s="9">
        <v>181</v>
      </c>
      <c r="G4882" s="9">
        <v>209.1</v>
      </c>
      <c r="H4882" s="9" t="s">
        <v>14</v>
      </c>
      <c r="I4882" s="9">
        <v>14</v>
      </c>
      <c r="J4882" s="10">
        <v>28.099999999999898</v>
      </c>
      <c r="K4882" s="9" t="str">
        <f>TEXT(Sales_of_Jordan[[#This Row],[Sale_Date]],"mmm")</f>
        <v>Jul</v>
      </c>
    </row>
    <row r="4883" spans="1:11" x14ac:dyDescent="0.35">
      <c r="A4883" s="7" t="s">
        <v>4913</v>
      </c>
      <c r="B4883" s="8">
        <v>44932</v>
      </c>
      <c r="C4883" s="9" t="s">
        <v>11</v>
      </c>
      <c r="D4883" s="9" t="s">
        <v>34</v>
      </c>
      <c r="E4883" s="9" t="s">
        <v>18</v>
      </c>
      <c r="F4883" s="9">
        <v>230</v>
      </c>
      <c r="G4883" s="9">
        <v>522.9</v>
      </c>
      <c r="H4883" s="9" t="s">
        <v>25</v>
      </c>
      <c r="I4883" s="9">
        <v>60</v>
      </c>
      <c r="J4883" s="10">
        <v>292.89999999999998</v>
      </c>
      <c r="K4883" s="9" t="str">
        <f>TEXT(Sales_of_Jordan[[#This Row],[Sale_Date]],"mmm")</f>
        <v>Jan</v>
      </c>
    </row>
    <row r="4884" spans="1:11" x14ac:dyDescent="0.35">
      <c r="A4884" s="7" t="s">
        <v>4914</v>
      </c>
      <c r="B4884" s="8">
        <v>44990</v>
      </c>
      <c r="C4884" s="9" t="s">
        <v>11</v>
      </c>
      <c r="D4884" s="9" t="s">
        <v>53</v>
      </c>
      <c r="E4884" s="9" t="s">
        <v>18</v>
      </c>
      <c r="F4884" s="9">
        <v>230</v>
      </c>
      <c r="G4884" s="9">
        <v>795.99</v>
      </c>
      <c r="H4884" s="9" t="s">
        <v>23</v>
      </c>
      <c r="I4884" s="9">
        <v>12</v>
      </c>
      <c r="J4884" s="10">
        <v>565.99</v>
      </c>
      <c r="K4884" s="9" t="str">
        <f>TEXT(Sales_of_Jordan[[#This Row],[Sale_Date]],"mmm")</f>
        <v>Mar</v>
      </c>
    </row>
    <row r="4885" spans="1:11" x14ac:dyDescent="0.35">
      <c r="A4885" s="7" t="s">
        <v>4915</v>
      </c>
      <c r="B4885" s="8">
        <v>45866</v>
      </c>
      <c r="C4885" s="9" t="s">
        <v>31</v>
      </c>
      <c r="D4885" s="9" t="s">
        <v>55</v>
      </c>
      <c r="E4885" s="9" t="s">
        <v>18</v>
      </c>
      <c r="F4885" s="9">
        <v>203</v>
      </c>
      <c r="G4885" s="9">
        <v>558.25</v>
      </c>
      <c r="H4885" s="9" t="s">
        <v>23</v>
      </c>
      <c r="I4885" s="9">
        <v>12</v>
      </c>
      <c r="J4885" s="10">
        <v>355.25</v>
      </c>
      <c r="K4885" s="9" t="str">
        <f>TEXT(Sales_of_Jordan[[#This Row],[Sale_Date]],"mmm")</f>
        <v>Jul</v>
      </c>
    </row>
    <row r="4886" spans="1:11" x14ac:dyDescent="0.35">
      <c r="A4886" s="7" t="s">
        <v>4916</v>
      </c>
      <c r="B4886" s="8">
        <v>45084</v>
      </c>
      <c r="C4886" s="9" t="s">
        <v>11</v>
      </c>
      <c r="D4886" s="9" t="s">
        <v>22</v>
      </c>
      <c r="E4886" s="9" t="s">
        <v>29</v>
      </c>
      <c r="F4886" s="9">
        <v>227</v>
      </c>
      <c r="G4886" s="9">
        <v>233.35</v>
      </c>
      <c r="H4886" s="9" t="s">
        <v>23</v>
      </c>
      <c r="I4886" s="9">
        <v>8</v>
      </c>
      <c r="J4886" s="10">
        <v>6.3499999999999899</v>
      </c>
      <c r="K4886" s="9" t="str">
        <f>TEXT(Sales_of_Jordan[[#This Row],[Sale_Date]],"mmm")</f>
        <v>Jun</v>
      </c>
    </row>
    <row r="4887" spans="1:11" x14ac:dyDescent="0.35">
      <c r="A4887" s="7" t="s">
        <v>4917</v>
      </c>
      <c r="B4887" s="8">
        <v>45096</v>
      </c>
      <c r="C4887" s="9" t="s">
        <v>11</v>
      </c>
      <c r="D4887" s="9" t="s">
        <v>46</v>
      </c>
      <c r="E4887" s="9" t="s">
        <v>29</v>
      </c>
      <c r="F4887" s="9">
        <v>227</v>
      </c>
      <c r="G4887" s="9">
        <v>331.85</v>
      </c>
      <c r="H4887" s="9" t="s">
        <v>19</v>
      </c>
      <c r="I4887" s="9">
        <v>12</v>
      </c>
      <c r="J4887" s="10">
        <v>104.85</v>
      </c>
      <c r="K4887" s="9" t="str">
        <f>TEXT(Sales_of_Jordan[[#This Row],[Sale_Date]],"mmm")</f>
        <v>Jun</v>
      </c>
    </row>
    <row r="4888" spans="1:11" x14ac:dyDescent="0.35">
      <c r="A4888" s="7" t="s">
        <v>4918</v>
      </c>
      <c r="B4888" s="8">
        <v>45129</v>
      </c>
      <c r="C4888" s="9" t="s">
        <v>16</v>
      </c>
      <c r="D4888" s="9" t="s">
        <v>39</v>
      </c>
      <c r="E4888" s="9" t="s">
        <v>13</v>
      </c>
      <c r="F4888" s="9">
        <v>172</v>
      </c>
      <c r="G4888" s="9">
        <v>106.13</v>
      </c>
      <c r="H4888" s="9" t="s">
        <v>19</v>
      </c>
      <c r="I4888" s="9">
        <v>1</v>
      </c>
      <c r="J4888" s="10">
        <v>-65.87</v>
      </c>
      <c r="K4888" s="9" t="str">
        <f>TEXT(Sales_of_Jordan[[#This Row],[Sale_Date]],"mmm")</f>
        <v>Jul</v>
      </c>
    </row>
    <row r="4889" spans="1:11" x14ac:dyDescent="0.35">
      <c r="A4889" s="7" t="s">
        <v>4919</v>
      </c>
      <c r="B4889" s="8">
        <v>45277</v>
      </c>
      <c r="C4889" s="9" t="s">
        <v>21</v>
      </c>
      <c r="D4889" s="9" t="s">
        <v>17</v>
      </c>
      <c r="E4889" s="9" t="s">
        <v>13</v>
      </c>
      <c r="F4889" s="9">
        <v>218</v>
      </c>
      <c r="G4889" s="9">
        <v>113.01</v>
      </c>
      <c r="H4889" s="9" t="s">
        <v>32</v>
      </c>
      <c r="I4889" s="9">
        <v>55</v>
      </c>
      <c r="J4889" s="10">
        <v>-104.99</v>
      </c>
      <c r="K4889" s="9" t="str">
        <f>TEXT(Sales_of_Jordan[[#This Row],[Sale_Date]],"mmm")</f>
        <v>Dec</v>
      </c>
    </row>
    <row r="4890" spans="1:11" x14ac:dyDescent="0.35">
      <c r="A4890" s="7" t="s">
        <v>4920</v>
      </c>
      <c r="B4890" s="8">
        <v>45370</v>
      </c>
      <c r="C4890" s="9" t="s">
        <v>11</v>
      </c>
      <c r="D4890" s="9" t="s">
        <v>55</v>
      </c>
      <c r="E4890" s="9" t="s">
        <v>29</v>
      </c>
      <c r="F4890" s="9">
        <v>227</v>
      </c>
      <c r="G4890" s="9">
        <v>205.19</v>
      </c>
      <c r="H4890" s="9" t="s">
        <v>25</v>
      </c>
      <c r="I4890" s="9">
        <v>42</v>
      </c>
      <c r="J4890" s="10">
        <v>-21.81</v>
      </c>
      <c r="K4890" s="9" t="str">
        <f>TEXT(Sales_of_Jordan[[#This Row],[Sale_Date]],"mmm")</f>
        <v>Mar</v>
      </c>
    </row>
    <row r="4891" spans="1:11" x14ac:dyDescent="0.35">
      <c r="A4891" s="7" t="s">
        <v>4921</v>
      </c>
      <c r="B4891" s="8">
        <v>45399</v>
      </c>
      <c r="C4891" s="9" t="s">
        <v>31</v>
      </c>
      <c r="D4891" s="9" t="s">
        <v>17</v>
      </c>
      <c r="E4891" s="9" t="s">
        <v>18</v>
      </c>
      <c r="F4891" s="9">
        <v>208</v>
      </c>
      <c r="G4891" s="9">
        <v>688.61</v>
      </c>
      <c r="H4891" s="9" t="s">
        <v>23</v>
      </c>
      <c r="I4891" s="9">
        <v>24</v>
      </c>
      <c r="J4891" s="10">
        <v>480.61</v>
      </c>
      <c r="K4891" s="9" t="str">
        <f>TEXT(Sales_of_Jordan[[#This Row],[Sale_Date]],"mmm")</f>
        <v>Apr</v>
      </c>
    </row>
    <row r="4892" spans="1:11" x14ac:dyDescent="0.35">
      <c r="A4892" s="7" t="s">
        <v>4922</v>
      </c>
      <c r="B4892" s="8">
        <v>45059</v>
      </c>
      <c r="C4892" s="9" t="s">
        <v>31</v>
      </c>
      <c r="D4892" s="9" t="s">
        <v>36</v>
      </c>
      <c r="E4892" s="9" t="s">
        <v>18</v>
      </c>
      <c r="F4892" s="9">
        <v>200</v>
      </c>
      <c r="G4892" s="9">
        <v>392.4</v>
      </c>
      <c r="H4892" s="9" t="s">
        <v>19</v>
      </c>
      <c r="I4892" s="9">
        <v>2</v>
      </c>
      <c r="J4892" s="10">
        <v>192.39999999999901</v>
      </c>
      <c r="K4892" s="9" t="str">
        <f>TEXT(Sales_of_Jordan[[#This Row],[Sale_Date]],"mmm")</f>
        <v>May</v>
      </c>
    </row>
    <row r="4893" spans="1:11" x14ac:dyDescent="0.35">
      <c r="A4893" s="7" t="s">
        <v>4923</v>
      </c>
      <c r="B4893" s="8">
        <v>45372</v>
      </c>
      <c r="C4893" s="9" t="s">
        <v>31</v>
      </c>
      <c r="D4893" s="9" t="s">
        <v>36</v>
      </c>
      <c r="E4893" s="9" t="s">
        <v>18</v>
      </c>
      <c r="F4893" s="9">
        <v>200</v>
      </c>
      <c r="G4893" s="9">
        <v>576.4</v>
      </c>
      <c r="H4893" s="9" t="s">
        <v>32</v>
      </c>
      <c r="I4893" s="9">
        <v>28</v>
      </c>
      <c r="J4893" s="10">
        <v>376.4</v>
      </c>
      <c r="K4893" s="9" t="str">
        <f>TEXT(Sales_of_Jordan[[#This Row],[Sale_Date]],"mmm")</f>
        <v>Mar</v>
      </c>
    </row>
    <row r="4894" spans="1:11" x14ac:dyDescent="0.35">
      <c r="A4894" s="7" t="s">
        <v>4924</v>
      </c>
      <c r="B4894" s="8">
        <v>45162</v>
      </c>
      <c r="C4894" s="9" t="s">
        <v>11</v>
      </c>
      <c r="D4894" s="9" t="s">
        <v>53</v>
      </c>
      <c r="E4894" s="9" t="s">
        <v>13</v>
      </c>
      <c r="F4894" s="9">
        <v>226</v>
      </c>
      <c r="G4894" s="9">
        <v>200</v>
      </c>
      <c r="H4894" s="9" t="s">
        <v>25</v>
      </c>
      <c r="I4894" s="9">
        <v>20</v>
      </c>
      <c r="J4894" s="10">
        <v>-26</v>
      </c>
      <c r="K4894" s="9" t="str">
        <f>TEXT(Sales_of_Jordan[[#This Row],[Sale_Date]],"mmm")</f>
        <v>Aug</v>
      </c>
    </row>
    <row r="4895" spans="1:11" x14ac:dyDescent="0.35">
      <c r="A4895" s="7" t="s">
        <v>4925</v>
      </c>
      <c r="B4895" s="8">
        <v>45460</v>
      </c>
      <c r="C4895" s="9" t="s">
        <v>31</v>
      </c>
      <c r="D4895" s="9" t="s">
        <v>46</v>
      </c>
      <c r="E4895" s="9" t="s">
        <v>18</v>
      </c>
      <c r="F4895" s="9">
        <v>200</v>
      </c>
      <c r="G4895" s="9">
        <v>381.2</v>
      </c>
      <c r="H4895" s="9" t="s">
        <v>14</v>
      </c>
      <c r="I4895" s="9">
        <v>12</v>
      </c>
      <c r="J4895" s="10">
        <v>181.2</v>
      </c>
      <c r="K4895" s="9" t="str">
        <f>TEXT(Sales_of_Jordan[[#This Row],[Sale_Date]],"mmm")</f>
        <v>Jun</v>
      </c>
    </row>
    <row r="4896" spans="1:11" x14ac:dyDescent="0.35">
      <c r="A4896" s="7" t="s">
        <v>4926</v>
      </c>
      <c r="B4896" s="8">
        <v>45099</v>
      </c>
      <c r="C4896" s="9" t="s">
        <v>31</v>
      </c>
      <c r="D4896" s="9" t="s">
        <v>34</v>
      </c>
      <c r="E4896" s="9" t="s">
        <v>18</v>
      </c>
      <c r="F4896" s="9">
        <v>200</v>
      </c>
      <c r="G4896" s="9">
        <v>411.04</v>
      </c>
      <c r="H4896" s="9" t="s">
        <v>14</v>
      </c>
      <c r="I4896" s="9">
        <v>7</v>
      </c>
      <c r="J4896" s="10">
        <v>211.04</v>
      </c>
      <c r="K4896" s="9" t="str">
        <f>TEXT(Sales_of_Jordan[[#This Row],[Sale_Date]],"mmm")</f>
        <v>Jun</v>
      </c>
    </row>
    <row r="4897" spans="1:11" x14ac:dyDescent="0.35">
      <c r="A4897" s="7" t="s">
        <v>4927</v>
      </c>
      <c r="B4897" s="8">
        <v>45002</v>
      </c>
      <c r="C4897" s="9" t="s">
        <v>11</v>
      </c>
      <c r="D4897" s="9" t="s">
        <v>46</v>
      </c>
      <c r="E4897" s="9" t="s">
        <v>29</v>
      </c>
      <c r="F4897" s="9">
        <v>228</v>
      </c>
      <c r="G4897" s="9">
        <v>328.34</v>
      </c>
      <c r="H4897" s="9" t="s">
        <v>25</v>
      </c>
      <c r="I4897" s="9">
        <v>30</v>
      </c>
      <c r="J4897" s="10">
        <v>100.33999999999899</v>
      </c>
      <c r="K4897" s="9" t="str">
        <f>TEXT(Sales_of_Jordan[[#This Row],[Sale_Date]],"mmm")</f>
        <v>Mar</v>
      </c>
    </row>
    <row r="4898" spans="1:11" x14ac:dyDescent="0.35">
      <c r="A4898" s="7" t="s">
        <v>4928</v>
      </c>
      <c r="B4898" s="8">
        <v>45640</v>
      </c>
      <c r="C4898" s="9" t="s">
        <v>27</v>
      </c>
      <c r="D4898" s="9" t="s">
        <v>12</v>
      </c>
      <c r="E4898" s="9" t="s">
        <v>13</v>
      </c>
      <c r="F4898" s="9">
        <v>139</v>
      </c>
      <c r="G4898" s="9">
        <v>86.17</v>
      </c>
      <c r="H4898" s="9" t="s">
        <v>14</v>
      </c>
      <c r="I4898" s="9">
        <v>12</v>
      </c>
      <c r="J4898" s="10">
        <v>-52.83</v>
      </c>
      <c r="K4898" s="9" t="str">
        <f>TEXT(Sales_of_Jordan[[#This Row],[Sale_Date]],"mmm")</f>
        <v>Dec</v>
      </c>
    </row>
    <row r="4899" spans="1:11" x14ac:dyDescent="0.35">
      <c r="A4899" s="7" t="s">
        <v>4929</v>
      </c>
      <c r="B4899" s="8">
        <v>45823</v>
      </c>
      <c r="C4899" s="9" t="s">
        <v>16</v>
      </c>
      <c r="D4899" s="9" t="s">
        <v>22</v>
      </c>
      <c r="E4899" s="9" t="s">
        <v>29</v>
      </c>
      <c r="F4899" s="9">
        <v>174</v>
      </c>
      <c r="G4899" s="9">
        <v>161.36000000000001</v>
      </c>
      <c r="H4899" s="9" t="s">
        <v>23</v>
      </c>
      <c r="I4899" s="9">
        <v>29</v>
      </c>
      <c r="J4899" s="10">
        <v>-12.639999999999899</v>
      </c>
      <c r="K4899" s="9" t="str">
        <f>TEXT(Sales_of_Jordan[[#This Row],[Sale_Date]],"mmm")</f>
        <v>Jun</v>
      </c>
    </row>
    <row r="4900" spans="1:11" x14ac:dyDescent="0.35">
      <c r="A4900" s="7" t="s">
        <v>4930</v>
      </c>
      <c r="B4900" s="8">
        <v>45503</v>
      </c>
      <c r="C4900" s="9" t="s">
        <v>27</v>
      </c>
      <c r="D4900" s="9" t="s">
        <v>36</v>
      </c>
      <c r="E4900" s="9" t="s">
        <v>18</v>
      </c>
      <c r="F4900" s="9">
        <v>118</v>
      </c>
      <c r="G4900" s="9">
        <v>342.74</v>
      </c>
      <c r="H4900" s="9" t="s">
        <v>32</v>
      </c>
      <c r="I4900" s="9">
        <v>50</v>
      </c>
      <c r="J4900" s="10">
        <v>224.74</v>
      </c>
      <c r="K4900" s="9" t="str">
        <f>TEXT(Sales_of_Jordan[[#This Row],[Sale_Date]],"mmm")</f>
        <v>Jul</v>
      </c>
    </row>
    <row r="4901" spans="1:11" x14ac:dyDescent="0.35">
      <c r="A4901" s="7" t="s">
        <v>4931</v>
      </c>
      <c r="B4901" s="8">
        <v>44963</v>
      </c>
      <c r="C4901" s="9" t="s">
        <v>11</v>
      </c>
      <c r="D4901" s="9" t="s">
        <v>22</v>
      </c>
      <c r="E4901" s="9" t="s">
        <v>18</v>
      </c>
      <c r="F4901" s="9">
        <v>228</v>
      </c>
      <c r="G4901" s="9">
        <v>358.9</v>
      </c>
      <c r="H4901" s="9" t="s">
        <v>23</v>
      </c>
      <c r="I4901" s="9">
        <v>45</v>
      </c>
      <c r="J4901" s="10">
        <v>130.89999999999901</v>
      </c>
      <c r="K4901" s="9" t="str">
        <f>TEXT(Sales_of_Jordan[[#This Row],[Sale_Date]],"mmm")</f>
        <v>Feb</v>
      </c>
    </row>
    <row r="4902" spans="1:11" x14ac:dyDescent="0.35">
      <c r="A4902" s="7" t="s">
        <v>4932</v>
      </c>
      <c r="B4902" s="8">
        <v>45517</v>
      </c>
      <c r="C4902" s="9" t="s">
        <v>21</v>
      </c>
      <c r="D4902" s="9" t="s">
        <v>36</v>
      </c>
      <c r="E4902" s="9" t="s">
        <v>29</v>
      </c>
      <c r="F4902" s="9">
        <v>216</v>
      </c>
      <c r="G4902" s="9">
        <v>304.27999999999997</v>
      </c>
      <c r="H4902" s="9" t="s">
        <v>23</v>
      </c>
      <c r="I4902" s="9">
        <v>41</v>
      </c>
      <c r="J4902" s="10">
        <v>88.279999999999902</v>
      </c>
      <c r="K4902" s="9" t="str">
        <f>TEXT(Sales_of_Jordan[[#This Row],[Sale_Date]],"mmm")</f>
        <v>Aug</v>
      </c>
    </row>
    <row r="4903" spans="1:11" x14ac:dyDescent="0.35">
      <c r="A4903" s="7" t="s">
        <v>4933</v>
      </c>
      <c r="B4903" s="8">
        <v>45879</v>
      </c>
      <c r="C4903" s="9" t="s">
        <v>31</v>
      </c>
      <c r="D4903" s="9" t="s">
        <v>36</v>
      </c>
      <c r="E4903" s="9" t="s">
        <v>18</v>
      </c>
      <c r="F4903" s="9">
        <v>202</v>
      </c>
      <c r="G4903" s="9">
        <v>369</v>
      </c>
      <c r="H4903" s="9" t="s">
        <v>23</v>
      </c>
      <c r="I4903" s="9">
        <v>54</v>
      </c>
      <c r="J4903" s="10">
        <v>167</v>
      </c>
      <c r="K4903" s="9" t="str">
        <f>TEXT(Sales_of_Jordan[[#This Row],[Sale_Date]],"mmm")</f>
        <v>Aug</v>
      </c>
    </row>
    <row r="4904" spans="1:11" x14ac:dyDescent="0.35">
      <c r="A4904" s="7" t="s">
        <v>4934</v>
      </c>
      <c r="B4904" s="8">
        <v>45585</v>
      </c>
      <c r="C4904" s="9" t="s">
        <v>27</v>
      </c>
      <c r="D4904" s="9" t="s">
        <v>22</v>
      </c>
      <c r="E4904" s="9" t="s">
        <v>18</v>
      </c>
      <c r="F4904" s="9">
        <v>124</v>
      </c>
      <c r="G4904" s="9">
        <v>188.04</v>
      </c>
      <c r="H4904" s="9" t="s">
        <v>25</v>
      </c>
      <c r="I4904" s="9">
        <v>23</v>
      </c>
      <c r="J4904" s="10">
        <v>64.039999999999907</v>
      </c>
      <c r="K4904" s="9" t="str">
        <f>TEXT(Sales_of_Jordan[[#This Row],[Sale_Date]],"mmm")</f>
        <v>Oct</v>
      </c>
    </row>
    <row r="4905" spans="1:11" x14ac:dyDescent="0.35">
      <c r="A4905" s="7" t="s">
        <v>4935</v>
      </c>
      <c r="B4905" s="8">
        <v>45274</v>
      </c>
      <c r="C4905" s="9" t="s">
        <v>11</v>
      </c>
      <c r="D4905" s="9" t="s">
        <v>12</v>
      </c>
      <c r="E4905" s="9" t="s">
        <v>13</v>
      </c>
      <c r="F4905" s="9">
        <v>226</v>
      </c>
      <c r="G4905" s="9">
        <v>136.19999999999999</v>
      </c>
      <c r="H4905" s="9" t="s">
        <v>19</v>
      </c>
      <c r="I4905" s="9">
        <v>13</v>
      </c>
      <c r="J4905" s="10">
        <v>-89.8</v>
      </c>
      <c r="K4905" s="9" t="str">
        <f>TEXT(Sales_of_Jordan[[#This Row],[Sale_Date]],"mmm")</f>
        <v>Dec</v>
      </c>
    </row>
    <row r="4906" spans="1:11" x14ac:dyDescent="0.35">
      <c r="A4906" s="7" t="s">
        <v>4936</v>
      </c>
      <c r="B4906" s="8">
        <v>45715</v>
      </c>
      <c r="C4906" s="9" t="s">
        <v>16</v>
      </c>
      <c r="D4906" s="9" t="s">
        <v>12</v>
      </c>
      <c r="E4906" s="9" t="s">
        <v>13</v>
      </c>
      <c r="F4906" s="9">
        <v>175</v>
      </c>
      <c r="G4906" s="9">
        <v>146.69999999999999</v>
      </c>
      <c r="H4906" s="9" t="s">
        <v>23</v>
      </c>
      <c r="I4906" s="9">
        <v>14</v>
      </c>
      <c r="J4906" s="10">
        <v>-28.3</v>
      </c>
      <c r="K4906" s="9" t="str">
        <f>TEXT(Sales_of_Jordan[[#This Row],[Sale_Date]],"mmm")</f>
        <v>Feb</v>
      </c>
    </row>
    <row r="4907" spans="1:11" x14ac:dyDescent="0.35">
      <c r="A4907" s="7" t="s">
        <v>4937</v>
      </c>
      <c r="B4907" s="8">
        <v>45528</v>
      </c>
      <c r="C4907" s="9" t="s">
        <v>21</v>
      </c>
      <c r="D4907" s="9" t="s">
        <v>36</v>
      </c>
      <c r="E4907" s="9" t="s">
        <v>29</v>
      </c>
      <c r="F4907" s="9">
        <v>219</v>
      </c>
      <c r="G4907" s="9">
        <v>326.98</v>
      </c>
      <c r="H4907" s="9" t="s">
        <v>19</v>
      </c>
      <c r="I4907" s="9">
        <v>13</v>
      </c>
      <c r="J4907" s="10">
        <v>107.98</v>
      </c>
      <c r="K4907" s="9" t="str">
        <f>TEXT(Sales_of_Jordan[[#This Row],[Sale_Date]],"mmm")</f>
        <v>Aug</v>
      </c>
    </row>
    <row r="4908" spans="1:11" x14ac:dyDescent="0.35">
      <c r="A4908" s="7" t="s">
        <v>4938</v>
      </c>
      <c r="B4908" s="8">
        <v>45346</v>
      </c>
      <c r="C4908" s="9" t="s">
        <v>31</v>
      </c>
      <c r="D4908" s="9" t="s">
        <v>36</v>
      </c>
      <c r="E4908" s="9" t="s">
        <v>18</v>
      </c>
      <c r="F4908" s="9">
        <v>200</v>
      </c>
      <c r="G4908" s="9">
        <v>412.19</v>
      </c>
      <c r="H4908" s="9" t="s">
        <v>14</v>
      </c>
      <c r="I4908" s="9">
        <v>7</v>
      </c>
      <c r="J4908" s="10">
        <v>212.19</v>
      </c>
      <c r="K4908" s="9" t="str">
        <f>TEXT(Sales_of_Jordan[[#This Row],[Sale_Date]],"mmm")</f>
        <v>Feb</v>
      </c>
    </row>
    <row r="4909" spans="1:11" x14ac:dyDescent="0.35">
      <c r="A4909" s="7" t="s">
        <v>4939</v>
      </c>
      <c r="B4909" s="8">
        <v>45415</v>
      </c>
      <c r="C4909" s="9" t="s">
        <v>16</v>
      </c>
      <c r="D4909" s="9" t="s">
        <v>46</v>
      </c>
      <c r="E4909" s="9" t="s">
        <v>29</v>
      </c>
      <c r="F4909" s="9">
        <v>190</v>
      </c>
      <c r="G4909" s="9">
        <v>181.54</v>
      </c>
      <c r="H4909" s="9" t="s">
        <v>25</v>
      </c>
      <c r="I4909" s="9">
        <v>35</v>
      </c>
      <c r="J4909" s="10">
        <v>-8.4600000000000009</v>
      </c>
      <c r="K4909" s="9" t="str">
        <f>TEXT(Sales_of_Jordan[[#This Row],[Sale_Date]],"mmm")</f>
        <v>May</v>
      </c>
    </row>
    <row r="4910" spans="1:11" x14ac:dyDescent="0.35">
      <c r="A4910" s="7" t="s">
        <v>4940</v>
      </c>
      <c r="B4910" s="8">
        <v>45415</v>
      </c>
      <c r="C4910" s="9" t="s">
        <v>11</v>
      </c>
      <c r="D4910" s="9" t="s">
        <v>53</v>
      </c>
      <c r="E4910" s="9" t="s">
        <v>13</v>
      </c>
      <c r="F4910" s="9">
        <v>226</v>
      </c>
      <c r="G4910" s="9">
        <v>131.76</v>
      </c>
      <c r="H4910" s="9" t="s">
        <v>23</v>
      </c>
      <c r="I4910" s="9">
        <v>32</v>
      </c>
      <c r="J4910" s="10">
        <v>-94.24</v>
      </c>
      <c r="K4910" s="9" t="str">
        <f>TEXT(Sales_of_Jordan[[#This Row],[Sale_Date]],"mmm")</f>
        <v>May</v>
      </c>
    </row>
    <row r="4911" spans="1:11" x14ac:dyDescent="0.35">
      <c r="A4911" s="7" t="s">
        <v>4941</v>
      </c>
      <c r="B4911" s="8">
        <v>45694</v>
      </c>
      <c r="C4911" s="9" t="s">
        <v>27</v>
      </c>
      <c r="D4911" s="9" t="s">
        <v>36</v>
      </c>
      <c r="E4911" s="9" t="s">
        <v>29</v>
      </c>
      <c r="F4911" s="9">
        <v>126</v>
      </c>
      <c r="G4911" s="9">
        <v>173.68</v>
      </c>
      <c r="H4911" s="9" t="s">
        <v>14</v>
      </c>
      <c r="I4911" s="9">
        <v>6</v>
      </c>
      <c r="J4911" s="10">
        <v>47.68</v>
      </c>
      <c r="K4911" s="9" t="str">
        <f>TEXT(Sales_of_Jordan[[#This Row],[Sale_Date]],"mmm")</f>
        <v>Feb</v>
      </c>
    </row>
    <row r="4912" spans="1:11" x14ac:dyDescent="0.35">
      <c r="A4912" s="7" t="s">
        <v>4942</v>
      </c>
      <c r="B4912" s="8">
        <v>45910</v>
      </c>
      <c r="C4912" s="9" t="s">
        <v>21</v>
      </c>
      <c r="D4912" s="9" t="s">
        <v>39</v>
      </c>
      <c r="E4912" s="9" t="s">
        <v>13</v>
      </c>
      <c r="F4912" s="9">
        <v>218</v>
      </c>
      <c r="G4912" s="9">
        <v>164.3</v>
      </c>
      <c r="H4912" s="9" t="s">
        <v>25</v>
      </c>
      <c r="I4912" s="9">
        <v>39</v>
      </c>
      <c r="J4912" s="10">
        <v>-53.699999999999903</v>
      </c>
      <c r="K4912" s="9" t="str">
        <f>TEXT(Sales_of_Jordan[[#This Row],[Sale_Date]],"mmm")</f>
        <v>Sep</v>
      </c>
    </row>
    <row r="4913" spans="1:11" x14ac:dyDescent="0.35">
      <c r="A4913" s="7" t="s">
        <v>4943</v>
      </c>
      <c r="B4913" s="8">
        <v>44989</v>
      </c>
      <c r="C4913" s="9" t="s">
        <v>16</v>
      </c>
      <c r="D4913" s="9" t="s">
        <v>12</v>
      </c>
      <c r="E4913" s="9" t="s">
        <v>29</v>
      </c>
      <c r="F4913" s="9">
        <v>177</v>
      </c>
      <c r="G4913" s="9">
        <v>222.09</v>
      </c>
      <c r="H4913" s="9" t="s">
        <v>25</v>
      </c>
      <c r="I4913" s="9">
        <v>25</v>
      </c>
      <c r="J4913" s="10">
        <v>45.09</v>
      </c>
      <c r="K4913" s="9" t="str">
        <f>TEXT(Sales_of_Jordan[[#This Row],[Sale_Date]],"mmm")</f>
        <v>Mar</v>
      </c>
    </row>
    <row r="4914" spans="1:11" x14ac:dyDescent="0.35">
      <c r="A4914" s="7" t="s">
        <v>4944</v>
      </c>
      <c r="B4914" s="8">
        <v>45197</v>
      </c>
      <c r="C4914" s="9" t="s">
        <v>31</v>
      </c>
      <c r="D4914" s="9" t="s">
        <v>34</v>
      </c>
      <c r="E4914" s="9" t="s">
        <v>13</v>
      </c>
      <c r="F4914" s="9">
        <v>201</v>
      </c>
      <c r="G4914" s="9">
        <v>142.6</v>
      </c>
      <c r="H4914" s="9" t="s">
        <v>19</v>
      </c>
      <c r="I4914" s="9">
        <v>13</v>
      </c>
      <c r="J4914" s="10">
        <v>-58.4</v>
      </c>
      <c r="K4914" s="9" t="str">
        <f>TEXT(Sales_of_Jordan[[#This Row],[Sale_Date]],"mmm")</f>
        <v>Sep</v>
      </c>
    </row>
    <row r="4915" spans="1:11" x14ac:dyDescent="0.35">
      <c r="A4915" s="7" t="s">
        <v>4945</v>
      </c>
      <c r="B4915" s="8">
        <v>45713</v>
      </c>
      <c r="C4915" s="9" t="s">
        <v>21</v>
      </c>
      <c r="D4915" s="9" t="s">
        <v>53</v>
      </c>
      <c r="E4915" s="9" t="s">
        <v>29</v>
      </c>
      <c r="F4915" s="9">
        <v>210</v>
      </c>
      <c r="G4915" s="9">
        <v>195.2</v>
      </c>
      <c r="H4915" s="9" t="s">
        <v>25</v>
      </c>
      <c r="I4915" s="9">
        <v>53</v>
      </c>
      <c r="J4915" s="10">
        <v>-14.8</v>
      </c>
      <c r="K4915" s="9" t="str">
        <f>TEXT(Sales_of_Jordan[[#This Row],[Sale_Date]],"mmm")</f>
        <v>Feb</v>
      </c>
    </row>
    <row r="4916" spans="1:11" x14ac:dyDescent="0.35">
      <c r="A4916" s="7" t="s">
        <v>4946</v>
      </c>
      <c r="B4916" s="8">
        <v>45625</v>
      </c>
      <c r="C4916" s="9" t="s">
        <v>31</v>
      </c>
      <c r="D4916" s="9" t="s">
        <v>46</v>
      </c>
      <c r="E4916" s="9" t="s">
        <v>29</v>
      </c>
      <c r="F4916" s="9">
        <v>201</v>
      </c>
      <c r="G4916" s="9">
        <v>298.42</v>
      </c>
      <c r="H4916" s="9" t="s">
        <v>19</v>
      </c>
      <c r="I4916" s="9">
        <v>12</v>
      </c>
      <c r="J4916" s="10">
        <v>97.42</v>
      </c>
      <c r="K4916" s="9" t="str">
        <f>TEXT(Sales_of_Jordan[[#This Row],[Sale_Date]],"mmm")</f>
        <v>Nov</v>
      </c>
    </row>
    <row r="4917" spans="1:11" x14ac:dyDescent="0.35">
      <c r="A4917" s="7" t="s">
        <v>4947</v>
      </c>
      <c r="B4917" s="8">
        <v>45748</v>
      </c>
      <c r="C4917" s="9" t="s">
        <v>31</v>
      </c>
      <c r="D4917" s="9" t="s">
        <v>17</v>
      </c>
      <c r="E4917" s="9" t="s">
        <v>18</v>
      </c>
      <c r="F4917" s="9">
        <v>207</v>
      </c>
      <c r="G4917" s="9">
        <v>447.86</v>
      </c>
      <c r="H4917" s="9" t="s">
        <v>25</v>
      </c>
      <c r="I4917" s="9">
        <v>41</v>
      </c>
      <c r="J4917" s="10">
        <v>240.86</v>
      </c>
      <c r="K4917" s="9" t="str">
        <f>TEXT(Sales_of_Jordan[[#This Row],[Sale_Date]],"mmm")</f>
        <v>Apr</v>
      </c>
    </row>
    <row r="4918" spans="1:11" x14ac:dyDescent="0.35">
      <c r="A4918" s="7" t="s">
        <v>4948</v>
      </c>
      <c r="B4918" s="8">
        <v>45064</v>
      </c>
      <c r="C4918" s="9" t="s">
        <v>16</v>
      </c>
      <c r="D4918" s="9" t="s">
        <v>12</v>
      </c>
      <c r="E4918" s="9" t="s">
        <v>29</v>
      </c>
      <c r="F4918" s="9">
        <v>183</v>
      </c>
      <c r="G4918" s="9">
        <v>240.89</v>
      </c>
      <c r="H4918" s="9" t="s">
        <v>23</v>
      </c>
      <c r="I4918" s="9">
        <v>43</v>
      </c>
      <c r="J4918" s="10">
        <v>57.889999999999901</v>
      </c>
      <c r="K4918" s="9" t="str">
        <f>TEXT(Sales_of_Jordan[[#This Row],[Sale_Date]],"mmm")</f>
        <v>May</v>
      </c>
    </row>
    <row r="4919" spans="1:11" x14ac:dyDescent="0.35">
      <c r="A4919" s="7" t="s">
        <v>4949</v>
      </c>
      <c r="B4919" s="8">
        <v>44928</v>
      </c>
      <c r="C4919" s="9" t="s">
        <v>27</v>
      </c>
      <c r="D4919" s="9" t="s">
        <v>34</v>
      </c>
      <c r="E4919" s="9" t="s">
        <v>18</v>
      </c>
      <c r="F4919" s="9">
        <v>122</v>
      </c>
      <c r="G4919" s="9">
        <v>163.44999999999999</v>
      </c>
      <c r="H4919" s="9" t="s">
        <v>25</v>
      </c>
      <c r="I4919" s="9">
        <v>22</v>
      </c>
      <c r="J4919" s="10">
        <v>41.449999999999903</v>
      </c>
      <c r="K4919" s="9" t="str">
        <f>TEXT(Sales_of_Jordan[[#This Row],[Sale_Date]],"mmm")</f>
        <v>Jan</v>
      </c>
    </row>
    <row r="4920" spans="1:11" x14ac:dyDescent="0.35">
      <c r="A4920" s="7" t="s">
        <v>4950</v>
      </c>
      <c r="B4920" s="8">
        <v>45426</v>
      </c>
      <c r="C4920" s="9" t="s">
        <v>31</v>
      </c>
      <c r="D4920" s="9" t="s">
        <v>39</v>
      </c>
      <c r="E4920" s="9" t="s">
        <v>13</v>
      </c>
      <c r="F4920" s="9">
        <v>209</v>
      </c>
      <c r="G4920" s="9">
        <v>151.44</v>
      </c>
      <c r="H4920" s="9" t="s">
        <v>19</v>
      </c>
      <c r="I4920" s="9">
        <v>11</v>
      </c>
      <c r="J4920" s="10">
        <v>-57.56</v>
      </c>
      <c r="K4920" s="9" t="str">
        <f>TEXT(Sales_of_Jordan[[#This Row],[Sale_Date]],"mmm")</f>
        <v>May</v>
      </c>
    </row>
    <row r="4921" spans="1:11" x14ac:dyDescent="0.35">
      <c r="A4921" s="7" t="s">
        <v>4951</v>
      </c>
      <c r="B4921" s="8">
        <v>45577</v>
      </c>
      <c r="C4921" s="9" t="s">
        <v>31</v>
      </c>
      <c r="D4921" s="9" t="s">
        <v>17</v>
      </c>
      <c r="E4921" s="9" t="s">
        <v>29</v>
      </c>
      <c r="F4921" s="9">
        <v>210</v>
      </c>
      <c r="G4921" s="9">
        <v>295.04000000000002</v>
      </c>
      <c r="H4921" s="9" t="s">
        <v>14</v>
      </c>
      <c r="I4921" s="9">
        <v>1</v>
      </c>
      <c r="J4921" s="10">
        <v>85.04</v>
      </c>
      <c r="K4921" s="9" t="str">
        <f>TEXT(Sales_of_Jordan[[#This Row],[Sale_Date]],"mmm")</f>
        <v>Oct</v>
      </c>
    </row>
    <row r="4922" spans="1:11" x14ac:dyDescent="0.35">
      <c r="A4922" s="7" t="s">
        <v>4952</v>
      </c>
      <c r="B4922" s="8">
        <v>45239</v>
      </c>
      <c r="C4922" s="9" t="s">
        <v>27</v>
      </c>
      <c r="D4922" s="9" t="s">
        <v>17</v>
      </c>
      <c r="E4922" s="9" t="s">
        <v>18</v>
      </c>
      <c r="F4922" s="9">
        <v>137</v>
      </c>
      <c r="G4922" s="9">
        <v>359.91</v>
      </c>
      <c r="H4922" s="9" t="s">
        <v>19</v>
      </c>
      <c r="I4922" s="9">
        <v>14</v>
      </c>
      <c r="J4922" s="10">
        <v>222.91</v>
      </c>
      <c r="K4922" s="9" t="str">
        <f>TEXT(Sales_of_Jordan[[#This Row],[Sale_Date]],"mmm")</f>
        <v>Nov</v>
      </c>
    </row>
    <row r="4923" spans="1:11" x14ac:dyDescent="0.35">
      <c r="A4923" s="7" t="s">
        <v>4953</v>
      </c>
      <c r="B4923" s="8">
        <v>45364</v>
      </c>
      <c r="C4923" s="9" t="s">
        <v>16</v>
      </c>
      <c r="D4923" s="9" t="s">
        <v>34</v>
      </c>
      <c r="E4923" s="9" t="s">
        <v>13</v>
      </c>
      <c r="F4923" s="9">
        <v>182</v>
      </c>
      <c r="G4923" s="9">
        <v>131.61000000000001</v>
      </c>
      <c r="H4923" s="9" t="s">
        <v>19</v>
      </c>
      <c r="I4923" s="9">
        <v>4</v>
      </c>
      <c r="J4923" s="10">
        <v>-50.389999999999901</v>
      </c>
      <c r="K4923" s="9" t="str">
        <f>TEXT(Sales_of_Jordan[[#This Row],[Sale_Date]],"mmm")</f>
        <v>Mar</v>
      </c>
    </row>
    <row r="4924" spans="1:11" x14ac:dyDescent="0.35">
      <c r="A4924" s="7" t="s">
        <v>4954</v>
      </c>
      <c r="B4924" s="8">
        <v>45434</v>
      </c>
      <c r="C4924" s="9" t="s">
        <v>16</v>
      </c>
      <c r="D4924" s="9" t="s">
        <v>34</v>
      </c>
      <c r="E4924" s="9" t="s">
        <v>29</v>
      </c>
      <c r="F4924" s="9">
        <v>187</v>
      </c>
      <c r="G4924" s="9">
        <v>237.42</v>
      </c>
      <c r="H4924" s="9" t="s">
        <v>23</v>
      </c>
      <c r="I4924" s="9">
        <v>36</v>
      </c>
      <c r="J4924" s="10">
        <v>50.419999999999902</v>
      </c>
      <c r="K4924" s="9" t="str">
        <f>TEXT(Sales_of_Jordan[[#This Row],[Sale_Date]],"mmm")</f>
        <v>May</v>
      </c>
    </row>
    <row r="4925" spans="1:11" x14ac:dyDescent="0.35">
      <c r="A4925" s="7" t="s">
        <v>4955</v>
      </c>
      <c r="B4925" s="8">
        <v>45044</v>
      </c>
      <c r="C4925" s="9" t="s">
        <v>21</v>
      </c>
      <c r="D4925" s="9" t="s">
        <v>17</v>
      </c>
      <c r="E4925" s="9" t="s">
        <v>29</v>
      </c>
      <c r="F4925" s="9">
        <v>217</v>
      </c>
      <c r="G4925" s="9">
        <v>208.89</v>
      </c>
      <c r="H4925" s="9" t="s">
        <v>14</v>
      </c>
      <c r="I4925" s="9">
        <v>8</v>
      </c>
      <c r="J4925" s="10">
        <v>-8.1100000000000101</v>
      </c>
      <c r="K4925" s="9" t="str">
        <f>TEXT(Sales_of_Jordan[[#This Row],[Sale_Date]],"mmm")</f>
        <v>Apr</v>
      </c>
    </row>
    <row r="4926" spans="1:11" x14ac:dyDescent="0.35">
      <c r="A4926" s="7" t="s">
        <v>4956</v>
      </c>
      <c r="B4926" s="8">
        <v>45479</v>
      </c>
      <c r="C4926" s="9" t="s">
        <v>21</v>
      </c>
      <c r="D4926" s="9" t="s">
        <v>17</v>
      </c>
      <c r="E4926" s="9" t="s">
        <v>13</v>
      </c>
      <c r="F4926" s="9">
        <v>214</v>
      </c>
      <c r="G4926" s="9">
        <v>161.31</v>
      </c>
      <c r="H4926" s="9" t="s">
        <v>14</v>
      </c>
      <c r="I4926" s="9">
        <v>14</v>
      </c>
      <c r="J4926" s="10">
        <v>-52.69</v>
      </c>
      <c r="K4926" s="9" t="str">
        <f>TEXT(Sales_of_Jordan[[#This Row],[Sale_Date]],"mmm")</f>
        <v>Jul</v>
      </c>
    </row>
    <row r="4927" spans="1:11" x14ac:dyDescent="0.35">
      <c r="A4927" s="7" t="s">
        <v>4957</v>
      </c>
      <c r="B4927" s="8">
        <v>45292</v>
      </c>
      <c r="C4927" s="9" t="s">
        <v>31</v>
      </c>
      <c r="D4927" s="9" t="s">
        <v>39</v>
      </c>
      <c r="E4927" s="9" t="s">
        <v>18</v>
      </c>
      <c r="F4927" s="9">
        <v>210</v>
      </c>
      <c r="G4927" s="9">
        <v>667.9</v>
      </c>
      <c r="H4927" s="9" t="s">
        <v>23</v>
      </c>
      <c r="I4927" s="9">
        <v>19</v>
      </c>
      <c r="J4927" s="10">
        <v>457.9</v>
      </c>
      <c r="K4927" s="9" t="str">
        <f>TEXT(Sales_of_Jordan[[#This Row],[Sale_Date]],"mmm")</f>
        <v>Jan</v>
      </c>
    </row>
    <row r="4928" spans="1:11" x14ac:dyDescent="0.35">
      <c r="A4928" s="7" t="s">
        <v>4958</v>
      </c>
      <c r="B4928" s="8">
        <v>45202</v>
      </c>
      <c r="C4928" s="9" t="s">
        <v>16</v>
      </c>
      <c r="D4928" s="9" t="s">
        <v>34</v>
      </c>
      <c r="E4928" s="9" t="s">
        <v>18</v>
      </c>
      <c r="F4928" s="9">
        <v>187</v>
      </c>
      <c r="G4928" s="9">
        <v>578.36</v>
      </c>
      <c r="H4928" s="9" t="s">
        <v>23</v>
      </c>
      <c r="I4928" s="9">
        <v>33</v>
      </c>
      <c r="J4928" s="10">
        <v>391.36</v>
      </c>
      <c r="K4928" s="9" t="str">
        <f>TEXT(Sales_of_Jordan[[#This Row],[Sale_Date]],"mmm")</f>
        <v>Oct</v>
      </c>
    </row>
    <row r="4929" spans="1:11" x14ac:dyDescent="0.35">
      <c r="A4929" s="7" t="s">
        <v>4959</v>
      </c>
      <c r="B4929" s="8">
        <v>45528</v>
      </c>
      <c r="C4929" s="9" t="s">
        <v>16</v>
      </c>
      <c r="D4929" s="9" t="s">
        <v>39</v>
      </c>
      <c r="E4929" s="9" t="s">
        <v>29</v>
      </c>
      <c r="F4929" s="9">
        <v>183</v>
      </c>
      <c r="G4929" s="9">
        <v>249.5</v>
      </c>
      <c r="H4929" s="9" t="s">
        <v>14</v>
      </c>
      <c r="I4929" s="9">
        <v>12</v>
      </c>
      <c r="J4929" s="10">
        <v>66.5</v>
      </c>
      <c r="K4929" s="9" t="str">
        <f>TEXT(Sales_of_Jordan[[#This Row],[Sale_Date]],"mmm")</f>
        <v>Aug</v>
      </c>
    </row>
    <row r="4930" spans="1:11" x14ac:dyDescent="0.35">
      <c r="A4930" s="7" t="s">
        <v>4960</v>
      </c>
      <c r="B4930" s="8">
        <v>45899</v>
      </c>
      <c r="C4930" s="9" t="s">
        <v>27</v>
      </c>
      <c r="D4930" s="9" t="s">
        <v>12</v>
      </c>
      <c r="E4930" s="9" t="s">
        <v>18</v>
      </c>
      <c r="F4930" s="9">
        <v>124</v>
      </c>
      <c r="G4930" s="9">
        <v>361.44</v>
      </c>
      <c r="H4930" s="9" t="s">
        <v>25</v>
      </c>
      <c r="I4930" s="9">
        <v>39</v>
      </c>
      <c r="J4930" s="10">
        <v>237.44</v>
      </c>
      <c r="K4930" s="9" t="str">
        <f>TEXT(Sales_of_Jordan[[#This Row],[Sale_Date]],"mmm")</f>
        <v>Aug</v>
      </c>
    </row>
    <row r="4931" spans="1:11" x14ac:dyDescent="0.35">
      <c r="A4931" s="7" t="s">
        <v>4961</v>
      </c>
      <c r="B4931" s="8">
        <v>45919</v>
      </c>
      <c r="C4931" s="9" t="s">
        <v>31</v>
      </c>
      <c r="D4931" s="9" t="s">
        <v>55</v>
      </c>
      <c r="E4931" s="9" t="s">
        <v>29</v>
      </c>
      <c r="F4931" s="9">
        <v>208</v>
      </c>
      <c r="G4931" s="9">
        <v>283.73</v>
      </c>
      <c r="H4931" s="9" t="s">
        <v>14</v>
      </c>
      <c r="I4931" s="9">
        <v>6</v>
      </c>
      <c r="J4931" s="10">
        <v>75.73</v>
      </c>
      <c r="K4931" s="9" t="str">
        <f>TEXT(Sales_of_Jordan[[#This Row],[Sale_Date]],"mmm")</f>
        <v>Sep</v>
      </c>
    </row>
    <row r="4932" spans="1:11" x14ac:dyDescent="0.35">
      <c r="A4932" s="7" t="s">
        <v>4962</v>
      </c>
      <c r="B4932" s="8">
        <v>45784</v>
      </c>
      <c r="C4932" s="9" t="s">
        <v>31</v>
      </c>
      <c r="D4932" s="9" t="s">
        <v>17</v>
      </c>
      <c r="E4932" s="9" t="s">
        <v>29</v>
      </c>
      <c r="F4932" s="9">
        <v>210</v>
      </c>
      <c r="G4932" s="9">
        <v>233.19</v>
      </c>
      <c r="H4932" s="9" t="s">
        <v>19</v>
      </c>
      <c r="I4932" s="9">
        <v>4</v>
      </c>
      <c r="J4932" s="10">
        <v>23.189999999999898</v>
      </c>
      <c r="K4932" s="9" t="str">
        <f>TEXT(Sales_of_Jordan[[#This Row],[Sale_Date]],"mmm")</f>
        <v>May</v>
      </c>
    </row>
    <row r="4933" spans="1:11" x14ac:dyDescent="0.35">
      <c r="A4933" s="7" t="s">
        <v>4963</v>
      </c>
      <c r="B4933" s="8">
        <v>45830</v>
      </c>
      <c r="C4933" s="9" t="s">
        <v>16</v>
      </c>
      <c r="D4933" s="9" t="s">
        <v>17</v>
      </c>
      <c r="E4933" s="9" t="s">
        <v>13</v>
      </c>
      <c r="F4933" s="9">
        <v>178</v>
      </c>
      <c r="G4933" s="9">
        <v>133.91</v>
      </c>
      <c r="H4933" s="9" t="s">
        <v>23</v>
      </c>
      <c r="I4933" s="9">
        <v>40</v>
      </c>
      <c r="J4933" s="10">
        <v>-44.09</v>
      </c>
      <c r="K4933" s="9" t="str">
        <f>TEXT(Sales_of_Jordan[[#This Row],[Sale_Date]],"mmm")</f>
        <v>Jun</v>
      </c>
    </row>
    <row r="4934" spans="1:11" x14ac:dyDescent="0.35">
      <c r="A4934" s="7" t="s">
        <v>4964</v>
      </c>
      <c r="B4934" s="8">
        <v>45569</v>
      </c>
      <c r="C4934" s="9" t="s">
        <v>11</v>
      </c>
      <c r="D4934" s="9" t="s">
        <v>22</v>
      </c>
      <c r="E4934" s="9" t="s">
        <v>18</v>
      </c>
      <c r="F4934" s="9">
        <v>228</v>
      </c>
      <c r="G4934" s="9">
        <v>723.31</v>
      </c>
      <c r="H4934" s="9" t="s">
        <v>23</v>
      </c>
      <c r="I4934" s="9">
        <v>10</v>
      </c>
      <c r="J4934" s="10">
        <v>495.30999999999898</v>
      </c>
      <c r="K4934" s="9" t="str">
        <f>TEXT(Sales_of_Jordan[[#This Row],[Sale_Date]],"mmm")</f>
        <v>Oct</v>
      </c>
    </row>
    <row r="4935" spans="1:11" x14ac:dyDescent="0.35">
      <c r="A4935" s="7" t="s">
        <v>4965</v>
      </c>
      <c r="B4935" s="8">
        <v>45919</v>
      </c>
      <c r="C4935" s="9" t="s">
        <v>21</v>
      </c>
      <c r="D4935" s="9" t="s">
        <v>22</v>
      </c>
      <c r="E4935" s="9" t="s">
        <v>13</v>
      </c>
      <c r="F4935" s="9">
        <v>215</v>
      </c>
      <c r="G4935" s="9">
        <v>137.81</v>
      </c>
      <c r="H4935" s="9" t="s">
        <v>25</v>
      </c>
      <c r="I4935" s="9">
        <v>34</v>
      </c>
      <c r="J4935" s="10">
        <v>-77.19</v>
      </c>
      <c r="K4935" s="9" t="str">
        <f>TEXT(Sales_of_Jordan[[#This Row],[Sale_Date]],"mmm")</f>
        <v>Sep</v>
      </c>
    </row>
    <row r="4936" spans="1:11" x14ac:dyDescent="0.35">
      <c r="A4936" s="7" t="s">
        <v>4966</v>
      </c>
      <c r="B4936" s="8">
        <v>45763</v>
      </c>
      <c r="C4936" s="9" t="s">
        <v>21</v>
      </c>
      <c r="D4936" s="9" t="s">
        <v>39</v>
      </c>
      <c r="E4936" s="9" t="s">
        <v>29</v>
      </c>
      <c r="F4936" s="9">
        <v>215</v>
      </c>
      <c r="G4936" s="9">
        <v>297.42</v>
      </c>
      <c r="H4936" s="9" t="s">
        <v>25</v>
      </c>
      <c r="I4936" s="9">
        <v>18</v>
      </c>
      <c r="J4936" s="10">
        <v>82.42</v>
      </c>
      <c r="K4936" s="9" t="str">
        <f>TEXT(Sales_of_Jordan[[#This Row],[Sale_Date]],"mmm")</f>
        <v>Apr</v>
      </c>
    </row>
    <row r="4937" spans="1:11" x14ac:dyDescent="0.35">
      <c r="A4937" s="7" t="s">
        <v>4967</v>
      </c>
      <c r="B4937" s="8">
        <v>44948</v>
      </c>
      <c r="C4937" s="9" t="s">
        <v>16</v>
      </c>
      <c r="D4937" s="9" t="s">
        <v>22</v>
      </c>
      <c r="E4937" s="9" t="s">
        <v>29</v>
      </c>
      <c r="F4937" s="9">
        <v>175</v>
      </c>
      <c r="G4937" s="9">
        <v>201.43</v>
      </c>
      <c r="H4937" s="9" t="s">
        <v>25</v>
      </c>
      <c r="I4937" s="9">
        <v>58</v>
      </c>
      <c r="J4937" s="10">
        <v>26.43</v>
      </c>
      <c r="K4937" s="9" t="str">
        <f>TEXT(Sales_of_Jordan[[#This Row],[Sale_Date]],"mmm")</f>
        <v>Jan</v>
      </c>
    </row>
    <row r="4938" spans="1:11" x14ac:dyDescent="0.35">
      <c r="A4938" s="7" t="s">
        <v>4968</v>
      </c>
      <c r="B4938" s="8">
        <v>45189</v>
      </c>
      <c r="C4938" s="9" t="s">
        <v>31</v>
      </c>
      <c r="D4938" s="9" t="s">
        <v>17</v>
      </c>
      <c r="E4938" s="9" t="s">
        <v>29</v>
      </c>
      <c r="F4938" s="9">
        <v>201</v>
      </c>
      <c r="G4938" s="9">
        <v>197.8</v>
      </c>
      <c r="H4938" s="9" t="s">
        <v>19</v>
      </c>
      <c r="I4938" s="9">
        <v>5</v>
      </c>
      <c r="J4938" s="10">
        <v>-3.1999999999999802</v>
      </c>
      <c r="K4938" s="9" t="str">
        <f>TEXT(Sales_of_Jordan[[#This Row],[Sale_Date]],"mmm")</f>
        <v>Sep</v>
      </c>
    </row>
    <row r="4939" spans="1:11" x14ac:dyDescent="0.35">
      <c r="A4939" s="7" t="s">
        <v>4969</v>
      </c>
      <c r="B4939" s="8">
        <v>45552</v>
      </c>
      <c r="C4939" s="9" t="s">
        <v>21</v>
      </c>
      <c r="D4939" s="9" t="s">
        <v>17</v>
      </c>
      <c r="E4939" s="9" t="s">
        <v>18</v>
      </c>
      <c r="F4939" s="9">
        <v>214</v>
      </c>
      <c r="G4939" s="9">
        <v>637.51</v>
      </c>
      <c r="H4939" s="9" t="s">
        <v>19</v>
      </c>
      <c r="I4939" s="9">
        <v>6</v>
      </c>
      <c r="J4939" s="10">
        <v>423.51</v>
      </c>
      <c r="K4939" s="9" t="str">
        <f>TEXT(Sales_of_Jordan[[#This Row],[Sale_Date]],"mmm")</f>
        <v>Sep</v>
      </c>
    </row>
    <row r="4940" spans="1:11" x14ac:dyDescent="0.35">
      <c r="A4940" s="7" t="s">
        <v>4970</v>
      </c>
      <c r="B4940" s="8">
        <v>45122</v>
      </c>
      <c r="C4940" s="9" t="s">
        <v>21</v>
      </c>
      <c r="D4940" s="9" t="s">
        <v>22</v>
      </c>
      <c r="E4940" s="9" t="s">
        <v>13</v>
      </c>
      <c r="F4940" s="9">
        <v>224</v>
      </c>
      <c r="G4940" s="9">
        <v>157.16999999999999</v>
      </c>
      <c r="H4940" s="9" t="s">
        <v>25</v>
      </c>
      <c r="I4940" s="9">
        <v>56</v>
      </c>
      <c r="J4940" s="10">
        <v>-66.83</v>
      </c>
      <c r="K4940" s="9" t="str">
        <f>TEXT(Sales_of_Jordan[[#This Row],[Sale_Date]],"mmm")</f>
        <v>Jul</v>
      </c>
    </row>
    <row r="4941" spans="1:11" x14ac:dyDescent="0.35">
      <c r="A4941" s="7" t="s">
        <v>4971</v>
      </c>
      <c r="B4941" s="8">
        <v>45335</v>
      </c>
      <c r="C4941" s="9" t="s">
        <v>21</v>
      </c>
      <c r="D4941" s="9" t="s">
        <v>55</v>
      </c>
      <c r="E4941" s="9" t="s">
        <v>18</v>
      </c>
      <c r="F4941" s="9">
        <v>218</v>
      </c>
      <c r="G4941" s="9">
        <v>636.32000000000005</v>
      </c>
      <c r="H4941" s="9" t="s">
        <v>25</v>
      </c>
      <c r="I4941" s="9">
        <v>36</v>
      </c>
      <c r="J4941" s="10">
        <v>418.32</v>
      </c>
      <c r="K4941" s="9" t="str">
        <f>TEXT(Sales_of_Jordan[[#This Row],[Sale_Date]],"mmm")</f>
        <v>Feb</v>
      </c>
    </row>
    <row r="4942" spans="1:11" x14ac:dyDescent="0.35">
      <c r="A4942" s="7" t="s">
        <v>4972</v>
      </c>
      <c r="B4942" s="8">
        <v>45459</v>
      </c>
      <c r="C4942" s="9" t="s">
        <v>31</v>
      </c>
      <c r="D4942" s="9" t="s">
        <v>22</v>
      </c>
      <c r="E4942" s="9" t="s">
        <v>13</v>
      </c>
      <c r="F4942" s="9">
        <v>202</v>
      </c>
      <c r="G4942" s="9">
        <v>177.1</v>
      </c>
      <c r="H4942" s="9" t="s">
        <v>25</v>
      </c>
      <c r="I4942" s="9">
        <v>56</v>
      </c>
      <c r="J4942" s="10">
        <v>-24.9</v>
      </c>
      <c r="K4942" s="9" t="str">
        <f>TEXT(Sales_of_Jordan[[#This Row],[Sale_Date]],"mmm")</f>
        <v>Jun</v>
      </c>
    </row>
    <row r="4943" spans="1:11" x14ac:dyDescent="0.35">
      <c r="A4943" s="7" t="s">
        <v>4973</v>
      </c>
      <c r="B4943" s="8">
        <v>45297</v>
      </c>
      <c r="C4943" s="9" t="s">
        <v>27</v>
      </c>
      <c r="D4943" s="9" t="s">
        <v>17</v>
      </c>
      <c r="E4943" s="9" t="s">
        <v>29</v>
      </c>
      <c r="F4943" s="9">
        <v>110</v>
      </c>
      <c r="G4943" s="9">
        <v>155.47999999999999</v>
      </c>
      <c r="H4943" s="9" t="s">
        <v>25</v>
      </c>
      <c r="I4943" s="9">
        <v>6</v>
      </c>
      <c r="J4943" s="10">
        <v>45.479999999999897</v>
      </c>
      <c r="K4943" s="9" t="str">
        <f>TEXT(Sales_of_Jordan[[#This Row],[Sale_Date]],"mmm")</f>
        <v>Jan</v>
      </c>
    </row>
    <row r="4944" spans="1:11" x14ac:dyDescent="0.35">
      <c r="A4944" s="7" t="s">
        <v>4974</v>
      </c>
      <c r="B4944" s="8">
        <v>45436</v>
      </c>
      <c r="C4944" s="9" t="s">
        <v>21</v>
      </c>
      <c r="D4944" s="9" t="s">
        <v>46</v>
      </c>
      <c r="E4944" s="9" t="s">
        <v>29</v>
      </c>
      <c r="F4944" s="9">
        <v>218</v>
      </c>
      <c r="G4944" s="9">
        <v>280.14</v>
      </c>
      <c r="H4944" s="9" t="s">
        <v>25</v>
      </c>
      <c r="I4944" s="9">
        <v>59</v>
      </c>
      <c r="J4944" s="10">
        <v>62.139999999999901</v>
      </c>
      <c r="K4944" s="9" t="str">
        <f>TEXT(Sales_of_Jordan[[#This Row],[Sale_Date]],"mmm")</f>
        <v>May</v>
      </c>
    </row>
    <row r="4945" spans="1:11" x14ac:dyDescent="0.35">
      <c r="A4945" s="7" t="s">
        <v>4975</v>
      </c>
      <c r="B4945" s="8">
        <v>45760</v>
      </c>
      <c r="C4945" s="9" t="s">
        <v>27</v>
      </c>
      <c r="D4945" s="9" t="s">
        <v>12</v>
      </c>
      <c r="E4945" s="9" t="s">
        <v>13</v>
      </c>
      <c r="F4945" s="9">
        <v>127</v>
      </c>
      <c r="G4945" s="9">
        <v>93.82</v>
      </c>
      <c r="H4945" s="9" t="s">
        <v>25</v>
      </c>
      <c r="I4945" s="9">
        <v>9</v>
      </c>
      <c r="J4945" s="10">
        <v>-33.18</v>
      </c>
      <c r="K4945" s="9" t="str">
        <f>TEXT(Sales_of_Jordan[[#This Row],[Sale_Date]],"mmm")</f>
        <v>Apr</v>
      </c>
    </row>
    <row r="4946" spans="1:11" x14ac:dyDescent="0.35">
      <c r="A4946" s="7" t="s">
        <v>4976</v>
      </c>
      <c r="B4946" s="8">
        <v>45864</v>
      </c>
      <c r="C4946" s="9" t="s">
        <v>21</v>
      </c>
      <c r="D4946" s="9" t="s">
        <v>39</v>
      </c>
      <c r="E4946" s="9" t="s">
        <v>18</v>
      </c>
      <c r="F4946" s="9">
        <v>219</v>
      </c>
      <c r="G4946" s="9">
        <v>299.17</v>
      </c>
      <c r="H4946" s="9" t="s">
        <v>14</v>
      </c>
      <c r="I4946" s="9">
        <v>3</v>
      </c>
      <c r="J4946" s="10">
        <v>80.17</v>
      </c>
      <c r="K4946" s="9" t="str">
        <f>TEXT(Sales_of_Jordan[[#This Row],[Sale_Date]],"mmm")</f>
        <v>Jul</v>
      </c>
    </row>
    <row r="4947" spans="1:11" x14ac:dyDescent="0.35">
      <c r="A4947" s="7" t="s">
        <v>4977</v>
      </c>
      <c r="B4947" s="8">
        <v>45014</v>
      </c>
      <c r="C4947" s="9" t="s">
        <v>11</v>
      </c>
      <c r="D4947" s="9" t="s">
        <v>34</v>
      </c>
      <c r="E4947" s="9" t="s">
        <v>29</v>
      </c>
      <c r="F4947" s="9">
        <v>226</v>
      </c>
      <c r="G4947" s="9">
        <v>257.13</v>
      </c>
      <c r="H4947" s="9" t="s">
        <v>19</v>
      </c>
      <c r="I4947" s="9">
        <v>13</v>
      </c>
      <c r="J4947" s="10">
        <v>31.1299999999999</v>
      </c>
      <c r="K4947" s="9" t="str">
        <f>TEXT(Sales_of_Jordan[[#This Row],[Sale_Date]],"mmm")</f>
        <v>Mar</v>
      </c>
    </row>
    <row r="4948" spans="1:11" x14ac:dyDescent="0.35">
      <c r="A4948" s="7" t="s">
        <v>4978</v>
      </c>
      <c r="B4948" s="8">
        <v>45649</v>
      </c>
      <c r="C4948" s="9" t="s">
        <v>16</v>
      </c>
      <c r="D4948" s="9" t="s">
        <v>22</v>
      </c>
      <c r="E4948" s="9" t="s">
        <v>13</v>
      </c>
      <c r="F4948" s="9">
        <v>189</v>
      </c>
      <c r="G4948" s="9">
        <v>114.11</v>
      </c>
      <c r="H4948" s="9" t="s">
        <v>23</v>
      </c>
      <c r="I4948" s="9">
        <v>44</v>
      </c>
      <c r="J4948" s="10">
        <v>-74.89</v>
      </c>
      <c r="K4948" s="9" t="str">
        <f>TEXT(Sales_of_Jordan[[#This Row],[Sale_Date]],"mmm")</f>
        <v>Dec</v>
      </c>
    </row>
    <row r="4949" spans="1:11" x14ac:dyDescent="0.35">
      <c r="A4949" s="7" t="s">
        <v>4979</v>
      </c>
      <c r="B4949" s="8">
        <v>45796</v>
      </c>
      <c r="C4949" s="9" t="s">
        <v>11</v>
      </c>
      <c r="D4949" s="9" t="s">
        <v>39</v>
      </c>
      <c r="E4949" s="9" t="s">
        <v>18</v>
      </c>
      <c r="F4949" s="9">
        <v>226</v>
      </c>
      <c r="G4949" s="9">
        <v>636.84</v>
      </c>
      <c r="H4949" s="9" t="s">
        <v>19</v>
      </c>
      <c r="I4949" s="9">
        <v>13</v>
      </c>
      <c r="J4949" s="10">
        <v>410.84</v>
      </c>
      <c r="K4949" s="9" t="str">
        <f>TEXT(Sales_of_Jordan[[#This Row],[Sale_Date]],"mmm")</f>
        <v>May</v>
      </c>
    </row>
    <row r="4950" spans="1:11" x14ac:dyDescent="0.35">
      <c r="A4950" s="7" t="s">
        <v>4980</v>
      </c>
      <c r="B4950" s="8">
        <v>45627</v>
      </c>
      <c r="C4950" s="9" t="s">
        <v>11</v>
      </c>
      <c r="D4950" s="9" t="s">
        <v>53</v>
      </c>
      <c r="E4950" s="9" t="s">
        <v>13</v>
      </c>
      <c r="F4950" s="9">
        <v>226</v>
      </c>
      <c r="G4950" s="9">
        <v>192.66</v>
      </c>
      <c r="H4950" s="9" t="s">
        <v>32</v>
      </c>
      <c r="I4950" s="9">
        <v>34</v>
      </c>
      <c r="J4950" s="10">
        <v>-33.340000000000003</v>
      </c>
      <c r="K4950" s="9" t="str">
        <f>TEXT(Sales_of_Jordan[[#This Row],[Sale_Date]],"mmm")</f>
        <v>Dec</v>
      </c>
    </row>
    <row r="4951" spans="1:11" x14ac:dyDescent="0.35">
      <c r="A4951" s="7" t="s">
        <v>4981</v>
      </c>
      <c r="B4951" s="8">
        <v>45591</v>
      </c>
      <c r="C4951" s="9" t="s">
        <v>11</v>
      </c>
      <c r="D4951" s="9" t="s">
        <v>34</v>
      </c>
      <c r="E4951" s="9" t="s">
        <v>29</v>
      </c>
      <c r="F4951" s="9">
        <v>225</v>
      </c>
      <c r="G4951" s="9">
        <v>276.38</v>
      </c>
      <c r="H4951" s="9" t="s">
        <v>23</v>
      </c>
      <c r="I4951" s="9">
        <v>39</v>
      </c>
      <c r="J4951" s="10">
        <v>51.379999999999903</v>
      </c>
      <c r="K4951" s="9" t="str">
        <f>TEXT(Sales_of_Jordan[[#This Row],[Sale_Date]],"mmm")</f>
        <v>Oct</v>
      </c>
    </row>
    <row r="4952" spans="1:11" x14ac:dyDescent="0.35">
      <c r="A4952" s="7" t="s">
        <v>4982</v>
      </c>
      <c r="B4952" s="8">
        <v>45634</v>
      </c>
      <c r="C4952" s="9" t="s">
        <v>31</v>
      </c>
      <c r="D4952" s="9" t="s">
        <v>36</v>
      </c>
      <c r="E4952" s="9" t="s">
        <v>18</v>
      </c>
      <c r="F4952" s="9">
        <v>205</v>
      </c>
      <c r="G4952" s="9">
        <v>465.03</v>
      </c>
      <c r="H4952" s="9" t="s">
        <v>32</v>
      </c>
      <c r="I4952" s="9">
        <v>7</v>
      </c>
      <c r="J4952" s="10">
        <v>260.02999999999997</v>
      </c>
      <c r="K4952" s="9" t="str">
        <f>TEXT(Sales_of_Jordan[[#This Row],[Sale_Date]],"mmm")</f>
        <v>Dec</v>
      </c>
    </row>
    <row r="4953" spans="1:11" x14ac:dyDescent="0.35">
      <c r="A4953" s="7" t="s">
        <v>4983</v>
      </c>
      <c r="B4953" s="8">
        <v>45469</v>
      </c>
      <c r="C4953" s="9" t="s">
        <v>11</v>
      </c>
      <c r="D4953" s="9" t="s">
        <v>17</v>
      </c>
      <c r="E4953" s="9" t="s">
        <v>18</v>
      </c>
      <c r="F4953" s="9">
        <v>227</v>
      </c>
      <c r="G4953" s="9">
        <v>575.57000000000005</v>
      </c>
      <c r="H4953" s="9" t="s">
        <v>23</v>
      </c>
      <c r="I4953" s="9">
        <v>18</v>
      </c>
      <c r="J4953" s="10">
        <v>348.57</v>
      </c>
      <c r="K4953" s="9" t="str">
        <f>TEXT(Sales_of_Jordan[[#This Row],[Sale_Date]],"mmm")</f>
        <v>Jun</v>
      </c>
    </row>
    <row r="4954" spans="1:11" x14ac:dyDescent="0.35">
      <c r="A4954" s="7" t="s">
        <v>4984</v>
      </c>
      <c r="B4954" s="8">
        <v>45116</v>
      </c>
      <c r="C4954" s="9" t="s">
        <v>11</v>
      </c>
      <c r="D4954" s="9" t="s">
        <v>22</v>
      </c>
      <c r="E4954" s="9" t="s">
        <v>13</v>
      </c>
      <c r="F4954" s="9">
        <v>227</v>
      </c>
      <c r="G4954" s="9">
        <v>159.26</v>
      </c>
      <c r="H4954" s="9" t="s">
        <v>32</v>
      </c>
      <c r="I4954" s="9">
        <v>56</v>
      </c>
      <c r="J4954" s="10">
        <v>-67.739999999999995</v>
      </c>
      <c r="K4954" s="9" t="str">
        <f>TEXT(Sales_of_Jordan[[#This Row],[Sale_Date]],"mmm")</f>
        <v>Jul</v>
      </c>
    </row>
    <row r="4955" spans="1:11" x14ac:dyDescent="0.35">
      <c r="A4955" s="7" t="s">
        <v>4985</v>
      </c>
      <c r="B4955" s="8">
        <v>45651</v>
      </c>
      <c r="C4955" s="9" t="s">
        <v>31</v>
      </c>
      <c r="D4955" s="9" t="s">
        <v>39</v>
      </c>
      <c r="E4955" s="9" t="s">
        <v>29</v>
      </c>
      <c r="F4955" s="9">
        <v>209</v>
      </c>
      <c r="G4955" s="9">
        <v>197.49</v>
      </c>
      <c r="H4955" s="9" t="s">
        <v>32</v>
      </c>
      <c r="I4955" s="9">
        <v>27</v>
      </c>
      <c r="J4955" s="10">
        <v>-11.5099999999999</v>
      </c>
      <c r="K4955" s="9" t="str">
        <f>TEXT(Sales_of_Jordan[[#This Row],[Sale_Date]],"mmm")</f>
        <v>Dec</v>
      </c>
    </row>
    <row r="4956" spans="1:11" x14ac:dyDescent="0.35">
      <c r="A4956" s="7" t="s">
        <v>4986</v>
      </c>
      <c r="B4956" s="8">
        <v>45479</v>
      </c>
      <c r="C4956" s="9" t="s">
        <v>16</v>
      </c>
      <c r="D4956" s="9" t="s">
        <v>34</v>
      </c>
      <c r="E4956" s="9" t="s">
        <v>18</v>
      </c>
      <c r="F4956" s="9">
        <v>190</v>
      </c>
      <c r="G4956" s="9">
        <v>591.98</v>
      </c>
      <c r="H4956" s="9" t="s">
        <v>23</v>
      </c>
      <c r="I4956" s="9">
        <v>44</v>
      </c>
      <c r="J4956" s="10">
        <v>401.98</v>
      </c>
      <c r="K4956" s="9" t="str">
        <f>TEXT(Sales_of_Jordan[[#This Row],[Sale_Date]],"mmm")</f>
        <v>Jul</v>
      </c>
    </row>
    <row r="4957" spans="1:11" x14ac:dyDescent="0.35">
      <c r="A4957" s="7" t="s">
        <v>4987</v>
      </c>
      <c r="B4957" s="8">
        <v>45905</v>
      </c>
      <c r="C4957" s="9" t="s">
        <v>27</v>
      </c>
      <c r="D4957" s="9" t="s">
        <v>34</v>
      </c>
      <c r="E4957" s="9" t="s">
        <v>13</v>
      </c>
      <c r="F4957" s="9">
        <v>122</v>
      </c>
      <c r="G4957" s="9">
        <v>92</v>
      </c>
      <c r="H4957" s="9" t="s">
        <v>23</v>
      </c>
      <c r="I4957" s="9">
        <v>29</v>
      </c>
      <c r="J4957" s="10">
        <v>-30</v>
      </c>
      <c r="K4957" s="9" t="str">
        <f>TEXT(Sales_of_Jordan[[#This Row],[Sale_Date]],"mmm")</f>
        <v>Sep</v>
      </c>
    </row>
    <row r="4958" spans="1:11" x14ac:dyDescent="0.35">
      <c r="A4958" s="7" t="s">
        <v>4988</v>
      </c>
      <c r="B4958" s="8">
        <v>45175</v>
      </c>
      <c r="C4958" s="9" t="s">
        <v>16</v>
      </c>
      <c r="D4958" s="9" t="s">
        <v>53</v>
      </c>
      <c r="E4958" s="9" t="s">
        <v>13</v>
      </c>
      <c r="F4958" s="9">
        <v>185</v>
      </c>
      <c r="G4958" s="9">
        <v>114.87</v>
      </c>
      <c r="H4958" s="9" t="s">
        <v>19</v>
      </c>
      <c r="I4958" s="9">
        <v>2</v>
      </c>
      <c r="J4958" s="10">
        <v>-70.13</v>
      </c>
      <c r="K4958" s="9" t="str">
        <f>TEXT(Sales_of_Jordan[[#This Row],[Sale_Date]],"mmm")</f>
        <v>Sep</v>
      </c>
    </row>
    <row r="4959" spans="1:11" x14ac:dyDescent="0.35">
      <c r="A4959" s="7" t="s">
        <v>4989</v>
      </c>
      <c r="B4959" s="8">
        <v>45008</v>
      </c>
      <c r="C4959" s="9" t="s">
        <v>27</v>
      </c>
      <c r="D4959" s="9" t="s">
        <v>53</v>
      </c>
      <c r="E4959" s="9" t="s">
        <v>13</v>
      </c>
      <c r="F4959" s="9">
        <v>114</v>
      </c>
      <c r="G4959" s="9">
        <v>60.28</v>
      </c>
      <c r="H4959" s="9" t="s">
        <v>23</v>
      </c>
      <c r="I4959" s="9">
        <v>16</v>
      </c>
      <c r="J4959" s="10">
        <v>-53.72</v>
      </c>
      <c r="K4959" s="9" t="str">
        <f>TEXT(Sales_of_Jordan[[#This Row],[Sale_Date]],"mmm")</f>
        <v>Mar</v>
      </c>
    </row>
    <row r="4960" spans="1:11" x14ac:dyDescent="0.35">
      <c r="A4960" s="7" t="s">
        <v>4990</v>
      </c>
      <c r="B4960" s="8">
        <v>44958</v>
      </c>
      <c r="C4960" s="9" t="s">
        <v>27</v>
      </c>
      <c r="D4960" s="9" t="s">
        <v>36</v>
      </c>
      <c r="E4960" s="9" t="s">
        <v>13</v>
      </c>
      <c r="F4960" s="9">
        <v>129</v>
      </c>
      <c r="G4960" s="9">
        <v>95.25</v>
      </c>
      <c r="H4960" s="9" t="s">
        <v>32</v>
      </c>
      <c r="I4960" s="9">
        <v>15</v>
      </c>
      <c r="J4960" s="10">
        <v>-33.75</v>
      </c>
      <c r="K4960" s="9" t="str">
        <f>TEXT(Sales_of_Jordan[[#This Row],[Sale_Date]],"mmm")</f>
        <v>Feb</v>
      </c>
    </row>
    <row r="4961" spans="1:11" x14ac:dyDescent="0.35">
      <c r="A4961" s="7" t="s">
        <v>4991</v>
      </c>
      <c r="B4961" s="8">
        <v>45595</v>
      </c>
      <c r="C4961" s="9" t="s">
        <v>21</v>
      </c>
      <c r="D4961" s="9" t="s">
        <v>36</v>
      </c>
      <c r="E4961" s="9" t="s">
        <v>29</v>
      </c>
      <c r="F4961" s="9">
        <v>216</v>
      </c>
      <c r="G4961" s="9">
        <v>294.81</v>
      </c>
      <c r="H4961" s="9" t="s">
        <v>14</v>
      </c>
      <c r="I4961" s="9">
        <v>3</v>
      </c>
      <c r="J4961" s="10">
        <v>78.81</v>
      </c>
      <c r="K4961" s="9" t="str">
        <f>TEXT(Sales_of_Jordan[[#This Row],[Sale_Date]],"mmm")</f>
        <v>Oct</v>
      </c>
    </row>
    <row r="4962" spans="1:11" x14ac:dyDescent="0.35">
      <c r="A4962" s="7" t="s">
        <v>4992</v>
      </c>
      <c r="B4962" s="8">
        <v>45850</v>
      </c>
      <c r="C4962" s="9" t="s">
        <v>31</v>
      </c>
      <c r="D4962" s="9" t="s">
        <v>22</v>
      </c>
      <c r="E4962" s="9" t="s">
        <v>18</v>
      </c>
      <c r="F4962" s="9">
        <v>209</v>
      </c>
      <c r="G4962" s="9">
        <v>503.29</v>
      </c>
      <c r="H4962" s="9" t="s">
        <v>23</v>
      </c>
      <c r="I4962" s="9">
        <v>47</v>
      </c>
      <c r="J4962" s="10">
        <v>294.29000000000002</v>
      </c>
      <c r="K4962" s="9" t="str">
        <f>TEXT(Sales_of_Jordan[[#This Row],[Sale_Date]],"mmm")</f>
        <v>Jul</v>
      </c>
    </row>
    <row r="4963" spans="1:11" x14ac:dyDescent="0.35">
      <c r="A4963" s="7" t="s">
        <v>4993</v>
      </c>
      <c r="B4963" s="8">
        <v>45923</v>
      </c>
      <c r="C4963" s="9" t="s">
        <v>31</v>
      </c>
      <c r="D4963" s="9" t="s">
        <v>34</v>
      </c>
      <c r="E4963" s="9" t="s">
        <v>13</v>
      </c>
      <c r="F4963" s="9">
        <v>204</v>
      </c>
      <c r="G4963" s="9">
        <v>112.19</v>
      </c>
      <c r="H4963" s="9" t="s">
        <v>19</v>
      </c>
      <c r="I4963" s="9">
        <v>1</v>
      </c>
      <c r="J4963" s="10">
        <v>-91.81</v>
      </c>
      <c r="K4963" s="9" t="str">
        <f>TEXT(Sales_of_Jordan[[#This Row],[Sale_Date]],"mmm")</f>
        <v>Sep</v>
      </c>
    </row>
    <row r="4964" spans="1:11" x14ac:dyDescent="0.35">
      <c r="A4964" s="7" t="s">
        <v>4994</v>
      </c>
      <c r="B4964" s="8">
        <v>45138</v>
      </c>
      <c r="C4964" s="9" t="s">
        <v>21</v>
      </c>
      <c r="D4964" s="9" t="s">
        <v>22</v>
      </c>
      <c r="E4964" s="9" t="s">
        <v>18</v>
      </c>
      <c r="F4964" s="9">
        <v>223</v>
      </c>
      <c r="G4964" s="9">
        <v>648.51</v>
      </c>
      <c r="H4964" s="9" t="s">
        <v>32</v>
      </c>
      <c r="I4964" s="9">
        <v>7</v>
      </c>
      <c r="J4964" s="10">
        <v>425.51</v>
      </c>
      <c r="K4964" s="9" t="str">
        <f>TEXT(Sales_of_Jordan[[#This Row],[Sale_Date]],"mmm")</f>
        <v>Jul</v>
      </c>
    </row>
    <row r="4965" spans="1:11" x14ac:dyDescent="0.35">
      <c r="A4965" s="7" t="s">
        <v>4995</v>
      </c>
      <c r="B4965" s="8">
        <v>45795</v>
      </c>
      <c r="C4965" s="9" t="s">
        <v>21</v>
      </c>
      <c r="D4965" s="9" t="s">
        <v>53</v>
      </c>
      <c r="E4965" s="9" t="s">
        <v>29</v>
      </c>
      <c r="F4965" s="9">
        <v>211</v>
      </c>
      <c r="G4965" s="9">
        <v>198.86</v>
      </c>
      <c r="H4965" s="9" t="s">
        <v>25</v>
      </c>
      <c r="I4965" s="9">
        <v>30</v>
      </c>
      <c r="J4965" s="10">
        <v>-12.139999999999899</v>
      </c>
      <c r="K4965" s="9" t="str">
        <f>TEXT(Sales_of_Jordan[[#This Row],[Sale_Date]],"mmm")</f>
        <v>May</v>
      </c>
    </row>
    <row r="4966" spans="1:11" x14ac:dyDescent="0.35">
      <c r="A4966" s="7" t="s">
        <v>4996</v>
      </c>
      <c r="B4966" s="8">
        <v>45572</v>
      </c>
      <c r="C4966" s="9" t="s">
        <v>27</v>
      </c>
      <c r="D4966" s="9" t="s">
        <v>22</v>
      </c>
      <c r="E4966" s="9" t="s">
        <v>13</v>
      </c>
      <c r="F4966" s="9">
        <v>138</v>
      </c>
      <c r="G4966" s="9">
        <v>83.11</v>
      </c>
      <c r="H4966" s="9" t="s">
        <v>14</v>
      </c>
      <c r="I4966" s="9">
        <v>6</v>
      </c>
      <c r="J4966" s="10">
        <v>-54.89</v>
      </c>
      <c r="K4966" s="9" t="str">
        <f>TEXT(Sales_of_Jordan[[#This Row],[Sale_Date]],"mmm")</f>
        <v>Oct</v>
      </c>
    </row>
    <row r="4967" spans="1:11" x14ac:dyDescent="0.35">
      <c r="A4967" s="7" t="s">
        <v>4997</v>
      </c>
      <c r="B4967" s="8">
        <v>45565</v>
      </c>
      <c r="C4967" s="9" t="s">
        <v>27</v>
      </c>
      <c r="D4967" s="9" t="s">
        <v>12</v>
      </c>
      <c r="E4967" s="9" t="s">
        <v>18</v>
      </c>
      <c r="F4967" s="9">
        <v>122</v>
      </c>
      <c r="G4967" s="9">
        <v>197.22</v>
      </c>
      <c r="H4967" s="9" t="s">
        <v>23</v>
      </c>
      <c r="I4967" s="9">
        <v>60</v>
      </c>
      <c r="J4967" s="10">
        <v>75.22</v>
      </c>
      <c r="K4967" s="9" t="str">
        <f>TEXT(Sales_of_Jordan[[#This Row],[Sale_Date]],"mmm")</f>
        <v>Sep</v>
      </c>
    </row>
    <row r="4968" spans="1:11" x14ac:dyDescent="0.35">
      <c r="A4968" s="7" t="s">
        <v>4998</v>
      </c>
      <c r="B4968" s="8">
        <v>45790</v>
      </c>
      <c r="C4968" s="9" t="s">
        <v>16</v>
      </c>
      <c r="D4968" s="9" t="s">
        <v>17</v>
      </c>
      <c r="E4968" s="9" t="s">
        <v>18</v>
      </c>
      <c r="F4968" s="9">
        <v>180</v>
      </c>
      <c r="G4968" s="9">
        <v>256.63</v>
      </c>
      <c r="H4968" s="9" t="s">
        <v>25</v>
      </c>
      <c r="I4968" s="9">
        <v>59</v>
      </c>
      <c r="J4968" s="10">
        <v>76.63</v>
      </c>
      <c r="K4968" s="9" t="str">
        <f>TEXT(Sales_of_Jordan[[#This Row],[Sale_Date]],"mmm")</f>
        <v>May</v>
      </c>
    </row>
    <row r="4969" spans="1:11" x14ac:dyDescent="0.35">
      <c r="A4969" s="7" t="s">
        <v>4999</v>
      </c>
      <c r="B4969" s="8">
        <v>45874</v>
      </c>
      <c r="C4969" s="9" t="s">
        <v>31</v>
      </c>
      <c r="D4969" s="9" t="s">
        <v>36</v>
      </c>
      <c r="E4969" s="9" t="s">
        <v>13</v>
      </c>
      <c r="F4969" s="9">
        <v>200</v>
      </c>
      <c r="G4969" s="9">
        <v>116.67</v>
      </c>
      <c r="H4969" s="9" t="s">
        <v>14</v>
      </c>
      <c r="I4969" s="9">
        <v>7</v>
      </c>
      <c r="J4969" s="10">
        <v>-83.33</v>
      </c>
      <c r="K4969" s="9" t="str">
        <f>TEXT(Sales_of_Jordan[[#This Row],[Sale_Date]],"mmm")</f>
        <v>Aug</v>
      </c>
    </row>
    <row r="4970" spans="1:11" x14ac:dyDescent="0.35">
      <c r="A4970" s="7" t="s">
        <v>5000</v>
      </c>
      <c r="B4970" s="8">
        <v>45747</v>
      </c>
      <c r="C4970" s="9" t="s">
        <v>16</v>
      </c>
      <c r="D4970" s="9" t="s">
        <v>55</v>
      </c>
      <c r="E4970" s="9" t="s">
        <v>29</v>
      </c>
      <c r="F4970" s="9">
        <v>175</v>
      </c>
      <c r="G4970" s="9">
        <v>172.68</v>
      </c>
      <c r="H4970" s="9" t="s">
        <v>32</v>
      </c>
      <c r="I4970" s="9">
        <v>11</v>
      </c>
      <c r="J4970" s="10">
        <v>-2.3199999999999901</v>
      </c>
      <c r="K4970" s="9" t="str">
        <f>TEXT(Sales_of_Jordan[[#This Row],[Sale_Date]],"mmm")</f>
        <v>Mar</v>
      </c>
    </row>
    <row r="4971" spans="1:11" x14ac:dyDescent="0.35">
      <c r="A4971" s="7" t="s">
        <v>5001</v>
      </c>
      <c r="B4971" s="8">
        <v>45759</v>
      </c>
      <c r="C4971" s="9" t="s">
        <v>11</v>
      </c>
      <c r="D4971" s="9" t="s">
        <v>53</v>
      </c>
      <c r="E4971" s="9" t="s">
        <v>18</v>
      </c>
      <c r="F4971" s="9">
        <v>229</v>
      </c>
      <c r="G4971" s="9">
        <v>750.46</v>
      </c>
      <c r="H4971" s="9" t="s">
        <v>19</v>
      </c>
      <c r="I4971" s="9">
        <v>13</v>
      </c>
      <c r="J4971" s="10">
        <v>521.46</v>
      </c>
      <c r="K4971" s="9" t="str">
        <f>TEXT(Sales_of_Jordan[[#This Row],[Sale_Date]],"mmm")</f>
        <v>Apr</v>
      </c>
    </row>
    <row r="4972" spans="1:11" x14ac:dyDescent="0.35">
      <c r="A4972" s="7" t="s">
        <v>5002</v>
      </c>
      <c r="B4972" s="8">
        <v>44997</v>
      </c>
      <c r="C4972" s="9" t="s">
        <v>21</v>
      </c>
      <c r="D4972" s="9" t="s">
        <v>34</v>
      </c>
      <c r="E4972" s="9" t="s">
        <v>13</v>
      </c>
      <c r="F4972" s="9">
        <v>220</v>
      </c>
      <c r="G4972" s="9">
        <v>131.09</v>
      </c>
      <c r="H4972" s="9" t="s">
        <v>32</v>
      </c>
      <c r="I4972" s="9">
        <v>32</v>
      </c>
      <c r="J4972" s="10">
        <v>-88.91</v>
      </c>
      <c r="K4972" s="9" t="str">
        <f>TEXT(Sales_of_Jordan[[#This Row],[Sale_Date]],"mmm")</f>
        <v>Mar</v>
      </c>
    </row>
    <row r="4973" spans="1:11" x14ac:dyDescent="0.35">
      <c r="A4973" s="7" t="s">
        <v>5003</v>
      </c>
      <c r="B4973" s="8">
        <v>45371</v>
      </c>
      <c r="C4973" s="9" t="s">
        <v>31</v>
      </c>
      <c r="D4973" s="9" t="s">
        <v>17</v>
      </c>
      <c r="E4973" s="9" t="s">
        <v>13</v>
      </c>
      <c r="F4973" s="9">
        <v>204</v>
      </c>
      <c r="G4973" s="9">
        <v>104.25</v>
      </c>
      <c r="H4973" s="9" t="s">
        <v>19</v>
      </c>
      <c r="I4973" s="9">
        <v>12</v>
      </c>
      <c r="J4973" s="10">
        <v>-99.75</v>
      </c>
      <c r="K4973" s="9" t="str">
        <f>TEXT(Sales_of_Jordan[[#This Row],[Sale_Date]],"mmm")</f>
        <v>Mar</v>
      </c>
    </row>
    <row r="4974" spans="1:11" x14ac:dyDescent="0.35">
      <c r="A4974" s="7" t="s">
        <v>5004</v>
      </c>
      <c r="B4974" s="8">
        <v>45554</v>
      </c>
      <c r="C4974" s="9" t="s">
        <v>11</v>
      </c>
      <c r="D4974" s="9" t="s">
        <v>55</v>
      </c>
      <c r="E4974" s="9" t="s">
        <v>13</v>
      </c>
      <c r="F4974" s="9">
        <v>227</v>
      </c>
      <c r="G4974" s="9">
        <v>141.9</v>
      </c>
      <c r="H4974" s="9" t="s">
        <v>14</v>
      </c>
      <c r="I4974" s="9">
        <v>14</v>
      </c>
      <c r="J4974" s="10">
        <v>-85.1</v>
      </c>
      <c r="K4974" s="9" t="str">
        <f>TEXT(Sales_of_Jordan[[#This Row],[Sale_Date]],"mmm")</f>
        <v>Sep</v>
      </c>
    </row>
    <row r="4975" spans="1:11" x14ac:dyDescent="0.35">
      <c r="A4975" s="7" t="s">
        <v>5005</v>
      </c>
      <c r="B4975" s="8">
        <v>45381</v>
      </c>
      <c r="C4975" s="9" t="s">
        <v>27</v>
      </c>
      <c r="D4975" s="9" t="s">
        <v>55</v>
      </c>
      <c r="E4975" s="9" t="s">
        <v>18</v>
      </c>
      <c r="F4975" s="9">
        <v>115</v>
      </c>
      <c r="G4975" s="9">
        <v>300.14</v>
      </c>
      <c r="H4975" s="9" t="s">
        <v>25</v>
      </c>
      <c r="I4975" s="9">
        <v>31</v>
      </c>
      <c r="J4975" s="10">
        <v>185.14</v>
      </c>
      <c r="K4975" s="9" t="str">
        <f>TEXT(Sales_of_Jordan[[#This Row],[Sale_Date]],"mmm")</f>
        <v>Mar</v>
      </c>
    </row>
    <row r="4976" spans="1:11" x14ac:dyDescent="0.35">
      <c r="A4976" s="7" t="s">
        <v>5006</v>
      </c>
      <c r="B4976" s="8">
        <v>45845</v>
      </c>
      <c r="C4976" s="9" t="s">
        <v>11</v>
      </c>
      <c r="D4976" s="9" t="s">
        <v>34</v>
      </c>
      <c r="E4976" s="9" t="s">
        <v>29</v>
      </c>
      <c r="F4976" s="9">
        <v>225</v>
      </c>
      <c r="G4976" s="9">
        <v>313.11</v>
      </c>
      <c r="H4976" s="9" t="s">
        <v>14</v>
      </c>
      <c r="I4976" s="9">
        <v>10</v>
      </c>
      <c r="J4976" s="10">
        <v>88.11</v>
      </c>
      <c r="K4976" s="9" t="str">
        <f>TEXT(Sales_of_Jordan[[#This Row],[Sale_Date]],"mmm")</f>
        <v>Jul</v>
      </c>
    </row>
    <row r="4977" spans="1:11" x14ac:dyDescent="0.35">
      <c r="A4977" s="7" t="s">
        <v>5007</v>
      </c>
      <c r="B4977" s="8">
        <v>45051</v>
      </c>
      <c r="C4977" s="9" t="s">
        <v>11</v>
      </c>
      <c r="D4977" s="9" t="s">
        <v>46</v>
      </c>
      <c r="E4977" s="9" t="s">
        <v>13</v>
      </c>
      <c r="F4977" s="9">
        <v>226</v>
      </c>
      <c r="G4977" s="9">
        <v>122.98</v>
      </c>
      <c r="H4977" s="9" t="s">
        <v>14</v>
      </c>
      <c r="I4977" s="9">
        <v>6</v>
      </c>
      <c r="J4977" s="10">
        <v>-103.02</v>
      </c>
      <c r="K4977" s="9" t="str">
        <f>TEXT(Sales_of_Jordan[[#This Row],[Sale_Date]],"mmm")</f>
        <v>May</v>
      </c>
    </row>
    <row r="4978" spans="1:11" x14ac:dyDescent="0.35">
      <c r="A4978" s="7" t="s">
        <v>5008</v>
      </c>
      <c r="B4978" s="8">
        <v>45053</v>
      </c>
      <c r="C4978" s="9" t="s">
        <v>27</v>
      </c>
      <c r="D4978" s="9" t="s">
        <v>22</v>
      </c>
      <c r="E4978" s="9" t="s">
        <v>18</v>
      </c>
      <c r="F4978" s="9">
        <v>124</v>
      </c>
      <c r="G4978" s="9">
        <v>313.63</v>
      </c>
      <c r="H4978" s="9" t="s">
        <v>25</v>
      </c>
      <c r="I4978" s="9">
        <v>49</v>
      </c>
      <c r="J4978" s="10">
        <v>189.63</v>
      </c>
      <c r="K4978" s="9" t="str">
        <f>TEXT(Sales_of_Jordan[[#This Row],[Sale_Date]],"mmm")</f>
        <v>May</v>
      </c>
    </row>
    <row r="4979" spans="1:11" x14ac:dyDescent="0.35">
      <c r="A4979" s="7" t="s">
        <v>5009</v>
      </c>
      <c r="B4979" s="8">
        <v>45088</v>
      </c>
      <c r="C4979" s="9" t="s">
        <v>16</v>
      </c>
      <c r="D4979" s="9" t="s">
        <v>39</v>
      </c>
      <c r="E4979" s="9" t="s">
        <v>29</v>
      </c>
      <c r="F4979" s="9">
        <v>190</v>
      </c>
      <c r="G4979" s="9">
        <v>243.45</v>
      </c>
      <c r="H4979" s="9" t="s">
        <v>19</v>
      </c>
      <c r="I4979" s="9">
        <v>5</v>
      </c>
      <c r="J4979" s="10">
        <v>53.449999999999903</v>
      </c>
      <c r="K4979" s="9" t="str">
        <f>TEXT(Sales_of_Jordan[[#This Row],[Sale_Date]],"mmm")</f>
        <v>Jun</v>
      </c>
    </row>
    <row r="4980" spans="1:11" x14ac:dyDescent="0.35">
      <c r="A4980" s="7" t="s">
        <v>5010</v>
      </c>
      <c r="B4980" s="8">
        <v>45663</v>
      </c>
      <c r="C4980" s="9" t="s">
        <v>16</v>
      </c>
      <c r="D4980" s="9" t="s">
        <v>22</v>
      </c>
      <c r="E4980" s="9" t="s">
        <v>18</v>
      </c>
      <c r="F4980" s="9">
        <v>185</v>
      </c>
      <c r="G4980" s="9">
        <v>603.35</v>
      </c>
      <c r="H4980" s="9" t="s">
        <v>19</v>
      </c>
      <c r="I4980" s="9">
        <v>14</v>
      </c>
      <c r="J4980" s="10">
        <v>418.35</v>
      </c>
      <c r="K4980" s="9" t="str">
        <f>TEXT(Sales_of_Jordan[[#This Row],[Sale_Date]],"mmm")</f>
        <v>Jan</v>
      </c>
    </row>
    <row r="4981" spans="1:11" x14ac:dyDescent="0.35">
      <c r="A4981" s="7" t="s">
        <v>5011</v>
      </c>
      <c r="B4981" s="8">
        <v>45562</v>
      </c>
      <c r="C4981" s="9" t="s">
        <v>11</v>
      </c>
      <c r="D4981" s="9" t="s">
        <v>55</v>
      </c>
      <c r="E4981" s="9" t="s">
        <v>13</v>
      </c>
      <c r="F4981" s="9">
        <v>225</v>
      </c>
      <c r="G4981" s="9">
        <v>168</v>
      </c>
      <c r="H4981" s="9" t="s">
        <v>14</v>
      </c>
      <c r="I4981" s="9">
        <v>6</v>
      </c>
      <c r="J4981" s="10">
        <v>-57</v>
      </c>
      <c r="K4981" s="9" t="str">
        <f>TEXT(Sales_of_Jordan[[#This Row],[Sale_Date]],"mmm")</f>
        <v>Sep</v>
      </c>
    </row>
    <row r="4982" spans="1:11" x14ac:dyDescent="0.35">
      <c r="A4982" s="7" t="s">
        <v>5012</v>
      </c>
      <c r="B4982" s="8">
        <v>45349</v>
      </c>
      <c r="C4982" s="9" t="s">
        <v>21</v>
      </c>
      <c r="D4982" s="9" t="s">
        <v>46</v>
      </c>
      <c r="E4982" s="9" t="s">
        <v>18</v>
      </c>
      <c r="F4982" s="9">
        <v>225</v>
      </c>
      <c r="G4982" s="9">
        <v>446.72</v>
      </c>
      <c r="H4982" s="9" t="s">
        <v>25</v>
      </c>
      <c r="I4982" s="9">
        <v>22</v>
      </c>
      <c r="J4982" s="10">
        <v>221.72</v>
      </c>
      <c r="K4982" s="9" t="str">
        <f>TEXT(Sales_of_Jordan[[#This Row],[Sale_Date]],"mmm")</f>
        <v>Feb</v>
      </c>
    </row>
    <row r="4983" spans="1:11" x14ac:dyDescent="0.35">
      <c r="A4983" s="7" t="s">
        <v>5013</v>
      </c>
      <c r="B4983" s="8">
        <v>45427</v>
      </c>
      <c r="C4983" s="9" t="s">
        <v>21</v>
      </c>
      <c r="D4983" s="9" t="s">
        <v>39</v>
      </c>
      <c r="E4983" s="9" t="s">
        <v>29</v>
      </c>
      <c r="F4983" s="9">
        <v>215</v>
      </c>
      <c r="G4983" s="9">
        <v>226.62</v>
      </c>
      <c r="H4983" s="9" t="s">
        <v>19</v>
      </c>
      <c r="I4983" s="9">
        <v>8</v>
      </c>
      <c r="J4983" s="10">
        <v>11.62</v>
      </c>
      <c r="K4983" s="9" t="str">
        <f>TEXT(Sales_of_Jordan[[#This Row],[Sale_Date]],"mmm")</f>
        <v>May</v>
      </c>
    </row>
    <row r="4984" spans="1:11" x14ac:dyDescent="0.35">
      <c r="A4984" s="7" t="s">
        <v>5014</v>
      </c>
      <c r="B4984" s="8">
        <v>45325</v>
      </c>
      <c r="C4984" s="9" t="s">
        <v>21</v>
      </c>
      <c r="D4984" s="9" t="s">
        <v>46</v>
      </c>
      <c r="E4984" s="9" t="s">
        <v>18</v>
      </c>
      <c r="F4984" s="9">
        <v>216</v>
      </c>
      <c r="G4984" s="9">
        <v>391.35</v>
      </c>
      <c r="H4984" s="9" t="s">
        <v>19</v>
      </c>
      <c r="I4984" s="9">
        <v>11</v>
      </c>
      <c r="J4984" s="10">
        <v>175.35</v>
      </c>
      <c r="K4984" s="9" t="str">
        <f>TEXT(Sales_of_Jordan[[#This Row],[Sale_Date]],"mmm")</f>
        <v>Feb</v>
      </c>
    </row>
    <row r="4985" spans="1:11" x14ac:dyDescent="0.35">
      <c r="A4985" s="7" t="s">
        <v>5015</v>
      </c>
      <c r="B4985" s="8">
        <v>45750</v>
      </c>
      <c r="C4985" s="9" t="s">
        <v>31</v>
      </c>
      <c r="D4985" s="9" t="s">
        <v>12</v>
      </c>
      <c r="E4985" s="9" t="s">
        <v>18</v>
      </c>
      <c r="F4985" s="9">
        <v>200</v>
      </c>
      <c r="G4985" s="9">
        <v>376.62</v>
      </c>
      <c r="H4985" s="9" t="s">
        <v>19</v>
      </c>
      <c r="I4985" s="9">
        <v>12</v>
      </c>
      <c r="J4985" s="10">
        <v>176.62</v>
      </c>
      <c r="K4985" s="9" t="str">
        <f>TEXT(Sales_of_Jordan[[#This Row],[Sale_Date]],"mmm")</f>
        <v>Apr</v>
      </c>
    </row>
    <row r="4986" spans="1:11" x14ac:dyDescent="0.35">
      <c r="A4986" s="7" t="s">
        <v>5016</v>
      </c>
      <c r="B4986" s="8">
        <v>45668</v>
      </c>
      <c r="C4986" s="9" t="s">
        <v>16</v>
      </c>
      <c r="D4986" s="9" t="s">
        <v>12</v>
      </c>
      <c r="E4986" s="9" t="s">
        <v>13</v>
      </c>
      <c r="F4986" s="9">
        <v>176</v>
      </c>
      <c r="G4986" s="9">
        <v>151.71</v>
      </c>
      <c r="H4986" s="9" t="s">
        <v>14</v>
      </c>
      <c r="I4986" s="9">
        <v>9</v>
      </c>
      <c r="J4986" s="10">
        <v>-24.2899999999999</v>
      </c>
      <c r="K4986" s="9" t="str">
        <f>TEXT(Sales_of_Jordan[[#This Row],[Sale_Date]],"mmm")</f>
        <v>Jan</v>
      </c>
    </row>
    <row r="4987" spans="1:11" x14ac:dyDescent="0.35">
      <c r="A4987" s="7" t="s">
        <v>5017</v>
      </c>
      <c r="B4987" s="8">
        <v>45891</v>
      </c>
      <c r="C4987" s="9" t="s">
        <v>16</v>
      </c>
      <c r="D4987" s="9" t="s">
        <v>55</v>
      </c>
      <c r="E4987" s="9" t="s">
        <v>13</v>
      </c>
      <c r="F4987" s="9">
        <v>178</v>
      </c>
      <c r="G4987" s="9">
        <v>125.09</v>
      </c>
      <c r="H4987" s="9" t="s">
        <v>14</v>
      </c>
      <c r="I4987" s="9">
        <v>10</v>
      </c>
      <c r="J4987" s="10">
        <v>-52.91</v>
      </c>
      <c r="K4987" s="9" t="str">
        <f>TEXT(Sales_of_Jordan[[#This Row],[Sale_Date]],"mmm")</f>
        <v>Aug</v>
      </c>
    </row>
    <row r="4988" spans="1:11" x14ac:dyDescent="0.35">
      <c r="A4988" s="7" t="s">
        <v>5018</v>
      </c>
      <c r="B4988" s="8">
        <v>45675</v>
      </c>
      <c r="C4988" s="9" t="s">
        <v>21</v>
      </c>
      <c r="D4988" s="9" t="s">
        <v>46</v>
      </c>
      <c r="E4988" s="9" t="s">
        <v>18</v>
      </c>
      <c r="F4988" s="9">
        <v>221</v>
      </c>
      <c r="G4988" s="9">
        <v>481.73</v>
      </c>
      <c r="H4988" s="9" t="s">
        <v>19</v>
      </c>
      <c r="I4988" s="9">
        <v>1</v>
      </c>
      <c r="J4988" s="10">
        <v>260.73</v>
      </c>
      <c r="K4988" s="9" t="str">
        <f>TEXT(Sales_of_Jordan[[#This Row],[Sale_Date]],"mmm")</f>
        <v>Jan</v>
      </c>
    </row>
    <row r="4989" spans="1:11" x14ac:dyDescent="0.35">
      <c r="A4989" s="7" t="s">
        <v>5019</v>
      </c>
      <c r="B4989" s="8">
        <v>45283</v>
      </c>
      <c r="C4989" s="9" t="s">
        <v>11</v>
      </c>
      <c r="D4989" s="9" t="s">
        <v>46</v>
      </c>
      <c r="E4989" s="9" t="s">
        <v>29</v>
      </c>
      <c r="F4989" s="9">
        <v>227</v>
      </c>
      <c r="G4989" s="9">
        <v>214.56</v>
      </c>
      <c r="H4989" s="9" t="s">
        <v>23</v>
      </c>
      <c r="I4989" s="9">
        <v>17</v>
      </c>
      <c r="J4989" s="10">
        <v>-12.4399999999999</v>
      </c>
      <c r="K4989" s="9" t="str">
        <f>TEXT(Sales_of_Jordan[[#This Row],[Sale_Date]],"mmm")</f>
        <v>Dec</v>
      </c>
    </row>
    <row r="4990" spans="1:11" x14ac:dyDescent="0.35">
      <c r="A4990" s="7" t="s">
        <v>5020</v>
      </c>
      <c r="B4990" s="8">
        <v>45565</v>
      </c>
      <c r="C4990" s="9" t="s">
        <v>31</v>
      </c>
      <c r="D4990" s="9" t="s">
        <v>12</v>
      </c>
      <c r="E4990" s="9" t="s">
        <v>13</v>
      </c>
      <c r="F4990" s="9">
        <v>209</v>
      </c>
      <c r="G4990" s="9">
        <v>107.57</v>
      </c>
      <c r="H4990" s="9" t="s">
        <v>23</v>
      </c>
      <c r="I4990" s="9">
        <v>27</v>
      </c>
      <c r="J4990" s="10">
        <v>-101.43</v>
      </c>
      <c r="K4990" s="9" t="str">
        <f>TEXT(Sales_of_Jordan[[#This Row],[Sale_Date]],"mmm")</f>
        <v>Sep</v>
      </c>
    </row>
    <row r="4991" spans="1:11" x14ac:dyDescent="0.35">
      <c r="A4991" s="7" t="s">
        <v>5021</v>
      </c>
      <c r="B4991" s="8">
        <v>45901</v>
      </c>
      <c r="C4991" s="9" t="s">
        <v>27</v>
      </c>
      <c r="D4991" s="9" t="s">
        <v>12</v>
      </c>
      <c r="E4991" s="9" t="s">
        <v>13</v>
      </c>
      <c r="F4991" s="9">
        <v>133</v>
      </c>
      <c r="G4991" s="9">
        <v>95.36</v>
      </c>
      <c r="H4991" s="9" t="s">
        <v>23</v>
      </c>
      <c r="I4991" s="9">
        <v>60</v>
      </c>
      <c r="J4991" s="10">
        <v>-37.64</v>
      </c>
      <c r="K4991" s="9" t="str">
        <f>TEXT(Sales_of_Jordan[[#This Row],[Sale_Date]],"mmm")</f>
        <v>Sep</v>
      </c>
    </row>
    <row r="4992" spans="1:11" x14ac:dyDescent="0.35">
      <c r="A4992" s="7" t="s">
        <v>5022</v>
      </c>
      <c r="B4992" s="8">
        <v>45899</v>
      </c>
      <c r="C4992" s="9" t="s">
        <v>27</v>
      </c>
      <c r="D4992" s="9" t="s">
        <v>53</v>
      </c>
      <c r="E4992" s="9" t="s">
        <v>18</v>
      </c>
      <c r="F4992" s="9">
        <v>128</v>
      </c>
      <c r="G4992" s="9">
        <v>197.72</v>
      </c>
      <c r="H4992" s="9" t="s">
        <v>25</v>
      </c>
      <c r="I4992" s="9">
        <v>47</v>
      </c>
      <c r="J4992" s="10">
        <v>69.72</v>
      </c>
      <c r="K4992" s="9" t="str">
        <f>TEXT(Sales_of_Jordan[[#This Row],[Sale_Date]],"mmm")</f>
        <v>Aug</v>
      </c>
    </row>
    <row r="4993" spans="1:11" x14ac:dyDescent="0.35">
      <c r="A4993" s="7" t="s">
        <v>5023</v>
      </c>
      <c r="B4993" s="8">
        <v>45720</v>
      </c>
      <c r="C4993" s="9" t="s">
        <v>21</v>
      </c>
      <c r="D4993" s="9" t="s">
        <v>36</v>
      </c>
      <c r="E4993" s="9" t="s">
        <v>13</v>
      </c>
      <c r="F4993" s="9">
        <v>214</v>
      </c>
      <c r="G4993" s="9">
        <v>170.58</v>
      </c>
      <c r="H4993" s="9" t="s">
        <v>23</v>
      </c>
      <c r="I4993" s="9">
        <v>46</v>
      </c>
      <c r="J4993" s="10">
        <v>-43.419999999999902</v>
      </c>
      <c r="K4993" s="9" t="str">
        <f>TEXT(Sales_of_Jordan[[#This Row],[Sale_Date]],"mmm")</f>
        <v>Mar</v>
      </c>
    </row>
    <row r="4994" spans="1:11" x14ac:dyDescent="0.35">
      <c r="A4994" s="7" t="s">
        <v>5024</v>
      </c>
      <c r="B4994" s="8">
        <v>45634</v>
      </c>
      <c r="C4994" s="9" t="s">
        <v>11</v>
      </c>
      <c r="D4994" s="9" t="s">
        <v>22</v>
      </c>
      <c r="E4994" s="9" t="s">
        <v>18</v>
      </c>
      <c r="F4994" s="9">
        <v>225</v>
      </c>
      <c r="G4994" s="9">
        <v>601.85</v>
      </c>
      <c r="H4994" s="9" t="s">
        <v>32</v>
      </c>
      <c r="I4994" s="9">
        <v>33</v>
      </c>
      <c r="J4994" s="10">
        <v>376.85</v>
      </c>
      <c r="K4994" s="9" t="str">
        <f>TEXT(Sales_of_Jordan[[#This Row],[Sale_Date]],"mmm")</f>
        <v>Dec</v>
      </c>
    </row>
    <row r="4995" spans="1:11" x14ac:dyDescent="0.35">
      <c r="A4995" s="7" t="s">
        <v>5025</v>
      </c>
      <c r="B4995" s="8">
        <v>45409</v>
      </c>
      <c r="C4995" s="9" t="s">
        <v>31</v>
      </c>
      <c r="D4995" s="9" t="s">
        <v>53</v>
      </c>
      <c r="E4995" s="9" t="s">
        <v>29</v>
      </c>
      <c r="F4995" s="9">
        <v>209</v>
      </c>
      <c r="G4995" s="9">
        <v>272.10000000000002</v>
      </c>
      <c r="H4995" s="9" t="s">
        <v>19</v>
      </c>
      <c r="I4995" s="9">
        <v>1</v>
      </c>
      <c r="J4995" s="10">
        <v>63.1</v>
      </c>
      <c r="K4995" s="9" t="str">
        <f>TEXT(Sales_of_Jordan[[#This Row],[Sale_Date]],"mmm")</f>
        <v>Apr</v>
      </c>
    </row>
    <row r="4996" spans="1:11" x14ac:dyDescent="0.35">
      <c r="A4996" s="7" t="s">
        <v>5026</v>
      </c>
      <c r="B4996" s="8">
        <v>45085</v>
      </c>
      <c r="C4996" s="9" t="s">
        <v>21</v>
      </c>
      <c r="D4996" s="9" t="s">
        <v>12</v>
      </c>
      <c r="E4996" s="9" t="s">
        <v>18</v>
      </c>
      <c r="F4996" s="9">
        <v>217</v>
      </c>
      <c r="G4996" s="9">
        <v>659.05</v>
      </c>
      <c r="H4996" s="9" t="s">
        <v>19</v>
      </c>
      <c r="I4996" s="9">
        <v>4</v>
      </c>
      <c r="J4996" s="10">
        <v>442.04999999999899</v>
      </c>
      <c r="K4996" s="9" t="str">
        <f>TEXT(Sales_of_Jordan[[#This Row],[Sale_Date]],"mmm")</f>
        <v>Jun</v>
      </c>
    </row>
    <row r="4997" spans="1:11" x14ac:dyDescent="0.35">
      <c r="A4997" s="7" t="s">
        <v>5027</v>
      </c>
      <c r="B4997" s="8">
        <v>44974</v>
      </c>
      <c r="C4997" s="9" t="s">
        <v>27</v>
      </c>
      <c r="D4997" s="9" t="s">
        <v>55</v>
      </c>
      <c r="E4997" s="9" t="s">
        <v>13</v>
      </c>
      <c r="F4997" s="9">
        <v>130</v>
      </c>
      <c r="G4997" s="9">
        <v>65.150000000000006</v>
      </c>
      <c r="H4997" s="9" t="s">
        <v>14</v>
      </c>
      <c r="I4997" s="9">
        <v>11</v>
      </c>
      <c r="J4997" s="10">
        <v>-64.849999999999994</v>
      </c>
      <c r="K4997" s="9" t="str">
        <f>TEXT(Sales_of_Jordan[[#This Row],[Sale_Date]],"mmm")</f>
        <v>Feb</v>
      </c>
    </row>
    <row r="4998" spans="1:11" x14ac:dyDescent="0.35">
      <c r="A4998" s="7" t="s">
        <v>5028</v>
      </c>
      <c r="B4998" s="8">
        <v>45101</v>
      </c>
      <c r="C4998" s="9" t="s">
        <v>27</v>
      </c>
      <c r="D4998" s="9" t="s">
        <v>39</v>
      </c>
      <c r="E4998" s="9" t="s">
        <v>18</v>
      </c>
      <c r="F4998" s="9">
        <v>114</v>
      </c>
      <c r="G4998" s="9">
        <v>268.05</v>
      </c>
      <c r="H4998" s="9" t="s">
        <v>14</v>
      </c>
      <c r="I4998" s="9">
        <v>9</v>
      </c>
      <c r="J4998" s="10">
        <v>154.05000000000001</v>
      </c>
      <c r="K4998" s="9" t="str">
        <f>TEXT(Sales_of_Jordan[[#This Row],[Sale_Date]],"mmm")</f>
        <v>Jun</v>
      </c>
    </row>
    <row r="4999" spans="1:11" x14ac:dyDescent="0.35">
      <c r="A4999" s="7" t="s">
        <v>5029</v>
      </c>
      <c r="B4999" s="8">
        <v>45455</v>
      </c>
      <c r="C4999" s="9" t="s">
        <v>21</v>
      </c>
      <c r="D4999" s="9" t="s">
        <v>53</v>
      </c>
      <c r="E4999" s="9" t="s">
        <v>18</v>
      </c>
      <c r="F4999" s="9">
        <v>222</v>
      </c>
      <c r="G4999" s="9">
        <v>405.55</v>
      </c>
      <c r="H4999" s="9" t="s">
        <v>19</v>
      </c>
      <c r="I4999" s="9">
        <v>9</v>
      </c>
      <c r="J4999" s="10">
        <v>183.55</v>
      </c>
      <c r="K4999" s="9" t="str">
        <f>TEXT(Sales_of_Jordan[[#This Row],[Sale_Date]],"mmm")</f>
        <v>Jun</v>
      </c>
    </row>
    <row r="5000" spans="1:11" x14ac:dyDescent="0.35">
      <c r="A5000" s="7" t="s">
        <v>5030</v>
      </c>
      <c r="B5000" s="8">
        <v>45462</v>
      </c>
      <c r="C5000" s="9" t="s">
        <v>16</v>
      </c>
      <c r="D5000" s="9" t="s">
        <v>34</v>
      </c>
      <c r="E5000" s="9" t="s">
        <v>13</v>
      </c>
      <c r="F5000" s="9">
        <v>171</v>
      </c>
      <c r="G5000" s="9">
        <v>137.27000000000001</v>
      </c>
      <c r="H5000" s="9" t="s">
        <v>32</v>
      </c>
      <c r="I5000" s="9">
        <v>24</v>
      </c>
      <c r="J5000" s="10">
        <v>-33.729999999999897</v>
      </c>
      <c r="K5000" s="9" t="str">
        <f>TEXT(Sales_of_Jordan[[#This Row],[Sale_Date]],"mmm")</f>
        <v>Jun</v>
      </c>
    </row>
    <row r="5001" spans="1:11" x14ac:dyDescent="0.35">
      <c r="A5001" s="11" t="s">
        <v>5031</v>
      </c>
      <c r="B5001" s="12">
        <v>45573</v>
      </c>
      <c r="C5001" s="13" t="s">
        <v>31</v>
      </c>
      <c r="D5001" s="13" t="s">
        <v>12</v>
      </c>
      <c r="E5001" s="13" t="s">
        <v>13</v>
      </c>
      <c r="F5001" s="13">
        <v>205</v>
      </c>
      <c r="G5001" s="13">
        <v>151.32</v>
      </c>
      <c r="H5001" s="13" t="s">
        <v>23</v>
      </c>
      <c r="I5001" s="13">
        <v>25</v>
      </c>
      <c r="J5001" s="14">
        <v>-53.68</v>
      </c>
      <c r="K5001" s="13" t="str">
        <f>TEXT(Sales_of_Jordan[[#This Row],[Sale_Date]],"mmm")</f>
        <v>Oct</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Pivot_Table</vt:lpstr>
      <vt:lpstr>Dashboard</vt:lpstr>
      <vt:lpstr>New Dashboard</vt:lpstr>
      <vt:lpstr>jordan_market_dataset_2026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Sartak</dc:creator>
  <cp:lastModifiedBy>SARTHAK</cp:lastModifiedBy>
  <dcterms:created xsi:type="dcterms:W3CDTF">2026-04-06T17:13:54Z</dcterms:created>
  <dcterms:modified xsi:type="dcterms:W3CDTF">2026-04-08T10:20:32Z</dcterms:modified>
</cp:coreProperties>
</file>